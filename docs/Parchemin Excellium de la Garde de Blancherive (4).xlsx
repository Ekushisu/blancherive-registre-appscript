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ffres" sheetId="1" r:id="rId5"/>
    <sheet state="visible" name="Inventaire" sheetId="2" r:id="rId6"/>
    <sheet state="visible" name="Objets" sheetId="3" r:id="rId7"/>
    <sheet state="visible" name="SoldesGrades" sheetId="4" r:id="rId8"/>
    <sheet state="visible" name="HistoriqueEffectifs" sheetId="5" r:id="rId9"/>
    <sheet state="visible" name="Effectifs" sheetId="6" r:id="rId10"/>
    <sheet state="visible" name="Présences" sheetId="7" r:id="rId11"/>
    <sheet state="visible" name="Ravitaillement" sheetId="8" r:id="rId12"/>
    <sheet state="visible" name="Amendes" sheetId="9" r:id="rId13"/>
    <sheet state="visible" name="Prison" sheetId="10" r:id="rId14"/>
    <sheet state="visible" name="Garde de Blancherive" sheetId="11" r:id="rId15"/>
    <sheet state="visible" name="Garde des Faubourgs" sheetId="12" r:id="rId16"/>
    <sheet state="visible" name="Hird du Jarl" sheetId="13" r:id="rId17"/>
    <sheet state="visible" name="Garde de Bois-de-Chêne" sheetId="14" r:id="rId18"/>
    <sheet state="visible" name="Garde de Rivebois" sheetId="15" r:id="rId19"/>
    <sheet state="visible" name="Garde de Cap Granite" sheetId="16" r:id="rId20"/>
    <sheet state="visible" name="Corps des éclaireurs" sheetId="17" r:id="rId21"/>
    <sheet state="visible" name="Données" sheetId="18" r:id="rId22"/>
    <sheet state="visible" name="SyncCodex" sheetId="19" r:id="rId23"/>
  </sheets>
  <definedNames>
    <definedName hidden="1" localSheetId="6" name="_xlnm._FilterDatabase">'Présences'!$A$1:$Z$288</definedName>
    <definedName hidden="1" localSheetId="8" name="_xlnm._FilterDatabase">Amendes!$A$1:$Z$993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Identifiant technique stable. Inclure cette colonne dans les tris de lignes ; ne pas modifier.</t>
      </text>
    </comment>
  </commentList>
</comments>
</file>

<file path=xl/sharedStrings.xml><?xml version="1.0" encoding="utf-8"?>
<sst xmlns="http://schemas.openxmlformats.org/spreadsheetml/2006/main" count="36214" uniqueCount="21632">
  <si>
    <t>ID objet</t>
  </si>
  <si>
    <t>ID coffre</t>
  </si>
  <si>
    <t>Nom</t>
  </si>
  <si>
    <t>Quantité</t>
  </si>
  <si>
    <t>Position</t>
  </si>
  <si>
    <t>e90f29b9-f199-4889-ae16-c647b42a0b4a</t>
  </si>
  <si>
    <t>Description</t>
  </si>
  <si>
    <t>sentinel - city guards.esp|000806</t>
  </si>
  <si>
    <t>Whiterun Guard's Helmet</t>
  </si>
  <si>
    <t>Grade</t>
  </si>
  <si>
    <t>Coffre de l'Armurerie</t>
  </si>
  <si>
    <t>Salle des cartes, sous la table des cartes.</t>
  </si>
  <si>
    <t>Armes, Bouclier, Armures de Blancherive</t>
  </si>
  <si>
    <t>sentinel - city guards.esp|000800</t>
  </si>
  <si>
    <t>52d52cb8-fa70-4f9e-8f25-d1e7aed1b342</t>
  </si>
  <si>
    <t>Whiterun Guard's Armor</t>
  </si>
  <si>
    <t>Coffre des soldes</t>
  </si>
  <si>
    <t>Geoles</t>
  </si>
  <si>
    <t>Septimes, armes gardes spécial</t>
  </si>
  <si>
    <t>sentinel - city guards.esp|000805</t>
  </si>
  <si>
    <t>Whiterun Guard's Heavy Gauntlets</t>
  </si>
  <si>
    <t>Solde journalière (septims)</t>
  </si>
  <si>
    <t>Par défaut</t>
  </si>
  <si>
    <t>sentinel - city guards.esp|000801</t>
  </si>
  <si>
    <t>Whiterun Guard's Heavy Armor</t>
  </si>
  <si>
    <t>Maréchal</t>
  </si>
  <si>
    <t>Type</t>
  </si>
  <si>
    <t>sentinel - city guards.esp|000808</t>
  </si>
  <si>
    <t>Commander</t>
  </si>
  <si>
    <t>Whiterun Guard's Heavy Helmet</t>
  </si>
  <si>
    <t>Major</t>
  </si>
  <si>
    <t>dragonborn.esm|01BFEF</t>
  </si>
  <si>
    <t>sentinel - city guards.esp|000809</t>
  </si>
  <si>
    <t>Zahkrii Do Dovahkiin</t>
  </si>
  <si>
    <t>Whiterun Light Shield</t>
  </si>
  <si>
    <t>Capitaine</t>
  </si>
  <si>
    <t>Arme</t>
  </si>
  <si>
    <t>Lieutenant-Chef</t>
  </si>
  <si>
    <t>windhelmsse.esp|1252B7</t>
  </si>
  <si>
    <t>sentinel - city guards.esp|00080A</t>
  </si>
  <si>
    <t>Akaviri Snakesword</t>
  </si>
  <si>
    <t>Whiterun Shield</t>
  </si>
  <si>
    <t>Lieutenant</t>
  </si>
  <si>
    <t>Sergent-Chef</t>
  </si>
  <si>
    <t>aaagranitehill.esp|3BC29A</t>
  </si>
  <si>
    <t>sentinel.esp|000906</t>
  </si>
  <si>
    <t>Amon's Cheese Steel Dagger</t>
  </si>
  <si>
    <t>Sergent</t>
  </si>
  <si>
    <t>Common Gambeson</t>
  </si>
  <si>
    <t>Caporal-Chef</t>
  </si>
  <si>
    <t>skyrim.esm|106252</t>
  </si>
  <si>
    <t>Ancien espadon nordique ardent affûté</t>
  </si>
  <si>
    <t>Caporal</t>
  </si>
  <si>
    <t>kzlhorses.esp|01024E</t>
  </si>
  <si>
    <t>Prisoner's Cuffs</t>
  </si>
  <si>
    <t>Garde</t>
  </si>
  <si>
    <t>dragonborn.esm|036689</t>
  </si>
  <si>
    <t>Animortis</t>
  </si>
  <si>
    <t>Cadet</t>
  </si>
  <si>
    <t>evgnnsmpaccessories.esp|00082D</t>
  </si>
  <si>
    <t>Quilted Mantle</t>
  </si>
  <si>
    <t>Recrue</t>
  </si>
  <si>
    <t>skyrim.esm|06EA8B</t>
  </si>
  <si>
    <t>Aquilon</t>
  </si>
  <si>
    <t>evgnnsmpaccessories.esp|000834</t>
  </si>
  <si>
    <t>Reinforced Mantle</t>
  </si>
  <si>
    <t>dawnguard.esm|000801</t>
  </si>
  <si>
    <t>Arbalète</t>
  </si>
  <si>
    <t>sentinel - city guards.esp|000804</t>
  </si>
  <si>
    <t>dawnguard.esm|00F19E</t>
  </si>
  <si>
    <t>Whiterun Ceremonial Cloak</t>
  </si>
  <si>
    <t>Arbalète améliorée</t>
  </si>
  <si>
    <t>sentinel - city guards.esp|000803</t>
  </si>
  <si>
    <t>dawnguard.esm|00D0BE</t>
  </si>
  <si>
    <t>Whiterun Cloak</t>
  </si>
  <si>
    <t>Arbalète bénie</t>
  </si>
  <si>
    <t>sentinel.esp|000B29</t>
  </si>
  <si>
    <t>dawnguard.esm|00D0C7</t>
  </si>
  <si>
    <t>Common Battleaxe</t>
  </si>
  <si>
    <t>Arbalète d'amenuisement</t>
  </si>
  <si>
    <t>sentinel.esp|000B28</t>
  </si>
  <si>
    <t>dawnguard.esm|00D0C5</t>
  </si>
  <si>
    <t>Common Bearded Axe</t>
  </si>
  <si>
    <t>Arbalète d'éclairs</t>
  </si>
  <si>
    <t>sentinel.esp|000B2D</t>
  </si>
  <si>
    <t>dawnguard.esm|00D0C3</t>
  </si>
  <si>
    <t>Common Bow</t>
  </si>
  <si>
    <t>Arbalète d'étincelles</t>
  </si>
  <si>
    <t>skyrim.esm|013986</t>
  </si>
  <si>
    <t>dawnguard.esm|00D0CA</t>
  </si>
  <si>
    <t>Dague d'acier</t>
  </si>
  <si>
    <t>Arbalète d'incandescence</t>
  </si>
  <si>
    <t>skyrim.esm|013987</t>
  </si>
  <si>
    <t>dawnguard.esm|00D0CB</t>
  </si>
  <si>
    <t>Espadon d'acier</t>
  </si>
  <si>
    <t>Arbalète de brûlure</t>
  </si>
  <si>
    <t>skyrim.esm|013983</t>
  </si>
  <si>
    <t>dawnguard.esm|00D0C2</t>
  </si>
  <si>
    <t>Hache d'acier</t>
  </si>
  <si>
    <t>Arbalète de capture</t>
  </si>
  <si>
    <t>skyrim.esm|013984</t>
  </si>
  <si>
    <t>dawnguard.esm|00D0C4</t>
  </si>
  <si>
    <t>Hache d'armes d'acier</t>
  </si>
  <si>
    <t>Arbalète de décharge</t>
  </si>
  <si>
    <t>skyrim.esm|01398A</t>
  </si>
  <si>
    <t>dawnguard.esm|00D0CC</t>
  </si>
  <si>
    <t>Marteau d'acier</t>
  </si>
  <si>
    <t>Arbalète de flammes</t>
  </si>
  <si>
    <t>skyrim.esm|013988</t>
  </si>
  <si>
    <t>Masse d'acier</t>
  </si>
  <si>
    <t>dawnguard.esm|00D0C1</t>
  </si>
  <si>
    <t>Arbalète de piège</t>
  </si>
  <si>
    <t>sentinel - city guards.esp|0008E0</t>
  </si>
  <si>
    <t>Whiterun Sword</t>
  </si>
  <si>
    <t>dawnguard.esm|00D0C9</t>
  </si>
  <si>
    <t>Arbalète de réduction</t>
  </si>
  <si>
    <t>dawnguard.esm|00D0C6</t>
  </si>
  <si>
    <t>Arbalète de sape</t>
  </si>
  <si>
    <t>Epée d'argent</t>
  </si>
  <si>
    <t>dawnguard.esm|00D0C0</t>
  </si>
  <si>
    <t>Arbalète des âmes</t>
  </si>
  <si>
    <t>dawnguard.esm|00B647</t>
  </si>
  <si>
    <t>Arbalète dwemer</t>
  </si>
  <si>
    <t>dawnguard.esm|00F19F</t>
  </si>
  <si>
    <t>Arbalète dwemer améliorée</t>
  </si>
  <si>
    <t>dawnguard.esm|00D0D1</t>
  </si>
  <si>
    <t>Arbalète dwemer d'anathème</t>
  </si>
  <si>
    <t>dawnguard.esm|00D0D3</t>
  </si>
  <si>
    <t>Arbalète dwemer d'éclairs</t>
  </si>
  <si>
    <t>dawnguard.esm|00D0D7</t>
  </si>
  <si>
    <t>Arbalète dwemer d'immobilisation</t>
  </si>
  <si>
    <t>dawnguard.esm|00D0D6</t>
  </si>
  <si>
    <t>Arbalète dwemer d'inertie</t>
  </si>
  <si>
    <t>dawnguard.esm|00D0DD</t>
  </si>
  <si>
    <t>Arbalète dwemer de brasier</t>
  </si>
  <si>
    <t>dawnguard.esm|00D0D0</t>
  </si>
  <si>
    <t>Arbalète dwemer de capture</t>
  </si>
  <si>
    <t>dawnguard.esm|00D0DA</t>
  </si>
  <si>
    <t>Arbalète dwemer de débilitation</t>
  </si>
  <si>
    <t>dawnguard.esm|00D0D9</t>
  </si>
  <si>
    <t>Arbalète dwemer de dégradation</t>
  </si>
  <si>
    <t>dawnguard.esm|00D0DC</t>
  </si>
  <si>
    <t>Arbalète dwemer de flambée</t>
  </si>
  <si>
    <t>dawnguard.esm|00D0DB</t>
  </si>
  <si>
    <t>Arbalète dwemer de flammes</t>
  </si>
  <si>
    <t>dawnguard.esm|00D0D2</t>
  </si>
  <si>
    <t>Arbalète dwemer de malédiction</t>
  </si>
  <si>
    <t>dawnguard.esm|00D0D8</t>
  </si>
  <si>
    <t>Arbalète dwemer de réduction</t>
  </si>
  <si>
    <t>dawnguard.esm|00D0D5</t>
  </si>
  <si>
    <t>Arbalète dwemer de tempête</t>
  </si>
  <si>
    <t>dawnguard.esm|00D0D4</t>
  </si>
  <si>
    <t>Arbalète dwemer de tonnerre</t>
  </si>
  <si>
    <t>dawnguard.esm|00D0CF</t>
  </si>
  <si>
    <t>Arbalète dwemer sainte</t>
  </si>
  <si>
    <t>dawnguard.esm|00D0CE</t>
  </si>
  <si>
    <t>Arbalète dwemer sanctifiée</t>
  </si>
  <si>
    <t>dawnguard.esm|00D0CD</t>
  </si>
  <si>
    <t>Arbalète dwemer vertueuse</t>
  </si>
  <si>
    <t>dawnguard.esm|00D0BD</t>
  </si>
  <si>
    <t>Arbalète pieuse</t>
  </si>
  <si>
    <t>dawnguard.esm|00D0BF</t>
  </si>
  <si>
    <t>Arbalète vertueuse</t>
  </si>
  <si>
    <t>skyrim.esm|0CC392</t>
  </si>
  <si>
    <t>Arc d'Angi</t>
  </si>
  <si>
    <t>dawnguard.esm|000800</t>
  </si>
  <si>
    <t>Arc d'Auriel</t>
  </si>
  <si>
    <t>skyrim.esm|0139AD</t>
  </si>
  <si>
    <t>Arc d'ébonite</t>
  </si>
  <si>
    <t>skyrim.esm|0BF415</t>
  </si>
  <si>
    <t>Arc d'ébonite d'anathème</t>
  </si>
  <si>
    <t>skyrim.esm|0BF402</t>
  </si>
  <si>
    <t>Arc d'ébonite d'angoisse</t>
  </si>
  <si>
    <t>skyrim.esm|0BF401</t>
  </si>
  <si>
    <t>Arc d'ébonite d'annihilation</t>
  </si>
  <si>
    <t>skyrim.esm|0BF404</t>
  </si>
  <si>
    <t>Arc d'ébonite d'effroi</t>
  </si>
  <si>
    <t>skyrim.esm|0BF41A</t>
  </si>
  <si>
    <t>Arc d'ébonite d'épuisement</t>
  </si>
  <si>
    <t>skyrim.esm|0BF400</t>
  </si>
  <si>
    <t>Arc d'ébonite d'expulsion</t>
  </si>
  <si>
    <t>skyrim.esm|0BF410</t>
  </si>
  <si>
    <t>Arc d'ébonite d'immobilisation</t>
  </si>
  <si>
    <t>skyrim.esm|0BF407</t>
  </si>
  <si>
    <t>Arc d'ébonite d'incinération</t>
  </si>
  <si>
    <t>skyrim.esm|0BF40F</t>
  </si>
  <si>
    <t>Arc d'ébonite d'inertie</t>
  </si>
  <si>
    <t>skyrim.esm|0BF3FF</t>
  </si>
  <si>
    <t>Arc d'ébonite de bannissement</t>
  </si>
  <si>
    <t>skyrim.esm|0BF40A</t>
  </si>
  <si>
    <t>Arc d'ébonite de blizzard</t>
  </si>
  <si>
    <t>skyrim.esm|0BF406</t>
  </si>
  <si>
    <t>Arc d'ébonite de brasier</t>
  </si>
  <si>
    <t>skyrim.esm|0BF417</t>
  </si>
  <si>
    <t>Arc d'ébonite de damnation</t>
  </si>
  <si>
    <t>skyrim.esm|0BF40D</t>
  </si>
  <si>
    <t>Arc d'ébonite de débilitation</t>
  </si>
  <si>
    <t>skyrim.esm|0BF40C</t>
  </si>
  <si>
    <t>Arc d'ébonite de dégradation</t>
  </si>
  <si>
    <t>skyrim.esm|0BF405</t>
  </si>
  <si>
    <t>Arc d'ébonite de flambée</t>
  </si>
  <si>
    <t>skyrim.esm|0BF409</t>
  </si>
  <si>
    <t>Arc d'ébonite de frimas</t>
  </si>
  <si>
    <t>skyrim.esm|0BF414</t>
  </si>
  <si>
    <t>Arc d'ébonite de fulguration</t>
  </si>
  <si>
    <t>skyrim.esm|0BF40B</t>
  </si>
  <si>
    <t>Arc d'ébonite de glaciation</t>
  </si>
  <si>
    <t>skyrim.esm|0BF419</t>
  </si>
  <si>
    <t>Arc d'ébonite de léthargie</t>
  </si>
  <si>
    <t>skyrim.esm|0BF416</t>
  </si>
  <si>
    <t>Arc d'ébonite de malédiction</t>
  </si>
  <si>
    <t>skyrim.esm|0BF411</t>
  </si>
  <si>
    <t>Arc d'ébonite de pétrification</t>
  </si>
  <si>
    <t>skyrim.esm|0BF40E</t>
  </si>
  <si>
    <t>Arc d'ébonite de suppression</t>
  </si>
  <si>
    <t>skyrim.esm|0BF413</t>
  </si>
  <si>
    <t>Arc d'ébonite de tempête</t>
  </si>
  <si>
    <t>skyrim.esm|0BF403</t>
  </si>
  <si>
    <t>Arc d'ébonite de terreur</t>
  </si>
  <si>
    <t>skyrim.esm|0BF412</t>
  </si>
  <si>
    <t>Arc d'ébonite de tonnerre</t>
  </si>
  <si>
    <t>skyrim.esm|0BF418</t>
  </si>
  <si>
    <t>Arc d'ébonite de torpeur</t>
  </si>
  <si>
    <t>skyrim.esm|0BF41D</t>
  </si>
  <si>
    <t>Arc d'ébonite sacré</t>
  </si>
  <si>
    <t>skyrim.esm|0BF41C</t>
  </si>
  <si>
    <t>Arc d'ébonite saint</t>
  </si>
  <si>
    <t>skyrim.esm|0BF41B</t>
  </si>
  <si>
    <t>Arc d'ébonite sanctifié</t>
  </si>
  <si>
    <t>dawnguard.esm|0176F1</t>
  </si>
  <si>
    <t>Arc d'os de dragon</t>
  </si>
  <si>
    <t>skyrim.esm|0139B5</t>
  </si>
  <si>
    <t>Arc daedra</t>
  </si>
  <si>
    <t>skyrim.esm|01DFF3</t>
  </si>
  <si>
    <t>Arc daedra d'anathème</t>
  </si>
  <si>
    <t>skyrim.esm|01DFE1</t>
  </si>
  <si>
    <t>Arc daedra d'angoisse</t>
  </si>
  <si>
    <t>skyrim.esm|01DFE0</t>
  </si>
  <si>
    <t>Arc daedra d'annihilation</t>
  </si>
  <si>
    <t>skyrim.esm|01DFE3</t>
  </si>
  <si>
    <t>Arc daedra d'effroi</t>
  </si>
  <si>
    <t>skyrim.esm|01DFF9</t>
  </si>
  <si>
    <t>Arc daedra d'épuisement</t>
  </si>
  <si>
    <t>skyrim.esm|01DFDF</t>
  </si>
  <si>
    <t>Arc daedra d'expulsion</t>
  </si>
  <si>
    <t>skyrim.esm|01DFEE</t>
  </si>
  <si>
    <t>Arc daedra d'immobilisation</t>
  </si>
  <si>
    <t>skyrim.esm|01DFE6</t>
  </si>
  <si>
    <t>Arc daedra d'incinération</t>
  </si>
  <si>
    <t>skyrim.esm|01DFED</t>
  </si>
  <si>
    <t>Arc daedra d'inertie</t>
  </si>
  <si>
    <t>skyrim.esm|01DFDE</t>
  </si>
  <si>
    <t>Arc daedra de bannissement</t>
  </si>
  <si>
    <t>skyrim.esm|01DFE8</t>
  </si>
  <si>
    <t>Arc daedra de blizzard</t>
  </si>
  <si>
    <t>skyrim.esm|01DFE5</t>
  </si>
  <si>
    <t>Arc daedra de brasier</t>
  </si>
  <si>
    <t>skyrim.esm|01DFF5</t>
  </si>
  <si>
    <t>Arc daedra de damnation</t>
  </si>
  <si>
    <t>skyrim.esm|01DFEB</t>
  </si>
  <si>
    <t>Arc daedra de débilitation</t>
  </si>
  <si>
    <t>skyrim.esm|01DFEA</t>
  </si>
  <si>
    <t>Arc daedra de dégradation</t>
  </si>
  <si>
    <t>skyrim.esm|01DFE4</t>
  </si>
  <si>
    <t>Arc daedra de flambée</t>
  </si>
  <si>
    <t>skyrim.esm|01DFE7</t>
  </si>
  <si>
    <t>Arc daedra de frimas</t>
  </si>
  <si>
    <t>skyrim.esm|01DFF2</t>
  </si>
  <si>
    <t>Arc daedra de fulguration</t>
  </si>
  <si>
    <t>skyrim.esm|01DFE9</t>
  </si>
  <si>
    <t>Arc daedra de glaciation</t>
  </si>
  <si>
    <t>skyrim.esm|01DFF8</t>
  </si>
  <si>
    <t>Assermenté</t>
  </si>
  <si>
    <t>Arc daedra de léthargie</t>
  </si>
  <si>
    <t>ID événement</t>
  </si>
  <si>
    <t>skyrim.esm|01DFF4</t>
  </si>
  <si>
    <t>Date ISO</t>
  </si>
  <si>
    <t>Arc daedra de malédiction</t>
  </si>
  <si>
    <t>ID membre</t>
  </si>
  <si>
    <t>skyrim.esm|01DFEF</t>
  </si>
  <si>
    <t>Arc daedra de pétrification</t>
  </si>
  <si>
    <t>Changements JSON</t>
  </si>
  <si>
    <t>skyrim.esm|01DFEC</t>
  </si>
  <si>
    <t>Prénom</t>
  </si>
  <si>
    <t>État JSON</t>
  </si>
  <si>
    <t>Arc daedra de suppression</t>
  </si>
  <si>
    <t>Source</t>
  </si>
  <si>
    <t>19bb8717-fc55-43e7-aea0-a062215c33f0</t>
  </si>
  <si>
    <t>skyrim.esm|01DFF1</t>
  </si>
  <si>
    <t>2026-09-06T11:12:57.322Z</t>
  </si>
  <si>
    <t>Arc daedra de tempête</t>
  </si>
  <si>
    <t>initialisation</t>
  </si>
  <si>
    <t>Corps</t>
  </si>
  <si>
    <t>[]</t>
  </si>
  <si>
    <t>{}</t>
  </si>
  <si>
    <t>Détection</t>
  </si>
  <si>
    <t>skyrim.esm|01DFE2</t>
  </si>
  <si>
    <t>Spécialité</t>
  </si>
  <si>
    <t>aa2df3fa-8c22-4d03-9be7-b080f99c5e08</t>
  </si>
  <si>
    <t>Status</t>
  </si>
  <si>
    <t>Arc daedra de terreur</t>
  </si>
  <si>
    <t>d46f0957-73ed-4c3c-9135-84cc8f768643</t>
  </si>
  <si>
    <t>Métier</t>
  </si>
  <si>
    <t>reference</t>
  </si>
  <si>
    <t>Lazabard Jemelred</t>
  </si>
  <si>
    <t>skyrim.esm|01DFF0</t>
  </si>
  <si>
    <t>{"prenom":"Lazabard","nom":"Jemelred","grade":"Maréchal","corps":"Etat-Major","status":"En service actif"}</t>
  </si>
  <si>
    <t>Arc daedra de tonnerre</t>
  </si>
  <si>
    <t>2ed5527f-c150-41d4-8f5c-9c03d1a2dd5f</t>
  </si>
  <si>
    <t>skyrim.esm|01DFF7</t>
  </si>
  <si>
    <t>99c04539-4625-4073-b805-d47570970809</t>
  </si>
  <si>
    <t>Arc daedra de torpeur</t>
  </si>
  <si>
    <t>Filoki</t>
  </si>
  <si>
    <t>{"prenom":"Filoki","nom":"","grade":"Commander","corps":"Etat-Major","status":"En service actif"}</t>
  </si>
  <si>
    <t>skyrim.esm|01DFFC</t>
  </si>
  <si>
    <t>Arc daedra sacré</t>
  </si>
  <si>
    <t>19e80916-a210-4e2e-ab97-8cf999287642</t>
  </si>
  <si>
    <t>ae3bc537-6b70-4a20-bc22-394ed7a3ebed</t>
  </si>
  <si>
    <t>skyrim.esm|01DFFB</t>
  </si>
  <si>
    <t>Dagbara Gronez</t>
  </si>
  <si>
    <t>Arc daedra saint</t>
  </si>
  <si>
    <t>{"prenom":"Dagbara","nom":"Gronez","grade":"Major","corps":"Etat-Major","status":"Mis en réserve"}</t>
  </si>
  <si>
    <t>4143667e-dc10-4a67-a015-b16afd8734e6</t>
  </si>
  <si>
    <t>skyrim.esm|01DFFA</t>
  </si>
  <si>
    <t>066ffa57-32e1-4df1-b986-fecbc974f94f</t>
  </si>
  <si>
    <t>Arc daedra sanctifié</t>
  </si>
  <si>
    <t>Astrid Lame-Fine</t>
  </si>
  <si>
    <t>skyrim.esm|013985</t>
  </si>
  <si>
    <t>{"prenom":"Astrid","nom":"Lame-Fine","grade":"Capitaine","corps":"Cité de Blancherive","status":"En service actif"}</t>
  </si>
  <si>
    <t>Arc de chasse</t>
  </si>
  <si>
    <t>565fada4-80a6-4ad3-bd38-94e070a1e597</t>
  </si>
  <si>
    <t>skyrim.esm|0A7359</t>
  </si>
  <si>
    <t>Arc de chasse béni</t>
  </si>
  <si>
    <t>be4acc2e-1d02-4737-864e-ac54f1ff672a</t>
  </si>
  <si>
    <t>Glaemorandir Oeil-Perçant</t>
  </si>
  <si>
    <t>skyrim.esm|0A7357</t>
  </si>
  <si>
    <t>Arc de chasse d'abattement</t>
  </si>
  <si>
    <t>{"prenom":"Glaemorandir","nom":"Oeil-Perçant","grade":"Capitaine","corps":"Eclaireur","status":"En service actif"}</t>
  </si>
  <si>
    <t>skyrim.esm|0A734C</t>
  </si>
  <si>
    <t>bb66b8c2-baa8-4d51-b2e6-52e00440a67b</t>
  </si>
  <si>
    <t>Arc de chasse d'amenuisement</t>
  </si>
  <si>
    <t>d063b504-c415-4cfd-a859-953178822915</t>
  </si>
  <si>
    <t>skyrim.esm|0A7352</t>
  </si>
  <si>
    <t>Arc de chasse d'anima</t>
  </si>
  <si>
    <t>Edward Winters</t>
  </si>
  <si>
    <t>{"prenom":"Edward","nom":"Winters","grade":"Capitaine","corps":"Cité de Blancherive","status":"Mis en réserve"}</t>
  </si>
  <si>
    <t>skyrim.esm|0A7351</t>
  </si>
  <si>
    <t>Arc de chasse d'éclairs</t>
  </si>
  <si>
    <t>905ad0a4-0911-410d-93be-6ec287e4c167</t>
  </si>
  <si>
    <t>skyrim.esm|0A734F</t>
  </si>
  <si>
    <t>b2cf2258-4446-43c9-b850-e157c81f93fc</t>
  </si>
  <si>
    <t>Arc de chasse d'étincelles</t>
  </si>
  <si>
    <t>Kah-Shir Sombre Griffe</t>
  </si>
  <si>
    <t>skyrim.esm|09CAF3</t>
  </si>
  <si>
    <t>{"prenom":"Kah-Shir","nom":"Sombre Griffe","grade":"Capitaine","corps":"Faubourgs de Blancherive","status":"En service actif"}</t>
  </si>
  <si>
    <t>Arc de chasse d'incandescence</t>
  </si>
  <si>
    <t>95f772ea-a38a-4e0a-88de-8d0c4dc93b7c</t>
  </si>
  <si>
    <t>skyrim.esm|0A7345</t>
  </si>
  <si>
    <t>Arc de chasse d'intimidation</t>
  </si>
  <si>
    <t>f89b63e9-4f33-4f63-9666-0289c90a22e1</t>
  </si>
  <si>
    <t>Clemnir Arc-Vif</t>
  </si>
  <si>
    <t>skyrim.esm|0A7343</t>
  </si>
  <si>
    <t>Arc de chasse de brûlure</t>
  </si>
  <si>
    <t>{"prenom":"Clemnir","nom":"Arc-Vif","grade":"Capitaine","corps":"Eclaireur","status":"Mort en service actif"}</t>
  </si>
  <si>
    <t>skyrim.esm|0A7344</t>
  </si>
  <si>
    <t>a104fd1d-7aed-44c6-87d8-5bf6ba4ad457</t>
  </si>
  <si>
    <t>3f7cf32c-5eda-447f-b5e1-9bd0d6fb6940</t>
  </si>
  <si>
    <t>skyrim.esm|0A7354</t>
  </si>
  <si>
    <t>Sigurd Grisetoison</t>
  </si>
  <si>
    <t>Arc de chasse de capture</t>
  </si>
  <si>
    <t>{"prenom":"Sigurd","nom":"Grisetoison","grade":"Capitaine","corps":"Rivebois","status":"Déserteur"}</t>
  </si>
  <si>
    <t>skyrim.esm|0A7347</t>
  </si>
  <si>
    <t>Arc de chasse de crainte</t>
  </si>
  <si>
    <t>6f840cc7-dbf1-47f6-9352-577524625103</t>
  </si>
  <si>
    <t>9bd100c0-2019-43c5-807d-bcc8a177174d</t>
  </si>
  <si>
    <t>skyrim.esm|0A7350</t>
  </si>
  <si>
    <t>Arc de chasse de décharge</t>
  </si>
  <si>
    <t>Hastelvin</t>
  </si>
  <si>
    <t>skyrim.esm|0A7355</t>
  </si>
  <si>
    <t>Arc de chasse de fatigue</t>
  </si>
  <si>
    <t>{"prenom":"Hastelvin","nom":"","grade":"Capitaine","corps":"Cap Granite","status":"En service actif"}</t>
  </si>
  <si>
    <t>skyrim.esm|0A7348</t>
  </si>
  <si>
    <t>Arc de chasse de frisson</t>
  </si>
  <si>
    <t>skyrim.esm|0A734A</t>
  </si>
  <si>
    <t>Arc de chasse de givre</t>
  </si>
  <si>
    <t>a9c65bcf-cd83-4972-9944-3a547412c790</t>
  </si>
  <si>
    <t>skyrim.esm|0A7349</t>
  </si>
  <si>
    <t>e194b9d1-cea0-4e22-b10f-e7dee3aec987</t>
  </si>
  <si>
    <t>Arc de chasse de glace</t>
  </si>
  <si>
    <t>Ulfar</t>
  </si>
  <si>
    <t>skyrim.esm|0A7356</t>
  </si>
  <si>
    <t>Arc de chasse de lassitude</t>
  </si>
  <si>
    <t>{"prenom":"Ulfar","nom":"","grade":"Major","corps":"Etat-Major","status":"En service actif"}</t>
  </si>
  <si>
    <t>skyrim.esm|0A7353</t>
  </si>
  <si>
    <t>b40e1512-e0d1-4e1f-9cc2-efe4087cfc7f</t>
  </si>
  <si>
    <t>Arc de chasse de piège</t>
  </si>
  <si>
    <t>3ff8c6c7-e0ec-44d3-9d43-062229456eeb</t>
  </si>
  <si>
    <t>Lazabard</t>
  </si>
  <si>
    <t>skyrim.esm|0A734D</t>
  </si>
  <si>
    <t>Ronin</t>
  </si>
  <si>
    <t>Arc de chasse de réduction</t>
  </si>
  <si>
    <t>{"prenom":"Ronin","nom":"","grade":"Lieutenant","corps":"Cité de Blancherive","status":"En service actif"}</t>
  </si>
  <si>
    <t>Jemelred</t>
  </si>
  <si>
    <t>skyrim.esm|0A734B</t>
  </si>
  <si>
    <t>607df4a5-cb18-4ece-b992-d2c3e7204fa0</t>
  </si>
  <si>
    <t>Arc de chasse de sape</t>
  </si>
  <si>
    <t>bd991a26-51dd-4828-934e-6491f8612420</t>
  </si>
  <si>
    <t>skyrim.esm|0A7346</t>
  </si>
  <si>
    <t>Thorin Rivegel</t>
  </si>
  <si>
    <t>Arc de chasse de veulerie</t>
  </si>
  <si>
    <t>{"prenom":"Thorin","nom":"Rivegel","grade":"Lieutenant","corps":"Cité de Blancherive","status":"En service actif"}</t>
  </si>
  <si>
    <t>skyrim.esm|0A7358</t>
  </si>
  <si>
    <t>Arc de chasse pieux</t>
  </si>
  <si>
    <t>48cb608f-53b0-4795-8de8-d334cbcb67cb</t>
  </si>
  <si>
    <t>3337fcb2-cdd2-425e-9899-3efe84a5bf31</t>
  </si>
  <si>
    <t>skyrim.esm|0A735A</t>
  </si>
  <si>
    <t>Arc de chasse vertueux</t>
  </si>
  <si>
    <t>Gisbern Isenbjorn</t>
  </si>
  <si>
    <t>{"prenom":"Gisbern","nom":"Isenbjorn","grade":"Lieutenant-Chef","corps":"Cité de Blancherive","status":"En service actif"}</t>
  </si>
  <si>
    <t>skyrim.esm|06B9AD</t>
  </si>
  <si>
    <t>Arc de Dravin</t>
  </si>
  <si>
    <t>0797a976-8543-4f83-8e06-700c19bbd2bb</t>
  </si>
  <si>
    <t>Etat-Major</t>
  </si>
  <si>
    <t>skyrim.esm|0C0186</t>
  </si>
  <si>
    <t>7f06b07a-819f-460f-b37b-0874f474bd94</t>
  </si>
  <si>
    <t>Arc de Froki</t>
  </si>
  <si>
    <t>Rorik Marche-Hiver</t>
  </si>
  <si>
    <t>{"prenom":"Rorik","nom":"Marche-Hiver","grade":"Sergent-Chef","corps":"Cité de Blancherive","status":"En service actif"}</t>
  </si>
  <si>
    <t>skyrim.esm|0CEE9B</t>
  </si>
  <si>
    <t>Arc de Parjure</t>
  </si>
  <si>
    <t>00ece072-d125-4633-aae1-b560116482a6</t>
  </si>
  <si>
    <t>skyrim.esm|07E5C3</t>
  </si>
  <si>
    <t>Arc de Rossignol</t>
  </si>
  <si>
    <t>387160c7-839d-4249-b44d-61ae80f8aad4</t>
  </si>
  <si>
    <t>Erwan</t>
  </si>
  <si>
    <t>skyrim.esm|0F6529</t>
  </si>
  <si>
    <t>Garde, Collecteur de la garde</t>
  </si>
  <si>
    <t>skyrim.esm|0F652A</t>
  </si>
  <si>
    <t>{"prenom":"Erwan","nom":"","grade":"Sergent-Chef","corps":"Cité de Blancherive","status":"En service actif"}</t>
  </si>
  <si>
    <t>bcb8c3b0-9035-4bd3-9316-70a2ef5f124b</t>
  </si>
  <si>
    <t>skyrim.esm|0F652B</t>
  </si>
  <si>
    <t>90d91845-36aa-44bd-ab58-cfc0dba6f40a</t>
  </si>
  <si>
    <t>Daric</t>
  </si>
  <si>
    <t>skyrim.esm|0F652C</t>
  </si>
  <si>
    <t>Semaine</t>
  </si>
  <si>
    <t>{"prenom":"Daric","nom":"","grade":"Lieutenant","corps":"Rivebois","status":"En service actif"}</t>
  </si>
  <si>
    <t>dragonborn.esm|028489</t>
  </si>
  <si>
    <t>062456ab-c22f-4616-ba60-daecb3206155</t>
  </si>
  <si>
    <t>Corps de garde</t>
  </si>
  <si>
    <t>Arc de stalhrim d'anathème</t>
  </si>
  <si>
    <t>44162c0c-aec1-4836-bcd0-538e837f915b</t>
  </si>
  <si>
    <t>Ilflynn</t>
  </si>
  <si>
    <t>dragonborn.esm|02849B</t>
  </si>
  <si>
    <t>Arc de stalhrim d'angoisse</t>
  </si>
  <si>
    <t>{"prenom":"Ilflynn","nom":"","grade":"Caporal-Chef","corps":"Cité de Blancherive","status":"En service actif"}</t>
  </si>
  <si>
    <t>En service actif</t>
  </si>
  <si>
    <t>dragonborn.esm|02849C</t>
  </si>
  <si>
    <t>c0844513-ba6e-45ae-8a11-0b17a1640229</t>
  </si>
  <si>
    <t>Arc de stalhrim d'annihilation</t>
  </si>
  <si>
    <t>8a386dc7-8b4c-4075-add4-d6bdb563f82c</t>
  </si>
  <si>
    <t>Lun</t>
  </si>
  <si>
    <t>dragonborn.esm|028499</t>
  </si>
  <si>
    <t>Magnar Traquebrume</t>
  </si>
  <si>
    <t>Arc de stalhrim d'effroi</t>
  </si>
  <si>
    <t>Mar</t>
  </si>
  <si>
    <t>{"prenom":"Magnar","nom":"Traquebrume","grade":"Sergent-Chef","corps":"Eclaireur","status":"En service actif"}</t>
  </si>
  <si>
    <t>Mer</t>
  </si>
  <si>
    <t>dragonborn.esm|028484</t>
  </si>
  <si>
    <t>5bf9b0b8-20e8-48d7-9453-dd04c3fbf25e</t>
  </si>
  <si>
    <t>Arc de stalhrim d'épuisement</t>
  </si>
  <si>
    <t>Jeu</t>
  </si>
  <si>
    <t>089e2535-16b8-4f30-b745-f4e8247bb3dc</t>
  </si>
  <si>
    <t>Ven</t>
  </si>
  <si>
    <t>dragonborn.esm|02849D</t>
  </si>
  <si>
    <t>Pethiceor Le Borgne</t>
  </si>
  <si>
    <t>Sam</t>
  </si>
  <si>
    <t>Arc de stalhrim d'expulsion</t>
  </si>
  <si>
    <t>Dim</t>
  </si>
  <si>
    <t>{"prenom":"Pethiceor","nom":"Le Borgne","grade":"Garde","corps":"Eclaireur","status":"Mis en réserve"}</t>
  </si>
  <si>
    <t>dragonborn.esm|02848E</t>
  </si>
  <si>
    <t>Jours présents</t>
  </si>
  <si>
    <t>974c62ad-b143-45f4-9a4e-a687011cc0e0</t>
  </si>
  <si>
    <t>Arc de stalhrim d'immobilisation</t>
  </si>
  <si>
    <t>b4583989-fdc0-4056-a9c3-05a4acb3c5dd</t>
  </si>
  <si>
    <t>dragonborn.esm|02848F</t>
  </si>
  <si>
    <t>Solde</t>
  </si>
  <si>
    <t>Laureen Toison-de-Sang</t>
  </si>
  <si>
    <t>Arc de stalhrim d'inertie</t>
  </si>
  <si>
    <t>{"prenom":"Laureen","nom":"Toison-de-Sang","grade":"Garde","corps":"Eclaireur","status":"En service actif"}</t>
  </si>
  <si>
    <t>dragonborn.esm|02849E</t>
  </si>
  <si>
    <t>Payé</t>
  </si>
  <si>
    <t>Arc de stalhrim de bannissement</t>
  </si>
  <si>
    <t>3e2658a1-fbf8-411d-b29c-335b280ae1fa</t>
  </si>
  <si>
    <t>c03971ee-4407-406e-adb5-e6060c104fda</t>
  </si>
  <si>
    <t>dragonborn.esm|028494</t>
  </si>
  <si>
    <t>Arc de stalhrim de blizzard</t>
  </si>
  <si>
    <t>Ma'arl</t>
  </si>
  <si>
    <t>{"prenom":"Ma'arl","nom":"","grade":"Cadet","corps":"Eclaireur","status":"En service actif"}</t>
  </si>
  <si>
    <t>dragonborn.esm|028497</t>
  </si>
  <si>
    <t>Arc de stalhrim de chaos extrême</t>
  </si>
  <si>
    <t>638bb143-1b48-43cc-b6cb-6123adef82d5</t>
  </si>
  <si>
    <t>Cap Granite</t>
  </si>
  <si>
    <t>dragonborn.esm|028496</t>
  </si>
  <si>
    <t>Arc de stalhrim de chaos ultime</t>
  </si>
  <si>
    <t>0edc5da4-f3d8-466c-9551-4a086cf04e6a</t>
  </si>
  <si>
    <t>Bakhir</t>
  </si>
  <si>
    <t>Andor Viraes</t>
  </si>
  <si>
    <t>dragonborn.esm|028487</t>
  </si>
  <si>
    <t>{"prenom":"Andor","nom":"Viraes","grade":"Garde","corps":"Cité de Blancherive","status":"Mis en réserve"}</t>
  </si>
  <si>
    <t>Arc de stalhrim de damnation</t>
  </si>
  <si>
    <t>8a1c0442-849e-4f64-8019-b7e274e7f200</t>
  </si>
  <si>
    <t>dragonborn.esm|028491</t>
  </si>
  <si>
    <t>Arc de stalhrim de débilitation</t>
  </si>
  <si>
    <t>e46cd881-a491-4ea4-9a64-da434a735c58</t>
  </si>
  <si>
    <t>Astrild</t>
  </si>
  <si>
    <t>dragonborn.esm|028492</t>
  </si>
  <si>
    <t>Arc de stalhrim de dégradation</t>
  </si>
  <si>
    <t>{"prenom":"Astrild","nom":"","grade":"Sergent-Chef","corps":"Faubourgs de Blancherive","status":"En service actif"}</t>
  </si>
  <si>
    <t>dragonborn.esm|028495</t>
  </si>
  <si>
    <t>Dagbara</t>
  </si>
  <si>
    <t>Arc de stalhrim de frimas</t>
  </si>
  <si>
    <t>79589b65-2e29-41d1-b6da-bee616190bc1</t>
  </si>
  <si>
    <t>Gronez</t>
  </si>
  <si>
    <t>b7594f74-7299-4d5c-a0df-29b71c5c2ae0</t>
  </si>
  <si>
    <t>dragonborn.esm|02848A</t>
  </si>
  <si>
    <t>Arc de stalhrim de fulguration</t>
  </si>
  <si>
    <t>Athlan</t>
  </si>
  <si>
    <t>{"prenom":"Athlan","nom":"","grade":"Caporal","corps":"Rivebois","status":"En service actif"}</t>
  </si>
  <si>
    <t>dragonborn.esm|028493</t>
  </si>
  <si>
    <t>Arc de stalhrim de glaciation</t>
  </si>
  <si>
    <t>81070ccd-109a-4350-8c03-b421e1713186</t>
  </si>
  <si>
    <t>Mis en réserve</t>
  </si>
  <si>
    <t>dragonborn.esm|028485</t>
  </si>
  <si>
    <t>d7cf260e-6fc9-4f55-b7a0-872095e1d48a</t>
  </si>
  <si>
    <t>Arc de stalhrim de léthargie</t>
  </si>
  <si>
    <t>Encore-Un-Espoir</t>
  </si>
  <si>
    <t>dragonborn.esm|028488</t>
  </si>
  <si>
    <t>{"prenom":"Encore-Un-Espoir","nom":"","grade":"Lieutenant","corps":"Cité de Blancherive","status":"En service actif"}</t>
  </si>
  <si>
    <t>Arc de stalhrim de malédiction</t>
  </si>
  <si>
    <t>c2394eb4-8819-4a4a-8b7a-e3511e79dfdf</t>
  </si>
  <si>
    <t>dragonborn.esm|02848D</t>
  </si>
  <si>
    <t>Arc de stalhrim de pétrification</t>
  </si>
  <si>
    <t>b1fdb1fa-73a3-4be9-8167-fe80c5c9e26a</t>
  </si>
  <si>
    <t>Al'Dran</t>
  </si>
  <si>
    <t>Astrid</t>
  </si>
  <si>
    <t>dragonborn.esm|028498</t>
  </si>
  <si>
    <t>Lame-Fine</t>
  </si>
  <si>
    <t>{"prenom":"Al'Dran","nom":"","grade":"Garde","corps":"Cité de Blancherive","status":"En service actif"}</t>
  </si>
  <si>
    <t>Arc de stalhrim de profond chaos</t>
  </si>
  <si>
    <t>d884c898-7399-4b8a-94cf-1ddf7a0208a1</t>
  </si>
  <si>
    <t>Cité de Blancherive</t>
  </si>
  <si>
    <t>dragonborn.esm|028490</t>
  </si>
  <si>
    <t>Arc de stalhrim de suppression</t>
  </si>
  <si>
    <t>2792c1dd-ac31-415d-b9fc-17fbd08549ee</t>
  </si>
  <si>
    <t>Kendall Delamare</t>
  </si>
  <si>
    <t>dragonborn.esm|02848B</t>
  </si>
  <si>
    <t>{"prenom":"Kendall","nom":"Delamare","grade":"Garde","corps":"Cité de Blancherive","status":"En service actif"}</t>
  </si>
  <si>
    <t>Chasseur</t>
  </si>
  <si>
    <t>46254a04-0bc7-4900-9c14-9eea761f6818</t>
  </si>
  <si>
    <t>Arc de stalhrim de tempête</t>
  </si>
  <si>
    <t>f62f8cc2-8070-4dc2-8416-6edea1971841</t>
  </si>
  <si>
    <t>dragonborn.esm|02849A</t>
  </si>
  <si>
    <t>Arc de stalhrim de terreur</t>
  </si>
  <si>
    <t>Léonce Réve-épine</t>
  </si>
  <si>
    <t>{"prenom":"Léonce","nom":"Réve-épine","grade":"Garde","corps":"Faubourgs de Blancherive","status":"En service actif"}</t>
  </si>
  <si>
    <t>dragonborn.esm|02848C</t>
  </si>
  <si>
    <t>Arc de stalhrim de tonnerre</t>
  </si>
  <si>
    <t>e034d7ac-f7a9-410e-b28a-5576dc9e2c46</t>
  </si>
  <si>
    <t>Glaemorandir</t>
  </si>
  <si>
    <t>dragonborn.esm|028486</t>
  </si>
  <si>
    <t>Oeil-Perçant</t>
  </si>
  <si>
    <t>91e4da48-8791-43fe-8ff4-5b0ffe3453b4</t>
  </si>
  <si>
    <t>Arc de stalhrim de torpeur</t>
  </si>
  <si>
    <t>Kronk Grognon</t>
  </si>
  <si>
    <t>Eclaireur</t>
  </si>
  <si>
    <t>dragonborn.esm|028481</t>
  </si>
  <si>
    <t>Arc de stalhrim sacré</t>
  </si>
  <si>
    <t>{"prenom":"Kronk","nom":"Grognon","grade":"Garde","corps":"Hird du Jarl","status":"En service actif"}</t>
  </si>
  <si>
    <t>Eclaireur, Garde, Collecteur de la garde</t>
  </si>
  <si>
    <t>dragonborn.esm|028482</t>
  </si>
  <si>
    <t>d6401651-cd05-42c7-9d89-13f4e50e56da</t>
  </si>
  <si>
    <t>Arc de stalhrim saint</t>
  </si>
  <si>
    <t>16f4937d-03da-4800-b9f3-dfec048f76f5</t>
  </si>
  <si>
    <t>dragonborn.esm|028483</t>
  </si>
  <si>
    <t>Arc de stalhrim sanctifié</t>
  </si>
  <si>
    <t>Gronk Grognon</t>
  </si>
  <si>
    <t>{"prenom":"Gronk","nom":"Grognon","grade":"Garde","corps":"Hird du Jarl","status":"En service actif"}</t>
  </si>
  <si>
    <t>skyrim.esm|0139A5</t>
  </si>
  <si>
    <t>Arc de verre</t>
  </si>
  <si>
    <t>b066eb62-2be7-420b-bca8-0dcfb6123145</t>
  </si>
  <si>
    <t>4cd4fcb0-0b5f-4cf0-8d04-5d7df12211f3</t>
  </si>
  <si>
    <t>skyrim.esm|0BEEE1</t>
  </si>
  <si>
    <t>Arc de verre d'abattement</t>
  </si>
  <si>
    <t>Edward</t>
  </si>
  <si>
    <t>S'Khar</t>
  </si>
  <si>
    <t>Winters</t>
  </si>
  <si>
    <t>{"prenom":"S'Khar","nom":"","grade":"Garde","corps":"Hird du Jarl","status":"En service actif"}</t>
  </si>
  <si>
    <t>skyrim.esm|0BEEDF</t>
  </si>
  <si>
    <t>Arc de verre d'anathème</t>
  </si>
  <si>
    <t>d828aae0-98e7-4385-89ae-c466188692c3</t>
  </si>
  <si>
    <t>skyrim.esm|0BEECE</t>
  </si>
  <si>
    <t>Hird</t>
  </si>
  <si>
    <t>423e12c6-ff0e-4b0c-aa09-b1edab69bb1d</t>
  </si>
  <si>
    <t>Arc de verre d'angoisse</t>
  </si>
  <si>
    <t>Do'Rhazir</t>
  </si>
  <si>
    <t>skyrim.esm|0BEEDB</t>
  </si>
  <si>
    <t>{"prenom":"Do'Rhazir","nom":"","grade":"Cadet","corps":"Eclaireur","status":"En service actif"}</t>
  </si>
  <si>
    <t>Arc de verre d'éclairs</t>
  </si>
  <si>
    <t>bf2554ba-89d0-4de9-9d5f-4e165d8b9678</t>
  </si>
  <si>
    <t>skyrim.esm|0BEECC</t>
  </si>
  <si>
    <t>871d3680-6678-4e2f-b020-f57f61b8f3fa</t>
  </si>
  <si>
    <t>Arc de verre d'expulsion</t>
  </si>
  <si>
    <t>Eldrim Hache-Grise</t>
  </si>
  <si>
    <t>{"prenom":"Eldrim","nom":"Hache-Grise","grade":"Cadet","corps":"Cité de Blancherive","status":"Mis en réserve"}</t>
  </si>
  <si>
    <t>skyrim.esm|0BEEDA</t>
  </si>
  <si>
    <t>Arc de verre d'immobilisation</t>
  </si>
  <si>
    <t>Kah-Shir</t>
  </si>
  <si>
    <t>3943e8f6-99e4-4514-94d6-e30841ee2c1b</t>
  </si>
  <si>
    <t>Sombre Griffe</t>
  </si>
  <si>
    <t>skyrim.esm|0BEED9</t>
  </si>
  <si>
    <t>d2280313-4392-40e5-9b5b-0fbe1cc78ee8</t>
  </si>
  <si>
    <t>Arc de verre d'inertie</t>
  </si>
  <si>
    <t>Faubourgs de Blancherive</t>
  </si>
  <si>
    <t>Ro'minet</t>
  </si>
  <si>
    <t>{"prenom":"Ro'minet","nom":"","grade":"Recrue","corps":"Cité de Blancherive","status":"Radié du service actif"}</t>
  </si>
  <si>
    <t>skyrim.esm|0BEECB</t>
  </si>
  <si>
    <t>Arc de verre de bannissement</t>
  </si>
  <si>
    <t>Radié du service actif</t>
  </si>
  <si>
    <t>d547b80f-08f0-45d4-9cf9-a84a3e5dd9bd</t>
  </si>
  <si>
    <t>33cfe266-c918-4bde-b0d1-d4b850aa6e55</t>
  </si>
  <si>
    <t>skyrim.esm|0BEED5</t>
  </si>
  <si>
    <t>Arc de verre de blizzard</t>
  </si>
  <si>
    <t>Bjorn Kornseen</t>
  </si>
  <si>
    <t>{"prenom":"Bjorn","nom":"Kornseen","grade":"Garde","corps":"Cité de Blancherive","status":"En service actif"}</t>
  </si>
  <si>
    <t>skyrim.esm|0BEED2</t>
  </si>
  <si>
    <t>Clemnir</t>
  </si>
  <si>
    <t>Arc de verre de brasier</t>
  </si>
  <si>
    <t>Arc-Vif</t>
  </si>
  <si>
    <t>skyrim.esm|0BEEDE</t>
  </si>
  <si>
    <t>Arc de verre de capture</t>
  </si>
  <si>
    <t>skyrim.esm|0BEECD</t>
  </si>
  <si>
    <t>Arc de verre de crainte</t>
  </si>
  <si>
    <t>skyrim.esm|0BEED8</t>
  </si>
  <si>
    <t>Arc de verre de débilitation</t>
  </si>
  <si>
    <t>5dd0fd08-d7ec-40ed-a321-9483616f36d4</t>
  </si>
  <si>
    <t>762a804c-ab03-4d62-8faf-f0c4431f891a</t>
  </si>
  <si>
    <t>skyrim.esm|0BEED7</t>
  </si>
  <si>
    <t>Arc de verre de dégradation</t>
  </si>
  <si>
    <t>Wulfgar Durrock</t>
  </si>
  <si>
    <t>Mort en service actif</t>
  </si>
  <si>
    <t>{"prenom":"Wulfgar","nom":"Durrock","grade":"Garde","corps":"Cité de Blancherive","status":"En service actif"}</t>
  </si>
  <si>
    <t>skyrim.esm|0BEED1</t>
  </si>
  <si>
    <t>Arc de verre de flambée</t>
  </si>
  <si>
    <t>796df56f-dec6-4e9c-99b2-9e49bcfd7caf</t>
  </si>
  <si>
    <t>skyrim.esm|0BEED0</t>
  </si>
  <si>
    <t>Arc de verre de flammes</t>
  </si>
  <si>
    <t>3c461949-7a70-483a-a9b4-47977284876c</t>
  </si>
  <si>
    <t>Lyosha Sullapierre</t>
  </si>
  <si>
    <t>skyrim.esm|0BEED4</t>
  </si>
  <si>
    <t>Arc de verre de frimas</t>
  </si>
  <si>
    <t>{"prenom":"Lyosha","nom":"Sullapierre","grade":"Garde","corps":"Cité de Blancherive","status":"Mis en réserve"}</t>
  </si>
  <si>
    <t>Barnabas</t>
  </si>
  <si>
    <t>skyrim.esm|0BEED3</t>
  </si>
  <si>
    <t>49960188-a59f-4519-8a60-1676afad6163</t>
  </si>
  <si>
    <t>Arc de verre de givre</t>
  </si>
  <si>
    <t>c4151012-867f-4255-9483-8157805efc88</t>
  </si>
  <si>
    <t>Sigurd</t>
  </si>
  <si>
    <t>skyrim.esm|0BEEE3</t>
  </si>
  <si>
    <t>Grisetoison</t>
  </si>
  <si>
    <t>Brandon Alprazz</t>
  </si>
  <si>
    <t>Arc de verre de léthargie</t>
  </si>
  <si>
    <t>Rivebois</t>
  </si>
  <si>
    <t>Tharmr</t>
  </si>
  <si>
    <t>{"prenom":"Brandon","nom":"Alprazz","grade":"Garde","corps":"Cité de Blancherive","status":"Mis en réserve"}</t>
  </si>
  <si>
    <t>skyrim.esm|0BEEE0</t>
  </si>
  <si>
    <t>Arc de verre de malédiction</t>
  </si>
  <si>
    <t>373231aa-520e-4f46-b643-04bfe333e291</t>
  </si>
  <si>
    <t>skyrim.esm|0BEED6</t>
  </si>
  <si>
    <t>Déserteur</t>
  </si>
  <si>
    <t>b3abe128-af40-4a15-9a7c-8cdcc8994d2b</t>
  </si>
  <si>
    <t>Arc de verre de réduction</t>
  </si>
  <si>
    <t>Aldric Cendre-coeur</t>
  </si>
  <si>
    <t>skyrim.esm|0BEEDD</t>
  </si>
  <si>
    <t>{"prenom":"Aldric","nom":"Cendre-coeur","grade":"Recrue","corps":"Cité de Blancherive","status":"En service actif"}</t>
  </si>
  <si>
    <t>Arc de verre de tempête</t>
  </si>
  <si>
    <t>447a8a47-ad79-44ec-aef3-92bb6ce09d3e</t>
  </si>
  <si>
    <t>skyrim.esm|0BEECF</t>
  </si>
  <si>
    <t>Arc de verre de terreur</t>
  </si>
  <si>
    <t>2452efb3-8cb1-4a39-ad9e-073d0e29b787</t>
  </si>
  <si>
    <t>Il-draz De Chasse-au-bois</t>
  </si>
  <si>
    <t>skyrim.esm|0BEEDC</t>
  </si>
  <si>
    <t>Arc de verre de tonnerre</t>
  </si>
  <si>
    <t>{"prenom":"Il-draz","nom":"De Chasse-au-bois","grade":"Lieutenant-Chef","corps":"Faubourgs de Blancherive","status":"En service actif"}</t>
  </si>
  <si>
    <t>skyrim.esm|0BEEE2</t>
  </si>
  <si>
    <t>Arc de verre de torpeur</t>
  </si>
  <si>
    <t>0e733c5c-6369-4856-ac40-07ae79d148ff</t>
  </si>
  <si>
    <t>0badcd94-1448-431c-b18e-9dcb012cc107</t>
  </si>
  <si>
    <t>dragonborn.esm|018ED5</t>
  </si>
  <si>
    <t>Démissionnaire</t>
  </si>
  <si>
    <t>Arc de verre du Prince des cerfs</t>
  </si>
  <si>
    <t>Gorvin Le-Moite</t>
  </si>
  <si>
    <t>skyrim.esm|0BEEE6</t>
  </si>
  <si>
    <t>{"prenom":"Gorvin","nom":"Le-Moite","grade":"Lieutenant","corps":"Faubourgs de Blancherive","status":"En service actif"}</t>
  </si>
  <si>
    <t>Arc de verre saint</t>
  </si>
  <si>
    <t>N'ajoutez jamais de ligne sur cette feuille. Si l'effectif a été modifié dans la page Effectifs, lancez le script "regenererSemaineCourante" pour ajouter les entrées manquantes ou changés tout en conservant les données précédentes.</t>
  </si>
  <si>
    <t>f51c524d-7690-412b-847d-b0cab7bfe3f8</t>
  </si>
  <si>
    <t>10f63f95-8b1b-4def-bf62-63350d615c0a</t>
  </si>
  <si>
    <t>skyrim.esm|0BEEE5</t>
  </si>
  <si>
    <t>Smaug</t>
  </si>
  <si>
    <t>Arc de verre sanctifié</t>
  </si>
  <si>
    <t>{"prenom":"Smaug","nom":"","grade":"Garde","corps":"Faubourgs de Blancherive","status":"En service actif"}</t>
  </si>
  <si>
    <t>skyrim.esm|0BEEE4</t>
  </si>
  <si>
    <t>2009ce1c-76ea-4322-b9ca-61318b47e6be</t>
  </si>
  <si>
    <t>Arc de verre vertueux</t>
  </si>
  <si>
    <t>c3f9c322-f7c3-428b-a5fd-fe458e11f2ee</t>
  </si>
  <si>
    <t>skyrim.esm|0F82FC</t>
  </si>
  <si>
    <t>Arc de Vole-sort</t>
  </si>
  <si>
    <t>Njalda</t>
  </si>
  <si>
    <t>{"prenom":"Njalda","nom":"","grade":"Garde","corps":"Faubourgs de Blancherive","status":"En service actif"}</t>
  </si>
  <si>
    <t>skyrim.esm|0AB705</t>
  </si>
  <si>
    <t>Arc du chasseur</t>
  </si>
  <si>
    <t>Drakgor</t>
  </si>
  <si>
    <t>949f0df8-6206-4df3-84b1-f56240c0b42c</t>
  </si>
  <si>
    <t>gro-Drakar</t>
  </si>
  <si>
    <t>81c0e6b0-622b-46a0-aa0c-4a5b5402c3c9</t>
  </si>
  <si>
    <t>skyrim.esm|013995</t>
  </si>
  <si>
    <t>Darina</t>
  </si>
  <si>
    <t>Arc dwemer</t>
  </si>
  <si>
    <t>{"prenom":"Darina","nom":"","grade":"Garde","corps":"Faubourgs de Blancherive","status":"En service actif"}</t>
  </si>
  <si>
    <t>skyrim.esm|0ACB92</t>
  </si>
  <si>
    <t>Arc dwemer béni</t>
  </si>
  <si>
    <t>1837cd42-412a-4dac-a791-8284dc474d33</t>
  </si>
  <si>
    <t>08bf8ece-aaf0-4c1e-9752-c9727c1f725f</t>
  </si>
  <si>
    <t>skyrim.esm|0ACB8F</t>
  </si>
  <si>
    <t>Arc dwemer d'abattement</t>
  </si>
  <si>
    <t>Jeebam-dee</t>
  </si>
  <si>
    <t>Guerrier</t>
  </si>
  <si>
    <t>{"prenom":"Jeebam-dee","nom":"","grade":"Sergent","corps":"Faubourgs de Blancherive","status":"En service actif"}</t>
  </si>
  <si>
    <t>skyrim.esm|0ACB85</t>
  </si>
  <si>
    <t>Arc dwemer d'amenuisement</t>
  </si>
  <si>
    <t>8fbbb083-7b1d-4c27-8954-0cbf54af23c4</t>
  </si>
  <si>
    <t>skyrim.esm|0ACB8D</t>
  </si>
  <si>
    <t>26457a4b-f3b0-4f08-b497-6b55323ec993</t>
  </si>
  <si>
    <t>Arc dwemer d'anathème</t>
  </si>
  <si>
    <t>Torald Brise-Roche</t>
  </si>
  <si>
    <t>skyrim.esm|0ACB7E</t>
  </si>
  <si>
    <t>Arc dwemer d'angoisse</t>
  </si>
  <si>
    <t>Thorin</t>
  </si>
  <si>
    <t>{"prenom":"Torald","nom":"Brise-Roche","grade":"Garde","corps":"Faubourgs de Blancherive","status":"En service actif"}</t>
  </si>
  <si>
    <t>Rivegel</t>
  </si>
  <si>
    <t>skyrim.esm|0ACB89</t>
  </si>
  <si>
    <t>17ad2d6e-bb03-4a4b-862f-73772bb80f4f</t>
  </si>
  <si>
    <t>Arc dwemer d'éclairs</t>
  </si>
  <si>
    <t>ba48e38b-db25-47be-ab51-69ea09f7d610</t>
  </si>
  <si>
    <t>skyrim.esm|0ACB7F</t>
  </si>
  <si>
    <t>Bernis</t>
  </si>
  <si>
    <t>Arc dwemer de brûlure</t>
  </si>
  <si>
    <t>{"prenom":"Bernis","nom":"","grade":"Garde","corps":"Faubourgs de Blancherive","status":"En service actif"}</t>
  </si>
  <si>
    <t>skyrim.esm|0ACB8C</t>
  </si>
  <si>
    <t>Arc dwemer de capture</t>
  </si>
  <si>
    <t>e30b285f-c860-4903-a8cc-027808616913</t>
  </si>
  <si>
    <t>skyrim.esm|0ACB7D</t>
  </si>
  <si>
    <t>8f420ced-2d88-4d69-9266-ecde48c0bc1d</t>
  </si>
  <si>
    <t>Arc dwemer de crainte</t>
  </si>
  <si>
    <t>Ina'ra</t>
  </si>
  <si>
    <t>skyrim.esm|0ACB88</t>
  </si>
  <si>
    <t>{"prenom":"Ina'ra","nom":"","grade":"Cadet","corps":"Faubourgs de Blancherive","status":"En service actif"}</t>
  </si>
  <si>
    <t>Arc dwemer de décharge</t>
  </si>
  <si>
    <t>Gisbern</t>
  </si>
  <si>
    <t>Isenbjorn</t>
  </si>
  <si>
    <t>9573658a-cabb-4646-8b29-7186f19baeba</t>
  </si>
  <si>
    <t>29a146ce-c373-436c-9adf-bbdbb0e96213</t>
  </si>
  <si>
    <t>Ja'Shanir</t>
  </si>
  <si>
    <t>{"prenom":"Ja'Shanir","nom":"","grade":"Sergent","corps":"Faubourgs de Blancherive","status":"Démissionnaire"}</t>
  </si>
  <si>
    <t>skyrim.esm|0ACB87</t>
  </si>
  <si>
    <t>Rorik</t>
  </si>
  <si>
    <t>Marche-Hiver</t>
  </si>
  <si>
    <t>Arc dwemer de dégradation</t>
  </si>
  <si>
    <t>15fb7332-c4f2-4df9-9682-00be41f17f17</t>
  </si>
  <si>
    <t>32f691bf-33e6-469c-841b-1ac47e3abcba</t>
  </si>
  <si>
    <t>Malivor</t>
  </si>
  <si>
    <t>skyrim.esm|0ACB81</t>
  </si>
  <si>
    <t>Garde, Intendant de la garde</t>
  </si>
  <si>
    <t>Arc dwemer de flambée</t>
  </si>
  <si>
    <t>Xernes</t>
  </si>
  <si>
    <t>Malivor Xernes</t>
  </si>
  <si>
    <t>skyrim.esm|0ACB80</t>
  </si>
  <si>
    <t>Arc dwemer de flammes</t>
  </si>
  <si>
    <t>{"prenom":"Malivor","nom":"Xernes","grade":"Garde","corps":"Cap Granite","status":"En service actif"}</t>
  </si>
  <si>
    <t>skyrim.esm|0ACB84</t>
  </si>
  <si>
    <t>66986428-c8dd-4893-9d76-03f08054c81c</t>
  </si>
  <si>
    <t>Arc dwemer de frimas</t>
  </si>
  <si>
    <t>1f0c5315-ddbe-4ad1-8f29-da513ad2a68f</t>
  </si>
  <si>
    <t>skyrim.esm|0ACB83</t>
  </si>
  <si>
    <t>Arc dwemer de givre</t>
  </si>
  <si>
    <t>{"prenom":"Bakhir","nom":"","grade":"Garde","corps":"Cap Granite","status":"En service actif"}</t>
  </si>
  <si>
    <t>skyrim.esm|0ACB82</t>
  </si>
  <si>
    <t>Arc dwemer de glace</t>
  </si>
  <si>
    <t>02d22f21-37dc-4772-bb66-6b8111233cef</t>
  </si>
  <si>
    <t>skyrim.esm|0ACB8E</t>
  </si>
  <si>
    <t>29103983-2f74-4c62-a5a3-efdfd3e28c7b</t>
  </si>
  <si>
    <t>Arc dwemer de lassitude</t>
  </si>
  <si>
    <t>Starkos Coeurebene</t>
  </si>
  <si>
    <t>skyrim.esm|0ACB8B</t>
  </si>
  <si>
    <t>Pavis</t>
  </si>
  <si>
    <t>Arc dwemer de piège</t>
  </si>
  <si>
    <t>Gurdalval</t>
  </si>
  <si>
    <t>{"prenom":"Starkos","nom":"Coeurebene","grade":"Sergent-Chef","corps":"Cap Granite","status":"En service actif"}</t>
  </si>
  <si>
    <t>skyrim.esm|0ACB86</t>
  </si>
  <si>
    <t>Arc dwemer de réduction</t>
  </si>
  <si>
    <t>f0d19a94-bf53-4940-b2f5-7dcefdfd3957</t>
  </si>
  <si>
    <t>9ae91e95-f358-46de-ba13-1b63f5645817</t>
  </si>
  <si>
    <t>skyrim.esm|0ACB8A</t>
  </si>
  <si>
    <t>Arc dwemer de tonnerre</t>
  </si>
  <si>
    <t>Drakgor gro-Drakar</t>
  </si>
  <si>
    <t>skyrim.esm|0ACB90</t>
  </si>
  <si>
    <t>{"prenom":"Drakgor","nom":"gro-Drakar","grade":"Garde","corps":"Cap Granite","status":"En service actif"}</t>
  </si>
  <si>
    <t>Arc dwemer de torpeur</t>
  </si>
  <si>
    <t>9cb922b3-a475-4010-a5d7-273e5a8a9df9</t>
  </si>
  <si>
    <t>skyrim.esm|0ACB7C</t>
  </si>
  <si>
    <t>Arc dwemer de veulerie</t>
  </si>
  <si>
    <t>25b0ea59-7eaa-4cc8-ac58-a1e48d5e2c07</t>
  </si>
  <si>
    <t>Barnabas Tharmr</t>
  </si>
  <si>
    <t>skyrim.esm|0ACB91</t>
  </si>
  <si>
    <t>Arc dwemer sanctifié</t>
  </si>
  <si>
    <t>{"prenom":"Barnabas","nom":"Tharmr","grade":"Sergent-Chef","corps":"Cap Granite","status":"En service actif"}</t>
  </si>
  <si>
    <t>skyrim.esm|0ACB93</t>
  </si>
  <si>
    <t>222202da-616d-4a99-b881-f6dd54824f47</t>
  </si>
  <si>
    <t>Arc dwemer vertueux</t>
  </si>
  <si>
    <t>ea784d3f-800a-4fad-8a20-a81de3897f62</t>
  </si>
  <si>
    <t>Pavis Gurdalval</t>
  </si>
  <si>
    <t>{"prenom":"Pavis","nom":"Gurdalval","grade":"Lieutenant-Chef","corps":"Cap Granite","status":"En service actif"}</t>
  </si>
  <si>
    <t>skyrim.esm|01399D</t>
  </si>
  <si>
    <t>227d9e32-6bb0-4c82-8ec9-c71d5b200ecc</t>
  </si>
  <si>
    <t>Arc elfique</t>
  </si>
  <si>
    <t>e1253a4b-1f53-4627-8f73-fe96ee9d81aa</t>
  </si>
  <si>
    <t>skyrim.esm|0BE17A</t>
  </si>
  <si>
    <t>Gorbash Tête-de-Pierre</t>
  </si>
  <si>
    <t>Arc elfique d'abattement</t>
  </si>
  <si>
    <t>{"prenom":"Gorbash","nom":"Tête-de-Pierre","grade":"Garde","corps":"Hird du Jarl","status":"En service actif"}</t>
  </si>
  <si>
    <t>skyrim.esm|0BE178</t>
  </si>
  <si>
    <t>Arc elfique d'anathème</t>
  </si>
  <si>
    <t>e7485e16-62b7-4cdd-9f6f-fcb346c16406</t>
  </si>
  <si>
    <t>skyrim.esm|0BE167</t>
  </si>
  <si>
    <t>Ragniir</t>
  </si>
  <si>
    <t>a29e27a5-463b-4e75-894f-cc4afb7dbad7</t>
  </si>
  <si>
    <t>Arc elfique d'angoisse</t>
  </si>
  <si>
    <t>Coeurebene</t>
  </si>
  <si>
    <t>Armand De Valclair</t>
  </si>
  <si>
    <t>skyrim.esm|0BE174</t>
  </si>
  <si>
    <t>{"prenom":"Armand","nom":"De Valclair","grade":"Garde","corps":"Hird du Jarl","status":"En service actif"}</t>
  </si>
  <si>
    <t>Arc elfique d'éclairs</t>
  </si>
  <si>
    <t>27538ee3-55b2-4441-a489-b68957b55d66</t>
  </si>
  <si>
    <t>skyrim.esm|0BE165</t>
  </si>
  <si>
    <t>Arc elfique d'expulsion</t>
  </si>
  <si>
    <t>30bd0047-1d64-4563-8234-65116be04943</t>
  </si>
  <si>
    <t>Si'Yara dite Fou</t>
  </si>
  <si>
    <t>skyrim.esm|0BE173</t>
  </si>
  <si>
    <t>Arc elfique d'immobilisation</t>
  </si>
  <si>
    <t>{"prenom":"Si'Yara","nom":"dite Fou","grade":"Garde","corps":"Hird du Jarl","status":"En service actif"}</t>
  </si>
  <si>
    <t>skyrim.esm|0BE172</t>
  </si>
  <si>
    <t>ac6524a6-ac00-41d7-ad03-e5519f26182f</t>
  </si>
  <si>
    <t>Arc elfique d'inertie</t>
  </si>
  <si>
    <t>5582c923-001b-4a38-b703-3cfec7ef331e</t>
  </si>
  <si>
    <t>skyrim.esm|0BE164</t>
  </si>
  <si>
    <t>Lokh Tar</t>
  </si>
  <si>
    <t>Arc elfique de bannissement</t>
  </si>
  <si>
    <t>{"prenom":"Lokh","nom":"Tar","grade":"Garde","corps":"Hird du Jarl","status":"En service actif"}</t>
  </si>
  <si>
    <t>skyrim.esm|0BE16E</t>
  </si>
  <si>
    <t>Arc elfique de blizzard</t>
  </si>
  <si>
    <t>ed813597-6990-4bb3-b453-47f3c1078dce</t>
  </si>
  <si>
    <t>2ca5598a-8d00-426f-be65-297d498a2758</t>
  </si>
  <si>
    <t>skyrim.esm|0BE16B</t>
  </si>
  <si>
    <t>Arc elfique de brasier</t>
  </si>
  <si>
    <t>Theodrek Heid</t>
  </si>
  <si>
    <t>{"prenom":"Theodrek","nom":"Heid","grade":"Capitaine","corps":"Hird du Jarl","status":"En service actif"}</t>
  </si>
  <si>
    <t>skyrim.esm|0BE177</t>
  </si>
  <si>
    <t>Arc elfique de capture</t>
  </si>
  <si>
    <t>c447a901-9287-49af-903e-d78d89d3f1ad</t>
  </si>
  <si>
    <t>19286ce6-b924-4665-8d2d-ffcdced15bc6</t>
  </si>
  <si>
    <t>skyrim.esm|0BE166</t>
  </si>
  <si>
    <t>Arc elfique de crainte</t>
  </si>
  <si>
    <t>Selene</t>
  </si>
  <si>
    <t>skyrim.esm|0BE171</t>
  </si>
  <si>
    <t>{"prenom":"Selene","nom":"","grade":"Garde","corps":"Cité de Blancherive","status":"Mis en réserve"}</t>
  </si>
  <si>
    <t>Arc elfique de débilitation</t>
  </si>
  <si>
    <t>Starkos</t>
  </si>
  <si>
    <t>skyrim.esm|0BE170</t>
  </si>
  <si>
    <t>4c671f61-2726-4ed1-9c6d-1a05d24dbbdd</t>
  </si>
  <si>
    <t>Arc elfique de dégradation</t>
  </si>
  <si>
    <t>f5887192-48eb-402b-a4ef-aee281289118</t>
  </si>
  <si>
    <t>skyrim.esm|0BE16A</t>
  </si>
  <si>
    <t>Lucius Ravenshield</t>
  </si>
  <si>
    <t>Arc elfique de flambée</t>
  </si>
  <si>
    <t>{"prenom":"Lucius","nom":"Ravenshield","grade":"Garde","corps":"Hird du Jarl","status":"En service actif"}</t>
  </si>
  <si>
    <t>skyrim.esm|0BE169</t>
  </si>
  <si>
    <t>5af4fc58-9d0f-4e56-b03b-332d67a2fe40</t>
  </si>
  <si>
    <t>Arc elfique de flammes</t>
  </si>
  <si>
    <t>e93bd27c-bbf4-43fa-838a-03a31a2d133d</t>
  </si>
  <si>
    <t>skyrim.esm|0BE16D</t>
  </si>
  <si>
    <t>Krakan Valyn</t>
  </si>
  <si>
    <t>Arc elfique de frimas</t>
  </si>
  <si>
    <t>{"prenom":"Krakan","nom":"Valyn","grade":"Major","corps":"Rivebois","status":"En service actif"}</t>
  </si>
  <si>
    <t>skyrim.esm|0BE16C</t>
  </si>
  <si>
    <t>48f0e8c8-425e-4bd2-a3c6-b1a52f02108e</t>
  </si>
  <si>
    <t>Arc elfique de givre</t>
  </si>
  <si>
    <t>9a276680-eab1-4ad0-afe2-9e0ec0f949ba</t>
  </si>
  <si>
    <t>skyrim.esm|0BE17C</t>
  </si>
  <si>
    <t>Arc elfique de léthargie</t>
  </si>
  <si>
    <t>Rusco</t>
  </si>
  <si>
    <t>skyrim.esm|0BE179</t>
  </si>
  <si>
    <t>{"prenom":"Rusco","nom":"","grade":"Major","corps":"Bois-de-Chêne","status":"En service actif"}</t>
  </si>
  <si>
    <t>Arc elfique de malédiction</t>
  </si>
  <si>
    <t>skyrim.esm|0BE16F</t>
  </si>
  <si>
    <t>be4b5aa2-f23c-401c-9ea8-a95767704c6e</t>
  </si>
  <si>
    <t>Arc elfique de réduction</t>
  </si>
  <si>
    <t>b9a9c9a2-ed09-4feb-859a-86e26b14b335</t>
  </si>
  <si>
    <t>skyrim.esm|0BE176</t>
  </si>
  <si>
    <t>Magnar</t>
  </si>
  <si>
    <t>Arc elfique de tempête</t>
  </si>
  <si>
    <t>Faynir</t>
  </si>
  <si>
    <t>Traquebrume</t>
  </si>
  <si>
    <t>{"prenom":"Faynir","nom":"","grade":"Garde","corps":"Hird du Jarl","status":"En service actif"}</t>
  </si>
  <si>
    <t>skyrim.esm|0BE168</t>
  </si>
  <si>
    <t>Arc elfique de terreur</t>
  </si>
  <si>
    <t>96e47898-211e-452d-8d9f-124f39e6ee4e</t>
  </si>
  <si>
    <t>Eclaireur, Garde</t>
  </si>
  <si>
    <t>skyrim.esm|0BE175</t>
  </si>
  <si>
    <t>Arc elfique de tonnerre</t>
  </si>
  <si>
    <t>6918ece7-b7ec-4afb-b10d-b1df2d7c074e</t>
  </si>
  <si>
    <t>Varaa Uzgar</t>
  </si>
  <si>
    <t>skyrim.esm|0BE17B</t>
  </si>
  <si>
    <t>Arc elfique de torpeur</t>
  </si>
  <si>
    <t>{"prenom":"Varaa","nom":"Uzgar","grade":"Garde","corps":"Hird du Jarl","status":"En service actif"}</t>
  </si>
  <si>
    <t>Aldric</t>
  </si>
  <si>
    <t>d8d0b353-1687-4dcf-8be7-ec1c46596198</t>
  </si>
  <si>
    <t>skyrim.esm|0BE17F</t>
  </si>
  <si>
    <t>Cendre-coeur</t>
  </si>
  <si>
    <t>Arc elfique saint</t>
  </si>
  <si>
    <t>e2924263-8d6a-4881-ae81-e58e0faf58ef</t>
  </si>
  <si>
    <t>Aldrok</t>
  </si>
  <si>
    <t>skyrim.esm|0BE17E</t>
  </si>
  <si>
    <t>{"prenom":"Aldrok","nom":"","grade":"Recrue","corps":"Cité de Blancherive","status":"Radié du service actif"}</t>
  </si>
  <si>
    <t>Arc elfique sanctifié</t>
  </si>
  <si>
    <t>22b365f5-d2f1-4133-938d-15b3698aa44f</t>
  </si>
  <si>
    <t>skyrim.esm|0BE17D</t>
  </si>
  <si>
    <t>Arc elfique vertueux</t>
  </si>
  <si>
    <t>709bdae5-6486-472b-ba26-5ea2c772de07</t>
  </si>
  <si>
    <t>Ri'Jhan MoonShadow</t>
  </si>
  <si>
    <t>skyrim.esm|038340</t>
  </si>
  <si>
    <t>Arc falmer</t>
  </si>
  <si>
    <t>{"prenom":"Ri'Jhan","nom":"MoonShadow","grade":"Recrue","corps":"Eclaireur","status":"En service actif"}</t>
  </si>
  <si>
    <t>skyrim.esm|083167</t>
  </si>
  <si>
    <t>fcb50618-17eb-4d18-a27f-bfb6d6f75eb3</t>
  </si>
  <si>
    <t>Arc falmer souple</t>
  </si>
  <si>
    <t>04b0b645-ffb7-4ddf-b96d-39f9ccca30e0</t>
  </si>
  <si>
    <t>skyrim.esm|013841</t>
  </si>
  <si>
    <t>Zeid Le Brise-Lames</t>
  </si>
  <si>
    <t>Arc impérial</t>
  </si>
  <si>
    <t>Andor</t>
  </si>
  <si>
    <t>Viraes</t>
  </si>
  <si>
    <t>{"prenom":"Zeid","nom":"Le Brise-Lames","grade":"Recrue","corps":"Cité de Blancherive","status":"En service actif"}</t>
  </si>
  <si>
    <t>skyrim.esm|0ABB23</t>
  </si>
  <si>
    <t>Arc impérial béni</t>
  </si>
  <si>
    <t>0c6fcad0-d797-4c91-a6e9-074fa6047c37</t>
  </si>
  <si>
    <t>Pethiceor</t>
  </si>
  <si>
    <t>Le Borgne</t>
  </si>
  <si>
    <t>skyrim.esm|0ABB21</t>
  </si>
  <si>
    <t>9af789dd-bbde-4d78-9481-fb4509ef7676</t>
  </si>
  <si>
    <t>Arc impérial d'abattement</t>
  </si>
  <si>
    <t>Gruseldorf E. Jackeet</t>
  </si>
  <si>
    <t>skyrim.esm|0ABB17</t>
  </si>
  <si>
    <t>{"prenom":"Gruseldorf","nom":"E. Jackeet","grade":"Recrue","corps":"Cité de Blancherive","status":"Radié du service actif"}</t>
  </si>
  <si>
    <t>Arc impérial d'amenuisement</t>
  </si>
  <si>
    <t>skyrim.esm|0ABB1C</t>
  </si>
  <si>
    <t>Arc impérial d'anima</t>
  </si>
  <si>
    <t>skyrim.esm|0ABB1B</t>
  </si>
  <si>
    <t>Arc impérial d'éclairs</t>
  </si>
  <si>
    <t>skyrim.esm|0ABB19</t>
  </si>
  <si>
    <t>Arc impérial d'étincelles</t>
  </si>
  <si>
    <t>skyrim.esm|0ABB10</t>
  </si>
  <si>
    <t>Arc impérial d'incandescence</t>
  </si>
  <si>
    <t>bf3ff10a-6025-449a-a3db-9e916bf39da0</t>
  </si>
  <si>
    <t>skyrim.esm|0ABB0D</t>
  </si>
  <si>
    <t>Laureen</t>
  </si>
  <si>
    <t>Arc impérial d'intimidation</t>
  </si>
  <si>
    <t>Toison-de-Sang</t>
  </si>
  <si>
    <t>b1752186-394b-4a2d-b039-df9acfb90ea1</t>
  </si>
  <si>
    <t>Mordecai E. Jackeet</t>
  </si>
  <si>
    <t>skyrim.esm|0ABB11</t>
  </si>
  <si>
    <t>Arc impérial de brûlure</t>
  </si>
  <si>
    <t>{"prenom":"Mordecai","nom":"E. Jackeet","grade":"Recrue","corps":"Cité de Blancherive","status":"Radié du service actif"}</t>
  </si>
  <si>
    <t>skyrim.esm|0ABB12</t>
  </si>
  <si>
    <t>cd2e4d00-34a8-4af3-83b0-db7e35037a1c</t>
  </si>
  <si>
    <t>49f87d58-8963-4006-8f10-294c8bd138f1</t>
  </si>
  <si>
    <t>skyrim.esm|0ABB1E</t>
  </si>
  <si>
    <t>Arc impérial de capture</t>
  </si>
  <si>
    <t>Hakon Grisetoison</t>
  </si>
  <si>
    <t>{"prenom":"Hakon","nom":"Grisetoison","grade":"Capitaine","corps":"Rivebois","status":"En service actif"}</t>
  </si>
  <si>
    <t>skyrim.esm|0ABB0F</t>
  </si>
  <si>
    <t>Arc impérial de crainte</t>
  </si>
  <si>
    <t>9195f9cd-746c-4aa7-b258-1d765a75d798</t>
  </si>
  <si>
    <t>skyrim.esm|0ABB1A</t>
  </si>
  <si>
    <t>Arc impérial de décharge</t>
  </si>
  <si>
    <t>1c97bbd8-d5df-4652-8393-72894785d6de</t>
  </si>
  <si>
    <t>Lous Bois</t>
  </si>
  <si>
    <t>skyrim.esm|0ABB1F</t>
  </si>
  <si>
    <t>Arc impérial de fatigue</t>
  </si>
  <si>
    <t>{"prenom":"Lous","nom":"Bois","grade":"Garde","corps":"Rivebois","status":"En service actif"}</t>
  </si>
  <si>
    <t>Mineur</t>
  </si>
  <si>
    <t>skyrim.esm|0ABB13</t>
  </si>
  <si>
    <t>f4bc2a00-d9ad-4db2-b437-efe82aaa2804</t>
  </si>
  <si>
    <t>Arc impérial de frisson</t>
  </si>
  <si>
    <t>7cb90c75-65ca-46e6-add2-a5c77060a767</t>
  </si>
  <si>
    <t>skyrim.esm|0ABB15</t>
  </si>
  <si>
    <t>Brand Grisetoison</t>
  </si>
  <si>
    <t>Arc impérial de givre</t>
  </si>
  <si>
    <t>{"prenom":"Brand","nom":"Grisetoison","grade":"Lieutenant","corps":"Rivebois","status":"En service actif"}</t>
  </si>
  <si>
    <t>skyrim.esm|0ABB14</t>
  </si>
  <si>
    <t>Arc impérial de glace</t>
  </si>
  <si>
    <t>Bjorn</t>
  </si>
  <si>
    <t>Kornseen</t>
  </si>
  <si>
    <t>skyrim.esm|0ABB20</t>
  </si>
  <si>
    <t>Arc impérial de lassitude</t>
  </si>
  <si>
    <t>skyrim.esm|0ABB1D</t>
  </si>
  <si>
    <t>5ff77483-b483-4809-8c71-7db94009b26d</t>
  </si>
  <si>
    <t>Arc impérial de piège</t>
  </si>
  <si>
    <t>face1afb-cd8a-4038-b9aa-70462d72da8b</t>
  </si>
  <si>
    <t>skyrim.esm|0ABB18</t>
  </si>
  <si>
    <t>Darius Blacktorn</t>
  </si>
  <si>
    <t>Arc impérial de réduction</t>
  </si>
  <si>
    <t>{"prenom":"Darius","nom":"Blacktorn","grade":"Recrue","corps":"Bois-de-Chêne","status":"Radié du service actif"}</t>
  </si>
  <si>
    <t>skyrim.esm|0ABB16</t>
  </si>
  <si>
    <t>Arc impérial de sape</t>
  </si>
  <si>
    <t>750e9bb4-3d58-4c09-b43c-0c61b51cc7f6</t>
  </si>
  <si>
    <t>skyrim.esm|0ABB0E</t>
  </si>
  <si>
    <t>d70149ff-2988-430e-83dd-f348ee6f8e2a</t>
  </si>
  <si>
    <t>Arc impérial de veulerie</t>
  </si>
  <si>
    <t>Vranx Thorgar</t>
  </si>
  <si>
    <t>{"prenom":"Vranx","nom":"Thorgar","grade":"Recrue","corps":"Cap Granite","status":"En service actif"}</t>
  </si>
  <si>
    <t>skyrim.esm|0ABB22</t>
  </si>
  <si>
    <t>Arc impérial pieux</t>
  </si>
  <si>
    <t>ad1ab246-fa6a-4181-aadc-8c9043c71f7e</t>
  </si>
  <si>
    <t>skyrim.esm|0ABB24</t>
  </si>
  <si>
    <t>46012936-87b9-48f5-99b8-d8bde9f4c43f</t>
  </si>
  <si>
    <t>Arc impérial vertueux</t>
  </si>
  <si>
    <t>Silvius Varro</t>
  </si>
  <si>
    <t>skyrim.esm|03B562</t>
  </si>
  <si>
    <t>Arc long</t>
  </si>
  <si>
    <t>skyrim.esm|0A5DEF</t>
  </si>
  <si>
    <t>Arc noir de Gauldur</t>
  </si>
  <si>
    <t>skyrim.esm|0A5DF0</t>
  </si>
  <si>
    <t>{"prenom":"Silvius","nom":"Varro","grade":"Recrue","corps":"Rivebois","status":"En service actif"}</t>
  </si>
  <si>
    <t>a22ee45b-84ed-4bda-9f54-4ea5fa53f44e</t>
  </si>
  <si>
    <t>skyrim.esm|0F5D1F</t>
  </si>
  <si>
    <t>eee6681e-896a-4ac9-a320-448ae32e4dfe</t>
  </si>
  <si>
    <t>Jo'Vakhet</t>
  </si>
  <si>
    <t>skyrim.esm|0F5D20</t>
  </si>
  <si>
    <t>{"prenom":"Jo'Vakhet","nom":"","grade":"Recrue","corps":"Eclaireur","status":"En service actif"}</t>
  </si>
  <si>
    <t>skyrim.esm|0F5D21</t>
  </si>
  <si>
    <t>4a1f2cf6-1406-4a99-8ab7-6341b3118570</t>
  </si>
  <si>
    <t>57f010a2-a8cd-4d97-90e1-8028f4dad1cb</t>
  </si>
  <si>
    <t>Aspirant-Garde</t>
  </si>
  <si>
    <t>skyrim.esm|0F5D22</t>
  </si>
  <si>
    <t>Eldrim</t>
  </si>
  <si>
    <t>Ra'zir Poing-de-fer</t>
  </si>
  <si>
    <t>Hache-Grise</t>
  </si>
  <si>
    <t>dragonborn.esm|02C01A</t>
  </si>
  <si>
    <t>Garde, Tortionnaire, Instructeur</t>
  </si>
  <si>
    <t>Arc noir du destin</t>
  </si>
  <si>
    <t>{"prenom":"Ra'zir","nom":"Poing-de-fer","grade":"Capitaine","corps":"Bois-de-Chêne","status":"En service actif"}</t>
  </si>
  <si>
    <t>7080f686-b3df-4d6c-804b-bad3b15ba28c</t>
  </si>
  <si>
    <t>dragonborn.esm|026232</t>
  </si>
  <si>
    <t>Arc nordique</t>
  </si>
  <si>
    <t>cd84082b-c1f6-4132-abe1-70618fb5a084</t>
  </si>
  <si>
    <t>Björn Horudin</t>
  </si>
  <si>
    <t>skyrim.esm|0302CA</t>
  </si>
  <si>
    <t>Arc nordique antique</t>
  </si>
  <si>
    <t>{"prenom":"Björn","nom":"Horudin","grade":"Garde","corps":"Bois-de-Chêne","status":"En service actif"}</t>
  </si>
  <si>
    <t>skyrim.esm|05D179</t>
  </si>
  <si>
    <t>Arc nordique antique souple</t>
  </si>
  <si>
    <t>92f96f08-2093-4f13-bcac-5ea7d7686cac</t>
  </si>
  <si>
    <t>6aaeb6d4-847e-472a-8696-a2ef25ba098d</t>
  </si>
  <si>
    <t>dragonborn.esm|02835B</t>
  </si>
  <si>
    <t>Simon Démont</t>
  </si>
  <si>
    <t>Arc nordique d'abattement</t>
  </si>
  <si>
    <t>{"prenom":"Simon","nom":"Démont","grade":"Garde","corps":"Bois-de-Chêne","status":"En service actif"}</t>
  </si>
  <si>
    <t>da2ec98c-4339-4e6e-9407-092a0990771e</t>
  </si>
  <si>
    <t>afb4ffb6-1d2d-4622-b35f-d6e6c936a3ee</t>
  </si>
  <si>
    <t>Thorulf</t>
  </si>
  <si>
    <t>{"prenom":"Thorulf","nom":"","grade":"Garde","corps":"Bois-de-Chêne","status":"En service actif"}</t>
  </si>
  <si>
    <t>dragonborn.esm|02835D</t>
  </si>
  <si>
    <t>d40dc70b-93f7-4298-97f6-a04e6ae2fceb</t>
  </si>
  <si>
    <t>Arc nordique d'anathème</t>
  </si>
  <si>
    <t>ac782c10-e4f7-40fa-aaef-180ce5911145</t>
  </si>
  <si>
    <t>dragonborn.esm|02836E</t>
  </si>
  <si>
    <t>Aranthir</t>
  </si>
  <si>
    <t>Arc nordique d'angoisse</t>
  </si>
  <si>
    <t>{"prenom":"Aranthir","nom":"","grade":"Garde","corps":"Bois-de-Chêne","status":"En service actif"}</t>
  </si>
  <si>
    <t>dragonborn.esm|028361</t>
  </si>
  <si>
    <t>Arc nordique d'éclairs</t>
  </si>
  <si>
    <t>7c8c4303-3199-4b70-8a62-9fc6d21d150f</t>
  </si>
  <si>
    <t>6ee6abdd-b60c-411b-a58b-a87806f0fc08</t>
  </si>
  <si>
    <t>dragonborn.esm|028370</t>
  </si>
  <si>
    <t>Arc nordique d'expulsion</t>
  </si>
  <si>
    <t>Kendall</t>
  </si>
  <si>
    <t>Hemar War-seer</t>
  </si>
  <si>
    <t>Delamare</t>
  </si>
  <si>
    <t>{"prenom":"Hemar","nom":"War-seer","grade":"Garde","corps":"Bois-de-Chêne","status":"En service actif"}</t>
  </si>
  <si>
    <t>dragonborn.esm|028362</t>
  </si>
  <si>
    <t>Arc nordique d'immobilisation</t>
  </si>
  <si>
    <t>7fadb6d4-6091-4be1-b094-1b17bcb0f891</t>
  </si>
  <si>
    <t>dragonborn.esm|028363</t>
  </si>
  <si>
    <t>cb28b12c-9bf1-4d10-b0e3-9cc66b718297</t>
  </si>
  <si>
    <t>Arc nordique d'inertie</t>
  </si>
  <si>
    <t>Azan Korf</t>
  </si>
  <si>
    <t>dragonborn.esm|028371</t>
  </si>
  <si>
    <t>Arc nordique de bannissement</t>
  </si>
  <si>
    <t>{"prenom":"Azan","nom":"Korf","grade":"Garde","corps":"Bois-de-Chêne","status":"En service actif"}</t>
  </si>
  <si>
    <t>dragonborn.esm|028367</t>
  </si>
  <si>
    <t>69784b57-e72a-4115-89eb-b1349ff4f368</t>
  </si>
  <si>
    <t>Arc nordique de blizzard</t>
  </si>
  <si>
    <t>301c60b3-011f-4563-90d9-1c464fa4bdad</t>
  </si>
  <si>
    <t>Balmyra</t>
  </si>
  <si>
    <t>{"prenom":"Balmyra","nom":"","grade":"Recrue","corps":"Bois-de-Chêne","status":"En service actif"}</t>
  </si>
  <si>
    <t>d12244f5-842c-4547-8488-5397ea8ee442</t>
  </si>
  <si>
    <t>2026-09-06T11:24:58.233Z</t>
  </si>
  <si>
    <t>dragonborn.esm|02836A</t>
  </si>
  <si>
    <t>Arc nordique de brasier</t>
  </si>
  <si>
    <t>{"prenom":"Armand","nom":"De Valclair","grade":"Garde","corps":"Hird du Jarl","status":"Démissionnaire"}</t>
  </si>
  <si>
    <t>Application</t>
  </si>
  <si>
    <t>dragonborn.esm|02835E</t>
  </si>
  <si>
    <t>Arc nordique de capture</t>
  </si>
  <si>
    <t>adb88e3b-b0a7-4360-a8b7-98d3829c9007</t>
  </si>
  <si>
    <t>2026-09-06T11:53:05.256Z</t>
  </si>
  <si>
    <t>dragonborn.esm|02C476</t>
  </si>
  <si>
    <t>changement</t>
  </si>
  <si>
    <t>Arc nordique de chaos</t>
  </si>
  <si>
    <t>[{"type":"grade","avant":"Recrue","apres":"Cadet"}]</t>
  </si>
  <si>
    <t>{"prenom":"Zeid","nom":"Le Brise-Lames","grade":"Cadet","corps":"Cité de Blancherive","status":"En service actif"}</t>
  </si>
  <si>
    <t>dragonborn.esm|02C478</t>
  </si>
  <si>
    <t>Arc nordique de chaos extrême</t>
  </si>
  <si>
    <t>Solde anticipée totale de la semaine courante</t>
  </si>
  <si>
    <t>f492ad7f-3e75-4aa8-aedd-bc581d0f95f0</t>
  </si>
  <si>
    <t>dragonborn.esm|02836F</t>
  </si>
  <si>
    <t>2026-09-06T12:33:42.088Z</t>
  </si>
  <si>
    <t>Arc nordique de crainte</t>
  </si>
  <si>
    <t>b1c24e40-9761-4a8f-bd58-d4aa4dde3b7e</t>
  </si>
  <si>
    <t>Sigvard Coeurebene</t>
  </si>
  <si>
    <t>dragonborn.esm|028364</t>
  </si>
  <si>
    <t>[{"type":"arrivee","avant":"","apres":"Sigvard Coeurebene"}]</t>
  </si>
  <si>
    <t>Arc nordique de débilitation</t>
  </si>
  <si>
    <t>{"prenom":"Sigvard","nom":"Coeurebene","grade":"Garde","corps":"Cap Granite","status":"En service actif"}</t>
  </si>
  <si>
    <t>dragonborn.esm|028365</t>
  </si>
  <si>
    <t>576e5c3d-0cfd-452d-9cf4-1ac32fb2751e</t>
  </si>
  <si>
    <t>Arc nordique de dégradation</t>
  </si>
  <si>
    <t>2026-09-06T12:35:02.283Z</t>
  </si>
  <si>
    <t>dragonborn.esm|02836B</t>
  </si>
  <si>
    <t>Arc nordique de flambée</t>
  </si>
  <si>
    <t>Léonce</t>
  </si>
  <si>
    <t>{"prenom":"Drakgor","nom":"gro-Drakar","grade":"Garde","corps":"Cap Granite","status":"Démissionnaire"}</t>
  </si>
  <si>
    <t>Réve-épine</t>
  </si>
  <si>
    <t>dragonborn.esm|02836C</t>
  </si>
  <si>
    <t>Arc nordique de flammes</t>
  </si>
  <si>
    <t>34119f77-44eb-4ab0-8399-93a840518c46</t>
  </si>
  <si>
    <t>2026-09-06T16:00:23.066Z</t>
  </si>
  <si>
    <t>dragonborn.esm|028368</t>
  </si>
  <si>
    <t>5bc6c710-3aa1-4543-ad0e-cdce61d17e5c</t>
  </si>
  <si>
    <t>Arc nordique de frimas</t>
  </si>
  <si>
    <t>Chasse-poulet</t>
  </si>
  <si>
    <t>[{"type":"arrivee","avant":"","apres":"Chasse-poulet"}]</t>
  </si>
  <si>
    <t>{"prenom":"Chasse-poulet","nom":"","grade":"Recrue","corps":"Rivebois","status":"En service actif"}</t>
  </si>
  <si>
    <t>dragonborn.esm|028369</t>
  </si>
  <si>
    <t>Arc nordique de givre</t>
  </si>
  <si>
    <t>30c18c62-9bec-4d00-8981-2f75a273e789</t>
  </si>
  <si>
    <t>2026-09-06T18:40:29.870Z</t>
  </si>
  <si>
    <t>dragonborn.esm|028359</t>
  </si>
  <si>
    <t>Arc nordique de léthargie</t>
  </si>
  <si>
    <t>[{"type":"grade","avant":"Sergent-Chef","apres":"Lieutenant"}]</t>
  </si>
  <si>
    <t>dragonborn.esm|02835C</t>
  </si>
  <si>
    <t>{"prenom":"Rorik","nom":"Marche-Hiver","grade":"Lieutenant","corps":"Cité de Blancherive","status":"En service actif"}</t>
  </si>
  <si>
    <t>Arc nordique de malédiction</t>
  </si>
  <si>
    <t>Google Sheets</t>
  </si>
  <si>
    <t>ed1cd0bc-06df-487e-90e0-0c7943d52c53</t>
  </si>
  <si>
    <t>dragonborn.esm|02C477</t>
  </si>
  <si>
    <t>2026-09-06T18:40:52.663Z</t>
  </si>
  <si>
    <t>Arc nordique de profond chaos</t>
  </si>
  <si>
    <t>dragonborn.esm|028366</t>
  </si>
  <si>
    <t>[{"type":"grade","avant":"Garde","apres":"Lieutenant-Chef"}]</t>
  </si>
  <si>
    <t>Arc nordique de réduction</t>
  </si>
  <si>
    <t>{"prenom":"Pethiceor","nom":"Le Borgne","grade":"Lieutenant-Chef","corps":"Eclaireur","status":"En service actif"}</t>
  </si>
  <si>
    <t>Grub</t>
  </si>
  <si>
    <t>dragonborn.esm|02835F</t>
  </si>
  <si>
    <t>5664e256-b750-4104-b58f-200dc125e6d2</t>
  </si>
  <si>
    <t>Arc nordique de tempête</t>
  </si>
  <si>
    <t>2026-09-06T18:42:59.407Z</t>
  </si>
  <si>
    <t>dragonborn.esm|02836D</t>
  </si>
  <si>
    <t>Arc nordique de terreur</t>
  </si>
  <si>
    <t>[{"type":"grade","avant":"Lieutenant","apres":"Lieutenant-Chef"}]</t>
  </si>
  <si>
    <t>{"prenom":"Ronin","nom":"","grade":"Lieutenant-Chef","corps":"Cité de Blancherive","status":"En service actif"}</t>
  </si>
  <si>
    <t>dragonborn.esm|028360</t>
  </si>
  <si>
    <t>Arc nordique de tonnerre</t>
  </si>
  <si>
    <t>06b02596-4ce7-4cf0-90e8-8f328d0e8f19</t>
  </si>
  <si>
    <t>dragonborn.esm|02835A</t>
  </si>
  <si>
    <t>2026-09-06T18:53:04.662Z</t>
  </si>
  <si>
    <t>Arc nordique de torpeur</t>
  </si>
  <si>
    <t>ab16ca18-b3d6-4ade-aabb-f220936bdb8b</t>
  </si>
  <si>
    <t>Meta Peau de Braise</t>
  </si>
  <si>
    <t>dragonborn.esm|028356</t>
  </si>
  <si>
    <t>[{"type":"arrivee","avant":"","apres":"Meta Peau de Braise"}]</t>
  </si>
  <si>
    <t>Arc nordique saint</t>
  </si>
  <si>
    <t>{"prenom":"Meta Peau de Braise","nom":"","grade":"Maréchal","corps":"Faubourgs de Blancherive","status":"Mis en réserve"}</t>
  </si>
  <si>
    <t>dragonborn.esm|028357</t>
  </si>
  <si>
    <t>8da84c24-2686-4c6e-8eee-fb0ebbce4921</t>
  </si>
  <si>
    <t>Arc nordique sanctifié</t>
  </si>
  <si>
    <t>2026-09-06T18:54:03.505Z</t>
  </si>
  <si>
    <t>Solde totale à payer des semaines passés</t>
  </si>
  <si>
    <t>dragonborn.esm|028358</t>
  </si>
  <si>
    <t>Arc nordique vertueux</t>
  </si>
  <si>
    <t>Kronk</t>
  </si>
  <si>
    <t>Grognon</t>
  </si>
  <si>
    <t>[{"type":"grade","avant":"Maréchal","apres":"Garde"}]</t>
  </si>
  <si>
    <t>skyrim.esm|01398D</t>
  </si>
  <si>
    <t>{"prenom":"Meta Peau de Braise","nom":"","grade":"Garde","corps":"Faubourgs de Blancherive","status":"Mis en réserve"}</t>
  </si>
  <si>
    <t>Arc orque</t>
  </si>
  <si>
    <t>Hird du Jarl</t>
  </si>
  <si>
    <t>ae06cc2a-48d3-4dee-8211-49f68b0aaa39</t>
  </si>
  <si>
    <t>skyrim.esm|0ACB69</t>
  </si>
  <si>
    <t>2026-09-06T18:56:09.006Z</t>
  </si>
  <si>
    <t>Arc orque béni</t>
  </si>
  <si>
    <t>skyrim.esm|0ACB67</t>
  </si>
  <si>
    <t>{"prenom":"Meta Peau de Braise","nom":"","grade":"Garde","corps":"Faubourgs de Blancherive","status":"En service actif"}</t>
  </si>
  <si>
    <t>Arc orque d'abattement</t>
  </si>
  <si>
    <t>8df38d1f-f4be-40c5-8360-adf070afac15</t>
  </si>
  <si>
    <t>skyrim.esm|0ABB37</t>
  </si>
  <si>
    <t>2026-09-06T20:22:06.966Z</t>
  </si>
  <si>
    <t>Arc orque d'amenuisement</t>
  </si>
  <si>
    <t>skyrim.esm|0ACB65</t>
  </si>
  <si>
    <t>[{"type":"grade","avant":"Recrue","apres":"Garde"}]</t>
  </si>
  <si>
    <t>Arc orque d'anathème</t>
  </si>
  <si>
    <t>{"prenom":"Silvius","nom":"Varro","grade":"Garde","corps":"Rivebois","status":"En service actif"}</t>
  </si>
  <si>
    <t>skyrim.esm|0ABB27</t>
  </si>
  <si>
    <t>44d1ec84-59bb-47a4-8dca-c714305cdea2</t>
  </si>
  <si>
    <t>Arc orque d'angoisse</t>
  </si>
  <si>
    <t>2026-09-06T22:38:01.715Z</t>
  </si>
  <si>
    <t>Gronk</t>
  </si>
  <si>
    <t>ccf33449-f0ce-420a-9825-1498b7035493</t>
  </si>
  <si>
    <t>skyrim.esm|0ACB61</t>
  </si>
  <si>
    <t>Hrolf Fine-Lame</t>
  </si>
  <si>
    <t>Arc orque d'éclairs</t>
  </si>
  <si>
    <t>[{"type":"arrivee","avant":"","apres":"Hrolf Fine-Lame"}]</t>
  </si>
  <si>
    <t>skyrim.esm|0ABB31</t>
  </si>
  <si>
    <t>{"prenom":"Hrolf","nom":"Fine-Lame","grade":"Recrue","corps":"Rivebois","status":"En service actif"}</t>
  </si>
  <si>
    <t>Arc orque de brûlure</t>
  </si>
  <si>
    <t>skyrim.esm|0ACB64</t>
  </si>
  <si>
    <t>Arc orque de capture</t>
  </si>
  <si>
    <t>22efe1fc-0b26-41e6-a765-07592bb50741</t>
  </si>
  <si>
    <t>2026-09-07T07:54:37.304Z</t>
  </si>
  <si>
    <t>skyrim.esm|0ABB26</t>
  </si>
  <si>
    <t>0404ac94-b63b-44e7-9763-06ab70f5b162</t>
  </si>
  <si>
    <t>Arc orque de crainte</t>
  </si>
  <si>
    <t>Laguerta Fende-Sillon</t>
  </si>
  <si>
    <t>[{"type":"arrivee","avant":"","apres":"Laguerta Fende-Sillon"}]</t>
  </si>
  <si>
    <t>skyrim.esm|0ACB60</t>
  </si>
  <si>
    <t>{"prenom":"Laguerta","nom":"Fende-Sillon","grade":"Garde","corps":"Rivebois","status":"En service actif"}</t>
  </si>
  <si>
    <t>Arc orque de décharge</t>
  </si>
  <si>
    <t>2cef37cb-858f-464c-a4fd-a9f1da7b03be</t>
  </si>
  <si>
    <t>skyrim.esm|0ABB39</t>
  </si>
  <si>
    <t>2026-09-07T19:52:44.786Z</t>
  </si>
  <si>
    <t>Arc orque de dégradation</t>
  </si>
  <si>
    <t>skyrim.esm|0ABB33</t>
  </si>
  <si>
    <t>Arc orque de flambée</t>
  </si>
  <si>
    <t>{"prenom":"Ri'Jhan","nom":"MoonShadow","grade":"Cadet","corps":"Eclaireur","status":"En service actif"}</t>
  </si>
  <si>
    <t>Soldes impayés des semaines passés</t>
  </si>
  <si>
    <t>skyrim.esm|0ABB32</t>
  </si>
  <si>
    <t>Arc orque de flammes</t>
  </si>
  <si>
    <t>b40a54da-454e-4bbe-a9ee-8b864575437d</t>
  </si>
  <si>
    <t>2026-09-08T10:33:38.454Z</t>
  </si>
  <si>
    <t>skyrim.esm|0ABB36</t>
  </si>
  <si>
    <t>Arc orque de frimas</t>
  </si>
  <si>
    <t>skyrim.esm|0ABB35</t>
  </si>
  <si>
    <t>Arc orque de givre</t>
  </si>
  <si>
    <t>{"prenom":"Brand","nom":"Grisetoison","grade":"Lieutenant-Chef","corps":"Rivebois","status":"En service actif"}</t>
  </si>
  <si>
    <t>72a2559a-922f-4415-a5b0-0fdd9406d42a</t>
  </si>
  <si>
    <t>skyrim.esm|0ABB34</t>
  </si>
  <si>
    <t>2026-09-08T10:35:33.730Z</t>
  </si>
  <si>
    <t>Arc orque de glace</t>
  </si>
  <si>
    <t>e1c7c522-0129-44c2-b785-7299c79ae3b3</t>
  </si>
  <si>
    <t>skyrim.esm|0ACB66</t>
  </si>
  <si>
    <t>Naevor Feuille-Sombre</t>
  </si>
  <si>
    <t>Arc orque de lassitude</t>
  </si>
  <si>
    <t>[{"type":"arrivee","avant":"","apres":"Naevor Feuille-Sombre"}]</t>
  </si>
  <si>
    <t>{"prenom":"Naevor","nom":"Feuille-Sombre","grade":"Recrue","corps":"Cité de Blancherive","status":"En service actif"}</t>
  </si>
  <si>
    <t>skyrim.esm|0ACB63</t>
  </si>
  <si>
    <t>Arc orque de piège</t>
  </si>
  <si>
    <t>0f2a2389-3d6c-4312-a172-39b4ede3736e</t>
  </si>
  <si>
    <t>2026-09-08T10:36:58.617Z</t>
  </si>
  <si>
    <t>skyrim.esm|0ABB38</t>
  </si>
  <si>
    <t>Arc orque de réduction</t>
  </si>
  <si>
    <t>skyrim.esm|0ACB62</t>
  </si>
  <si>
    <t>[{"type":"corps","avant":"Cité de Blancherive","apres":"Rivebois"}]</t>
  </si>
  <si>
    <t>Arc orque de tonnerre</t>
  </si>
  <si>
    <t>{"prenom":"Naevor","nom":"Feuille-Sombre","grade":"Recrue","corps":"Rivebois","status":"En service actif"}</t>
  </si>
  <si>
    <t>skyrim.esm|0ACB68</t>
  </si>
  <si>
    <t>45deab73-fa25-442f-9efe-1915a5b9c1cb</t>
  </si>
  <si>
    <t>Arc orque de torpeur</t>
  </si>
  <si>
    <t>2026-09-10T09:59:23.988Z</t>
  </si>
  <si>
    <t>skyrim.esm|0ABB25</t>
  </si>
  <si>
    <t>09a58636-901b-4784-9000-10451a1ec2e9</t>
  </si>
  <si>
    <t>Arc orque de veulerie</t>
  </si>
  <si>
    <t>Razim Al-Rihad</t>
  </si>
  <si>
    <t>[{"type":"arrivee","avant":"","apres":"Razim Al-Rihad"}]</t>
  </si>
  <si>
    <t>skyrim.esm|0ACB6B</t>
  </si>
  <si>
    <t>{"prenom":"Razim","nom":"Al-Rihad","grade":"Recrue","corps":"Cité de Blancherive","status":"En service actif"}</t>
  </si>
  <si>
    <t>Arc orque sanctifié</t>
  </si>
  <si>
    <t>Menuisier-Charbonnier</t>
  </si>
  <si>
    <t>skyrim.esm|0ACB6A</t>
  </si>
  <si>
    <t>7ab4c7ca-08f3-4766-bcf0-45f627e3d388</t>
  </si>
  <si>
    <t>Arc orque vertueux</t>
  </si>
  <si>
    <t>2026-09-10T13:39:46.525Z</t>
  </si>
  <si>
    <t>f5bd71db-1e6f-4fd2-ad14-83cd302789c8</t>
  </si>
  <si>
    <t>windhelmsse.esp|06C732</t>
  </si>
  <si>
    <t>Ulfgar L'oiseau de nuit</t>
  </si>
  <si>
    <t>Ash Spawn Battle Axe</t>
  </si>
  <si>
    <t>[{"type":"arrivee","avant":"","apres":"Ulfgar L'oiseau de nuit"}]</t>
  </si>
  <si>
    <t>{"prenom":"Ulfgar","nom":"L'oiseau de nuit","grade":"Lieutenant","corps":"Rivebois","status":"En service actif"}</t>
  </si>
  <si>
    <t>windhelmsse.esp|06C734</t>
  </si>
  <si>
    <t>ae523f31-cf74-49cb-a304-528318ce9a30</t>
  </si>
  <si>
    <t>windhelmsse.esp|06C733</t>
  </si>
  <si>
    <t>2026-09-10T21:30:12.701Z</t>
  </si>
  <si>
    <t>Ash Spawn War Axe</t>
  </si>
  <si>
    <t>windhelmsse.esp|06C735</t>
  </si>
  <si>
    <t>[{"type":"corps","avant":"Faubourgs de Blancherive","apres":"Cité de Blancherive"}]</t>
  </si>
  <si>
    <t>skyrim.esm|04E4EE</t>
  </si>
  <si>
    <t>{"prenom":"Astrild","nom":"","grade":"Sergent-Chef","corps":"Cité de Blancherive","status":"En service actif"}</t>
  </si>
  <si>
    <t>Aubéclat</t>
  </si>
  <si>
    <t>132ab6b0-56e6-4ffc-801b-7eff47982e50</t>
  </si>
  <si>
    <t>skyrim.esm|0C19FF</t>
  </si>
  <si>
    <t>2026-09-11T09:46:26.163Z</t>
  </si>
  <si>
    <t>Baguette d'arachnologie</t>
  </si>
  <si>
    <t>skyrim.esm|0E57F0</t>
  </si>
  <si>
    <t>{"prenom":"Kah-Shir","nom":"Sombre Griffe","grade":"Capitaine","corps":"Faubourgs de Blancherive","status":"Radié du service actif"}</t>
  </si>
  <si>
    <t>skyrim.esm|029B8B</t>
  </si>
  <si>
    <t>Bâton calmant</t>
  </si>
  <si>
    <t>3e10bc5e-cd2a-493c-b5e1-6c448f945ae9</t>
  </si>
  <si>
    <t>2026-09-11T09:46:47.404Z</t>
  </si>
  <si>
    <t>skyrim.esm|01CB30</t>
  </si>
  <si>
    <t>Bâton cassé</t>
  </si>
  <si>
    <t>dawnguard.esm|00575E</t>
  </si>
  <si>
    <t>Bâton d'aethérium</t>
  </si>
  <si>
    <t>skyrim.esm|07E646</t>
  </si>
  <si>
    <t>{"prenom":"Il-draz","nom":"De Chasse-au-bois","grade":"Lieutenant-Chef","corps":"Faubourgs de Blancherive","status":"Radié du service actif"}</t>
  </si>
  <si>
    <t>Bâton d'altération non enchanté</t>
  </si>
  <si>
    <t>8e5afb2e-a099-4516-9d23-57cfd53d0423</t>
  </si>
  <si>
    <t>dawnguard.esm|011D58</t>
  </si>
  <si>
    <t>2026-09-11T09:47:04.393Z</t>
  </si>
  <si>
    <t>Bâton d'Atronach de feu</t>
  </si>
  <si>
    <t>skyrim.esm|029B78</t>
  </si>
  <si>
    <t>{"prenom":"Jeebam-dee","nom":"","grade":"Sergent","corps":"Faubourgs de Blancherive","status":"Radié du service actif"}</t>
  </si>
  <si>
    <t>skyrim.esm|029B7D</t>
  </si>
  <si>
    <t>a22e78c2-8ea4-4a62-8efc-927f739ae877</t>
  </si>
  <si>
    <t>2026-09-11T09:56:46.044Z</t>
  </si>
  <si>
    <t>Bâton d'Atronach de foudre</t>
  </si>
  <si>
    <t>dawnguard.esm|011D59</t>
  </si>
  <si>
    <t>Bâton d'Atronach de glace</t>
  </si>
  <si>
    <t>{"prenom":"Gorvin","nom":"Le-Moite","grade":"Lieutenant","corps":"Faubourgs de Blancherive","status":"Radié du service actif"}</t>
  </si>
  <si>
    <t>skyrim.esm|0BE120</t>
  </si>
  <si>
    <t>6be6b091-9c4c-43cc-b8de-ce5f8a918441</t>
  </si>
  <si>
    <t>2026-09-11T09:56:59.898Z</t>
  </si>
  <si>
    <t>dawnguard.esm|011D5D</t>
  </si>
  <si>
    <t>Bâton d'éclair enflammé</t>
  </si>
  <si>
    <t>{"prenom":"Bernis","nom":"","grade":"Garde","corps":"Faubourgs de Blancherive","status":"Radié du service actif"}</t>
  </si>
  <si>
    <t>ae2f4c5c-c411-4868-ad15-d21ba3214e60</t>
  </si>
  <si>
    <t>2026-09-11T09:57:15.030Z</t>
  </si>
  <si>
    <t>Wulfgar</t>
  </si>
  <si>
    <t>Durrock</t>
  </si>
  <si>
    <t>skyrim.esm|04C6CA</t>
  </si>
  <si>
    <t>{"prenom":"Léonce","nom":"Réve-épine","grade":"Garde","corps":"Faubourgs de Blancherive","status":"Radié du service actif"}</t>
  </si>
  <si>
    <t>dawnguard.esm|011D60</t>
  </si>
  <si>
    <t>Bâton d'éclair foudroyant</t>
  </si>
  <si>
    <t>14161d71-40e9-4ada-83f8-78561d2de8fd</t>
  </si>
  <si>
    <t>2026-09-11T09:57:36.440Z</t>
  </si>
  <si>
    <t>skyrim.esm|04DEE3</t>
  </si>
  <si>
    <t>dawnguard.esm|011D56</t>
  </si>
  <si>
    <t>{"prenom":"Meta Peau de Braise","nom":"","grade":"Garde","corps":"Faubourgs de Blancherive","status":"Radié du service actif"}</t>
  </si>
  <si>
    <t>Bâton d'éclairs multiples</t>
  </si>
  <si>
    <t>35c18762-3b6f-48ae-9f4a-71f99e31d2e6</t>
  </si>
  <si>
    <t>2026-09-11T09:57:51.641Z</t>
  </si>
  <si>
    <t>skyrim.esm|029B84</t>
  </si>
  <si>
    <t xml:space="preserve">Lyosha </t>
  </si>
  <si>
    <t>skyrim.esm|046E0B</t>
  </si>
  <si>
    <t>Sullapierre</t>
  </si>
  <si>
    <t>{"prenom":"Torald","nom":"Brise-Roche","grade":"Garde","corps":"Faubourgs de Blancherive","status":"Radié du service actif"}</t>
  </si>
  <si>
    <t>Bâton d'ensorcellement de Gadnor</t>
  </si>
  <si>
    <t>45d32602-7343-479a-833a-33261380f780</t>
  </si>
  <si>
    <t>skyrim.esm|04DEE2</t>
  </si>
  <si>
    <t>2026-09-11T10:00:43.340Z</t>
  </si>
  <si>
    <t>Bâton d'étincelles</t>
  </si>
  <si>
    <t>skyrim.esm|029B7E</t>
  </si>
  <si>
    <t>Bâton d'expulsion</t>
  </si>
  <si>
    <t>{"prenom":"Ina'ra","nom":"","grade":"Cadet","corps":"Faubourgs de Blancherive","status":"Radié du service actif"}</t>
  </si>
  <si>
    <t>7c61e924-f50c-422b-b3c3-ad0b56b129f8</t>
  </si>
  <si>
    <t>skyrim.esm|10076D</t>
  </si>
  <si>
    <t>2026-09-11T10:01:07.738Z</t>
  </si>
  <si>
    <t>Bâton d'Hevnoraak</t>
  </si>
  <si>
    <t>skyrim.esm|07A91B</t>
  </si>
  <si>
    <t>Bâton d'illusion non enchanté</t>
  </si>
  <si>
    <t>{"prenom":"Smaug","nom":"","grade":"Garde","corps":"Faubourgs de Blancherive","status":"Radié du service actif"}</t>
  </si>
  <si>
    <t xml:space="preserve">Brandon </t>
  </si>
  <si>
    <t>a2f0345b-0589-4f4e-9acb-41ed1e73fd5b</t>
  </si>
  <si>
    <t>Alprazz</t>
  </si>
  <si>
    <t>skyrim.esm|10FCF2</t>
  </si>
  <si>
    <t>2026-09-11T10:02:00.921Z</t>
  </si>
  <si>
    <t>Bâton d'incinération</t>
  </si>
  <si>
    <t>skyrim.esm|029B8E</t>
  </si>
  <si>
    <t>Bâton d'inspiration</t>
  </si>
  <si>
    <t>{"prenom":"Njalda","nom":"","grade":"Garde","corps":"Faubourgs de Blancherive","status":"Radié du service actif"}</t>
  </si>
  <si>
    <t>skyrim.esm|029B74</t>
  </si>
  <si>
    <t>e0007b92-7696-46c1-bf41-fc09735a602c</t>
  </si>
  <si>
    <t>Bâton d'outre-tombe</t>
  </si>
  <si>
    <t>2026-09-11T10:02:22.083Z</t>
  </si>
  <si>
    <t>skyrim.esm|029B79</t>
  </si>
  <si>
    <t>Bâton de bannissement</t>
  </si>
  <si>
    <t>{"prenom":"Darina","nom":"","grade":"Garde","corps":"Faubourgs de Blancherive","status":"Radié du service actif"}</t>
  </si>
  <si>
    <t>dawnguard.esm|011D57</t>
  </si>
  <si>
    <t>Bâton de boule de feu</t>
  </si>
  <si>
    <t>da02fc79-21ba-4111-85a8-fbd5ab147c4d</t>
  </si>
  <si>
    <t>2026-09-12T10:40:04.971Z</t>
  </si>
  <si>
    <t>skyrim.esm|029B82</t>
  </si>
  <si>
    <t>skyrim.esm|0BE122</t>
  </si>
  <si>
    <t>Bâton de capture d'âme</t>
  </si>
  <si>
    <t>{"prenom":"Gisbern","nom":"Isenbjorn","grade":"Lieutenant-Chef","corps":"Cité de Blancherive","status":"Déserteur"}</t>
  </si>
  <si>
    <t>skyrim.esm|07E647</t>
  </si>
  <si>
    <t>b28ca1a6-b78d-4b7a-97fe-1f59cb19bc3f</t>
  </si>
  <si>
    <t>Bâton de conjuration non enchanté</t>
  </si>
  <si>
    <t>2026-09-12T11:28:48.318Z</t>
  </si>
  <si>
    <t>skyrim.esm|029B88</t>
  </si>
  <si>
    <t>Bâton de courage</t>
  </si>
  <si>
    <t>[{"type":"grade","avant":"Cadet","apres":"Garde"}]</t>
  </si>
  <si>
    <t>{"prenom":"Zeid","nom":"Le Brise-Lames","grade":"Garde","corps":"Cité de Blancherive","status":"En service actif"}</t>
  </si>
  <si>
    <t>skyrim.esm|029B92</t>
  </si>
  <si>
    <t>Bâton de déroute</t>
  </si>
  <si>
    <t>b694f76a-1424-47d9-b032-ef57a828486a</t>
  </si>
  <si>
    <t>skyrim.esm|0BE11F</t>
  </si>
  <si>
    <t>2026-09-12T14:15:10.464Z</t>
  </si>
  <si>
    <t>Bâton de destruction non enchanté</t>
  </si>
  <si>
    <t>skyrim.esm|029B75</t>
  </si>
  <si>
    <t>Bâton de familier</t>
  </si>
  <si>
    <t>skyrim.esm|04DEE0</t>
  </si>
  <si>
    <t>Bâton de flammes</t>
  </si>
  <si>
    <t>[{"type":"grade","avant":"Garde","apres":"Sergent"}]</t>
  </si>
  <si>
    <t>skyrim.esm|029B9A</t>
  </si>
  <si>
    <t>{"prenom":"Lous","nom":"Bois","grade":"Sergent","corps":"Rivebois","status":"En service actif"}</t>
  </si>
  <si>
    <t>Bâton de fléau</t>
  </si>
  <si>
    <t>8af7485f-5753-4d82-b99a-6c311cdde750</t>
  </si>
  <si>
    <t>skyrim.esm|029B8F</t>
  </si>
  <si>
    <t>2026-09-12T14:32:31.834Z</t>
  </si>
  <si>
    <t>Bâton de frénésie</t>
  </si>
  <si>
    <t>skyrim.esm|04DEE1</t>
  </si>
  <si>
    <t>Bâton de froid mordant</t>
  </si>
  <si>
    <t>{"prenom":"Hrolf","nom":"Fine-Lame","grade":"Garde","corps":"Rivebois","status":"En service actif"}</t>
  </si>
  <si>
    <t>skyrim.esm|029B89</t>
  </si>
  <si>
    <t>b68cf178-535f-46fc-be68-5b50368ad02c</t>
  </si>
  <si>
    <t>Bâton de furie</t>
  </si>
  <si>
    <t>2026-09-12T14:32:55.971Z</t>
  </si>
  <si>
    <t xml:space="preserve">Il-draz </t>
  </si>
  <si>
    <t>skyrim.esm|051B0C</t>
  </si>
  <si>
    <t>De Chasse-au-bois</t>
  </si>
  <si>
    <t>Bâton de guérison non enchanté</t>
  </si>
  <si>
    <t>skyrim.esm|0AB704</t>
  </si>
  <si>
    <t>Bâton de Halldir</t>
  </si>
  <si>
    <t>{"prenom":"Naevor","nom":"Feuille-Sombre","grade":"Garde","corps":"Rivebois","status":"En service actif"}</t>
  </si>
  <si>
    <t>skyrim.esm|0E5F43</t>
  </si>
  <si>
    <t>Bâton de Jyrik Gauldurson</t>
  </si>
  <si>
    <t>7eecc7ee-7e4e-4041-86e2-2864cecb9702</t>
  </si>
  <si>
    <t>2026-09-12T18:25:08.329Z</t>
  </si>
  <si>
    <t>skyrim.esm|07A4FB</t>
  </si>
  <si>
    <t>Bâton de la mégère courroucée</t>
  </si>
  <si>
    <t>[{"type":"corps","avant":"Eclaireur","apres":"Cité de Blancherive"}]</t>
  </si>
  <si>
    <t>skyrim.esm|10FCF7</t>
  </si>
  <si>
    <t>{"prenom":"Laureen","nom":"Toison-de-Sang","grade":"Garde","corps":"Cité de Blancherive","status":"En service actif"}</t>
  </si>
  <si>
    <t>Bâton de Lance gelée</t>
  </si>
  <si>
    <t>5756ac13-adde-4696-8720-295a69abd19f</t>
  </si>
  <si>
    <t>2026-09-12T20:14:26.957Z</t>
  </si>
  <si>
    <t>skyrim.esm|035369</t>
  </si>
  <si>
    <t>Bâton de Magnus</t>
  </si>
  <si>
    <t>skyrim.esm|029B7B</t>
  </si>
  <si>
    <t>{"prenom":"Hastelvin","nom":"","grade":"Capitaine","corps":"Cap Granite","status":"Démissionnaire"}</t>
  </si>
  <si>
    <t>Bâton de manipulation de Daedra</t>
  </si>
  <si>
    <t>d747a52b-0f59-4a8b-a5c4-dceb69e0b0bf</t>
  </si>
  <si>
    <t>dragonborn.esm|029A61</t>
  </si>
  <si>
    <t>Gorvin</t>
  </si>
  <si>
    <t>Bâton de Miraak</t>
  </si>
  <si>
    <t>2026-09-12T20:14:37.278Z</t>
  </si>
  <si>
    <t>Le-Moite</t>
  </si>
  <si>
    <t>dragonborn.esm|039FA6</t>
  </si>
  <si>
    <t>[{"type":"grade","avant":"Sergent-Chef","apres":"Capitaine"}]</t>
  </si>
  <si>
    <t>dragonborn.esm|039FAC</t>
  </si>
  <si>
    <t>{"prenom":"Starkos","nom":"Coeurebene","grade":"Capitaine","corps":"Cap Granite","status":"En service actif"}</t>
  </si>
  <si>
    <t>dragonborn.esm|039FAD</t>
  </si>
  <si>
    <t>f8f5f13e-135d-496f-906d-facc7d41ea9d</t>
  </si>
  <si>
    <t>2026-09-13T05:48:21.199Z</t>
  </si>
  <si>
    <t>f0cb3e9c-7ad3-4470-913f-de86110c910f</t>
  </si>
  <si>
    <t>dragonborn.esm|03A3D4</t>
  </si>
  <si>
    <t>Tholv Lémarte</t>
  </si>
  <si>
    <t>[{"type":"arrivee","avant":"","apres":"Tholv Lémarte"}]</t>
  </si>
  <si>
    <t>skyrim.esm|029B85</t>
  </si>
  <si>
    <t>{"prenom":"Tholv","nom":"Lémarte","grade":"Capitaine","corps":"Faubourgs de Blancherive","status":"En service actif"}</t>
  </si>
  <si>
    <t>Bâton de mur de feu</t>
  </si>
  <si>
    <t>1dc447f2-984a-48c7-8d01-5b4e49c6fa8c</t>
  </si>
  <si>
    <t>2026-09-13T08:24:25.489Z</t>
  </si>
  <si>
    <t>skyrim.esm|029B87</t>
  </si>
  <si>
    <t>Bâton de mur de foudre</t>
  </si>
  <si>
    <t>Thov Lémarte</t>
  </si>
  <si>
    <t>skyrim.esm|029B86</t>
  </si>
  <si>
    <t>Bâton de mur de glace</t>
  </si>
  <si>
    <t>{"prenom":"Thov","nom":"Lémarte","grade":"Capitaine","corps":"Faubourgs de Blancherive","status":"En service actif"}</t>
  </si>
  <si>
    <t>skyrim.esm|029B73</t>
  </si>
  <si>
    <t>Bâton de paralysie</t>
  </si>
  <si>
    <t>48bc3279-3a02-4502-b7a2-5e208f4cb25c</t>
  </si>
  <si>
    <t>2026-09-13T08:24:30.966Z</t>
  </si>
  <si>
    <t>skyrim.esm|0FA2C1</t>
  </si>
  <si>
    <t>Bâton de Parjure</t>
  </si>
  <si>
    <t>Thov Lémartes</t>
  </si>
  <si>
    <t>skyrim.esm|0CC826</t>
  </si>
  <si>
    <t>{"prenom":"Thov","nom":"Lémartes","grade":"Capitaine","corps":"Faubourgs de Blancherive","status":"En service actif"}</t>
  </si>
  <si>
    <t>Bâton de Parjure non enchanté</t>
  </si>
  <si>
    <t>c2c46643-4d54-4b5a-811e-5c1bcddc958a</t>
  </si>
  <si>
    <t>2026-09-13T13:08:13.377Z</t>
  </si>
  <si>
    <t>skyrim.esm|029B95</t>
  </si>
  <si>
    <t>920ff286-90b4-4601-b045-f42717fd37fd</t>
  </si>
  <si>
    <t>Bâton de péril</t>
  </si>
  <si>
    <t>Asvald'ur</t>
  </si>
  <si>
    <t>[{"type":"arrivee","avant":"","apres":"Asvald'ur"}]</t>
  </si>
  <si>
    <t>skyrim.esm|029B8C</t>
  </si>
  <si>
    <t>{"prenom":"Asvald'ur","nom":"","grade":"Garde","corps":"Faubourgs de Blancherive","status":"En service actif"}</t>
  </si>
  <si>
    <t>Bâton de peur</t>
  </si>
  <si>
    <t>skyrim.esm|0940D8</t>
  </si>
  <si>
    <t>Bâton de prépotence</t>
  </si>
  <si>
    <t>skyrim.esm|04DE5B</t>
  </si>
  <si>
    <t>Bâton de prêtre-dragon</t>
  </si>
  <si>
    <t>skyrim.esm|07E5BB</t>
  </si>
  <si>
    <t>skyrim.esm|0BE121</t>
  </si>
  <si>
    <t>Bâton de rayonnement</t>
  </si>
  <si>
    <t>skyrim.esm|029B76</t>
  </si>
  <si>
    <t>c592fab7-5e84-4acb-91f8-9d037c53983f</t>
  </si>
  <si>
    <t>Bâton de réanimation</t>
  </si>
  <si>
    <t>2026-09-13T13:33:14.040Z</t>
  </si>
  <si>
    <t>skyrim.esm|029B7A</t>
  </si>
  <si>
    <t>Bâton de revenant</t>
  </si>
  <si>
    <t>dawnguard.esm|01958C</t>
  </si>
  <si>
    <t>Bâton de Ruunvald</t>
  </si>
  <si>
    <t>skyrim.esm|0A88C9</t>
  </si>
  <si>
    <t>Bâton de Sild</t>
  </si>
  <si>
    <t>{"prenom":"Jo'Vakhet","nom":"","grade":"Cadet","corps":"Eclaireur","status":"En service actif"}</t>
  </si>
  <si>
    <t>7593549a-3d7d-4eaa-b58a-6723aec9184e</t>
  </si>
  <si>
    <t>2026-09-13T19:00:43.401Z</t>
  </si>
  <si>
    <t>83d0f55b-2452-4ecd-9bd8-704603fd6925</t>
  </si>
  <si>
    <t>skyrim.esm|029B99</t>
  </si>
  <si>
    <t>Bâton de soulagement</t>
  </si>
  <si>
    <t>Alza'gar</t>
  </si>
  <si>
    <t>[{"type":"arrivee","avant":"","apres":"Alza'gar"}]</t>
  </si>
  <si>
    <t>dawnguard.esm|011D5E</t>
  </si>
  <si>
    <t>{"prenom":"Alza'gar","nom":"","grade":"Recrue","corps":"Cité de Blancherive","status":"En service actif"}</t>
  </si>
  <si>
    <t>Bâton de stalactite</t>
  </si>
  <si>
    <t>ff0853e3-a506-4eb3-b9e9-2cbf5d2250b5</t>
  </si>
  <si>
    <t>skyrim.esm|04DED8</t>
  </si>
  <si>
    <t>2026-09-13T19:15:09.610Z</t>
  </si>
  <si>
    <t>680988bb-a857-4edc-be2e-f27afbbaff2c</t>
  </si>
  <si>
    <t>skyrim.esm|029B7C</t>
  </si>
  <si>
    <t>Claudus</t>
  </si>
  <si>
    <t>Bâton de surzombie</t>
  </si>
  <si>
    <t>[{"type":"arrivee","avant":"","apres":"Claudus"}]</t>
  </si>
  <si>
    <t>{"prenom":"Claudus","nom":"","grade":"Garde","corps":"Faubourgs de Blancherive","status":"En service actif"}</t>
  </si>
  <si>
    <t>skyrim.esm|06A093</t>
  </si>
  <si>
    <t>Bâton de Tandil</t>
  </si>
  <si>
    <t>9425532d-64a9-4d52-b709-90125a08b686</t>
  </si>
  <si>
    <t>2026-09-13T19:30:57.701Z</t>
  </si>
  <si>
    <t>dawnguard.esm|011D5F</t>
  </si>
  <si>
    <t>0005762a-098e-4ce4-93bc-10132427bf0f</t>
  </si>
  <si>
    <t>Bâton de tempête de glace</t>
  </si>
  <si>
    <t>Crocozaure</t>
  </si>
  <si>
    <t>[{"type":"arrivee","avant":"","apres":"Crocozaure"}]</t>
  </si>
  <si>
    <t>skyrim.esm|029B83</t>
  </si>
  <si>
    <t>{"prenom":"Crocozaure","nom":"","grade":"Recrue","corps":"Cité de Blancherive","status":"En service actif"}</t>
  </si>
  <si>
    <t>46094e17-8678-4bf7-8c22-093aaeef21ed</t>
  </si>
  <si>
    <t>skyrim.esm|10FCF4</t>
  </si>
  <si>
    <t>2026-09-13T19:57:03.163Z</t>
  </si>
  <si>
    <t>Bâton de tonnerre</t>
  </si>
  <si>
    <t>skyrim.esm|029B93</t>
  </si>
  <si>
    <t>Bâton de toucher apaisant</t>
  </si>
  <si>
    <t>{"prenom":"Encore-Un-Espoir","nom":"","grade":"Lieutenant","corps":"Cité de Blancherive","status":"Démissionnaire"}</t>
  </si>
  <si>
    <t>dawnguard.esm|003629</t>
  </si>
  <si>
    <t>8381cde7-8c67-4b34-94aa-b5e90820dd25</t>
  </si>
  <si>
    <t>Bâton falmer</t>
  </si>
  <si>
    <t>2026-09-13T20:51:59.549Z</t>
  </si>
  <si>
    <t>skyrim.esm|0284F5</t>
  </si>
  <si>
    <t>Bâton nécromantique</t>
  </si>
  <si>
    <t>{"prenom":"Aldric","nom":"Cendre-coeur","grade":"Garde","corps":"Cité de Blancherive","status":"En service actif"}</t>
  </si>
  <si>
    <t>skyrim.esm|0D37CE</t>
  </si>
  <si>
    <t>Blafarde</t>
  </si>
  <si>
    <t>490d6e4a-fa0e-4aea-8fdb-6b22b9057648</t>
  </si>
  <si>
    <t>2026-09-15T13:18:33.047Z</t>
  </si>
  <si>
    <t>skyrim.esm|0F5D2A</t>
  </si>
  <si>
    <t>skyrim.esm|0F5D2B</t>
  </si>
  <si>
    <t>{"prenom":"Razim","nom":"Al-Rihad","grade":"Recrue","corps":"Cité de Blancherive","status":"Radié du service actif"}</t>
  </si>
  <si>
    <t>c230dadb-6877-49f2-b07f-19f88fdc6e80</t>
  </si>
  <si>
    <t>Commandant</t>
  </si>
  <si>
    <t>skyrim.esm|0F5D2C</t>
  </si>
  <si>
    <t>2026-09-15T13:19:29.076Z</t>
  </si>
  <si>
    <t>f7e68135-e626-4f98-8337-47e88862acaf</t>
  </si>
  <si>
    <t>Darius Valtor</t>
  </si>
  <si>
    <t>Torald</t>
  </si>
  <si>
    <t>skyrim.esm|0F5D2D</t>
  </si>
  <si>
    <t>[{"type":"arrivee","avant":"","apres":"Darius Valtor"}]</t>
  </si>
  <si>
    <t>Brise-Roche</t>
  </si>
  <si>
    <t>{"prenom":"Darius","nom":"Valtor","grade":"Recrue","corps":"Cité de Blancherive","status":"En service actif"}</t>
  </si>
  <si>
    <t>sentinel.esp|000B34</t>
  </si>
  <si>
    <t>5e874f1a-f513-41ab-8bd8-59e1e497e248</t>
  </si>
  <si>
    <t>Bosmer Blade</t>
  </si>
  <si>
    <t>2026-09-15T13:20:29.894Z</t>
  </si>
  <si>
    <t>5d768ff1-d0b2-400b-be58-0427ca0f0496</t>
  </si>
  <si>
    <t>sentinel.esp|000B33</t>
  </si>
  <si>
    <t>Bosmer Bow</t>
  </si>
  <si>
    <t>Marius Renatus</t>
  </si>
  <si>
    <t>[{"type":"arrivee","avant":"","apres":"Marius Renatus"}]</t>
  </si>
  <si>
    <t>{"prenom":"Marius","nom":"Renatus","grade":"Recrue","corps":"Cité de Blancherive","status":"En service actif"}</t>
  </si>
  <si>
    <t>skyrim.esm|06A707</t>
  </si>
  <si>
    <t>Briseroc</t>
  </si>
  <si>
    <t>acc03bca-7f96-435b-920b-b5989020fee3</t>
  </si>
  <si>
    <t>2026-09-15T14:04:50.662Z</t>
  </si>
  <si>
    <t>skyrim.esm|022265</t>
  </si>
  <si>
    <t>77455d45-5de2-46b4-9a4f-a947085d8219</t>
  </si>
  <si>
    <t>Bûcheronne</t>
  </si>
  <si>
    <t>Octan Renatus</t>
  </si>
  <si>
    <t>[{"type":"arrivee","avant":"","apres":"Octan Renatus"}]</t>
  </si>
  <si>
    <t>skyrim.esm|07A91A</t>
  </si>
  <si>
    <t>{"prenom":"Octan","nom":"Renatus","grade":"Recrue","corps":"Cité de Blancherive","status":"En service actif"}</t>
  </si>
  <si>
    <t>Cimeterre</t>
  </si>
  <si>
    <t>sentinel.esp|000B25</t>
  </si>
  <si>
    <t>1a53394f-7d2e-4764-ac09-264a3b4c1788</t>
  </si>
  <si>
    <t>2026-09-15T16:14:18.892Z</t>
  </si>
  <si>
    <t>Common Arming Sword</t>
  </si>
  <si>
    <t>{"prenom":"Asvald'ur","nom":"","grade":"Garde","corps":"Faubourgs de Blancherive","status":"Démissionnaire"}</t>
  </si>
  <si>
    <t>0f197a8a-1da4-4156-9d22-4a0dd07bc23c</t>
  </si>
  <si>
    <t>2026-09-15T17:37:42.347Z</t>
  </si>
  <si>
    <t>{"prenom":"Chasse-poulet","nom":"","grade":"Garde","corps":"Rivebois","status":"En service actif"}</t>
  </si>
  <si>
    <t>sentinel.esp|000B2B</t>
  </si>
  <si>
    <t>fec948d6-8c88-458d-ba43-1d2d510771be</t>
  </si>
  <si>
    <t>Common Broadaxe</t>
  </si>
  <si>
    <t>2026-09-15T18:06:00.616Z</t>
  </si>
  <si>
    <t>sentinel.esp|000B2C</t>
  </si>
  <si>
    <t>Common Dagger</t>
  </si>
  <si>
    <t>{"prenom":"Selene","nom":"","grade":"Garde","corps":"Cité de Blancherive","status":"En service actif"}</t>
  </si>
  <si>
    <t>sentinel.esp|000B2A</t>
  </si>
  <si>
    <t>Common Hafted Axe</t>
  </si>
  <si>
    <t>57b6336a-d360-4264-8592-10385f5cbbbb</t>
  </si>
  <si>
    <t>2026-09-15T18:42:25.614Z</t>
  </si>
  <si>
    <t>sentinel.esp|000B27</t>
  </si>
  <si>
    <t>Common Hand Axe</t>
  </si>
  <si>
    <t>{"prenom":"Do'Rhazir","nom":"","grade":"Garde","corps":"Eclaireur","status":"En service actif"}</t>
  </si>
  <si>
    <t>sentinel.esp|000B24</t>
  </si>
  <si>
    <t>Common Sword</t>
  </si>
  <si>
    <t>409ea9fc-be13-4712-830d-9f7cd17f95ad</t>
  </si>
  <si>
    <t>sentinel.esp|000B26</t>
  </si>
  <si>
    <t>Common War Axe</t>
  </si>
  <si>
    <t>2026-09-15T18:42:34.100Z</t>
  </si>
  <si>
    <t>skyrim.esm|0F9648</t>
  </si>
  <si>
    <t>Courage d'Herebane</t>
  </si>
  <si>
    <t>{"prenom":"Ma'arl","nom":"","grade":"Garde","corps":"Eclaireur","status":"En service actif"}</t>
  </si>
  <si>
    <t>skyrim.esm|01F25A</t>
  </si>
  <si>
    <t>Couteau</t>
  </si>
  <si>
    <t>3959ca91-9861-4ad8-9350-47394ff0b2a5</t>
  </si>
  <si>
    <t>2026-09-15T18:42:46.151Z</t>
  </si>
  <si>
    <t>skyrim.esm|035066</t>
  </si>
  <si>
    <t>Crâne de la Corruption</t>
  </si>
  <si>
    <t>{"prenom":"Ri'Jhan","nom":"MoonShadow","grade":"Garde","corps":"Eclaireur","status":"En service actif"}</t>
  </si>
  <si>
    <t>skyrim.esm|0F8313</t>
  </si>
  <si>
    <t>fafc66d0-6066-4c98-8739-f8664356e698</t>
  </si>
  <si>
    <t>Cristalgide</t>
  </si>
  <si>
    <t>2026-09-15T18:54:26.030Z</t>
  </si>
  <si>
    <t>skyrim.esm|0F8314</t>
  </si>
  <si>
    <t>[{"type":"grade","avant":"Garde","apres":"Caporal-Chef"}]</t>
  </si>
  <si>
    <t>{"prenom":"Kendall","nom":"Delamare","grade":"Caporal-Chef","corps":"Cité de Blancherive","status":"En service actif"}</t>
  </si>
  <si>
    <t>skyrim.esm|0F8315</t>
  </si>
  <si>
    <t>ef56a828-01bb-43be-b3a1-0b40acd2ae38</t>
  </si>
  <si>
    <t>2026-09-15T18:57:42.578Z</t>
  </si>
  <si>
    <t>skyrim.esm|0F8316</t>
  </si>
  <si>
    <t>[{"type":"grade","avant":"Garde","apres":"Recrue"}]</t>
  </si>
  <si>
    <t>skyrim.esm|0F8317</t>
  </si>
  <si>
    <t>409d3cb1-51c7-4d7c-b1fe-6330c7f14021</t>
  </si>
  <si>
    <t>2026-09-15T19:05:07.730Z</t>
  </si>
  <si>
    <t>skyrim.esm|0F8318</t>
  </si>
  <si>
    <t>[{"type":"grade","avant":"Caporal-Chef","apres":"Caporal"}]</t>
  </si>
  <si>
    <t>skyrim.esm|0D0758</t>
  </si>
  <si>
    <t>{"prenom":"Kendall","nom":"Delamare","grade":"Caporal","corps":"Cité de Blancherive","status":"En service actif"}</t>
  </si>
  <si>
    <t>Croc de Kahvozein</t>
  </si>
  <si>
    <t>1d7e244a-ff32-4dff-b242-dcaf2a7b1e8c</t>
  </si>
  <si>
    <t>2026-09-16T08:55:59.271Z</t>
  </si>
  <si>
    <t>skyrim.esm|0A6A16</t>
  </si>
  <si>
    <t>[{"type":"grade","avant":"Sergent","apres":"Caporal-Chef"}]</t>
  </si>
  <si>
    <t>Dague d'acier bénie</t>
  </si>
  <si>
    <t>{"prenom":"Lous","nom":"Bois","grade":"Caporal-Chef","corps":"Rivebois","status":"En service actif"}</t>
  </si>
  <si>
    <t>skyrim.esm|0A6A14</t>
  </si>
  <si>
    <t>059a5979-6c0a-4e69-9138-e6546b68d62d</t>
  </si>
  <si>
    <t>Dague d'acier d'abattement</t>
  </si>
  <si>
    <t>2026-09-17T08:50:56.855Z</t>
  </si>
  <si>
    <t>skyrim.esm|0A6A09</t>
  </si>
  <si>
    <t>Dague d'acier d'amenuisement</t>
  </si>
  <si>
    <t>{"prenom":"Eldrim","nom":"Hache-Grise","grade":"Cadet","corps":"Cité de Blancherive","status":"Déserteur"}</t>
  </si>
  <si>
    <t>4525574c-ce9f-4260-be4f-f4b8f4ccf896</t>
  </si>
  <si>
    <t>2026-09-17T08:55:35.650Z</t>
  </si>
  <si>
    <t>skyrim.esm|0A6A0E</t>
  </si>
  <si>
    <t>f4dc83ff-b681-4f56-8c33-d6c54c0b482c</t>
  </si>
  <si>
    <t>Dague d'acier d'anima</t>
  </si>
  <si>
    <t>Danse-parmis-les-fous</t>
  </si>
  <si>
    <t>[{"type":"arrivee","avant":"","apres":"Danse-parmis-les-fous"}]</t>
  </si>
  <si>
    <t>{"prenom":"Danse-parmis-les-fous","nom":"","grade":"Recrue","corps":"Cité de Blancherive","status":"En service actif"}</t>
  </si>
  <si>
    <t>skyrim.esm|0A6A0D</t>
  </si>
  <si>
    <t>bf6bafd9-4114-477f-a55d-b27ecb63062c</t>
  </si>
  <si>
    <t>Dague d'acier d'éclairs</t>
  </si>
  <si>
    <t>2026-09-17T08:56:39.664Z</t>
  </si>
  <si>
    <t>269a8956-da3b-4842-8d44-a8edb6098053</t>
  </si>
  <si>
    <t>skyrim.esm|0A6A0B</t>
  </si>
  <si>
    <t>Gabbo</t>
  </si>
  <si>
    <t>Dague d'acier d'étincelles</t>
  </si>
  <si>
    <t>[{"type":"arrivee","avant":"","apres":"Gabbo"}]</t>
  </si>
  <si>
    <t>{"prenom":"Gabbo","nom":"","grade":"Recrue","corps":"Cité de Blancherive","status":"En service actif"}</t>
  </si>
  <si>
    <t>skyrim.esm|0A6A02</t>
  </si>
  <si>
    <t>Dague d'acier d'incandescence</t>
  </si>
  <si>
    <t>b338c421-4bf8-4948-b2f8-65bc9256e4d4</t>
  </si>
  <si>
    <t>2026-09-17T09:15:46.220Z</t>
  </si>
  <si>
    <t>skyrim.esm|0A69FF</t>
  </si>
  <si>
    <t>Dague d'acier d'intimidation</t>
  </si>
  <si>
    <t>{"prenom":"Danse-parmis-les-fous","nom":"","grade":"Recrue","corps":"Cité de Blancherive","status":"Démissionnaire"}</t>
  </si>
  <si>
    <t>skyrim.esm|0A6A03</t>
  </si>
  <si>
    <t>f78236f0-42d9-4242-ba9b-cc4bdeee8922</t>
  </si>
  <si>
    <t>Dague d'acier de brûlure</t>
  </si>
  <si>
    <t>2026-09-17T09:30:02.872Z</t>
  </si>
  <si>
    <t>skyrim.esm|0A6A11</t>
  </si>
  <si>
    <t>Dague d'acier de capture</t>
  </si>
  <si>
    <t>{"prenom":"Al'Dran","nom":"","grade":"Garde","corps":"Cité de Blancherive","status":"Démissionnaire"}</t>
  </si>
  <si>
    <t>skyrim.esm|0A6A01</t>
  </si>
  <si>
    <t>39dcf4b8-b125-4faa-9c3d-e2efdc30a339</t>
  </si>
  <si>
    <t>Dague d'acier de crainte</t>
  </si>
  <si>
    <t>2026-09-18T18:34:36.836Z</t>
  </si>
  <si>
    <t>skyrim.esm|0A6A0C</t>
  </si>
  <si>
    <t>Dague d'acier de décharge</t>
  </si>
  <si>
    <t>{"prenom":"Jo'Vakhet","nom":"","grade":"Garde","corps":"Eclaireur","status":"En service actif"}</t>
  </si>
  <si>
    <t>skyrim.esm|0A6A12</t>
  </si>
  <si>
    <t>Il-draz</t>
  </si>
  <si>
    <t>Dague d'acier de fatigue</t>
  </si>
  <si>
    <t>6e36135b-562f-4e00-9c0c-5c9c74214da0</t>
  </si>
  <si>
    <t>2026-09-19T06:26:22.012Z</t>
  </si>
  <si>
    <t>skyrim.esm|0A6A04</t>
  </si>
  <si>
    <t>Dague d'acier de flammes</t>
  </si>
  <si>
    <t>{"prenom":"Thorin","nom":"Rivegel","grade":"Lieutenant","corps":"Cité de Blancherive","status":"Déserteur"}</t>
  </si>
  <si>
    <t>skyrim.esm|0A6A05</t>
  </si>
  <si>
    <t>Dague d'acier de frisson</t>
  </si>
  <si>
    <t>a63d2e11-0887-4e17-81b0-8c59951e3ef0</t>
  </si>
  <si>
    <t>2026-09-19T06:26:47.129Z</t>
  </si>
  <si>
    <t>skyrim.esm|0A6A07</t>
  </si>
  <si>
    <t>Dague d'acier de givre</t>
  </si>
  <si>
    <t>[{"type":"corps","avant":"Cité de Blancherive","apres":"Hird du Jarl"}]</t>
  </si>
  <si>
    <t>skyrim.esm|0A6A06</t>
  </si>
  <si>
    <t>{"prenom":"Selene","nom":"","grade":"Garde","corps":"Hird du Jarl","status":"En service actif"}</t>
  </si>
  <si>
    <t>Dague d'acier de glace</t>
  </si>
  <si>
    <t>880be9cf-3986-4d87-8cb6-c8d34327e42f</t>
  </si>
  <si>
    <t>skyrim.esm|09F25D</t>
  </si>
  <si>
    <t>2026-09-19T10:09:30.183Z</t>
  </si>
  <si>
    <t>Dague d'acier de la Forgeciel</t>
  </si>
  <si>
    <t>skyrim.esm|0A6A13</t>
  </si>
  <si>
    <t>Dague d'acier de lassitude</t>
  </si>
  <si>
    <t>{"prenom":"Astrid","nom":"Lame-Fine","grade":"Capitaine","corps":"Cité de Blancherive","status":"Mis en réserve"}</t>
  </si>
  <si>
    <t>skyrim.esm|0A6A10</t>
  </si>
  <si>
    <t>c1538964-835f-40ca-9a36-8db1d20c53c4</t>
  </si>
  <si>
    <t>Dague d'acier de piège</t>
  </si>
  <si>
    <t>2026-09-19T10:10:07.658Z</t>
  </si>
  <si>
    <t>skyrim.esm|0A6A0A</t>
  </si>
  <si>
    <t>Dague d'acier de réduction</t>
  </si>
  <si>
    <t>{"prenom":"Alza'gar","nom":"","grade":"Recrue","corps":"Cité de Blancherive","status":"Démissionnaire"}</t>
  </si>
  <si>
    <t>skyrim.esm|0A6A08</t>
  </si>
  <si>
    <t>f938f46a-2903-4ad2-88ec-2ccfbdffeabe</t>
  </si>
  <si>
    <t>Dague d'acier de sape</t>
  </si>
  <si>
    <t>2026-09-19T10:10:22.650Z</t>
  </si>
  <si>
    <t>skyrim.esm|0A6A00</t>
  </si>
  <si>
    <t>Dague d'acier de veulerie</t>
  </si>
  <si>
    <t>skyrim.esm|0A6A15</t>
  </si>
  <si>
    <t>Dague d'acier pieuse</t>
  </si>
  <si>
    <t>{"prenom":"Gabbo","nom":"","grade":"Recrue","corps":"Cité de Blancherive","status":"Démissionnaire"}</t>
  </si>
  <si>
    <t>skyrim.esm|0A6A17</t>
  </si>
  <si>
    <t>38f5d134-5948-4e6d-ae8a-22f685a2f08d</t>
  </si>
  <si>
    <t>Dague d'acier vertueuse</t>
  </si>
  <si>
    <t>2026-09-19T10:11:03.395Z</t>
  </si>
  <si>
    <t>skyrim.esm|043E1E</t>
  </si>
  <si>
    <t>Dague d'Alessandra</t>
  </si>
  <si>
    <t>{"prenom":"Aldric","nom":"Cendre-coeur","grade":"Recrue","corps":"Cité de Blancherive","status":"Déserteur"}</t>
  </si>
  <si>
    <t>skyrim.esm|0139AE</t>
  </si>
  <si>
    <t>Dague d'ébonite</t>
  </si>
  <si>
    <t>503c2553-bd04-477b-aa82-1e7ece226120</t>
  </si>
  <si>
    <t>skyrim.esm|0BF41F</t>
  </si>
  <si>
    <t>Dague d'ébonite d'absorption</t>
  </si>
  <si>
    <t>2026-09-19T16:53:37.970Z</t>
  </si>
  <si>
    <t>skyrim.esm|0BF43C</t>
  </si>
  <si>
    <t>Dague d'ébonite d'anathème</t>
  </si>
  <si>
    <t>skyrim.esm|0BF42A</t>
  </si>
  <si>
    <t>{"prenom":"Malivor","nom":"Xernes","grade":"Garde","corps":"Cap Granite","status":"Démissionnaire"}</t>
  </si>
  <si>
    <t>Dague d'ébonite d'angoisse</t>
  </si>
  <si>
    <t>Gorbash</t>
  </si>
  <si>
    <t>Tête-de-Pierre</t>
  </si>
  <si>
    <t>72be7a83-70d9-4342-8224-e2687621ac9d</t>
  </si>
  <si>
    <t>2026-09-20T17:05:02.758Z</t>
  </si>
  <si>
    <t>skyrim.esm|0BF429</t>
  </si>
  <si>
    <t>Dague d'ébonite d'annihilation</t>
  </si>
  <si>
    <t>skyrim.esm|0BF426</t>
  </si>
  <si>
    <t>Dague d'ébonite d'assimilation</t>
  </si>
  <si>
    <t>skyrim.esm|0BF42C</t>
  </si>
  <si>
    <t>Dague d'ébonite d'effroi</t>
  </si>
  <si>
    <t>42afb43a-53f6-4de6-ab30-3c3e5efc2e35</t>
  </si>
  <si>
    <t>2026-09-20T21:00:28.823Z</t>
  </si>
  <si>
    <t>skyrim.esm|0BF425</t>
  </si>
  <si>
    <t>Dague d'ébonite d'engrangement</t>
  </si>
  <si>
    <t>{"prenom":"Hakon","nom":"Grisetoison","grade":"Capitaine","corps":"Rivebois","status":"Mort en service actif"}</t>
  </si>
  <si>
    <t>skyrim.esm|0BF441</t>
  </si>
  <si>
    <t>Dague d'ébonite d'épuisement</t>
  </si>
  <si>
    <t>138950e1-d08f-409d-8b62-a5832beac895</t>
  </si>
  <si>
    <t>Armand</t>
  </si>
  <si>
    <t>2026-09-20T21:00:44.118Z</t>
  </si>
  <si>
    <t>skyrim.esm|0BF422</t>
  </si>
  <si>
    <t>De Valclair</t>
  </si>
  <si>
    <t>Dague d'ébonite d'évocation</t>
  </si>
  <si>
    <t>[{"type":"grade","avant":"Lieutenant-Chef","apres":"Capitaine"}]</t>
  </si>
  <si>
    <t>skyrim.esm|0BF428</t>
  </si>
  <si>
    <t>Dague d'ébonite d'expulsion</t>
  </si>
  <si>
    <t>{"prenom":"Brand","nom":"Grisetoison","grade":"Capitaine","corps":"Rivebois","status":"En service actif"}</t>
  </si>
  <si>
    <t>skyrim.esm|0BF437</t>
  </si>
  <si>
    <t>6b2ee125-6636-4dd7-9424-a0763eece8da</t>
  </si>
  <si>
    <t>Dague d'ébonite d'immobilisation</t>
  </si>
  <si>
    <t>2026-09-20T21:41:20.703Z</t>
  </si>
  <si>
    <t>skyrim.esm|0BF42F</t>
  </si>
  <si>
    <t>Dague d'ébonite d'incinération</t>
  </si>
  <si>
    <t>skyrim.esm|0BF436</t>
  </si>
  <si>
    <t>Dague d'ébonite d'inertie</t>
  </si>
  <si>
    <t>{"prenom":"Aranthir","nom":"","grade":"Garde","corps":"Bois-de-Chêne","status":"Démissionnaire"}</t>
  </si>
  <si>
    <t>e06ec046-e57c-48a7-9750-c140bb1a4671</t>
  </si>
  <si>
    <t>skyrim.esm|0BF427</t>
  </si>
  <si>
    <t>2026-09-20T21:43:59.191Z</t>
  </si>
  <si>
    <t>Dague d'ébonite de bannissement</t>
  </si>
  <si>
    <t>Si'Yara</t>
  </si>
  <si>
    <t>dite Fou</t>
  </si>
  <si>
    <t>skyrim.esm|0BF431</t>
  </si>
  <si>
    <t>Dague d'ébonite de blizzard</t>
  </si>
  <si>
    <t>{"prenom":"Azan","nom":"Korf","grade":"Garde","corps":"Bois-de-Chêne","status":"Démissionnaire"}</t>
  </si>
  <si>
    <t>skyrim.esm|0BF42E</t>
  </si>
  <si>
    <t>Dague d'ébonite de brasier</t>
  </si>
  <si>
    <t>2b291ef3-4ebb-41ab-83e5-87a855a2bc54</t>
  </si>
  <si>
    <t>2026-09-20T21:56:59.434Z</t>
  </si>
  <si>
    <t>skyrim.esm|0BF43E</t>
  </si>
  <si>
    <t>Dague d'ébonite de damnation</t>
  </si>
  <si>
    <t>skyrim.esm|0BF434</t>
  </si>
  <si>
    <t>Dague d'ébonite de débilitation</t>
  </si>
  <si>
    <t>[{"type":"grade","avant":"Garde","apres":"Sergent-Chef"}]</t>
  </si>
  <si>
    <t>skyrim.esm|0BF433</t>
  </si>
  <si>
    <t>{"prenom":"Björn","nom":"Horudin","grade":"Sergent-Chef","corps":"Bois-de-Chêne","status":"En service actif"}</t>
  </si>
  <si>
    <t>Dague d'ébonite de dégradation</t>
  </si>
  <si>
    <t>493a2ba3-9143-40f3-87dc-3ed5343178ed</t>
  </si>
  <si>
    <t>skyrim.esm|0BF41E</t>
  </si>
  <si>
    <t>2026-09-20T22:11:02.000Z</t>
  </si>
  <si>
    <t>Dague d'ébonite de dévorement</t>
  </si>
  <si>
    <t>Lokh</t>
  </si>
  <si>
    <t>Tar</t>
  </si>
  <si>
    <t>skyrim.esm|0BF42D</t>
  </si>
  <si>
    <t>Dague d'ébonite de flambée</t>
  </si>
  <si>
    <t>skyrim.esm|0BF430</t>
  </si>
  <si>
    <t>Dague d'ébonite de frimas</t>
  </si>
  <si>
    <t>{"prenom":"Thorulf","nom":"","grade":"Sergent-Chef","corps":"Bois-de-Chêne","status":"En service actif"}</t>
  </si>
  <si>
    <t>skyrim.esm|0BF43B</t>
  </si>
  <si>
    <t>f88c32c1-eecc-4234-8527-2e09d948361f</t>
  </si>
  <si>
    <t>Dague d'ébonite de fulguration</t>
  </si>
  <si>
    <t>2026-09-20T22:11:58.395Z</t>
  </si>
  <si>
    <t>skyrim.esm|0BF432</t>
  </si>
  <si>
    <t>Dague d'ébonite de glaciation</t>
  </si>
  <si>
    <t>{"prenom":"Balmyra","nom":"","grade":"Garde","corps":"Bois-de-Chêne","status":"En service actif"}</t>
  </si>
  <si>
    <t>skyrim.esm|0BF440</t>
  </si>
  <si>
    <t>Dague d'ébonite de léthargie</t>
  </si>
  <si>
    <t>8ab6f31c-6ce7-4306-a990-ebee5dd8daf4</t>
  </si>
  <si>
    <t>Theodrek</t>
  </si>
  <si>
    <t>skyrim.esm|0BF43D</t>
  </si>
  <si>
    <t>2026-09-20T22:21:14.750Z</t>
  </si>
  <si>
    <t>Heid</t>
  </si>
  <si>
    <t>Dague d'ébonite de malédiction</t>
  </si>
  <si>
    <t>skyrim.esm|0BF438</t>
  </si>
  <si>
    <t>{"prenom":"Ulfgar","nom":"L'oiseau de nuit","grade":"Lieutenant-Chef","corps":"Rivebois","status":"En service actif"}</t>
  </si>
  <si>
    <t>Dague d'ébonite de pétrification</t>
  </si>
  <si>
    <t>597b26ad-d87a-4c86-9314-97607d4c4948</t>
  </si>
  <si>
    <t>skyrim.esm|0BF424</t>
  </si>
  <si>
    <t>2026-09-20T22:22:29.537Z</t>
  </si>
  <si>
    <t>Dague d'ébonite de récolte</t>
  </si>
  <si>
    <t>skyrim.esm|0BF423</t>
  </si>
  <si>
    <t>Dague d'ébonite de sorcellerie</t>
  </si>
  <si>
    <t>skyrim.esm|0BF435</t>
  </si>
  <si>
    <t>Dague d'ébonite de suppression</t>
  </si>
  <si>
    <t>{"prenom":"Simon","nom":"Démont","grade":"Garde","corps":"Bois-de-Chêne","status":"Mis en réserve"}</t>
  </si>
  <si>
    <t>bf254cd4-947f-479b-9936-d635d6f6be64</t>
  </si>
  <si>
    <t>2026-09-20T22:23:14.770Z</t>
  </si>
  <si>
    <t>skyrim.esm|0BF43A</t>
  </si>
  <si>
    <t>Dague d'ébonite de tempête</t>
  </si>
  <si>
    <t>skyrim.esm|0BF42B</t>
  </si>
  <si>
    <t>{"prenom":"Hemar","nom":"War-seer","grade":"Garde","corps":"Bois-de-Chêne","status":"Mis en réserve"}</t>
  </si>
  <si>
    <t>Dague d'ébonite de terreur</t>
  </si>
  <si>
    <t>0b236d95-c645-47a0-b43e-4479d656c44f</t>
  </si>
  <si>
    <t>skyrim.esm|0BF439</t>
  </si>
  <si>
    <t>2026-09-22T18:36:34.233Z</t>
  </si>
  <si>
    <t>Dague d'ébonite de tonnerre</t>
  </si>
  <si>
    <t>{"prenom":"Hemar","nom":"War-seer","grade":"Garde","corps":"Bois-de-Chêne","status":"Déserteur"}</t>
  </si>
  <si>
    <t>skyrim.esm|0BF43F</t>
  </si>
  <si>
    <t>Dague d'ébonite de torpeur</t>
  </si>
  <si>
    <t>62fceae1-fca4-4f49-9bdc-eda5d1ee2c3b</t>
  </si>
  <si>
    <t>2026-09-22T18:37:25.967Z</t>
  </si>
  <si>
    <t>skyrim.esm|0BF421</t>
  </si>
  <si>
    <t>Dague d'ébonite de transfusion</t>
  </si>
  <si>
    <t>{"prenom":"Simon","nom":"Démont","grade":"Garde","corps":"Bois-de-Chêne","status":"Déserteur"}</t>
  </si>
  <si>
    <t>skyrim.esm|0BF420</t>
  </si>
  <si>
    <t>Lucius</t>
  </si>
  <si>
    <t>Dague d'ébonite de vampirisme</t>
  </si>
  <si>
    <t>Ravenshield</t>
  </si>
  <si>
    <t>93dc2c1d-00ae-49fa-a464-12ff1b5bfe39</t>
  </si>
  <si>
    <t>2026-09-23T15:16:37.449Z</t>
  </si>
  <si>
    <t>skyrim.esm|0BF444</t>
  </si>
  <si>
    <t>Dague d'ébonite sacrée</t>
  </si>
  <si>
    <t>skyrim.esm|0BF443</t>
  </si>
  <si>
    <t>Dague d'ébonite sainte</t>
  </si>
  <si>
    <t>{"prenom":"Vranx","nom":"Thorgar","grade":"Garde","corps":"Cap Granite","status":"En service actif"}</t>
  </si>
  <si>
    <t>skyrim.esm|0BF442</t>
  </si>
  <si>
    <t>Dague d'ébonite sanctifiée</t>
  </si>
  <si>
    <t>1713ed67-1f87-4c09-b22a-39dba3696472</t>
  </si>
  <si>
    <t>2026-09-23T18:12:47.202Z</t>
  </si>
  <si>
    <t>dawnguard.esm|014FCB</t>
  </si>
  <si>
    <t>Dague d'os de dragon</t>
  </si>
  <si>
    <t>skyrim.esm|0139B6</t>
  </si>
  <si>
    <t>Dague daedra</t>
  </si>
  <si>
    <t xml:space="preserve">Krakan </t>
  </si>
  <si>
    <t>Valyn</t>
  </si>
  <si>
    <t>9a433114-cc98-4fa3-81ce-18471b1746e4</t>
  </si>
  <si>
    <t>skyrim.esm|01DFFE</t>
  </si>
  <si>
    <t>2026-09-23T18:13:32.058Z</t>
  </si>
  <si>
    <t>Dague daedra d'absorption</t>
  </si>
  <si>
    <t>skyrim.esm|01E089</t>
  </si>
  <si>
    <t>Dague daedra d'anathème</t>
  </si>
  <si>
    <t>56e0e1af-cded-42a9-a674-a5945d35b7ba</t>
  </si>
  <si>
    <t>skyrim.esm|01E009</t>
  </si>
  <si>
    <t>2026-09-23T18:13:42.460Z</t>
  </si>
  <si>
    <t>Dague daedra d'angoisse</t>
  </si>
  <si>
    <t>skyrim.esm|01E008</t>
  </si>
  <si>
    <t>Dague daedra d'annihilation</t>
  </si>
  <si>
    <t>{"prenom":"Crocozaure","nom":"","grade":"Cadet","corps":"Cité de Blancherive","status":"En service actif"}</t>
  </si>
  <si>
    <t>skyrim.esm|01E005</t>
  </si>
  <si>
    <t>6004100f-ccbc-4df5-8a5f-22dc1953a38a</t>
  </si>
  <si>
    <t>Dague daedra d'assimilation</t>
  </si>
  <si>
    <t>Bois-de-Chêne</t>
  </si>
  <si>
    <t>2026-09-23T18:13:59.977Z</t>
  </si>
  <si>
    <t>skyrim.esm|01E022</t>
  </si>
  <si>
    <t>Dague daedra d'effroi</t>
  </si>
  <si>
    <t>{"prenom":"Octan","nom":"Renatus","grade":"Recrue","corps":"Cité de Blancherive","status":"Déserteur"}</t>
  </si>
  <si>
    <t>skyrim.esm|01E004</t>
  </si>
  <si>
    <t>Dague daedra d'engrangement</t>
  </si>
  <si>
    <t>52ba379c-0a65-478e-b9c1-199a6cd815df</t>
  </si>
  <si>
    <t>2026-09-23T18:49:34.829Z</t>
  </si>
  <si>
    <t>skyrim.esm|01E0D9</t>
  </si>
  <si>
    <t>Dague daedra d'épuisement</t>
  </si>
  <si>
    <t>[{"type":"grade","avant":"Garde","apres":"Caporal"}]</t>
  </si>
  <si>
    <t>{"prenom":"Laguerta","nom":"Fende-Sillon","grade":"Caporal","corps":"Rivebois","status":"En service actif"}</t>
  </si>
  <si>
    <t>skyrim.esm|01E001</t>
  </si>
  <si>
    <t>Dague daedra d'évocation</t>
  </si>
  <si>
    <t>27f166bd-eea7-4a4e-8bad-993c3e69ef27</t>
  </si>
  <si>
    <t>2026-09-24T07:42:45.144Z</t>
  </si>
  <si>
    <t>skyrim.esm|01E007</t>
  </si>
  <si>
    <t>Dague daedra d'expulsion</t>
  </si>
  <si>
    <t>{"prenom":"Pavis","nom":"Gurdalval","grade":"Capitaine","corps":"Cap Granite","status":"En service actif"}</t>
  </si>
  <si>
    <t>skyrim.esm|01E084</t>
  </si>
  <si>
    <t>Dague daedra d'immobilisation</t>
  </si>
  <si>
    <t>ced5cbef-9f01-4895-9eaa-24ae7758f6f5</t>
  </si>
  <si>
    <t>skyrim.esm|01E033</t>
  </si>
  <si>
    <t>2026-09-24T07:43:05.821Z</t>
  </si>
  <si>
    <t>Dague daedra d'incinération</t>
  </si>
  <si>
    <t>skyrim.esm|01E083</t>
  </si>
  <si>
    <t>Dague daedra d'inertie</t>
  </si>
  <si>
    <t>skyrim.esm|01E006</t>
  </si>
  <si>
    <t>Dague daedra de bannissement</t>
  </si>
  <si>
    <t>skyrim.esm|01E05C</t>
  </si>
  <si>
    <t>Varaa</t>
  </si>
  <si>
    <t>Dague daedra de blizzard</t>
  </si>
  <si>
    <t>Uzgar</t>
  </si>
  <si>
    <t>skyrim.esm|01E024</t>
  </si>
  <si>
    <t>Dague daedra de brasier</t>
  </si>
  <si>
    <t>skyrim.esm|01E0D6</t>
  </si>
  <si>
    <t>Dague daedra de damnation</t>
  </si>
  <si>
    <t>skyrim.esm|01E081</t>
  </si>
  <si>
    <t>Dague daedra de débilitation</t>
  </si>
  <si>
    <t>skyrim.esm|01E071</t>
  </si>
  <si>
    <t>Dague daedra de dégradation</t>
  </si>
  <si>
    <t>{"prenom":"Starkos","nom":"Coeurebene","grade":"Capitaine","corps":"Cap Granite","status":"Mis en réserve"}</t>
  </si>
  <si>
    <t>skyrim.esm|01DFFD</t>
  </si>
  <si>
    <t>Dague daedra de dévorement</t>
  </si>
  <si>
    <t>ca9069fb-f590-4333-b468-03b7bc3e9786</t>
  </si>
  <si>
    <t>2026-09-24T09:52:18.540Z</t>
  </si>
  <si>
    <t>skyrim.esm|01E023</t>
  </si>
  <si>
    <t>Dague daedra de flambée</t>
  </si>
  <si>
    <t>[{"type":"grade","avant":"Capitaine","apres":"Lieutenant-Chef"}]</t>
  </si>
  <si>
    <t>skyrim.esm|01E05B</t>
  </si>
  <si>
    <t>{"prenom":"Starkos","nom":"Coeurebene","grade":"Lieutenant-Chef","corps":"Cap Granite","status":"En service actif"}</t>
  </si>
  <si>
    <t>Dague daedra de frimas</t>
  </si>
  <si>
    <t>Grise-Toison</t>
  </si>
  <si>
    <t>skyrim.esm|01E088</t>
  </si>
  <si>
    <t>Dague daedra de fulguration</t>
  </si>
  <si>
    <t>7c871e1f-54c8-454a-aa6c-a45063129d79</t>
  </si>
  <si>
    <t>2026-09-24T09:53:35.170Z</t>
  </si>
  <si>
    <t>skyrim.esm|01E05D</t>
  </si>
  <si>
    <t>Dague daedra de glaciation</t>
  </si>
  <si>
    <t>{"prenom":"Octan","nom":"Renatus","grade":"Recrue","corps":"Cité de Blancherive","status":"Radié du service actif"}</t>
  </si>
  <si>
    <t>skyrim.esm|01E0D8</t>
  </si>
  <si>
    <t>Dague daedra de léthargie</t>
  </si>
  <si>
    <t>4527ab52-2642-446c-8677-929042964f1f</t>
  </si>
  <si>
    <t>2026-09-24T17:40:13.130Z</t>
  </si>
  <si>
    <t>skyrim.esm|01E09F</t>
  </si>
  <si>
    <t>941e54b9-325e-4b39-97a0-f0265214a782</t>
  </si>
  <si>
    <t>Dague daedra de malédiction</t>
  </si>
  <si>
    <t>Joki</t>
  </si>
  <si>
    <t>[{"type":"arrivee","avant":"","apres":"Joki"}]</t>
  </si>
  <si>
    <t>skyrim.esm|01E085</t>
  </si>
  <si>
    <t>{"prenom":"Joki","nom":"","grade":"Recrue","corps":"Cap Granite","status":"En service actif"}</t>
  </si>
  <si>
    <t>Dague daedra de pétrification</t>
  </si>
  <si>
    <t>skyrim.esm|01E003</t>
  </si>
  <si>
    <t>e980388d-fc43-4a75-8a0e-75029d5a8d75</t>
  </si>
  <si>
    <t>Dague daedra de récolte</t>
  </si>
  <si>
    <t>2026-09-25T16:51:23.744Z</t>
  </si>
  <si>
    <t>Ri'Jhan</t>
  </si>
  <si>
    <t>MoonShadow</t>
  </si>
  <si>
    <t>skyrim.esm|01E002</t>
  </si>
  <si>
    <t>Dague daedra de sorcellerie</t>
  </si>
  <si>
    <t>[{"type":"grade","avant":"Capitaine","apres":"Lieutenant"}]</t>
  </si>
  <si>
    <t>skyrim.esm|01E082</t>
  </si>
  <si>
    <t>{"prenom":"Thov","nom":"Lémartes","grade":"Lieutenant","corps":"Faubourgs de Blancherive","status":"En service actif"}</t>
  </si>
  <si>
    <t>Dague daedra de suppression</t>
  </si>
  <si>
    <t>Garde, Eclaireur</t>
  </si>
  <si>
    <t>8a81f4fd-4ccc-4723-99cb-125d58ed2036</t>
  </si>
  <si>
    <t>2026-09-25T16:52:14.162Z</t>
  </si>
  <si>
    <t>8c2d11b2-046e-467a-9405-796749ca957d</t>
  </si>
  <si>
    <t>skyrim.esm|01E087</t>
  </si>
  <si>
    <t>Harald le hardi</t>
  </si>
  <si>
    <t>Dague daedra de tempête</t>
  </si>
  <si>
    <t>[{"type":"arrivee","avant":"","apres":"Harald le hardi"}]</t>
  </si>
  <si>
    <t>{"prenom":"Harald le hardi","nom":"","grade":"Capitaine","corps":"Faubourgs de Blancherive","status":"En service actif"}</t>
  </si>
  <si>
    <t>skyrim.esm|01E018</t>
  </si>
  <si>
    <t>Dague daedra de terreur</t>
  </si>
  <si>
    <t>fa254a68-b177-481d-89b4-8df69dbd7786</t>
  </si>
  <si>
    <t>2026-09-25T16:53:31.949Z</t>
  </si>
  <si>
    <t>skyrim.esm|01E086</t>
  </si>
  <si>
    <t>27948d1f-6fa2-490f-ad29-63fe3890b501</t>
  </si>
  <si>
    <t>Dague daedra de tonnerre</t>
  </si>
  <si>
    <t>Zeid</t>
  </si>
  <si>
    <t>Le Brise-Lames</t>
  </si>
  <si>
    <t>skyrim.esm|01E0D7</t>
  </si>
  <si>
    <t>Knut Crâne-fou</t>
  </si>
  <si>
    <t>Dague daedra de torpeur</t>
  </si>
  <si>
    <t>[{"type":"arrivee","avant":"","apres":"Knut Crâne-fou"}]</t>
  </si>
  <si>
    <t>{"prenom":"Knut","nom":"Crâne-fou","grade":"Lieutenant-Chef","corps":"Faubourgs de Blancherive","status":"Mis en réserve"}</t>
  </si>
  <si>
    <t>skyrim.esm|01E000</t>
  </si>
  <si>
    <t>Dague daedra de transfusion</t>
  </si>
  <si>
    <t>32c9b5c2-f95f-4f93-96c9-c5095f04adf4</t>
  </si>
  <si>
    <t>skyrim.esm|01DFFF</t>
  </si>
  <si>
    <t>2026-09-25T16:54:36.672Z</t>
  </si>
  <si>
    <t>Dague daedra de vampirisme</t>
  </si>
  <si>
    <t>be2dd21f-6893-41ce-8c10-6274cd9990ce</t>
  </si>
  <si>
    <t>Asvaldur</t>
  </si>
  <si>
    <t>Azan</t>
  </si>
  <si>
    <t>skyrim.esm|01E0E7</t>
  </si>
  <si>
    <t>[{"type":"arrivee","avant":"","apres":"Asvaldur"}]</t>
  </si>
  <si>
    <t>Dague daedra sacrée</t>
  </si>
  <si>
    <t>Korf</t>
  </si>
  <si>
    <t>{"prenom":"Asvaldur","nom":"","grade":"Garde","corps":"Faubourgs de Blancherive","status":"En service actif"}</t>
  </si>
  <si>
    <t>skyrim.esm|01E0E6</t>
  </si>
  <si>
    <t>cb57bb67-3d8e-4026-8391-d12002b4828a</t>
  </si>
  <si>
    <t>Dague daedra sainte</t>
  </si>
  <si>
    <t>2026-09-25T16:55:36.278Z</t>
  </si>
  <si>
    <t>skyrim.esm|01E0DA</t>
  </si>
  <si>
    <t>5a90c061-5c65-4842-9738-c7a5774c200c</t>
  </si>
  <si>
    <t>Dague daedra sanctifiée</t>
  </si>
  <si>
    <t>Vaegon</t>
  </si>
  <si>
    <t>skyrim.esm|0ECD54</t>
  </si>
  <si>
    <t>[{"type":"arrivee","avant":"","apres":"Vaegon"}]</t>
  </si>
  <si>
    <t>Dague de Borvir</t>
  </si>
  <si>
    <t>{"prenom":"Vaegon","nom":"","grade":"Recrue","corps":"Faubourgs de Blancherive","status":"En service actif"}</t>
  </si>
  <si>
    <t>skyrim.esm|01397E</t>
  </si>
  <si>
    <t>759b5f60-9065-439d-a4bb-4df9d614b037</t>
  </si>
  <si>
    <t>Dague de fer</t>
  </si>
  <si>
    <t>Gruseldorf</t>
  </si>
  <si>
    <t>2026-09-25T16:56:44.583Z</t>
  </si>
  <si>
    <t>E. Jackeet</t>
  </si>
  <si>
    <t>skyrim.esm|0896F4</t>
  </si>
  <si>
    <t>2028645f-8c13-4e90-9168-a9da3421d3d0</t>
  </si>
  <si>
    <t>Dague de fer bénie</t>
  </si>
  <si>
    <t>Nymor</t>
  </si>
  <si>
    <t>skyrim.esm|089701</t>
  </si>
  <si>
    <t>Dague de fer d'abattement</t>
  </si>
  <si>
    <t>[{"type":"arrivee","avant":"","apres":"Nymor"}]</t>
  </si>
  <si>
    <t>{"prenom":"Nymor","nom":"","grade":"Recrue","corps":"Faubourgs de Blancherive","status":"En service actif"}</t>
  </si>
  <si>
    <t>skyrim.esm|0896D6</t>
  </si>
  <si>
    <t>Dague de fer d'amenuisement</t>
  </si>
  <si>
    <t>7cf6f4ff-8ef3-4677-bc0f-1d15fe90ae2b</t>
  </si>
  <si>
    <t>2026-09-25T17:06:49.788Z</t>
  </si>
  <si>
    <t>skyrim.esm|0896EA</t>
  </si>
  <si>
    <t>a1253c61-cf2b-462f-85de-d9d66a7169b3</t>
  </si>
  <si>
    <t>Dague de fer d'anima</t>
  </si>
  <si>
    <t>Vahne</t>
  </si>
  <si>
    <t>[{"type":"arrivee","avant":"","apres":"Vahne"}]</t>
  </si>
  <si>
    <t>skyrim.esm|0896CB</t>
  </si>
  <si>
    <t>{"prenom":"Vahne","nom":"","grade":"Recrue","corps":"Faubourgs de Blancherive","status":"En service actif"}</t>
  </si>
  <si>
    <t>Dague de fer d'éclairs</t>
  </si>
  <si>
    <t>Mordecai</t>
  </si>
  <si>
    <t>821cedb0-8ace-4f9d-875e-473533882257</t>
  </si>
  <si>
    <t>2026-09-25T20:28:44.308Z</t>
  </si>
  <si>
    <t>skyrim.esm|0896C9</t>
  </si>
  <si>
    <t>Dague de fer d'étincelles</t>
  </si>
  <si>
    <t>skyrim.esm|0896AE</t>
  </si>
  <si>
    <t>Dague de fer d'incandescence</t>
  </si>
  <si>
    <t>skyrim.esm|08970B</t>
  </si>
  <si>
    <t>{"prenom":"Thov","nom":"Lémartes","grade":"Lieutenant-Chef","corps":"Faubourgs de Blancherive","status":"En service actif"}</t>
  </si>
  <si>
    <t>Dague de fer d'intimidation</t>
  </si>
  <si>
    <t>Björn</t>
  </si>
  <si>
    <t>Horudin</t>
  </si>
  <si>
    <t>c9a38440-7486-40fc-90de-ef95bde63b58</t>
  </si>
  <si>
    <t>2026-09-25T20:29:09.289Z</t>
  </si>
  <si>
    <t>skyrim.esm|0896B4</t>
  </si>
  <si>
    <t>Dague de fer de brûlure</t>
  </si>
  <si>
    <t>skyrim.esm|0896EC</t>
  </si>
  <si>
    <t>{"prenom":"Barnabas","nom":"Tharmr","grade":"Lieutenant","corps":"Cap Granite","status":"En service actif"}</t>
  </si>
  <si>
    <t>Dague de fer de capture</t>
  </si>
  <si>
    <t>Hakon</t>
  </si>
  <si>
    <t>85fb0c62-4d86-4bd2-ae33-dbbc5694a367</t>
  </si>
  <si>
    <t>skyrim.esm|08970D</t>
  </si>
  <si>
    <t>Dague de fer de crainte</t>
  </si>
  <si>
    <t>2026-09-25T20:29:42.357Z</t>
  </si>
  <si>
    <t>skyrim.esm|0896CA</t>
  </si>
  <si>
    <t>Dague de fer de décharge</t>
  </si>
  <si>
    <t>{"prenom":"Vranx","nom":"Thorgar","grade":"Sergent-Chef","corps":"Cap Granite","status":"En service actif"}</t>
  </si>
  <si>
    <t>skyrim.esm|0896FF</t>
  </si>
  <si>
    <t>95982051-e5de-4c4d-8252-686ec9ab2a97</t>
  </si>
  <si>
    <t>Dague de fer de fatigue</t>
  </si>
  <si>
    <t>2026-09-25T21:13:25.590Z</t>
  </si>
  <si>
    <t>Hemar</t>
  </si>
  <si>
    <t>skyrim.esm|0896B5</t>
  </si>
  <si>
    <t>War-seer</t>
  </si>
  <si>
    <t>Dague de fer de flammes</t>
  </si>
  <si>
    <t>[{"type":"grade","avant":"Garde","apres":"Lieutenant"}]</t>
  </si>
  <si>
    <t>skyrim.esm|0896BD</t>
  </si>
  <si>
    <t>Dague de fer de frisson</t>
  </si>
  <si>
    <t>{"prenom":"Asvaldur","nom":"","grade":"Lieutenant","corps":"Faubourgs de Blancherive","status":"En service actif"}</t>
  </si>
  <si>
    <t>skyrim.esm|0896BF</t>
  </si>
  <si>
    <t>Lous</t>
  </si>
  <si>
    <t>Dague de fer de givre</t>
  </si>
  <si>
    <t>f396c696-fc9a-48ac-bfd8-9b260f51acac</t>
  </si>
  <si>
    <t>Bois</t>
  </si>
  <si>
    <t>2026-09-25T21:14:17.956Z</t>
  </si>
  <si>
    <t>skyrim.esm|0896BE</t>
  </si>
  <si>
    <t>Dague de fer de glace</t>
  </si>
  <si>
    <t>skyrim.esm|089700</t>
  </si>
  <si>
    <t>{"prenom":"Claudus","nom":"","grade":"Lieutenant","corps":"Faubourgs de Blancherive","status":"En service actif"}</t>
  </si>
  <si>
    <t>Dague de fer de lassitude</t>
  </si>
  <si>
    <t>70c3f595-df25-45dc-853c-3134561d2ad2</t>
  </si>
  <si>
    <t>skyrim.esm|0896EB</t>
  </si>
  <si>
    <t>2026-09-26T11:20:35.252Z</t>
  </si>
  <si>
    <t>Ra'zir</t>
  </si>
  <si>
    <t>Dague de fer de piège</t>
  </si>
  <si>
    <t>17b20e2f-355a-4652-84b2-c3d1dc07410b</t>
  </si>
  <si>
    <t>Poing-de-fer</t>
  </si>
  <si>
    <t>Drakane</t>
  </si>
  <si>
    <t>skyrim.esm|0896D7</t>
  </si>
  <si>
    <t>[{"type":"arrivee","avant":"","apres":"Drakane"}]</t>
  </si>
  <si>
    <t>Dague de fer de réduction</t>
  </si>
  <si>
    <t>{"prenom":"Drakane","nom":"","grade":"Recrue","corps":"Cité de Blancherive","status":"En service actif"}</t>
  </si>
  <si>
    <t>skyrim.esm|0896D5</t>
  </si>
  <si>
    <t>Brand</t>
  </si>
  <si>
    <t>2236a9a4-6f8d-474a-a9d9-753faa20d68b</t>
  </si>
  <si>
    <t>Dague de fer de sape</t>
  </si>
  <si>
    <t>2026-09-26T11:21:31.915Z</t>
  </si>
  <si>
    <t>2a9ac1cc-b527-449a-aa29-6398b5de9ad6</t>
  </si>
  <si>
    <t>skyrim.esm|08970C</t>
  </si>
  <si>
    <t>Dague de fer de veulerie</t>
  </si>
  <si>
    <t>Henry Bonacier</t>
  </si>
  <si>
    <t>[{"type":"arrivee","avant":"","apres":"Henry Bonacier"}]</t>
  </si>
  <si>
    <t>skyrim.esm|0896F3</t>
  </si>
  <si>
    <t>{"prenom":"Henry","nom":"Bonacier","grade":"Recrue","corps":"Cité de Blancherive","status":"En service actif"}</t>
  </si>
  <si>
    <t>Dague de fer pieuse</t>
  </si>
  <si>
    <t>de5d0dde-b0e0-47f9-8229-02285302f45c</t>
  </si>
  <si>
    <t>skyrim.esm|0896F5</t>
  </si>
  <si>
    <t>2026-09-26T13:16:43.471Z</t>
  </si>
  <si>
    <t>Dague de fer vertueuse</t>
  </si>
  <si>
    <t>Darius</t>
  </si>
  <si>
    <t>{"prenom":"Brand","nom":"Grisetoison","grade":"Capitaine","corps":"Rivebois","status":"Mort en service actif"}</t>
  </si>
  <si>
    <t>skyrim.esm|0240D2</t>
  </si>
  <si>
    <t>Blacktorn</t>
  </si>
  <si>
    <t>Dague de Mehrunes</t>
  </si>
  <si>
    <t>f1be15bf-ab99-4aad-806b-65306fdbe784</t>
  </si>
  <si>
    <t>2026-09-26T22:14:21.304Z</t>
  </si>
  <si>
    <t>skyrim.esm|01C1FE</t>
  </si>
  <si>
    <t>0df75dbc-390c-4f59-8f7a-b8c215be1477</t>
  </si>
  <si>
    <t>Dague de prêtre-dragon</t>
  </si>
  <si>
    <t>Lyrielle Audrin</t>
  </si>
  <si>
    <t>skyrim.esm|0ECD53</t>
  </si>
  <si>
    <t>[{"type":"arrivee","avant":"","apres":"Lyrielle Audrin"}]</t>
  </si>
  <si>
    <t>Dague de Rundi</t>
  </si>
  <si>
    <t>{"prenom":"Lyrielle","nom":"Audrin","grade":"Recrue","corps":"Cité de Blancherive","status":"En service actif"}</t>
  </si>
  <si>
    <t>dragonborn.esm|02847F</t>
  </si>
  <si>
    <t>99a083bf-c0fe-4703-a1ba-cbd3a1b39470</t>
  </si>
  <si>
    <t>2026-09-26T22:16:48.054Z</t>
  </si>
  <si>
    <t>Dague de stalhrim d'absorption</t>
  </si>
  <si>
    <t>0d843a1c-9fc5-478b-a92f-f7d4c2a7ce91</t>
  </si>
  <si>
    <t>Varkiath</t>
  </si>
  <si>
    <t>[{"type":"arrivee","avant":"","apres":"Varkiath"}]</t>
  </si>
  <si>
    <t>dragonborn.esm|028462</t>
  </si>
  <si>
    <t>{"prenom":"Varkiath","nom":"","grade":"Recrue","corps":"Cité de Blancherive","status":"En service actif"}</t>
  </si>
  <si>
    <t>Dague de stalhrim d'anathème</t>
  </si>
  <si>
    <t>Simon</t>
  </si>
  <si>
    <t>dragonborn.esm|028474</t>
  </si>
  <si>
    <t>Démont</t>
  </si>
  <si>
    <t>797b80d0-5bf0-47e2-845a-600299f7efda</t>
  </si>
  <si>
    <t>Dague de stalhrim d'angoisse</t>
  </si>
  <si>
    <t>2026-09-26T22:20:37.933Z</t>
  </si>
  <si>
    <t>36f5a94a-2e7e-4e28-8171-bc251ac14694</t>
  </si>
  <si>
    <t>dragonborn.esm|028475</t>
  </si>
  <si>
    <t>Amartas Après-rouge</t>
  </si>
  <si>
    <t>Vranx</t>
  </si>
  <si>
    <t>Dague de stalhrim d'annihilation</t>
  </si>
  <si>
    <t>[{"type":"arrivee","avant":"","apres":"Amartas Après-rouge"}]</t>
  </si>
  <si>
    <t>Thorgar</t>
  </si>
  <si>
    <t>{"prenom":"Amartas","nom":"Après-rouge","grade":"Recrue","corps":"Cité de Blancherive","status":"En service actif"}</t>
  </si>
  <si>
    <t>dragonborn.esm|028478</t>
  </si>
  <si>
    <t>Dague de stalhrim d'assimilation</t>
  </si>
  <si>
    <t>8cdfe0d0-8fa4-449c-b4f0-19331ec75efc</t>
  </si>
  <si>
    <t>2026-09-26T22:23:43.321Z</t>
  </si>
  <si>
    <t>90d88247-8577-4666-a25c-ef3c0cfb7b54</t>
  </si>
  <si>
    <t>dragonborn.esm|028472</t>
  </si>
  <si>
    <t>Ka Yak</t>
  </si>
  <si>
    <t>Dague de stalhrim d'effroi</t>
  </si>
  <si>
    <t>[{"type":"arrivee","avant":"","apres":"Ka Yak"}]</t>
  </si>
  <si>
    <t>{"prenom":"Ka","nom":"Yak","grade":"Recrue","corps":"Cité de Blancherive","status":"En service actif"}</t>
  </si>
  <si>
    <t>dragonborn.esm|028479</t>
  </si>
  <si>
    <t>Dague de stalhrim d'engrangement</t>
  </si>
  <si>
    <t>247c74d3-7c3c-41d8-8d44-5bf05a30f52b</t>
  </si>
  <si>
    <t>2026-09-26T22:53:10.819Z</t>
  </si>
  <si>
    <t>dragonborn.esm|02845D</t>
  </si>
  <si>
    <t>91b50bf9-7a96-4ab6-ae80-f830f60ac096</t>
  </si>
  <si>
    <t>Dague de stalhrim d'épuisement</t>
  </si>
  <si>
    <t>Maludrar</t>
  </si>
  <si>
    <t>[{"type":"arrivee","avant":"","apres":"Maludrar"}]</t>
  </si>
  <si>
    <t>dragonborn.esm|02847C</t>
  </si>
  <si>
    <t>Silvius</t>
  </si>
  <si>
    <t>Dague de stalhrim d'évocation</t>
  </si>
  <si>
    <t>Varro</t>
  </si>
  <si>
    <t>{"prenom":"Maludrar","nom":"","grade":"Recrue","corps":"Cité de Blancherive","status":"En service actif"}</t>
  </si>
  <si>
    <t>dragonborn.esm|028476</t>
  </si>
  <si>
    <t>Dague de stalhrim d'expulsion</t>
  </si>
  <si>
    <t>c4548ff8-6590-4baa-b028-04a683da9482</t>
  </si>
  <si>
    <t>2026-09-26T22:56:47.088Z</t>
  </si>
  <si>
    <t>1cfc1cd6-7612-4b3b-a8c4-4c06a683f806</t>
  </si>
  <si>
    <t>dragonborn.esm|028467</t>
  </si>
  <si>
    <t>Dague de stalhrim d'immobilisation</t>
  </si>
  <si>
    <t>Numerus Clausus</t>
  </si>
  <si>
    <t>[{"type":"arrivee","avant":"","apres":"Numerus Clausus"}]</t>
  </si>
  <si>
    <t>{"prenom":"Numerus","nom":"Clausus","grade":"Recrue","corps":"Cité de Blancherive","status":"En service actif"}</t>
  </si>
  <si>
    <t>dragonborn.esm|028468</t>
  </si>
  <si>
    <t>Dague de stalhrim d'inertie</t>
  </si>
  <si>
    <t>d7da8d20-6bc5-4ec1-8ca0-2dda7a20f5dc</t>
  </si>
  <si>
    <t>2026-09-26T23:20:28.600Z</t>
  </si>
  <si>
    <t>dragonborn.esm|028477</t>
  </si>
  <si>
    <t>Dague de stalhrim de bannissement</t>
  </si>
  <si>
    <t>[{"type":"corps","avant":"Cité de Blancherive","apres":"Eclaireur"}]</t>
  </si>
  <si>
    <t>{"prenom":"Crocozaure","nom":"","grade":"Cadet","corps":"Eclaireur","status":"En service actif"}</t>
  </si>
  <si>
    <t>dragonborn.esm|02846D</t>
  </si>
  <si>
    <t>Dague de stalhrim de blizzard</t>
  </si>
  <si>
    <t>dragonborn.esm|028470</t>
  </si>
  <si>
    <t>Dague de stalhrim de chaos extrême</t>
  </si>
  <si>
    <t>dragonborn.esm|02846F</t>
  </si>
  <si>
    <t>Dague de stalhrim de chaos ultime</t>
  </si>
  <si>
    <t>dragonborn.esm|028460</t>
  </si>
  <si>
    <t>Dague de stalhrim de damnation</t>
  </si>
  <si>
    <t>dragonborn.esm|02846A</t>
  </si>
  <si>
    <t>Dague de stalhrim de débilitation</t>
  </si>
  <si>
    <t>dragonborn.esm|02846B</t>
  </si>
  <si>
    <t>Dague de stalhrim de dégradation</t>
  </si>
  <si>
    <t>dragonborn.esm|028480</t>
  </si>
  <si>
    <t>Dague de stalhrim de dévorement</t>
  </si>
  <si>
    <t>dragonborn.esm|02846E</t>
  </si>
  <si>
    <t>Dague de stalhrim de frimas</t>
  </si>
  <si>
    <t>dragonborn.esm|028463</t>
  </si>
  <si>
    <t>Dague de stalhrim de fulguration</t>
  </si>
  <si>
    <t>dragonborn.esm|02846C</t>
  </si>
  <si>
    <t>Dague de stalhrim de glaciation</t>
  </si>
  <si>
    <t>dragonborn.esm|02845E</t>
  </si>
  <si>
    <t>Dague de stalhrim de léthargie</t>
  </si>
  <si>
    <t>dragonborn.esm|028461</t>
  </si>
  <si>
    <t>Dague de stalhrim de malédiction</t>
  </si>
  <si>
    <t>dragonborn.esm|028466</t>
  </si>
  <si>
    <t>Dague de stalhrim de pétrification</t>
  </si>
  <si>
    <t>dragonborn.esm|028471</t>
  </si>
  <si>
    <t>Dague de stalhrim de profond chaos</t>
  </si>
  <si>
    <t>dragonborn.esm|02847A</t>
  </si>
  <si>
    <t>Dague de stalhrim de récolte</t>
  </si>
  <si>
    <t>dragonborn.esm|02847B</t>
  </si>
  <si>
    <t>Dague de stalhrim de sorcellerie</t>
  </si>
  <si>
    <t>dragonborn.esm|028469</t>
  </si>
  <si>
    <t>Dague de stalhrim de suppression</t>
  </si>
  <si>
    <t>dragonborn.esm|028464</t>
  </si>
  <si>
    <t>Dague de stalhrim de tempête</t>
  </si>
  <si>
    <t>dragonborn.esm|028473</t>
  </si>
  <si>
    <t>Dague de stalhrim de terreur</t>
  </si>
  <si>
    <t>dragonborn.esm|028465</t>
  </si>
  <si>
    <t>Dague de stalhrim de tonnerre</t>
  </si>
  <si>
    <t>dragonborn.esm|02845F</t>
  </si>
  <si>
    <t>Dague de stalhrim de torpeur</t>
  </si>
  <si>
    <t>dragonborn.esm|02847D</t>
  </si>
  <si>
    <t>Dague de stalhrim de transfusion</t>
  </si>
  <si>
    <t>dragonborn.esm|02847E</t>
  </si>
  <si>
    <t>Dague de stalhrim de vampirisme</t>
  </si>
  <si>
    <t>dragonborn.esm|02845A</t>
  </si>
  <si>
    <t>Dague de stalhrim sacrée</t>
  </si>
  <si>
    <t>dragonborn.esm|02845B</t>
  </si>
  <si>
    <t>Dague de stalhrim sainte</t>
  </si>
  <si>
    <t>dragonborn.esm|02845C</t>
  </si>
  <si>
    <t>Dague de stalhrim sanctifiée</t>
  </si>
  <si>
    <t>skyrim.esm|0BEF25</t>
  </si>
  <si>
    <t>Dague de tempête en verre</t>
  </si>
  <si>
    <t>skyrim.esm|0139A6</t>
  </si>
  <si>
    <t>Dague de verre</t>
  </si>
  <si>
    <t>skyrim.esm|0BEF05</t>
  </si>
  <si>
    <t>Dague de verre d'abattement</t>
  </si>
  <si>
    <t>skyrim.esm|0BEEE9</t>
  </si>
  <si>
    <t>Dague de verre d'absorption</t>
  </si>
  <si>
    <t>skyrim.esm|0BEEEA</t>
  </si>
  <si>
    <t>Dague de verre d'amalgame</t>
  </si>
  <si>
    <t>skyrim.esm|0BEF03</t>
  </si>
  <si>
    <t>Dague de verre d'anathème</t>
  </si>
  <si>
    <t>skyrim.esm|0BEEF3</t>
  </si>
  <si>
    <t>Dague de verre d'angoisse</t>
  </si>
  <si>
    <t>skyrim.esm|0BEF00</t>
  </si>
  <si>
    <t>Dague de verre d'éclairs</t>
  </si>
  <si>
    <t>skyrim.esm|0BEEEF</t>
  </si>
  <si>
    <t>Dague de verre d'engrangement</t>
  </si>
  <si>
    <t>skyrim.esm|0BEEEC</t>
  </si>
  <si>
    <t>Dague de verre d'évocation</t>
  </si>
  <si>
    <t>skyrim.esm|0BEEF1</t>
  </si>
  <si>
    <t>Dague de verre d'expulsion</t>
  </si>
  <si>
    <t>skyrim.esm|0BEEFF</t>
  </si>
  <si>
    <t>Dague de verre d'immobilisation</t>
  </si>
  <si>
    <t>skyrim.esm|0BEEFE</t>
  </si>
  <si>
    <t>Sigvard</t>
  </si>
  <si>
    <t>Dague de verre d'inertie</t>
  </si>
  <si>
    <t>skyrim.esm|0BEEE7</t>
  </si>
  <si>
    <t>Dague de verre d'ingestion</t>
  </si>
  <si>
    <t>skyrim.esm|0BEEF0</t>
  </si>
  <si>
    <t>Dague de verre de bannissement</t>
  </si>
  <si>
    <t>skyrim.esm|0BEEFA</t>
  </si>
  <si>
    <t>Dague de verre de blizzard</t>
  </si>
  <si>
    <t>skyrim.esm|0BEEF7</t>
  </si>
  <si>
    <t>Dague de verre de brasier</t>
  </si>
  <si>
    <t>skyrim.esm|0BEF02</t>
  </si>
  <si>
    <t>Dague de verre de capture</t>
  </si>
  <si>
    <t>skyrim.esm|0BEEF2</t>
  </si>
  <si>
    <t>Dague de verre de crainte</t>
  </si>
  <si>
    <t>skyrim.esm|0BEEFD</t>
  </si>
  <si>
    <t>Dague de verre de débilitation</t>
  </si>
  <si>
    <t>skyrim.esm|0BEEFC</t>
  </si>
  <si>
    <t>Dague de verre de dégradation</t>
  </si>
  <si>
    <t>skyrim.esm|0BEEE8</t>
  </si>
  <si>
    <t>Dague de verre de dévorement</t>
  </si>
  <si>
    <t>skyrim.esm|0BEEF6</t>
  </si>
  <si>
    <t>Dague de verre de flambée</t>
  </si>
  <si>
    <t>skyrim.esm|0BEEF5</t>
  </si>
  <si>
    <t>Dague de verre de flammes</t>
  </si>
  <si>
    <t>skyrim.esm|0BEEF9</t>
  </si>
  <si>
    <t>Dague de verre de frimas</t>
  </si>
  <si>
    <t>skyrim.esm|0BEEF8</t>
  </si>
  <si>
    <t>Dague de verre de givre</t>
  </si>
  <si>
    <t>skyrim.esm|0BEF07</t>
  </si>
  <si>
    <t>Dague de verre de léthargie</t>
  </si>
  <si>
    <t>skyrim.esm|0BEF04</t>
  </si>
  <si>
    <t>Dague de verre de malédiction</t>
  </si>
  <si>
    <t>skyrim.esm|0BEEED</t>
  </si>
  <si>
    <t>Dague de verre de moisson</t>
  </si>
  <si>
    <t>skyrim.esm|0BEEEE</t>
  </si>
  <si>
    <t>Dague de verre de récolte</t>
  </si>
  <si>
    <t>skyrim.esm|0BEEFB</t>
  </si>
  <si>
    <t>Dague de verre de réduction</t>
  </si>
  <si>
    <t>skyrim.esm|0BEEF4</t>
  </si>
  <si>
    <t>Dague de verre de terreur</t>
  </si>
  <si>
    <t>skyrim.esm|0BEF01</t>
  </si>
  <si>
    <t>Dague de verre de tonnerre</t>
  </si>
  <si>
    <t>skyrim.esm|0BEF06</t>
  </si>
  <si>
    <t>Dague de verre de torpeur</t>
  </si>
  <si>
    <t>skyrim.esm|0BEEEB</t>
  </si>
  <si>
    <t>Dague de verre de transfusion</t>
  </si>
  <si>
    <t>skyrim.esm|0BEF0A</t>
  </si>
  <si>
    <t>Dague de verre sainte</t>
  </si>
  <si>
    <t>skyrim.esm|0BEF09</t>
  </si>
  <si>
    <t>Dague de verre sanctifiée</t>
  </si>
  <si>
    <t>skyrim.esm|0BEF08</t>
  </si>
  <si>
    <t>Dague de verre vertueuse</t>
  </si>
  <si>
    <t>skyrim.esm|013996</t>
  </si>
  <si>
    <t>Dague dwemer</t>
  </si>
  <si>
    <t>Hrolf</t>
  </si>
  <si>
    <t>skyrim.esm|0ACBE1</t>
  </si>
  <si>
    <t>Fine-Lame</t>
  </si>
  <si>
    <t>Dague dwemer bénie</t>
  </si>
  <si>
    <t>skyrim.esm|0ACBDF</t>
  </si>
  <si>
    <t>Dague dwemer d'abattement</t>
  </si>
  <si>
    <t>skyrim.esm|0ACBC5</t>
  </si>
  <si>
    <t>Dague dwemer d'amalgame</t>
  </si>
  <si>
    <t>skyrim.esm|0ACBD5</t>
  </si>
  <si>
    <t>Dague dwemer d'amenuisement</t>
  </si>
  <si>
    <t>skyrim.esm|0ACBDD</t>
  </si>
  <si>
    <t>Dague dwemer d'anathème</t>
  </si>
  <si>
    <t>skyrim.esm|0ACBCC</t>
  </si>
  <si>
    <t>Dague dwemer d'angoisse</t>
  </si>
  <si>
    <t>skyrim.esm|0ACBD9</t>
  </si>
  <si>
    <t>Dague dwemer d'éclairs</t>
  </si>
  <si>
    <t>skyrim.esm|0ACBC2</t>
  </si>
  <si>
    <t>Dague dwemer d'ingestion</t>
  </si>
  <si>
    <t>skyrim.esm|0ACBCF</t>
  </si>
  <si>
    <t>Dague dwemer de brûlure</t>
  </si>
  <si>
    <t>skyrim.esm|0ACBDC</t>
  </si>
  <si>
    <t>Dague dwemer de capture</t>
  </si>
  <si>
    <t>skyrim.esm|0ACBCB</t>
  </si>
  <si>
    <t>Laguerta</t>
  </si>
  <si>
    <t>Dague dwemer de crainte</t>
  </si>
  <si>
    <t>Fende-Sillon</t>
  </si>
  <si>
    <t>skyrim.esm|0ACBD8</t>
  </si>
  <si>
    <t>Dague dwemer de décharge</t>
  </si>
  <si>
    <t>skyrim.esm|0ACBD7</t>
  </si>
  <si>
    <t>Dague dwemer de dégradation</t>
  </si>
  <si>
    <t>skyrim.esm|0ACBC3</t>
  </si>
  <si>
    <t>Dague dwemer de dévorement</t>
  </si>
  <si>
    <t>skyrim.esm|0ACBD1</t>
  </si>
  <si>
    <t>Dague dwemer de flambée</t>
  </si>
  <si>
    <t>skyrim.esm|0ACBD0</t>
  </si>
  <si>
    <t>Dague dwemer de flammes</t>
  </si>
  <si>
    <t>Naevor</t>
  </si>
  <si>
    <t>skyrim.esm|0ACBD4</t>
  </si>
  <si>
    <t>Feuille-Sombre</t>
  </si>
  <si>
    <t>Dague dwemer de frimas</t>
  </si>
  <si>
    <t>skyrim.esm|0ACBD3</t>
  </si>
  <si>
    <t>Dague dwemer de givre</t>
  </si>
  <si>
    <t>skyrim.esm|0ACBD2</t>
  </si>
  <si>
    <t>Dague dwemer de glace</t>
  </si>
  <si>
    <t>skyrim.esm|0ACBC7</t>
  </si>
  <si>
    <t>Dague dwemer de glanure</t>
  </si>
  <si>
    <t>skyrim.esm|0ACBDE</t>
  </si>
  <si>
    <t>Dague dwemer de lassitude</t>
  </si>
  <si>
    <t>skyrim.esm|0ACBC8</t>
  </si>
  <si>
    <t>Dague dwemer de moisson</t>
  </si>
  <si>
    <t>Razim</t>
  </si>
  <si>
    <t>Al-Rihad</t>
  </si>
  <si>
    <t>skyrim.esm|0ACBDB</t>
  </si>
  <si>
    <t>Dague dwemer de piège</t>
  </si>
  <si>
    <t>skyrim.esm|0ACBC9</t>
  </si>
  <si>
    <t>Dague dwemer de récolte</t>
  </si>
  <si>
    <t>skyrim.esm|0ACBC1</t>
  </si>
  <si>
    <t>Dague dwemer de recueil</t>
  </si>
  <si>
    <t>skyrim.esm|0ACBD6</t>
  </si>
  <si>
    <t>Dague dwemer de réduction</t>
  </si>
  <si>
    <t>skyrim.esm|0ACBC4</t>
  </si>
  <si>
    <t>Dague dwemer de siphonnage</t>
  </si>
  <si>
    <t>skyrim.esm|0ACBDA</t>
  </si>
  <si>
    <t>Ulfgar</t>
  </si>
  <si>
    <t>Dague dwemer de tonnerre</t>
  </si>
  <si>
    <t>L'oiseau de nuit</t>
  </si>
  <si>
    <t>skyrim.esm|0ACBE0</t>
  </si>
  <si>
    <t>Dague dwemer de torpeur</t>
  </si>
  <si>
    <t>skyrim.esm|0ACBC6</t>
  </si>
  <si>
    <t>Dague dwemer de transfusion</t>
  </si>
  <si>
    <t>skyrim.esm|0ACBCA</t>
  </si>
  <si>
    <t>Dague dwemer de veulerie</t>
  </si>
  <si>
    <t>skyrim.esm|0ACBE3</t>
  </si>
  <si>
    <t>Dague dwemer sanctifiée</t>
  </si>
  <si>
    <t>skyrim.esm|0ACBE2</t>
  </si>
  <si>
    <t>Dague dwemer vertueuse</t>
  </si>
  <si>
    <t>skyrim.esm|01399E</t>
  </si>
  <si>
    <t>Thov</t>
  </si>
  <si>
    <t>Dague elfique</t>
  </si>
  <si>
    <t>Lémartes</t>
  </si>
  <si>
    <t>skyrim.esm|0BE19F</t>
  </si>
  <si>
    <t>Dague elfique d'abattement</t>
  </si>
  <si>
    <t>skyrim.esm|0BE182</t>
  </si>
  <si>
    <t>Dague elfique d'absorption</t>
  </si>
  <si>
    <t>skyrim.esm|0BE183</t>
  </si>
  <si>
    <t>Dague elfique d'amalgame</t>
  </si>
  <si>
    <t>skyrim.esm|0BE19D</t>
  </si>
  <si>
    <t>Dague elfique d'anathème</t>
  </si>
  <si>
    <t>skyrim.esm|0BE18C</t>
  </si>
  <si>
    <t>Dague elfique d'angoisse</t>
  </si>
  <si>
    <t>skyrim.esm|0BE199</t>
  </si>
  <si>
    <t>Dague elfique d'éclairs</t>
  </si>
  <si>
    <t>skyrim.esm|0BE188</t>
  </si>
  <si>
    <t>Dague elfique d'engrangement</t>
  </si>
  <si>
    <t>skyrim.esm|0BE185</t>
  </si>
  <si>
    <t>Dague elfique d'évocation</t>
  </si>
  <si>
    <t>skyrim.esm|0BE18A</t>
  </si>
  <si>
    <t>Dague elfique d'expulsion</t>
  </si>
  <si>
    <t>skyrim.esm|0BE198</t>
  </si>
  <si>
    <t>Dague elfique d'immobilisation</t>
  </si>
  <si>
    <t>skyrim.esm|0BE197</t>
  </si>
  <si>
    <t>Dague elfique d'inertie</t>
  </si>
  <si>
    <t>skyrim.esm|0BE180</t>
  </si>
  <si>
    <t>Dague elfique d'ingestion</t>
  </si>
  <si>
    <t>skyrim.esm|0BE189</t>
  </si>
  <si>
    <t>Dague elfique de bannissement</t>
  </si>
  <si>
    <t>skyrim.esm|0BE193</t>
  </si>
  <si>
    <t>Dague elfique de blizzard</t>
  </si>
  <si>
    <t>skyrim.esm|0BE190</t>
  </si>
  <si>
    <t>Dague elfique de brasier</t>
  </si>
  <si>
    <t>skyrim.esm|0BE19C</t>
  </si>
  <si>
    <t>Dague elfique de capture</t>
  </si>
  <si>
    <t>skyrim.esm|0BE18B</t>
  </si>
  <si>
    <t>Dague elfique de crainte</t>
  </si>
  <si>
    <t>Element</t>
  </si>
  <si>
    <t>skyrim.esm|0BE196</t>
  </si>
  <si>
    <t>Dague elfique de débilitation</t>
  </si>
  <si>
    <t>skyrim.esm|0BE195</t>
  </si>
  <si>
    <t>Dague elfique de dégradation</t>
  </si>
  <si>
    <t>skyrim.esm|0BE181</t>
  </si>
  <si>
    <t>Dague elfique de dévorement</t>
  </si>
  <si>
    <t>skyrim.esm|0BE18F</t>
  </si>
  <si>
    <t>Dague elfique de flambée</t>
  </si>
  <si>
    <t>skyrim.esm|0BE18E</t>
  </si>
  <si>
    <t>Dague elfique de flammes</t>
  </si>
  <si>
    <t>skyrim.esm|0BE192</t>
  </si>
  <si>
    <t>Dague elfique de frimas</t>
  </si>
  <si>
    <t>Valtor</t>
  </si>
  <si>
    <t>skyrim.esm|0BE191</t>
  </si>
  <si>
    <t>Dague elfique de givre</t>
  </si>
  <si>
    <t>skyrim.esm|0BE1A1</t>
  </si>
  <si>
    <t>Dague elfique de léthargie</t>
  </si>
  <si>
    <t>skyrim.esm|0BE19E</t>
  </si>
  <si>
    <t>Dague elfique de malédiction</t>
  </si>
  <si>
    <t>Vegetal Soup</t>
  </si>
  <si>
    <t>skyrim.esm|0BE186</t>
  </si>
  <si>
    <t>Dague elfique de moisson</t>
  </si>
  <si>
    <t>skyrim.esm|0BE187</t>
  </si>
  <si>
    <t>Beef Stew</t>
  </si>
  <si>
    <t>Dague elfique de récolte</t>
  </si>
  <si>
    <t>skyrim.esm|0BE194</t>
  </si>
  <si>
    <t>Venison Stew</t>
  </si>
  <si>
    <t>Dague elfique de réduction</t>
  </si>
  <si>
    <t>Marius</t>
  </si>
  <si>
    <t>Renatus</t>
  </si>
  <si>
    <t>skyrim.esm|0BE19B</t>
  </si>
  <si>
    <t>Dague elfique de tempête</t>
  </si>
  <si>
    <t>skyrim.esm|0BE18D</t>
  </si>
  <si>
    <t>Dague elfique de terreur</t>
  </si>
  <si>
    <t>skyrim.esm|0BE19A</t>
  </si>
  <si>
    <t>Dague elfique de tonnerre</t>
  </si>
  <si>
    <t>skyrim.esm|0BE1A0</t>
  </si>
  <si>
    <t>Dague elfique de torpeur</t>
  </si>
  <si>
    <t>skyrim.esm|0BE184</t>
  </si>
  <si>
    <t>Dague elfique de transfusion</t>
  </si>
  <si>
    <t>skyrim.esm|0BE1A4</t>
  </si>
  <si>
    <t>Dague elfique sainte</t>
  </si>
  <si>
    <t>skyrim.esm|0BE1A3</t>
  </si>
  <si>
    <t>Dague elfique sanctifiée</t>
  </si>
  <si>
    <t>skyrim.esm|0BE1A2</t>
  </si>
  <si>
    <t>Dague elfique vertueuse</t>
  </si>
  <si>
    <t>dragonborn.esm|01CDAE</t>
  </si>
  <si>
    <t>Dague nordique</t>
  </si>
  <si>
    <t>dragonborn.esm|028336</t>
  </si>
  <si>
    <t>Dague nordique d'abattement</t>
  </si>
  <si>
    <t>dragonborn.esm|028353</t>
  </si>
  <si>
    <t>Dague nordique d'absorption</t>
  </si>
  <si>
    <t>dragonborn.esm|028352</t>
  </si>
  <si>
    <t>Dague nordique d'amalgame</t>
  </si>
  <si>
    <t>dragonborn.esm|028338</t>
  </si>
  <si>
    <t>Dague nordique d'anathème</t>
  </si>
  <si>
    <t>dragonborn.esm|028349</t>
  </si>
  <si>
    <t>Dague nordique d'angoisse</t>
  </si>
  <si>
    <t>dragonborn.esm|02833C</t>
  </si>
  <si>
    <t>Dague nordique d'éclairs</t>
  </si>
  <si>
    <t>dragonborn.esm|02834D</t>
  </si>
  <si>
    <t>Dague nordique d'engrangement</t>
  </si>
  <si>
    <t>dragonborn.esm|028350</t>
  </si>
  <si>
    <t>Dague nordique d'évocation</t>
  </si>
  <si>
    <t>dragonborn.esm|02834B</t>
  </si>
  <si>
    <t>Dague nordique d'expulsion</t>
  </si>
  <si>
    <t>dragonborn.esm|02833D</t>
  </si>
  <si>
    <t>Dague nordique d'immobilisation</t>
  </si>
  <si>
    <t>dragonborn.esm|02833E</t>
  </si>
  <si>
    <t>Dague nordique d'inertie</t>
  </si>
  <si>
    <t>dragonborn.esm|028355</t>
  </si>
  <si>
    <t>Dague nordique d'ingestion</t>
  </si>
  <si>
    <t>dragonborn.esm|02834C</t>
  </si>
  <si>
    <t>Dague nordique de bannissement</t>
  </si>
  <si>
    <t>dragonborn.esm|028342</t>
  </si>
  <si>
    <t>Dague nordique de blizzard</t>
  </si>
  <si>
    <t>dragonborn.esm|028345</t>
  </si>
  <si>
    <t>Dague nordique de brasier</t>
  </si>
  <si>
    <t>dragonborn.esm|028339</t>
  </si>
  <si>
    <t>Dague nordique de capture</t>
  </si>
  <si>
    <t>dragonborn.esm|02C479</t>
  </si>
  <si>
    <t>Dague nordique de chaos</t>
  </si>
  <si>
    <t>dragonborn.esm|02C47B</t>
  </si>
  <si>
    <t>Dague nordique de chaos extrême</t>
  </si>
  <si>
    <t>dragonborn.esm|02834A</t>
  </si>
  <si>
    <t>Dague nordique de crainte</t>
  </si>
  <si>
    <t>dragonborn.esm|02833F</t>
  </si>
  <si>
    <t>Dague nordique de débilitation</t>
  </si>
  <si>
    <t>dragonborn.esm|028340</t>
  </si>
  <si>
    <t>Dague nordique de dégradation</t>
  </si>
  <si>
    <t>dragonborn.esm|028354</t>
  </si>
  <si>
    <t>Dague nordique de dévorement</t>
  </si>
  <si>
    <t>dragonborn.esm|028346</t>
  </si>
  <si>
    <t>Dague nordique de flambée</t>
  </si>
  <si>
    <t>dragonborn.esm|028347</t>
  </si>
  <si>
    <t>Dague nordique de flammes</t>
  </si>
  <si>
    <t>dragonborn.esm|028343</t>
  </si>
  <si>
    <t>Dague nordique de frimas</t>
  </si>
  <si>
    <t>dragonborn.esm|028344</t>
  </si>
  <si>
    <t>Dague nordique de givre</t>
  </si>
  <si>
    <t>dragonborn.esm|028334</t>
  </si>
  <si>
    <t>Dague nordique de léthargie</t>
  </si>
  <si>
    <t>dragonborn.esm|028337</t>
  </si>
  <si>
    <t>Dague nordique de malédiction</t>
  </si>
  <si>
    <t>dragonborn.esm|02834F</t>
  </si>
  <si>
    <t>Dague nordique de moisson</t>
  </si>
  <si>
    <t>dragonborn.esm|02C47A</t>
  </si>
  <si>
    <t>Dague nordique de profond chaos</t>
  </si>
  <si>
    <t>dragonborn.esm|02834E</t>
  </si>
  <si>
    <t>Dague nordique de récolte</t>
  </si>
  <si>
    <t>dragonborn.esm|028341</t>
  </si>
  <si>
    <t>Dague nordique de réduction</t>
  </si>
  <si>
    <t>dragonborn.esm|02833A</t>
  </si>
  <si>
    <t>Dague nordique de tempête</t>
  </si>
  <si>
    <t>dragonborn.esm|028348</t>
  </si>
  <si>
    <t>Dague nordique de terreur</t>
  </si>
  <si>
    <t>dragonborn.esm|02833B</t>
  </si>
  <si>
    <t>Dague nordique de tonnerre</t>
  </si>
  <si>
    <t>dragonborn.esm|028335</t>
  </si>
  <si>
    <t>Dague nordique de torpeur</t>
  </si>
  <si>
    <t>dragonborn.esm|028351</t>
  </si>
  <si>
    <t>Dague nordique de transfusion</t>
  </si>
  <si>
    <t>dragonborn.esm|028331</t>
  </si>
  <si>
    <t>Dague nordique sainte</t>
  </si>
  <si>
    <t>dragonborn.esm|028332</t>
  </si>
  <si>
    <t>Dague nordique sanctifiée</t>
  </si>
  <si>
    <t>dragonborn.esm|028333</t>
  </si>
  <si>
    <t>Dague nordique vertueuse</t>
  </si>
  <si>
    <t>skyrim.esm|01398E</t>
  </si>
  <si>
    <t>Dague orque</t>
  </si>
  <si>
    <t>skyrim.esm|0AA142</t>
  </si>
  <si>
    <t>Dague orque bénie</t>
  </si>
  <si>
    <t>skyrim.esm|0AA140</t>
  </si>
  <si>
    <t>Dague orque d'abattement</t>
  </si>
  <si>
    <t>skyrim.esm|0AA173</t>
  </si>
  <si>
    <t>Dague orque d'amalgame</t>
  </si>
  <si>
    <t>skyrim.esm|0AA136</t>
  </si>
  <si>
    <t>Dague orque d'amenuisement</t>
  </si>
  <si>
    <t>Octan</t>
  </si>
  <si>
    <t>skyrim.esm|0AA13E</t>
  </si>
  <si>
    <t>Dague orque d'anathème</t>
  </si>
  <si>
    <t>skyrim.esm|0AA12F</t>
  </si>
  <si>
    <t>Dague orque d'angoisse</t>
  </si>
  <si>
    <t>skyrim.esm|0AA13A</t>
  </si>
  <si>
    <t>Dague orque d'éclairs</t>
  </si>
  <si>
    <t>skyrim.esm|0AA170</t>
  </si>
  <si>
    <t>Dague orque d'ingestion</t>
  </si>
  <si>
    <t>skyrim.esm|0AA130</t>
  </si>
  <si>
    <t>Dague orque de brûlure</t>
  </si>
  <si>
    <t>skyrim.esm|0AA13D</t>
  </si>
  <si>
    <t>Dague orque de capture</t>
  </si>
  <si>
    <t>skyrim.esm|0AA12E</t>
  </si>
  <si>
    <t>Dague orque de crainte</t>
  </si>
  <si>
    <t>skyrim.esm|0AA139</t>
  </si>
  <si>
    <t>Dague orque de décharge</t>
  </si>
  <si>
    <t>skyrim.esm|0AA138</t>
  </si>
  <si>
    <t>Dague orque de dégradation</t>
  </si>
  <si>
    <t>skyrim.esm|0AA171</t>
  </si>
  <si>
    <t>Dague orque de dévorement</t>
  </si>
  <si>
    <t>skyrim.esm|0AA132</t>
  </si>
  <si>
    <t>Dague orque de flambée</t>
  </si>
  <si>
    <t>skyrim.esm|0AA131</t>
  </si>
  <si>
    <t>Dague orque de flammes</t>
  </si>
  <si>
    <t>skyrim.esm|0AA135</t>
  </si>
  <si>
    <t>Dague orque de frimas</t>
  </si>
  <si>
    <t>skyrim.esm|0AA134</t>
  </si>
  <si>
    <t>Dague orque de givre</t>
  </si>
  <si>
    <t>skyrim.esm|0AA133</t>
  </si>
  <si>
    <t>Dague orque de glace</t>
  </si>
  <si>
    <t>skyrim.esm|0AA175</t>
  </si>
  <si>
    <t>Dague orque de glanure</t>
  </si>
  <si>
    <t>skyrim.esm|0AA13F</t>
  </si>
  <si>
    <t>Dague orque de lassitude</t>
  </si>
  <si>
    <t>skyrim.esm|0AA176</t>
  </si>
  <si>
    <t>Dague orque de moisson</t>
  </si>
  <si>
    <t>skyrim.esm|0AA13C</t>
  </si>
  <si>
    <t>Dague orque de piège</t>
  </si>
  <si>
    <t>skyrim.esm|0AA177</t>
  </si>
  <si>
    <t>Dague orque de récolte</t>
  </si>
  <si>
    <t>skyrim.esm|0AA16F</t>
  </si>
  <si>
    <t>Dague orque de recueil</t>
  </si>
  <si>
    <t>skyrim.esm|0AA137</t>
  </si>
  <si>
    <t>Dague orque de réduction</t>
  </si>
  <si>
    <t>skyrim.esm|0AA172</t>
  </si>
  <si>
    <t>Dague orque de siphonnage</t>
  </si>
  <si>
    <t>skyrim.esm|0AA13B</t>
  </si>
  <si>
    <t>Dague orque de tonnerre</t>
  </si>
  <si>
    <t>skyrim.esm|0AA141</t>
  </si>
  <si>
    <t>Dague orque de torpeur</t>
  </si>
  <si>
    <t>skyrim.esm|0AA174</t>
  </si>
  <si>
    <t>Dague orque de transfusion</t>
  </si>
  <si>
    <t>skyrim.esm|0AA12D</t>
  </si>
  <si>
    <t>Dague orque de veulerie</t>
  </si>
  <si>
    <t>skyrim.esm|0AA144</t>
  </si>
  <si>
    <t>Dague orque sanctifiée</t>
  </si>
  <si>
    <t>skyrim.esm|0AA143</t>
  </si>
  <si>
    <t>Dague orque vertueuse</t>
  </si>
  <si>
    <t>skyrim.esm|0B994E</t>
  </si>
  <si>
    <t>Dague porte-bonheur de Valdr</t>
  </si>
  <si>
    <t>dawnguard.esm|01668C</t>
  </si>
  <si>
    <t>Dawnguard Rune Axe</t>
  </si>
  <si>
    <t>sentinel - city guards.esp|0008E5</t>
  </si>
  <si>
    <t>Dawnstar War Axe</t>
  </si>
  <si>
    <t>skyrim.esm|08FFDF</t>
  </si>
  <si>
    <t>Eduj</t>
  </si>
  <si>
    <t>dawnguard.esm|014555</t>
  </si>
  <si>
    <t>Épée akaviroise</t>
  </si>
  <si>
    <t>skyrim.esm|08ADFC</t>
  </si>
  <si>
    <t>Épée cérémonielle</t>
  </si>
  <si>
    <t>skyrim.esm|013989</t>
  </si>
  <si>
    <t>Épée d'acier</t>
  </si>
  <si>
    <t>Knut</t>
  </si>
  <si>
    <t>Crâne-fou</t>
  </si>
  <si>
    <t>skyrim.esm|0557F5</t>
  </si>
  <si>
    <t>skyrim.esm|0A69D4</t>
  </si>
  <si>
    <t>Épée d'acier bénie</t>
  </si>
  <si>
    <t>skyrim.esm|0A69D2</t>
  </si>
  <si>
    <t>Épée d'acier d'abattement</t>
  </si>
  <si>
    <t>skyrim.esm|0A69CB</t>
  </si>
  <si>
    <t>Épée d'acier d'amenuisement</t>
  </si>
  <si>
    <t>skyrim.esm|0A69CD</t>
  </si>
  <si>
    <t>Épée d'acier d'anima</t>
  </si>
  <si>
    <t>skyrim.esm|04B468</t>
  </si>
  <si>
    <t>Épée d'acier d'éclairs</t>
  </si>
  <si>
    <t>skyrim.esm|04B466</t>
  </si>
  <si>
    <t>Épée d'acier d'étincelles</t>
  </si>
  <si>
    <t>skyrim.esm|04B451</t>
  </si>
  <si>
    <t>Épée d'acier d'incandescence</t>
  </si>
  <si>
    <t>skyrim.esm|0A69C6</t>
  </si>
  <si>
    <t>Épée d'acier d'intimidation</t>
  </si>
  <si>
    <t>skyrim.esm|04B452</t>
  </si>
  <si>
    <t>Épée d'acier de brûlure</t>
  </si>
  <si>
    <t>skyrim.esm|0A69CF</t>
  </si>
  <si>
    <t>Épée d'acier de capture</t>
  </si>
  <si>
    <t>skyrim.esm|0A69C9</t>
  </si>
  <si>
    <t>Épée d'acier de crainte</t>
  </si>
  <si>
    <t>skyrim.esm|04B467</t>
  </si>
  <si>
    <t>Épée d'acier de décharge</t>
  </si>
  <si>
    <t>skyrim.esm|0A69D0</t>
  </si>
  <si>
    <t>Épée d'acier de fatigue</t>
  </si>
  <si>
    <t>skyrim.esm|04B453</t>
  </si>
  <si>
    <t>Épée d'acier de flammes</t>
  </si>
  <si>
    <t>skyrim.esm|04B45D</t>
  </si>
  <si>
    <t>Épée d'acier de frisson</t>
  </si>
  <si>
    <t>skyrim.esm|04B45E</t>
  </si>
  <si>
    <t>Épée d'acier de froid</t>
  </si>
  <si>
    <t>skyrim.esm|04B45F</t>
  </si>
  <si>
    <t>Épée d'acier de givre</t>
  </si>
  <si>
    <t>skyrim.esm|09F25C</t>
  </si>
  <si>
    <t>Épée d'acier de la Forgeciel</t>
  </si>
  <si>
    <t>skyrim.esm|0A69D1</t>
  </si>
  <si>
    <t>Épée d'acier de lassitude</t>
  </si>
  <si>
    <t>skyrim.esm|0A69CE</t>
  </si>
  <si>
    <t>Épée d'acier de piège</t>
  </si>
  <si>
    <t>skyrim.esm|0A69CC</t>
  </si>
  <si>
    <t>Épée d'acier de réduction</t>
  </si>
  <si>
    <t>skyrim.esm|0A69CA</t>
  </si>
  <si>
    <t>Épée d'acier de sape</t>
  </si>
  <si>
    <t>Henry</t>
  </si>
  <si>
    <t>Bonacier</t>
  </si>
  <si>
    <t>skyrim.esm|0A69C7</t>
  </si>
  <si>
    <t>Épée d'acier de veulerie</t>
  </si>
  <si>
    <t>skyrim.esm|03B0B7</t>
  </si>
  <si>
    <t>Épée d'acier lunaire</t>
  </si>
  <si>
    <t>skyrim.esm|03B0BA</t>
  </si>
  <si>
    <t>skyrim.esm|03B0BD</t>
  </si>
  <si>
    <t>skyrim.esm|0A69D3</t>
  </si>
  <si>
    <t>Épée d'acier pieuse</t>
  </si>
  <si>
    <t>skyrim.esm|0A69D5</t>
  </si>
  <si>
    <t>Épée d'acier vertueuse</t>
  </si>
  <si>
    <t>skyrim.esm|0BEF60</t>
  </si>
  <si>
    <t>Épée d'angoisse en verre</t>
  </si>
  <si>
    <t>skyrim.esm|10AA19</t>
  </si>
  <si>
    <t>Épée d'argent</t>
  </si>
  <si>
    <t>skyrim.esm|0139B1</t>
  </si>
  <si>
    <t>Épée d'ébonite</t>
  </si>
  <si>
    <t>skyrim.esm|01D4FD</t>
  </si>
  <si>
    <t>Épée d'ébonite d'absorption</t>
  </si>
  <si>
    <t>Lyrielle</t>
  </si>
  <si>
    <t>Audrin</t>
  </si>
  <si>
    <t>skyrim.esm|01D867</t>
  </si>
  <si>
    <t>Épée d'ébonite d'anathème</t>
  </si>
  <si>
    <t>skyrim.esm|01D5E6</t>
  </si>
  <si>
    <t>Épée d'ébonite d'angoisse</t>
  </si>
  <si>
    <t>skyrim.esm|01D5E4</t>
  </si>
  <si>
    <t>Épée d'ébonite d'annihilation</t>
  </si>
  <si>
    <t>skyrim.esm|01D59A</t>
  </si>
  <si>
    <t>Épée d'ébonite d'assimilation</t>
  </si>
  <si>
    <t>skyrim.esm|01D5E9</t>
  </si>
  <si>
    <t>Épée d'ébonite d'effroi</t>
  </si>
  <si>
    <t>skyrim.esm|01D568</t>
  </si>
  <si>
    <t>Épée d'ébonite d'engrangement</t>
  </si>
  <si>
    <t>skyrim.esm|01D87E</t>
  </si>
  <si>
    <t>Épée d'ébonite d'épuisement</t>
  </si>
  <si>
    <t>skyrim.esm|01D551</t>
  </si>
  <si>
    <t>Épée d'ébonite d'évocation</t>
  </si>
  <si>
    <t>skyrim.esm|01D5E2</t>
  </si>
  <si>
    <t>Épée d'ébonite d'expulsion</t>
  </si>
  <si>
    <t>skyrim.esm|01D85E</t>
  </si>
  <si>
    <t>Épée d'ébonite d'immobilisation</t>
  </si>
  <si>
    <t>skyrim.esm|01D62E</t>
  </si>
  <si>
    <t>Épée d'ébonite d'incinération</t>
  </si>
  <si>
    <t>skyrim.esm|01D7F2</t>
  </si>
  <si>
    <t>Épée d'ébonite d'inertie</t>
  </si>
  <si>
    <t>skyrim.esm|01D5DE</t>
  </si>
  <si>
    <t>Épée d'ébonite de bannissement</t>
  </si>
  <si>
    <t>skyrim.esm|01D6CA</t>
  </si>
  <si>
    <t>Épée d'ébonite de blizzard</t>
  </si>
  <si>
    <t>skyrim.esm|01D62C</t>
  </si>
  <si>
    <t>Épée d'ébonite de brasier</t>
  </si>
  <si>
    <t>Amartas</t>
  </si>
  <si>
    <t>skyrim.esm|01D877</t>
  </si>
  <si>
    <t>Après-rouge</t>
  </si>
  <si>
    <t>Épée d'ébonite de damnation</t>
  </si>
  <si>
    <t>skyrim.esm|01D7EA</t>
  </si>
  <si>
    <t>Épée d'ébonite de débilitation</t>
  </si>
  <si>
    <t>skyrim.esm|01D745</t>
  </si>
  <si>
    <t>Épée d'ébonite de dégradation</t>
  </si>
  <si>
    <t>skyrim.esm|01D4ED</t>
  </si>
  <si>
    <t>Épée d'ébonite de dévorement</t>
  </si>
  <si>
    <t>skyrim.esm|01D5EB</t>
  </si>
  <si>
    <t>Épée d'ébonite de flambée</t>
  </si>
  <si>
    <t>skyrim.esm|01D62F</t>
  </si>
  <si>
    <t>Épée d'ébonite de frimas</t>
  </si>
  <si>
    <t>Ka</t>
  </si>
  <si>
    <t>skyrim.esm|01D865</t>
  </si>
  <si>
    <t>Yak</t>
  </si>
  <si>
    <t>Épée d'ébonite de fulguration</t>
  </si>
  <si>
    <t>skyrim.esm|01D728</t>
  </si>
  <si>
    <t>Épée d'ébonite de glaciation</t>
  </si>
  <si>
    <t>skyrim.esm|01D87C</t>
  </si>
  <si>
    <t>Épée d'ébonite de léthargie</t>
  </si>
  <si>
    <t>skyrim.esm|01D86B</t>
  </si>
  <si>
    <t>Épée d'ébonite de malédiction</t>
  </si>
  <si>
    <t>skyrim.esm|01D85F</t>
  </si>
  <si>
    <t>Épée d'ébonite de pétrification</t>
  </si>
  <si>
    <t>skyrim.esm|01D55D</t>
  </si>
  <si>
    <t>Épée d'ébonite de récolte</t>
  </si>
  <si>
    <t>skyrim.esm|01D552</t>
  </si>
  <si>
    <t>Épée d'ébonite de sorcellerie</t>
  </si>
  <si>
    <t>skyrim.esm|01D7EB</t>
  </si>
  <si>
    <t>Épée d'ébonite de suppression</t>
  </si>
  <si>
    <t>skyrim.esm|01D862</t>
  </si>
  <si>
    <t>Épée d'ébonite de tempête</t>
  </si>
  <si>
    <t>skyrim.esm|01D5E7</t>
  </si>
  <si>
    <t>Épée d'ébonite de terreur</t>
  </si>
  <si>
    <t>skyrim.esm|01D87B</t>
  </si>
  <si>
    <t>Épée d'ébonite de torpeur</t>
  </si>
  <si>
    <t>Numerus</t>
  </si>
  <si>
    <t>Clausus</t>
  </si>
  <si>
    <t>skyrim.esm|01D535</t>
  </si>
  <si>
    <t>Épée d'ébonite de transfusion</t>
  </si>
  <si>
    <t>skyrim.esm|01D520</t>
  </si>
  <si>
    <t>Épée d'ébonite de vampirisme</t>
  </si>
  <si>
    <t>skyrim.esm|01D8AA</t>
  </si>
  <si>
    <t>Épée d'ébonite sacrée</t>
  </si>
  <si>
    <t>skyrim.esm|01D8A5</t>
  </si>
  <si>
    <t>Épée d'ébonite sainte</t>
  </si>
  <si>
    <t>skyrim.esm|01D87F</t>
  </si>
  <si>
    <t>Épée d'ébonite sanctifiée</t>
  </si>
  <si>
    <t>dawnguard.esm|014FCE</t>
  </si>
  <si>
    <t>Épée d'os de dragon</t>
  </si>
  <si>
    <t>skyrim.esm|0139B9</t>
  </si>
  <si>
    <t>Épée daedra</t>
  </si>
  <si>
    <t>skyrim.esm|028E79</t>
  </si>
  <si>
    <t>Épée daedra d'absorption</t>
  </si>
  <si>
    <t>skyrim.esm|028FED</t>
  </si>
  <si>
    <t>Épée daedra d'anathème</t>
  </si>
  <si>
    <t>skyrim.esm|028E84</t>
  </si>
  <si>
    <t>Épée daedra d'angoisse</t>
  </si>
  <si>
    <t>skyrim.esm|028E83</t>
  </si>
  <si>
    <t>Épée daedra d'annihilation</t>
  </si>
  <si>
    <t>skyrim.esm|028E80</t>
  </si>
  <si>
    <t>Épée daedra d'assimilation</t>
  </si>
  <si>
    <t>skyrim.esm|028E86</t>
  </si>
  <si>
    <t>Épée daedra d'effroi</t>
  </si>
  <si>
    <t>skyrim.esm|028E7F</t>
  </si>
  <si>
    <t>Épée daedra d'engrangement</t>
  </si>
  <si>
    <t>skyrim.esm|02954B</t>
  </si>
  <si>
    <t>Épée daedra d'épuisement</t>
  </si>
  <si>
    <t>skyrim.esm|028E7C</t>
  </si>
  <si>
    <t>Épée daedra d'évocation</t>
  </si>
  <si>
    <t>skyrim.esm|028E82</t>
  </si>
  <si>
    <t>Épée daedra d'expulsion</t>
  </si>
  <si>
    <t>skyrim.esm|028F8D</t>
  </si>
  <si>
    <t>Épée daedra d'immobilisation</t>
  </si>
  <si>
    <t>skyrim.esm|028E96</t>
  </si>
  <si>
    <t>Épée daedra d'incinération</t>
  </si>
  <si>
    <t>skyrim.esm|028F8C</t>
  </si>
  <si>
    <t>Épée daedra d'inertie</t>
  </si>
  <si>
    <t>skyrim.esm|028E81</t>
  </si>
  <si>
    <t>Épée daedra de bannissement</t>
  </si>
  <si>
    <t>skyrim.esm|028EDC</t>
  </si>
  <si>
    <t>Épée daedra de blizzard</t>
  </si>
  <si>
    <t>skyrim.esm|028E89</t>
  </si>
  <si>
    <t>Épée daedra de brasier</t>
  </si>
  <si>
    <t>skyrim.esm|02950E</t>
  </si>
  <si>
    <t>Épée daedra de damnation</t>
  </si>
  <si>
    <t>skyrim.esm|028EFB</t>
  </si>
  <si>
    <t>Épée daedra de débilitation</t>
  </si>
  <si>
    <t>skyrim.esm|028EF9</t>
  </si>
  <si>
    <t>Épée daedra de dégradation</t>
  </si>
  <si>
    <t>skyrim.esm|028E78</t>
  </si>
  <si>
    <t>Épée daedra de dévorement</t>
  </si>
  <si>
    <t>skyrim.esm|028E87</t>
  </si>
  <si>
    <t>Épée daedra de flambée</t>
  </si>
  <si>
    <t>skyrim.esm|028EDB</t>
  </si>
  <si>
    <t>Épée daedra de frimas</t>
  </si>
  <si>
    <t>skyrim.esm|028FEC</t>
  </si>
  <si>
    <t>Épée daedra de fulguration</t>
  </si>
  <si>
    <t>skyrim.esm|028EE9</t>
  </si>
  <si>
    <t>Épée daedra de glaciation</t>
  </si>
  <si>
    <t>skyrim.esm|029543</t>
  </si>
  <si>
    <t>Épée daedra de léthargie</t>
  </si>
  <si>
    <t>skyrim.esm|029043</t>
  </si>
  <si>
    <t>Épée daedra de malédiction</t>
  </si>
  <si>
    <t>skyrim.esm|028FDD</t>
  </si>
  <si>
    <t>Épée daedra de pétrification</t>
  </si>
  <si>
    <t>skyrim.esm|028E7E</t>
  </si>
  <si>
    <t>Épée daedra de récolte</t>
  </si>
  <si>
    <t>skyrim.esm|028E7D</t>
  </si>
  <si>
    <t>Épée daedra de sorcellerie</t>
  </si>
  <si>
    <t>skyrim.esm|028F46</t>
  </si>
  <si>
    <t>Épée daedra de suppression</t>
  </si>
  <si>
    <t>skyrim.esm|028FE1</t>
  </si>
  <si>
    <t>Épée daedra de tempête</t>
  </si>
  <si>
    <t>skyrim.esm|028E85</t>
  </si>
  <si>
    <t>Épée daedra de terreur</t>
  </si>
  <si>
    <t>skyrim.esm|028FDE</t>
  </si>
  <si>
    <t>Épée daedra de tonnerre</t>
  </si>
  <si>
    <t>skyrim.esm|029527</t>
  </si>
  <si>
    <t>Épée daedra de torpeur</t>
  </si>
  <si>
    <t>skyrim.esm|028E7B</t>
  </si>
  <si>
    <t>Épée daedra de transfusion</t>
  </si>
  <si>
    <t>skyrim.esm|028E7A</t>
  </si>
  <si>
    <t>Épée daedra de vampirisme</t>
  </si>
  <si>
    <t>Krakan</t>
  </si>
  <si>
    <t>skyrim.esm|029560</t>
  </si>
  <si>
    <t>Épée daedra sacrée</t>
  </si>
  <si>
    <t>skyrim.esm|02955F</t>
  </si>
  <si>
    <t>Épée daedra sainte</t>
  </si>
  <si>
    <t>skyrim.esm|02955B</t>
  </si>
  <si>
    <t>Épée daedra sanctifié</t>
  </si>
  <si>
    <t>skyrim.esm|012EB7</t>
  </si>
  <si>
    <t>Épée de fer</t>
  </si>
  <si>
    <t>skyrim.esm|05BEF8</t>
  </si>
  <si>
    <t>Épée de fer bénie</t>
  </si>
  <si>
    <t>skyrim.esm|05B47F</t>
  </si>
  <si>
    <t>Épée de fer d'abattement</t>
  </si>
  <si>
    <t>skyrim.esm|05B475</t>
  </si>
  <si>
    <t>Épée de fer d'amenuisement</t>
  </si>
  <si>
    <t>skyrim.esm|05D177</t>
  </si>
  <si>
    <t>Épée de fer d'anima</t>
  </si>
  <si>
    <t>skyrim.esm|046050</t>
  </si>
  <si>
    <t>Épée de fer d'éclairs</t>
  </si>
  <si>
    <t>skyrim.esm|04602C</t>
  </si>
  <si>
    <t>Épée de fer d'étincelles</t>
  </si>
  <si>
    <t>skyrim.esm|049BB8</t>
  </si>
  <si>
    <t>Épée de fer d'incandescence</t>
  </si>
  <si>
    <t>skyrim.esm|089714</t>
  </si>
  <si>
    <t>Épée de fer d'intimidation</t>
  </si>
  <si>
    <t>skyrim.esm|046004</t>
  </si>
  <si>
    <t>Épée de fer de brûlure</t>
  </si>
  <si>
    <t>skyrim.esm|0896E1</t>
  </si>
  <si>
    <t>Épée de fer de capture</t>
  </si>
  <si>
    <t>skyrim.esm|089716</t>
  </si>
  <si>
    <t>Épée de fer de crainte</t>
  </si>
  <si>
    <t>skyrim.esm|04602D</t>
  </si>
  <si>
    <t>Épée de fer de décharge</t>
  </si>
  <si>
    <t>skyrim.esm|05B47D</t>
  </si>
  <si>
    <t>Épée de fer de fatigue</t>
  </si>
  <si>
    <t>skyrim.esm|046017</t>
  </si>
  <si>
    <t>Épée de fer de flammes</t>
  </si>
  <si>
    <t>skyrim.esm|046018</t>
  </si>
  <si>
    <t>Épée de fer de frisson</t>
  </si>
  <si>
    <t>skyrim.esm|04602A</t>
  </si>
  <si>
    <t>Épée de fer de froid</t>
  </si>
  <si>
    <t>skyrim.esm|04602B</t>
  </si>
  <si>
    <t>Épée de fer de givre</t>
  </si>
  <si>
    <t>skyrim.esm|05B47E</t>
  </si>
  <si>
    <t>Épée de fer de lassitude</t>
  </si>
  <si>
    <t>skyrim.esm|0896E0</t>
  </si>
  <si>
    <t>Épée de fer de piège</t>
  </si>
  <si>
    <t>skyrim.esm|05B476</t>
  </si>
  <si>
    <t>Épée de fer de réduction</t>
  </si>
  <si>
    <t>skyrim.esm|05B474</t>
  </si>
  <si>
    <t>Épée de fer de sape</t>
  </si>
  <si>
    <t>skyrim.esm|089715</t>
  </si>
  <si>
    <t>Épée de fer de veulerie</t>
  </si>
  <si>
    <t>skyrim.esm|03B0C2</t>
  </si>
  <si>
    <t>Épée de fer lunaire</t>
  </si>
  <si>
    <t>skyrim.esm|03B0C3</t>
  </si>
  <si>
    <t>skyrim.esm|03B0C4</t>
  </si>
  <si>
    <t>skyrim.esm|05BEF7</t>
  </si>
  <si>
    <t>Épée de fer pieuse</t>
  </si>
  <si>
    <t>skyrim.esm|05BEF9</t>
  </si>
  <si>
    <t>Épée de fer vertueuse</t>
  </si>
  <si>
    <t>skyrim.esm|05BF0C</t>
  </si>
  <si>
    <t>Épée de frisson nordique antique</t>
  </si>
  <si>
    <t>skyrim.esm|0DDD6A</t>
  </si>
  <si>
    <t>Épée de frisson nordique antique affûtée</t>
  </si>
  <si>
    <t>skyrim.esm|05BF0E</t>
  </si>
  <si>
    <t>Épée de givre nordique antique</t>
  </si>
  <si>
    <t>skyrim.esm|0DDD6C</t>
  </si>
  <si>
    <t>Épée de givre nordique antique affûtée</t>
  </si>
  <si>
    <t>skyrim.esm|05BF0D</t>
  </si>
  <si>
    <t>Épée de glace nordique antique</t>
  </si>
  <si>
    <t>skyrim.esm|0DDD6B</t>
  </si>
  <si>
    <t>Épée de glace nordique antique affûtée</t>
  </si>
  <si>
    <t>skyrim.esm|068976</t>
  </si>
  <si>
    <t>Épée de Hjalti</t>
  </si>
  <si>
    <t>skyrim.esm|09FD50</t>
  </si>
  <si>
    <t>Épée de l'Aigle carmin</t>
  </si>
  <si>
    <t>skyrim.esm|0AB85D</t>
  </si>
  <si>
    <t>Épée de la reine Freydis</t>
  </si>
  <si>
    <t>skyrim.esm|03AEB9</t>
  </si>
  <si>
    <t>Épée de Lame</t>
  </si>
  <si>
    <t>dragonborn.esm|0397F6</t>
  </si>
  <si>
    <t>Épée de Miraak</t>
  </si>
  <si>
    <t>dragonborn.esm|039FB1</t>
  </si>
  <si>
    <t>dragonborn.esm|039FB4</t>
  </si>
  <si>
    <t>skyrim.esm|0CADE9</t>
  </si>
  <si>
    <t>Épée de Parjure</t>
  </si>
  <si>
    <t>skyrim.esm|07A917</t>
  </si>
  <si>
    <t>Épée de Rossignol</t>
  </si>
  <si>
    <t>skyrim.esm|0F6524</t>
  </si>
  <si>
    <t>skyrim.esm|0F6525</t>
  </si>
  <si>
    <t>skyrim.esm|0F6526</t>
  </si>
  <si>
    <t>skyrim.esm|0F6527</t>
  </si>
  <si>
    <t>dragonborn.esm|02840A</t>
  </si>
  <si>
    <t>Épée de stalhrim d'absorption</t>
  </si>
  <si>
    <t>dragonborn.esm|0283ED</t>
  </si>
  <si>
    <t>Épée de stalhrim d'anathème</t>
  </si>
  <si>
    <t>dragonborn.esm|0283FF</t>
  </si>
  <si>
    <t>Épée de stalhrim d'angoisse</t>
  </si>
  <si>
    <t>dragonborn.esm|028400</t>
  </si>
  <si>
    <t>Épée de stalhrim d'annihilation</t>
  </si>
  <si>
    <t>dragonborn.esm|028403</t>
  </si>
  <si>
    <t>Épée de stalhrim d'assimilation</t>
  </si>
  <si>
    <t>dragonborn.esm|0283FD</t>
  </si>
  <si>
    <t>Épée de stalhrim d'effroi</t>
  </si>
  <si>
    <t>dragonborn.esm|028404</t>
  </si>
  <si>
    <t>Épée de stalhrim d'engrangement</t>
  </si>
  <si>
    <t>dragonborn.esm|0283E8</t>
  </si>
  <si>
    <t>Épée de stalhrim d'épuisement</t>
  </si>
  <si>
    <t>dragonborn.esm|028407</t>
  </si>
  <si>
    <t>Épée de stalhrim d'évocation</t>
  </si>
  <si>
    <t>dragonborn.esm|028401</t>
  </si>
  <si>
    <t>Épée de stalhrim d'expulsion</t>
  </si>
  <si>
    <t>dragonborn.esm|0283F2</t>
  </si>
  <si>
    <t>Épée de stalhrim d'immobilisation</t>
  </si>
  <si>
    <t>dragonborn.esm|0283F3</t>
  </si>
  <si>
    <t>Épée de stalhrim d'inertie</t>
  </si>
  <si>
    <t>dragonborn.esm|028402</t>
  </si>
  <si>
    <t>Épée de stalhrim de bannissement</t>
  </si>
  <si>
    <t>dragonborn.esm|0283F8</t>
  </si>
  <si>
    <t>Épée de stalhrim de blizzard</t>
  </si>
  <si>
    <t>dragonborn.esm|0283FB</t>
  </si>
  <si>
    <t>Épée de stalhrim de chaos extrême</t>
  </si>
  <si>
    <t>dragonborn.esm|0283FA</t>
  </si>
  <si>
    <t>Épée de stalhrim de chaos ultime</t>
  </si>
  <si>
    <t>dragonborn.esm|0283EB</t>
  </si>
  <si>
    <t>Épée de stalhrim de damnation</t>
  </si>
  <si>
    <t>dragonborn.esm|0283F5</t>
  </si>
  <si>
    <t>Épée de stalhrim de débilitation</t>
  </si>
  <si>
    <t>dragonborn.esm|0283F6</t>
  </si>
  <si>
    <t>Épée de stalhrim de dégradation</t>
  </si>
  <si>
    <t>dragonborn.esm|02840B</t>
  </si>
  <si>
    <t>Épée de stalhrim de dévorement</t>
  </si>
  <si>
    <t>dragonborn.esm|0283F9</t>
  </si>
  <si>
    <t>Épée de stalhrim de frimas</t>
  </si>
  <si>
    <t>dragonborn.esm|0283EE</t>
  </si>
  <si>
    <t>Épée de stalhrim de fulguration</t>
  </si>
  <si>
    <t>dragonborn.esm|0283F7</t>
  </si>
  <si>
    <t>Épée de stalhrim de glaciation</t>
  </si>
  <si>
    <t>dragonborn.esm|0283E9</t>
  </si>
  <si>
    <t>Épée de stalhrim de léthargie</t>
  </si>
  <si>
    <t>dragonborn.esm|0283EC</t>
  </si>
  <si>
    <t>Épée de stalhrim de malédiction</t>
  </si>
  <si>
    <t>dragonborn.esm|0283F1</t>
  </si>
  <si>
    <t>Épée de stalhrim de pétrification</t>
  </si>
  <si>
    <t>dragonborn.esm|0283FC</t>
  </si>
  <si>
    <t>Épée de stalhrim de profond chaos</t>
  </si>
  <si>
    <t>dragonborn.esm|028405</t>
  </si>
  <si>
    <t>Épée de stalhrim de récolte</t>
  </si>
  <si>
    <t>dragonborn.esm|028406</t>
  </si>
  <si>
    <t>Épée de stalhrim de sorcellerie</t>
  </si>
  <si>
    <t>dragonborn.esm|0283F4</t>
  </si>
  <si>
    <t>Épée de stalhrim de suppression</t>
  </si>
  <si>
    <t>dragonborn.esm|0283EF</t>
  </si>
  <si>
    <t>Épée de stalhrim de tempête</t>
  </si>
  <si>
    <t>dragonborn.esm|0283FE</t>
  </si>
  <si>
    <t>Épée de stalhrim de terreur</t>
  </si>
  <si>
    <t>dragonborn.esm|0283F0</t>
  </si>
  <si>
    <t>Épée de stalhrim de tonnerre</t>
  </si>
  <si>
    <t>dragonborn.esm|0283EA</t>
  </si>
  <si>
    <t>Épée de stalhrim de torpeur</t>
  </si>
  <si>
    <t>dragonborn.esm|028408</t>
  </si>
  <si>
    <t>Épée de stalhrim de transfusion</t>
  </si>
  <si>
    <t>dragonborn.esm|028409</t>
  </si>
  <si>
    <t>Épée de stalhrim de vampirisme</t>
  </si>
  <si>
    <t>dragonborn.esm|0283E5</t>
  </si>
  <si>
    <t>Épée de stalhrim sacrée</t>
  </si>
  <si>
    <t>dragonborn.esm|0283E6</t>
  </si>
  <si>
    <t>Épée de stalhrim sainte</t>
  </si>
  <si>
    <t>dragonborn.esm|0283E7</t>
  </si>
  <si>
    <t>Épée de stalhrim sanctifiée</t>
  </si>
  <si>
    <t>skyrim.esm|013135</t>
  </si>
  <si>
    <t>Épée de stupéfaction</t>
  </si>
  <si>
    <t>skyrim.esm|01D860</t>
  </si>
  <si>
    <t>Épée de tonnerre en ébonite</t>
  </si>
  <si>
    <t>skyrim.esm|0139A9</t>
  </si>
  <si>
    <t>Épée de verre</t>
  </si>
  <si>
    <t>skyrim.esm|0BEF72</t>
  </si>
  <si>
    <t>Épée de verre d'abattement</t>
  </si>
  <si>
    <t>skyrim.esm|0BEF56</t>
  </si>
  <si>
    <t>Épée de verre d'absorption</t>
  </si>
  <si>
    <t>skyrim.esm|0BEF57</t>
  </si>
  <si>
    <t>Épée de verre d'amalgame</t>
  </si>
  <si>
    <t>skyrim.esm|0BEF70</t>
  </si>
  <si>
    <t>Épée de verre d'anathème</t>
  </si>
  <si>
    <t>skyrim.esm|0BEF6C</t>
  </si>
  <si>
    <t>Épée de verre d'éclairs</t>
  </si>
  <si>
    <t>skyrim.esm|0BEF5C</t>
  </si>
  <si>
    <t>Épée de verre d'engrangement</t>
  </si>
  <si>
    <t>skyrim.esm|0BEF59</t>
  </si>
  <si>
    <t>Épée de verre d'évocation</t>
  </si>
  <si>
    <t>skyrim.esm|0BEF5E</t>
  </si>
  <si>
    <t>Épée de verre d'expulsion</t>
  </si>
  <si>
    <t>skyrim.esm|0BEF6B</t>
  </si>
  <si>
    <t>Épée de verre d'immobilisation</t>
  </si>
  <si>
    <t>skyrim.esm|0BEF6A</t>
  </si>
  <si>
    <t>Épée de verre d'inertie</t>
  </si>
  <si>
    <t>skyrim.esm|0BEF54</t>
  </si>
  <si>
    <t>Épée de verre d'ingestion</t>
  </si>
  <si>
    <t>skyrim.esm|0BEF5D</t>
  </si>
  <si>
    <t>Épée de verre de bannissement</t>
  </si>
  <si>
    <t>skyrim.esm|0BEF67</t>
  </si>
  <si>
    <t>Épée de verre de blizzard</t>
  </si>
  <si>
    <t>skyrim.esm|0BEF64</t>
  </si>
  <si>
    <t>Épée de verre de brasier</t>
  </si>
  <si>
    <t>skyrim.esm|0BEF6F</t>
  </si>
  <si>
    <t>Épée de verre de capture</t>
  </si>
  <si>
    <t>skyrim.esm|0BEF5F</t>
  </si>
  <si>
    <t>Épée de verre de crainte</t>
  </si>
  <si>
    <t>skyrim.esm|0BEF69</t>
  </si>
  <si>
    <t>Épée de verre de débilitation</t>
  </si>
  <si>
    <t>skyrim.esm|0BEF68</t>
  </si>
  <si>
    <t>Épée de verre de dégradation</t>
  </si>
  <si>
    <t>skyrim.esm|0BEF55</t>
  </si>
  <si>
    <t>Épée de verre de dévorement</t>
  </si>
  <si>
    <t>skyrim.esm|0BEF63</t>
  </si>
  <si>
    <t>Épée de verre de flambée</t>
  </si>
  <si>
    <t>skyrim.esm|0BEF62</t>
  </si>
  <si>
    <t>Épée de verre de flammes</t>
  </si>
  <si>
    <t>skyrim.esm|0BEF66</t>
  </si>
  <si>
    <t>Épée de verre de frimas</t>
  </si>
  <si>
    <t>skyrim.esm|0BEF65</t>
  </si>
  <si>
    <t>Épée de verre de givre</t>
  </si>
  <si>
    <t>skyrim.esm|0BEF74</t>
  </si>
  <si>
    <t>Épée de verre de léthargie</t>
  </si>
  <si>
    <t>skyrim.esm|0BEF71</t>
  </si>
  <si>
    <t>Épée de verre de malédiction</t>
  </si>
  <si>
    <t>skyrim.esm|0BEF5A</t>
  </si>
  <si>
    <t>Épée de verre de moisson</t>
  </si>
  <si>
    <t>skyrim.esm|0BEF5B</t>
  </si>
  <si>
    <t>Épée de verre de récolte</t>
  </si>
  <si>
    <t>skyrim.esm|0BEF6E</t>
  </si>
  <si>
    <t>Épée de verre de tempête</t>
  </si>
  <si>
    <t>skyrim.esm|0BEF61</t>
  </si>
  <si>
    <t>Épée de verre de terreur</t>
  </si>
  <si>
    <t>skyrim.esm|0BEF6D</t>
  </si>
  <si>
    <t>Épée de verre de tonnerre</t>
  </si>
  <si>
    <t>skyrim.esm|0BEF73</t>
  </si>
  <si>
    <t>Épée de verre de torpeur</t>
  </si>
  <si>
    <t>skyrim.esm|0BEF58</t>
  </si>
  <si>
    <t>Épée de verre de transfusion</t>
  </si>
  <si>
    <t>skyrim.esm|0BEF77</t>
  </si>
  <si>
    <t>Épée de verre sainte</t>
  </si>
  <si>
    <t>skyrim.esm|0BEF76</t>
  </si>
  <si>
    <t>Épée de verre sanctifiée</t>
  </si>
  <si>
    <t>skyrim.esm|0BEF75</t>
  </si>
  <si>
    <t>Épée de verre vertueuse</t>
  </si>
  <si>
    <t>skyrim.esm|0F71DD</t>
  </si>
  <si>
    <t>Épée de Vole-coeur</t>
  </si>
  <si>
    <t>skyrim.esm|013999</t>
  </si>
  <si>
    <t>Épée dwemer</t>
  </si>
  <si>
    <t>skyrim.esm|0ACC4A</t>
  </si>
  <si>
    <t>Épée dwemer bénie</t>
  </si>
  <si>
    <t>skyrim.esm|0ACC48</t>
  </si>
  <si>
    <t>Épée dwemer d'abattement</t>
  </si>
  <si>
    <t>skyrim.esm|0ACC2E</t>
  </si>
  <si>
    <t>Épée dwemer d'amalgame</t>
  </si>
  <si>
    <t>skyrim.esm|0ACC3D</t>
  </si>
  <si>
    <t>Épée dwemer d'amenuisement</t>
  </si>
  <si>
    <t>skyrim.esm|0ACC46</t>
  </si>
  <si>
    <t>Épée dwemer d'anathème</t>
  </si>
  <si>
    <t>skyrim.esm|0ACC36</t>
  </si>
  <si>
    <t>Épée dwemer d'angoisse</t>
  </si>
  <si>
    <t>skyrim.esm|0ACC42</t>
  </si>
  <si>
    <t>Épée dwemer d'éclairs</t>
  </si>
  <si>
    <t>skyrim.esm|0ACC2B</t>
  </si>
  <si>
    <t>Épée dwemer d'ingestion</t>
  </si>
  <si>
    <t>skyrim.esm|0ACC37</t>
  </si>
  <si>
    <t>Épée dwemer de brûlure</t>
  </si>
  <si>
    <t>skyrim.esm|0ACC45</t>
  </si>
  <si>
    <t>Épée dwemer de capture</t>
  </si>
  <si>
    <t>skyrim.esm|0ACC35</t>
  </si>
  <si>
    <t>Épée dwemer de crainte</t>
  </si>
  <si>
    <t>skyrim.esm|0ACC41</t>
  </si>
  <si>
    <t>Épée dwemer de décharge</t>
  </si>
  <si>
    <t>skyrim.esm|0ACC3F</t>
  </si>
  <si>
    <t>Épée dwemer de dégradation</t>
  </si>
  <si>
    <t>skyrim.esm|0ACC2C</t>
  </si>
  <si>
    <t>Épée dwemer de dévorement</t>
  </si>
  <si>
    <t>skyrim.esm|0ACC39</t>
  </si>
  <si>
    <t>Épée dwemer de flambée</t>
  </si>
  <si>
    <t>skyrim.esm|0ACC38</t>
  </si>
  <si>
    <t>Épée dwemer de flammes</t>
  </si>
  <si>
    <t>skyrim.esm|0ACC3C</t>
  </si>
  <si>
    <t>Épée dwemer de frimas</t>
  </si>
  <si>
    <t>skyrim.esm|0ACC3A</t>
  </si>
  <si>
    <t>Épée dwemer de froid</t>
  </si>
  <si>
    <t>skyrim.esm|0ACC3B</t>
  </si>
  <si>
    <t>Épée dwemer de givre</t>
  </si>
  <si>
    <t>skyrim.esm|0ACC30</t>
  </si>
  <si>
    <t>Épée dwemer de glanure</t>
  </si>
  <si>
    <t>skyrim.esm|0ACC47</t>
  </si>
  <si>
    <t>Épée dwemer de lassitude</t>
  </si>
  <si>
    <t>skyrim.esm|0ACC31</t>
  </si>
  <si>
    <t>Épée dwemer de moisson</t>
  </si>
  <si>
    <t>skyrim.esm|0ACC44</t>
  </si>
  <si>
    <t>Épée dwemer de piège</t>
  </si>
  <si>
    <t>skyrim.esm|0ACC32</t>
  </si>
  <si>
    <t>Épée dwemer de récolte</t>
  </si>
  <si>
    <t>skyrim.esm|0ACC2A</t>
  </si>
  <si>
    <t>Épée dwemer de recueil</t>
  </si>
  <si>
    <t>skyrim.esm|0ACC3E</t>
  </si>
  <si>
    <t>Épée dwemer de réduction</t>
  </si>
  <si>
    <t>skyrim.esm|0ACC2D</t>
  </si>
  <si>
    <t>Épée dwemer de siphonnage</t>
  </si>
  <si>
    <t>skyrim.esm|0ACC43</t>
  </si>
  <si>
    <t>Épée dwemer de tonnerre</t>
  </si>
  <si>
    <t>skyrim.esm|0ACC49</t>
  </si>
  <si>
    <t>Épée dwemer de torpeur</t>
  </si>
  <si>
    <t>skyrim.esm|0ACC2F</t>
  </si>
  <si>
    <t>Épée dwemer de transfusion</t>
  </si>
  <si>
    <t>skyrim.esm|0ACC34</t>
  </si>
  <si>
    <t>Épée dwemer de veulerie</t>
  </si>
  <si>
    <t>skyrim.esm|0ACC4C</t>
  </si>
  <si>
    <t>Épée dwemer sanctifiée</t>
  </si>
  <si>
    <t>skyrim.esm|0ACC4B</t>
  </si>
  <si>
    <t>Épée dwemer vertueuse</t>
  </si>
  <si>
    <t>skyrim.esm|0139A1</t>
  </si>
  <si>
    <t>Épée elfique</t>
  </si>
  <si>
    <t>skyrim.esm|0BE20E</t>
  </si>
  <si>
    <t>Épée elfique d'abattement</t>
  </si>
  <si>
    <t>skyrim.esm|0BE1F1</t>
  </si>
  <si>
    <t>Épée elfique d'absorption</t>
  </si>
  <si>
    <t>skyrim.esm|0BE1F2</t>
  </si>
  <si>
    <t>Épée elfique d'amalgame</t>
  </si>
  <si>
    <t>skyrim.esm|0BE20C</t>
  </si>
  <si>
    <t>Épée elfique d'anathème</t>
  </si>
  <si>
    <t>skyrim.esm|0BE1FB</t>
  </si>
  <si>
    <t>Épée elfique d'angoisse</t>
  </si>
  <si>
    <t>skyrim.esm|0BE208</t>
  </si>
  <si>
    <t>Épée elfique d'éclairs</t>
  </si>
  <si>
    <t>skyrim.esm|0BE1F7</t>
  </si>
  <si>
    <t>Épée elfique d'engrangement</t>
  </si>
  <si>
    <t>skyrim.esm|0BE1F4</t>
  </si>
  <si>
    <t>Épée elfique d'évocation</t>
  </si>
  <si>
    <t>skyrim.esm|0BE1F9</t>
  </si>
  <si>
    <t>Épée elfique d'expulsion</t>
  </si>
  <si>
    <t>skyrim.esm|0BE207</t>
  </si>
  <si>
    <t>Épée elfique d'immobilisation</t>
  </si>
  <si>
    <t>skyrim.esm|0BE206</t>
  </si>
  <si>
    <t>Épée elfique d'inertie</t>
  </si>
  <si>
    <t>skyrim.esm|0BE1EF</t>
  </si>
  <si>
    <t>Épée elfique d'ingestion</t>
  </si>
  <si>
    <t>skyrim.esm|0BE1F8</t>
  </si>
  <si>
    <t>Épée elfique de bannissement</t>
  </si>
  <si>
    <t>skyrim.esm|0BE202</t>
  </si>
  <si>
    <t>Épée elfique de blizzard</t>
  </si>
  <si>
    <t>skyrim.esm|0BE1FF</t>
  </si>
  <si>
    <t>Épée elfique de brasier</t>
  </si>
  <si>
    <t>skyrim.esm|0BE20B</t>
  </si>
  <si>
    <t>Épée elfique de capture</t>
  </si>
  <si>
    <t>skyrim.esm|0BE1FA</t>
  </si>
  <si>
    <t>Épée elfique de crainte</t>
  </si>
  <si>
    <t>skyrim.esm|0BE205</t>
  </si>
  <si>
    <t>Épée elfique de débilitation</t>
  </si>
  <si>
    <t>skyrim.esm|0BE204</t>
  </si>
  <si>
    <t>Épée elfique de dégradation</t>
  </si>
  <si>
    <t>skyrim.esm|0BE1F0</t>
  </si>
  <si>
    <t>Épée elfique de dévorement</t>
  </si>
  <si>
    <t>skyrim.esm|0BE1FE</t>
  </si>
  <si>
    <t>Épée elfique de flambée</t>
  </si>
  <si>
    <t>skyrim.esm|0BE1FD</t>
  </si>
  <si>
    <t>Épée elfique de flammes</t>
  </si>
  <si>
    <t>skyrim.esm|0BE201</t>
  </si>
  <si>
    <t>Épée elfique de frimas</t>
  </si>
  <si>
    <t>skyrim.esm|0BE200</t>
  </si>
  <si>
    <t>Épée elfique de givre</t>
  </si>
  <si>
    <t>skyrim.esm|0BE210</t>
  </si>
  <si>
    <t>Épée elfique de léthargie</t>
  </si>
  <si>
    <t>skyrim.esm|0BE20D</t>
  </si>
  <si>
    <t>Épée elfique de malédiction</t>
  </si>
  <si>
    <t>skyrim.esm|0BE1F5</t>
  </si>
  <si>
    <t>Épée elfique de moisson</t>
  </si>
  <si>
    <t>skyrim.esm|0BE1F6</t>
  </si>
  <si>
    <t>Épée elfique de récolte</t>
  </si>
  <si>
    <t>skyrim.esm|0BE203</t>
  </si>
  <si>
    <t>Épée elfique de réduction</t>
  </si>
  <si>
    <t>skyrim.esm|0BE20A</t>
  </si>
  <si>
    <t>Épée elfique de tempête</t>
  </si>
  <si>
    <t>skyrim.esm|0BE1FC</t>
  </si>
  <si>
    <t>Épée elfique de terreur</t>
  </si>
  <si>
    <t>skyrim.esm|0BE209</t>
  </si>
  <si>
    <t>Épée elfique de tonnerre</t>
  </si>
  <si>
    <t>skyrim.esm|0BE20F</t>
  </si>
  <si>
    <t>Épée elfique de torpeur</t>
  </si>
  <si>
    <t>skyrim.esm|0BE1F3</t>
  </si>
  <si>
    <t>Épée elfique de transfusion</t>
  </si>
  <si>
    <t>skyrim.esm|0BE213</t>
  </si>
  <si>
    <t>Épée elfique sainte</t>
  </si>
  <si>
    <t>skyrim.esm|0BE212</t>
  </si>
  <si>
    <t>Épée elfique sanctifiée</t>
  </si>
  <si>
    <t>skyrim.esm|0BE211</t>
  </si>
  <si>
    <t>Épée elfique vertueuse</t>
  </si>
  <si>
    <t>hearthfires.esm|004D91</t>
  </si>
  <si>
    <t>Épée en bois</t>
  </si>
  <si>
    <t>skyrim.esm|02E6D1</t>
  </si>
  <si>
    <t>Épée falmer</t>
  </si>
  <si>
    <t>skyrim.esm|06F6FF</t>
  </si>
  <si>
    <t>Épée falmer affûtée</t>
  </si>
  <si>
    <t>skyrim.esm|0647AC</t>
  </si>
  <si>
    <t>Épée familiale d'Amren</t>
  </si>
  <si>
    <t>skyrim.esm|0C3DE7</t>
  </si>
  <si>
    <t>Épée impériale bénie</t>
  </si>
  <si>
    <t>skyrim.esm|0C3DFB</t>
  </si>
  <si>
    <t>Épée impériale d'abattement</t>
  </si>
  <si>
    <t>skyrim.esm|0C3DED</t>
  </si>
  <si>
    <t>Épée impériale d'amenuisement</t>
  </si>
  <si>
    <t>skyrim.esm|0C3DE8</t>
  </si>
  <si>
    <t>Épée impériale d'anima</t>
  </si>
  <si>
    <t>skyrim.esm|0C3DE9</t>
  </si>
  <si>
    <t>Épée impériale d'éclairs</t>
  </si>
  <si>
    <t>skyrim.esm|0C3DEB</t>
  </si>
  <si>
    <t>Épée impériale d'étincelles</t>
  </si>
  <si>
    <t>skyrim.esm|0C3DF4</t>
  </si>
  <si>
    <t>Épée impériale d'incandescence</t>
  </si>
  <si>
    <t>skyrim.esm|0C3DF7</t>
  </si>
  <si>
    <t>Épée impériale d'intimidation</t>
  </si>
  <si>
    <t>skyrim.esm|0C3DF3</t>
  </si>
  <si>
    <t>Épée impériale de brûlure</t>
  </si>
  <si>
    <t>skyrim.esm|0C3DF9</t>
  </si>
  <si>
    <t>Épée impériale de Capture</t>
  </si>
  <si>
    <t>skyrim.esm|0C3DF5</t>
  </si>
  <si>
    <t>Épée impériale de crainte</t>
  </si>
  <si>
    <t>skyrim.esm|0C3DEA</t>
  </si>
  <si>
    <t>Épée impériale de décharge</t>
  </si>
  <si>
    <t>skyrim.esm|0C3DFA</t>
  </si>
  <si>
    <t>Épée impériale de fatigue</t>
  </si>
  <si>
    <t>skyrim.esm|0C3DF2</t>
  </si>
  <si>
    <t>Épée impériale de flammes</t>
  </si>
  <si>
    <t>skyrim.esm|0C3DF1</t>
  </si>
  <si>
    <t>Épée impériale de frisson</t>
  </si>
  <si>
    <t>skyrim.esm|0C3DF0</t>
  </si>
  <si>
    <t>Épée impériale de froid</t>
  </si>
  <si>
    <t>skyrim.esm|0C3DEF</t>
  </si>
  <si>
    <t>Épée impériale de givre</t>
  </si>
  <si>
    <t>skyrim.esm|0C3DE5</t>
  </si>
  <si>
    <t>Épée impériale de lassitude</t>
  </si>
  <si>
    <t>skyrim.esm|0C3DF8</t>
  </si>
  <si>
    <t>Épée impériale de piège</t>
  </si>
  <si>
    <t>skyrim.esm|0C3DEC</t>
  </si>
  <si>
    <t>Épée impériale de réduction</t>
  </si>
  <si>
    <t>skyrim.esm|0C3DEE</t>
  </si>
  <si>
    <t>Épée impériale de sape</t>
  </si>
  <si>
    <t>skyrim.esm|0C3DF6</t>
  </si>
  <si>
    <t>Épée impériale de veulerie</t>
  </si>
  <si>
    <t>skyrim.esm|0C3DE6</t>
  </si>
  <si>
    <t>Épée impériale pieuse</t>
  </si>
  <si>
    <t>skyrim.esm|0C3DE4</t>
  </si>
  <si>
    <t>Épée impériale vertueuse</t>
  </si>
  <si>
    <t>dragonborn.esm|01CDB1</t>
  </si>
  <si>
    <t>Épée nordique</t>
  </si>
  <si>
    <t>skyrim.esm|02C66F</t>
  </si>
  <si>
    <t>Épée nordique antique</t>
  </si>
  <si>
    <t>skyrim.esm|05BF14</t>
  </si>
  <si>
    <t>Épée nordique antique affûtée</t>
  </si>
  <si>
    <t>dragonborn.esm|0282C7</t>
  </si>
  <si>
    <t>Épée nordique d'abattement</t>
  </si>
  <si>
    <t>dragonborn.esm|0282E4</t>
  </si>
  <si>
    <t>Épée nordique d'absorption</t>
  </si>
  <si>
    <t>dragonborn.esm|0282E3</t>
  </si>
  <si>
    <t>Épée nordique d'amalgame</t>
  </si>
  <si>
    <t>dragonborn.esm|0282C9</t>
  </si>
  <si>
    <t>Épée nordique d'anathème</t>
  </si>
  <si>
    <t>dragonborn.esm|0282DA</t>
  </si>
  <si>
    <t>Épée nordique d'angoisse</t>
  </si>
  <si>
    <t>dragonborn.esm|0282CD</t>
  </si>
  <si>
    <t>Épée nordique d'éclairs</t>
  </si>
  <si>
    <t>dragonborn.esm|0282DE</t>
  </si>
  <si>
    <t>Épée nordique d'engrangement</t>
  </si>
  <si>
    <t>dragonborn.esm|0282E1</t>
  </si>
  <si>
    <t>Épée nordique d'évocation</t>
  </si>
  <si>
    <t>dragonborn.esm|0282DC</t>
  </si>
  <si>
    <t>Épée nordique d'expulsion</t>
  </si>
  <si>
    <t>dragonborn.esm|0282CE</t>
  </si>
  <si>
    <t>Épée nordique d'immobilisation</t>
  </si>
  <si>
    <t>dragonborn.esm|0282CF</t>
  </si>
  <si>
    <t>Épée nordique d'inertie</t>
  </si>
  <si>
    <t>dragonborn.esm|0282E6</t>
  </si>
  <si>
    <t>Épée nordique d'ingestion</t>
  </si>
  <si>
    <t>dragonborn.esm|0282DD</t>
  </si>
  <si>
    <t>Épée nordique de bannissement</t>
  </si>
  <si>
    <t>dragonborn.esm|0282D3</t>
  </si>
  <si>
    <t>Épée nordique de blizzard</t>
  </si>
  <si>
    <t>dragonborn.esm|0282D6</t>
  </si>
  <si>
    <t>Épée nordique de brasier</t>
  </si>
  <si>
    <t>dragonborn.esm|0282CA</t>
  </si>
  <si>
    <t>Épée nordique de capture</t>
  </si>
  <si>
    <t>dragonborn.esm|02C482</t>
  </si>
  <si>
    <t>Épée nordique de chaos</t>
  </si>
  <si>
    <t>dragonborn.esm|02C484</t>
  </si>
  <si>
    <t>Épée nordique de chaos extrême</t>
  </si>
  <si>
    <t>dragonborn.esm|0282DB</t>
  </si>
  <si>
    <t>Épée nordique de crainte</t>
  </si>
  <si>
    <t>dragonborn.esm|0282D0</t>
  </si>
  <si>
    <t>Épée nordique de débilitation</t>
  </si>
  <si>
    <t>dragonborn.esm|0282D1</t>
  </si>
  <si>
    <t>Épée nordique de dégradation</t>
  </si>
  <si>
    <t>dragonborn.esm|0282E5</t>
  </si>
  <si>
    <t>Épée nordique de dévorement</t>
  </si>
  <si>
    <t>dragonborn.esm|0282D7</t>
  </si>
  <si>
    <t>Épée nordique de flambée</t>
  </si>
  <si>
    <t>dragonborn.esm|0282D8</t>
  </si>
  <si>
    <t>Épée nordique de flammes</t>
  </si>
  <si>
    <t>dragonborn.esm|0282D4</t>
  </si>
  <si>
    <t>Épée nordique de frimas</t>
  </si>
  <si>
    <t>dragonborn.esm|0282D5</t>
  </si>
  <si>
    <t>Épée nordique de givre</t>
  </si>
  <si>
    <t>dragonborn.esm|0282C5</t>
  </si>
  <si>
    <t>Épée nordique de léthargie</t>
  </si>
  <si>
    <t>dragonborn.esm|0282C8</t>
  </si>
  <si>
    <t>Épée nordique de malédiction</t>
  </si>
  <si>
    <t>dragonborn.esm|0282E0</t>
  </si>
  <si>
    <t>Épée nordique de moisson</t>
  </si>
  <si>
    <t>dragonborn.esm|02C483</t>
  </si>
  <si>
    <t>Épée nordique de profond chaos</t>
  </si>
  <si>
    <t>dragonborn.esm|0282DF</t>
  </si>
  <si>
    <t>Épée nordique de récolte</t>
  </si>
  <si>
    <t>dragonborn.esm|0282D2</t>
  </si>
  <si>
    <t>Épée nordique de réduction</t>
  </si>
  <si>
    <t>dragonborn.esm|0282CB</t>
  </si>
  <si>
    <t>Épée nordique de tempête</t>
  </si>
  <si>
    <t>dragonborn.esm|0282D9</t>
  </si>
  <si>
    <t>Épée nordique de terreur</t>
  </si>
  <si>
    <t>dragonborn.esm|0282CC</t>
  </si>
  <si>
    <t>Épée nordique de tonnerre</t>
  </si>
  <si>
    <t>dragonborn.esm|0282C6</t>
  </si>
  <si>
    <t>Épée nordique de torpeur</t>
  </si>
  <si>
    <t>dragonborn.esm|0282E2</t>
  </si>
  <si>
    <t>Épée nordique de transfusion</t>
  </si>
  <si>
    <t>dragonborn.esm|0282C2</t>
  </si>
  <si>
    <t>Épée nordique sainte</t>
  </si>
  <si>
    <t>dragonborn.esm|0282C3</t>
  </si>
  <si>
    <t>Épée nordique sanctifiée</t>
  </si>
  <si>
    <t>dragonborn.esm|0282C4</t>
  </si>
  <si>
    <t>Épée nordique vertueuse</t>
  </si>
  <si>
    <t>skyrim.esm|013991</t>
  </si>
  <si>
    <t>Épée orque</t>
  </si>
  <si>
    <t>skyrim.esm|0AA1C6</t>
  </si>
  <si>
    <t>Épée orque bénie</t>
  </si>
  <si>
    <t>skyrim.esm|0AA1C5</t>
  </si>
  <si>
    <t>Épée orque d'abattement</t>
  </si>
  <si>
    <t>skyrim.esm|0AA1B0</t>
  </si>
  <si>
    <t>Épée orque d'amalgame</t>
  </si>
  <si>
    <t>skyrim.esm|0AA1BB</t>
  </si>
  <si>
    <t>Épée orque d'amenuisement</t>
  </si>
  <si>
    <t>skyrim.esm|0AA1C3</t>
  </si>
  <si>
    <t>Épée orque d'anathème</t>
  </si>
  <si>
    <t>skyrim.esm|0AA1B6</t>
  </si>
  <si>
    <t>Épée orque d'angoisse</t>
  </si>
  <si>
    <t>skyrim.esm|0AA1BF</t>
  </si>
  <si>
    <t>Épée orque d'éclairs</t>
  </si>
  <si>
    <t>skyrim.esm|0AA1AE</t>
  </si>
  <si>
    <t>Épée orque d'ingestion</t>
  </si>
  <si>
    <t>skyrim.esm|052FF9</t>
  </si>
  <si>
    <t>Épée orque de brûlure</t>
  </si>
  <si>
    <t>skyrim.esm|0AA1C2</t>
  </si>
  <si>
    <t>Épée orque de capture</t>
  </si>
  <si>
    <t>skyrim.esm|0AA1B5</t>
  </si>
  <si>
    <t>Épée orque de crainte</t>
  </si>
  <si>
    <t>skyrim.esm|0AA1BE</t>
  </si>
  <si>
    <t>Épée orque de décharge</t>
  </si>
  <si>
    <t>skyrim.esm|0AA1BD</t>
  </si>
  <si>
    <t>Épée orque de dégradation</t>
  </si>
  <si>
    <t>skyrim.esm|0AA1AF</t>
  </si>
  <si>
    <t>Épée orque de dévorement</t>
  </si>
  <si>
    <t>skyrim.esm|0AA1B8</t>
  </si>
  <si>
    <t>Épée orque de flambée</t>
  </si>
  <si>
    <t>skyrim.esm|0AA1B7</t>
  </si>
  <si>
    <t>Épée orque de flammes</t>
  </si>
  <si>
    <t>skyrim.esm|0AA1BA</t>
  </si>
  <si>
    <t>Épée orque de frimas</t>
  </si>
  <si>
    <t>skyrim.esm|052FFA</t>
  </si>
  <si>
    <t>Épée orque de froid</t>
  </si>
  <si>
    <t>skyrim.esm|0AA1B9</t>
  </si>
  <si>
    <t>Épée orque de givre</t>
  </si>
  <si>
    <t>skyrim.esm|0AA1AD</t>
  </si>
  <si>
    <t>Épée orque de glanure</t>
  </si>
  <si>
    <t>skyrim.esm|0AA1C4</t>
  </si>
  <si>
    <t>Épée orque de lassitude</t>
  </si>
  <si>
    <t>skyrim.esm|0AA1B2</t>
  </si>
  <si>
    <t>Épée orque de moisson</t>
  </si>
  <si>
    <t>skyrim.esm|0AA1C1</t>
  </si>
  <si>
    <t>Épée orque de piège</t>
  </si>
  <si>
    <t>skyrim.esm|0AA1B3</t>
  </si>
  <si>
    <t>Épée orque de récolte</t>
  </si>
  <si>
    <t>skyrim.esm|0AA1AB</t>
  </si>
  <si>
    <t>Épée orque de recueil</t>
  </si>
  <si>
    <t>skyrim.esm|0AA1BC</t>
  </si>
  <si>
    <t>Épée orque de réduction</t>
  </si>
  <si>
    <t>skyrim.esm|0AA1AC</t>
  </si>
  <si>
    <t>Épée orque de siphonnage</t>
  </si>
  <si>
    <t>skyrim.esm|0AA1C0</t>
  </si>
  <si>
    <t>Épée orque de tonnerre</t>
  </si>
  <si>
    <t>skyrim.esm|0AA1E6</t>
  </si>
  <si>
    <t>Épée orque de torpeur</t>
  </si>
  <si>
    <t>skyrim.esm|0AA1B1</t>
  </si>
  <si>
    <t>Épée orque de transfusion</t>
  </si>
  <si>
    <t>skyrim.esm|0AA1B4</t>
  </si>
  <si>
    <t>Épée orque de veulerie</t>
  </si>
  <si>
    <t>skyrim.esm|0AA1C8</t>
  </si>
  <si>
    <t>Épée orque sanctifiée</t>
  </si>
  <si>
    <t>skyrim.esm|0AA1C7</t>
  </si>
  <si>
    <t>Épée orque vertueuse</t>
  </si>
  <si>
    <t>skyrim.esm|0A69A0</t>
  </si>
  <si>
    <t>Espadon d'acier béni</t>
  </si>
  <si>
    <t>skyrim.esm|0A699E</t>
  </si>
  <si>
    <t>Espadon d'acier d'abattement</t>
  </si>
  <si>
    <t>skyrim.esm|0A6994</t>
  </si>
  <si>
    <t>Espadon d'acier d'amenuisement</t>
  </si>
  <si>
    <t>skyrim.esm|0A6999</t>
  </si>
  <si>
    <t>Espadon d'acier d'anima</t>
  </si>
  <si>
    <t>skyrim.esm|0A6998</t>
  </si>
  <si>
    <t>Espadon d'acier d'éclairs</t>
  </si>
  <si>
    <t>skyrim.esm|0A6996</t>
  </si>
  <si>
    <t>Espadon d'acier d'étincelles</t>
  </si>
  <si>
    <t>skyrim.esm|0A698D</t>
  </si>
  <si>
    <t>Espadon d'acier d'incandescence</t>
  </si>
  <si>
    <t>skyrim.esm|0A698A</t>
  </si>
  <si>
    <t>Espadon d'acier d'intimidation</t>
  </si>
  <si>
    <t>skyrim.esm|0A698E</t>
  </si>
  <si>
    <t>Espadon d'acier de brûlure</t>
  </si>
  <si>
    <t>skyrim.esm|0A699B</t>
  </si>
  <si>
    <t>Espadon d'acier de capture</t>
  </si>
  <si>
    <t>skyrim.esm|0A698C</t>
  </si>
  <si>
    <t>Espadon d'acier de crainte</t>
  </si>
  <si>
    <t>skyrim.esm|0A6997</t>
  </si>
  <si>
    <t>Espadon d'acier de décharge</t>
  </si>
  <si>
    <t>skyrim.esm|0A699C</t>
  </si>
  <si>
    <t>Espadon d'acier de fatigue</t>
  </si>
  <si>
    <t>skyrim.esm|0A698F</t>
  </si>
  <si>
    <t>Espadon d'acier de flammes</t>
  </si>
  <si>
    <t>skyrim.esm|0A6990</t>
  </si>
  <si>
    <t>Espadon d'acier de frisson</t>
  </si>
  <si>
    <t>skyrim.esm|0A6992</t>
  </si>
  <si>
    <t>Espadon d'acier de givre</t>
  </si>
  <si>
    <t>skyrim.esm|0A6991</t>
  </si>
  <si>
    <t>Espadon d'acier de glace</t>
  </si>
  <si>
    <t>skyrim.esm|09F25E</t>
  </si>
  <si>
    <t>Espadon d'acier de la Forgeciel</t>
  </si>
  <si>
    <t>skyrim.esm|0A699D</t>
  </si>
  <si>
    <t>Espadon d'acier de lassitude</t>
  </si>
  <si>
    <t>skyrim.esm|0A699A</t>
  </si>
  <si>
    <t>Espadon d'acier de piège</t>
  </si>
  <si>
    <t>skyrim.esm|0A6995</t>
  </si>
  <si>
    <t>Espadon d'acier de réduction</t>
  </si>
  <si>
    <t>skyrim.esm|0A6993</t>
  </si>
  <si>
    <t>Espadon d'acier de sape</t>
  </si>
  <si>
    <t>skyrim.esm|0A698B</t>
  </si>
  <si>
    <t>Espadon d'acier de veulerie</t>
  </si>
  <si>
    <t>skyrim.esm|0A699F</t>
  </si>
  <si>
    <t>Espadon d'acier pieux</t>
  </si>
  <si>
    <t>skyrim.esm|0A69A1</t>
  </si>
  <si>
    <t>Espadon d'acier vertueux</t>
  </si>
  <si>
    <t>skyrim.esm|10C6FB</t>
  </si>
  <si>
    <t>Espadon d'argent</t>
  </si>
  <si>
    <t>skyrim.esm|0139AF</t>
  </si>
  <si>
    <t>Espadon d'ébonite</t>
  </si>
  <si>
    <t>skyrim.esm|01CD27</t>
  </si>
  <si>
    <t>Espadon d'ébonite d'absorption</t>
  </si>
  <si>
    <t>skyrim.esm|01CE9B</t>
  </si>
  <si>
    <t>Espadon d'ébonite d'anathème</t>
  </si>
  <si>
    <t>skyrim.esm|01CD8A</t>
  </si>
  <si>
    <t>Espadon d'ébonite d'angoisse</t>
  </si>
  <si>
    <t>skyrim.esm|01CD84</t>
  </si>
  <si>
    <t>Espadon d'ébonite d'annihilation</t>
  </si>
  <si>
    <t>skyrim.esm|01CD50</t>
  </si>
  <si>
    <t>Espadon d'ébonite d'assimilation</t>
  </si>
  <si>
    <t>skyrim.esm|01CD9E</t>
  </si>
  <si>
    <t>Espadon d'ébonite d'effroi</t>
  </si>
  <si>
    <t>skyrim.esm|01CD4D</t>
  </si>
  <si>
    <t>Espadon d'ébonite d'engrangement</t>
  </si>
  <si>
    <t>skyrim.esm|01CEC3</t>
  </si>
  <si>
    <t>Espadon d'ébonite d'épuisement</t>
  </si>
  <si>
    <t>skyrim.esm|01CD2F</t>
  </si>
  <si>
    <t>Espadon d'ébonite d'évocation</t>
  </si>
  <si>
    <t>skyrim.esm|01CD82</t>
  </si>
  <si>
    <t>Espadon d'ébonite d'expulsion</t>
  </si>
  <si>
    <t>skyrim.esm|01CE58</t>
  </si>
  <si>
    <t>Espadon d'ébonite d'immobilisation</t>
  </si>
  <si>
    <t>skyrim.esm|01CFBA</t>
  </si>
  <si>
    <t>Espadon d'ébonite d'incinération</t>
  </si>
  <si>
    <t>skyrim.esm|01CE57</t>
  </si>
  <si>
    <t>Espadon d'ébonite d'inertie</t>
  </si>
  <si>
    <t>skyrim.esm|01CD61</t>
  </si>
  <si>
    <t>Espadon d'ébonite de bannissement</t>
  </si>
  <si>
    <t>skyrim.esm|01CDCB</t>
  </si>
  <si>
    <t>Espadon d'ébonite de blizzard</t>
  </si>
  <si>
    <t>skyrim.esm|01CDC8</t>
  </si>
  <si>
    <t>Espadon d'ébonite de brasier</t>
  </si>
  <si>
    <t>skyrim.esm|01CEC0</t>
  </si>
  <si>
    <t>Espadon d'ébonite de damnation</t>
  </si>
  <si>
    <t>skyrim.esm|01CDD7</t>
  </si>
  <si>
    <t>Espadon d'ébonite de débilitation</t>
  </si>
  <si>
    <t>skyrim.esm|01CDCD</t>
  </si>
  <si>
    <t>Espadon d'ébonite de dégradation</t>
  </si>
  <si>
    <t>skyrim.esm|01CD24</t>
  </si>
  <si>
    <t>Espadon d'ébonite de dévorement</t>
  </si>
  <si>
    <t>skyrim.esm|01CDC2</t>
  </si>
  <si>
    <t>Espadon d'ébonite de flambée</t>
  </si>
  <si>
    <t>skyrim.esm|01CDCA</t>
  </si>
  <si>
    <t>Espadon d'ébonite de frimas</t>
  </si>
  <si>
    <t>skyrim.esm|01CE99</t>
  </si>
  <si>
    <t>Espadon d'ébonite de fulguration</t>
  </si>
  <si>
    <t>skyrim.esm|01CDCC</t>
  </si>
  <si>
    <t>Espadon d'ébonite de glaciation</t>
  </si>
  <si>
    <t>skyrim.esm|01CEC2</t>
  </si>
  <si>
    <t>Espadon d'ébonite de léthargie</t>
  </si>
  <si>
    <t>skyrim.esm|01CE9C</t>
  </si>
  <si>
    <t>Espadon d'ébonite de malédiction</t>
  </si>
  <si>
    <t>skyrim.esm|01CE65</t>
  </si>
  <si>
    <t>Espadon d'ébonite de pétrification</t>
  </si>
  <si>
    <t>skyrim.esm|01CD37</t>
  </si>
  <si>
    <t>Espadon d'ébonite de récolte</t>
  </si>
  <si>
    <t>skyrim.esm|01CD30</t>
  </si>
  <si>
    <t>Espadon d'ébonite de sorcellerie</t>
  </si>
  <si>
    <t>skyrim.esm|01CDF9</t>
  </si>
  <si>
    <t>Espadon d'ébonite de suppression</t>
  </si>
  <si>
    <t>skyrim.esm|01CE82</t>
  </si>
  <si>
    <t>Espadon d'ébonite de tempête</t>
  </si>
  <si>
    <t>skyrim.esm|01CD8C</t>
  </si>
  <si>
    <t>Espadon d'ébonite de terreur</t>
  </si>
  <si>
    <t>skyrim.esm|01CE81</t>
  </si>
  <si>
    <t>Espadon d'ébonite de tonnerre</t>
  </si>
  <si>
    <t>skyrim.esm|01CEC1</t>
  </si>
  <si>
    <t>Espadon d'ébonite de torpeur</t>
  </si>
  <si>
    <t>skyrim.esm|01CD2E</t>
  </si>
  <si>
    <t>Espadon d'ébonite de transfusion</t>
  </si>
  <si>
    <t>skyrim.esm|01CD2C</t>
  </si>
  <si>
    <t>Espadon d'ébonite de vampirisme</t>
  </si>
  <si>
    <t>skyrim.esm|01CECD</t>
  </si>
  <si>
    <t>Espadon d'ébonite sacré</t>
  </si>
  <si>
    <t>skyrim.esm|01CECB</t>
  </si>
  <si>
    <t>Espadon d'ébonite saint</t>
  </si>
  <si>
    <t>skyrim.esm|01CEC7</t>
  </si>
  <si>
    <t>Espadon d'ébonite sanctifié</t>
  </si>
  <si>
    <t>dawnguard.esm|014FCC</t>
  </si>
  <si>
    <t>Espadon d'os de dragon</t>
  </si>
  <si>
    <t>skyrim.esm|0139B7</t>
  </si>
  <si>
    <t>Espadon daedra</t>
  </si>
  <si>
    <t>skyrim.esm|028D5F</t>
  </si>
  <si>
    <t>Espadon daedra d'absorption</t>
  </si>
  <si>
    <t>skyrim.esm|028D7C</t>
  </si>
  <si>
    <t>Espadon daedra d'anathème</t>
  </si>
  <si>
    <t>skyrim.esm|028D69</t>
  </si>
  <si>
    <t>Espadon daedra d'angoisse</t>
  </si>
  <si>
    <t>skyrim.esm|028D68</t>
  </si>
  <si>
    <t>Espadon daedra d'annihilation</t>
  </si>
  <si>
    <t>skyrim.esm|028DE0</t>
  </si>
  <si>
    <t>Espadon daedra d'assimilation</t>
  </si>
  <si>
    <t>skyrim.esm|028D6B</t>
  </si>
  <si>
    <t>Espadon daedra d'effroi</t>
  </si>
  <si>
    <t>skyrim.esm|028D65</t>
  </si>
  <si>
    <t>Espadon daedra d'engrangement</t>
  </si>
  <si>
    <t>skyrim.esm|028D84</t>
  </si>
  <si>
    <t>Espadon daedra d'épuisement</t>
  </si>
  <si>
    <t>skyrim.esm|028D62</t>
  </si>
  <si>
    <t>Espadon daedra d'évocation</t>
  </si>
  <si>
    <t>skyrim.esm|028D67</t>
  </si>
  <si>
    <t>Espadon daedra d'expulsion</t>
  </si>
  <si>
    <t>skyrim.esm|028D76</t>
  </si>
  <si>
    <t>Espadon daedra d'immobilisation</t>
  </si>
  <si>
    <t>skyrim.esm|028D6E</t>
  </si>
  <si>
    <t>Espadon daedra d'incinération</t>
  </si>
  <si>
    <t>skyrim.esm|028D75</t>
  </si>
  <si>
    <t>Espadon daedra d'inertie</t>
  </si>
  <si>
    <t>skyrim.esm|028D66</t>
  </si>
  <si>
    <t>Espadon daedra de bannissement</t>
  </si>
  <si>
    <t>skyrim.esm|028D70</t>
  </si>
  <si>
    <t>Espadon daedra de blizzard</t>
  </si>
  <si>
    <t>skyrim.esm|028D6D</t>
  </si>
  <si>
    <t>Espadon daedra de brasier</t>
  </si>
  <si>
    <t>skyrim.esm|028D81</t>
  </si>
  <si>
    <t>Espadon daedra de damnation</t>
  </si>
  <si>
    <t>skyrim.esm|028D73</t>
  </si>
  <si>
    <t>Espadon daedra de débilitation</t>
  </si>
  <si>
    <t>skyrim.esm|028D72</t>
  </si>
  <si>
    <t>Espadon daedra de dégradation</t>
  </si>
  <si>
    <t>skyrim.esm|028D5E</t>
  </si>
  <si>
    <t>Espadon daedra de dévorement</t>
  </si>
  <si>
    <t>skyrim.esm|028D6C</t>
  </si>
  <si>
    <t>Espadon daedra de flambée</t>
  </si>
  <si>
    <t>skyrim.esm|028D6F</t>
  </si>
  <si>
    <t>Espadon daedra de frimas</t>
  </si>
  <si>
    <t>skyrim.esm|028D7B</t>
  </si>
  <si>
    <t>Espadon daedra de fulguration</t>
  </si>
  <si>
    <t>skyrim.esm|028D71</t>
  </si>
  <si>
    <t>Espadon daedra de glaciation</t>
  </si>
  <si>
    <t>skyrim.esm|028D83</t>
  </si>
  <si>
    <t>Espadon daedra de léthargie</t>
  </si>
  <si>
    <t>skyrim.esm|028D80</t>
  </si>
  <si>
    <t>Espadon daedra de malédiction</t>
  </si>
  <si>
    <t>skyrim.esm|028D77</t>
  </si>
  <si>
    <t>Espadon daedra de pétrification</t>
  </si>
  <si>
    <t>skyrim.esm|028D64</t>
  </si>
  <si>
    <t>Espadon daedra de récolte</t>
  </si>
  <si>
    <t>skyrim.esm|028D63</t>
  </si>
  <si>
    <t>Espadon daedra de sorcellerie</t>
  </si>
  <si>
    <t>skyrim.esm|028D74</t>
  </si>
  <si>
    <t>Espadon daedra de suppression</t>
  </si>
  <si>
    <t>skyrim.esm|028D7A</t>
  </si>
  <si>
    <t>Espadon daedra de tempête</t>
  </si>
  <si>
    <t>skyrim.esm|028D6A</t>
  </si>
  <si>
    <t>Espadon daedra de terreur</t>
  </si>
  <si>
    <t>skyrim.esm|028D78</t>
  </si>
  <si>
    <t>Espadon daedra de tonnerre</t>
  </si>
  <si>
    <t>skyrim.esm|028D82</t>
  </si>
  <si>
    <t>Espadon daedra de torpeur</t>
  </si>
  <si>
    <t>skyrim.esm|028D61</t>
  </si>
  <si>
    <t>Espadon daedra de transfusion</t>
  </si>
  <si>
    <t>skyrim.esm|028D60</t>
  </si>
  <si>
    <t>Espadon daedra de vampirisme</t>
  </si>
  <si>
    <t>skyrim.esm|028D92</t>
  </si>
  <si>
    <t>Espadon daedra sacré</t>
  </si>
  <si>
    <t>skyrim.esm|028D8D</t>
  </si>
  <si>
    <t>Espadon daedra saint</t>
  </si>
  <si>
    <t>skyrim.esm|028D88</t>
  </si>
  <si>
    <t>Espadon daedra sanctifié</t>
  </si>
  <si>
    <t>skyrim.esm|0946FC</t>
  </si>
  <si>
    <t>Espadon de Balgruuf</t>
  </si>
  <si>
    <t>skyrim.esm|01359D</t>
  </si>
  <si>
    <t>Espadon de fer</t>
  </si>
  <si>
    <t>skyrim.esm|0896F7</t>
  </si>
  <si>
    <t>Espadon de fer béni</t>
  </si>
  <si>
    <t>skyrim.esm|089704</t>
  </si>
  <si>
    <t>Espadon de fer d'abattement</t>
  </si>
  <si>
    <t>skyrim.esm|0896D9</t>
  </si>
  <si>
    <t>Espadon de fer d'amenuisement</t>
  </si>
  <si>
    <t>skyrim.esm|0896ED</t>
  </si>
  <si>
    <t>Espadon de fer d'anima</t>
  </si>
  <si>
    <t>skyrim.esm|0896CE</t>
  </si>
  <si>
    <t>Espadon de fer d'éclairs</t>
  </si>
  <si>
    <t>skyrim.esm|0896CC</t>
  </si>
  <si>
    <t>Espadon de fer d'étincelles</t>
  </si>
  <si>
    <t>skyrim.esm|0896AF</t>
  </si>
  <si>
    <t>Espadon de fer d'incandescence</t>
  </si>
  <si>
    <t>skyrim.esm|08970E</t>
  </si>
  <si>
    <t>Espadon de fer d'intimidation</t>
  </si>
  <si>
    <t>skyrim.esm|0896B6</t>
  </si>
  <si>
    <t>Espadon de fer de brûlure</t>
  </si>
  <si>
    <t>skyrim.esm|0896EF</t>
  </si>
  <si>
    <t>Espadon de fer de capture</t>
  </si>
  <si>
    <t>skyrim.esm|089710</t>
  </si>
  <si>
    <t>Espadon de fer de crainte</t>
  </si>
  <si>
    <t>skyrim.esm|0896CD</t>
  </si>
  <si>
    <t>Espadon de fer de décharge</t>
  </si>
  <si>
    <t>skyrim.esm|089702</t>
  </si>
  <si>
    <t>Espadon de fer de fatigue</t>
  </si>
  <si>
    <t>skyrim.esm|0896B7</t>
  </si>
  <si>
    <t>Espadon de fer de flammes</t>
  </si>
  <si>
    <t>skyrim.esm|0896C0</t>
  </si>
  <si>
    <t>Espadon de fer de frisson</t>
  </si>
  <si>
    <t>skyrim.esm|0896C2</t>
  </si>
  <si>
    <t>Espadon de fer de givre</t>
  </si>
  <si>
    <t>skyrim.esm|0896C1</t>
  </si>
  <si>
    <t>Espadon de fer de glace</t>
  </si>
  <si>
    <t>skyrim.esm|089703</t>
  </si>
  <si>
    <t>Espadon de fer de lassitude</t>
  </si>
  <si>
    <t>skyrim.esm|0896EE</t>
  </si>
  <si>
    <t>Espadon de fer de piège</t>
  </si>
  <si>
    <t>skyrim.esm|0896DA</t>
  </si>
  <si>
    <t>Espadon de fer de réduction</t>
  </si>
  <si>
    <t>skyrim.esm|0896D8</t>
  </si>
  <si>
    <t>Espadon de fer de sape</t>
  </si>
  <si>
    <t>skyrim.esm|08970F</t>
  </si>
  <si>
    <t>Espadon de fer de veulerie</t>
  </si>
  <si>
    <t>skyrim.esm|0896F6</t>
  </si>
  <si>
    <t>Espadon de fer pieux</t>
  </si>
  <si>
    <t>skyrim.esm|0896F8</t>
  </si>
  <si>
    <t>Espadon de fer vertueux</t>
  </si>
  <si>
    <t>skyrim.esm|0F494C</t>
  </si>
  <si>
    <t>Espadon de flammes nordique antique affûté</t>
  </si>
  <si>
    <t>skyrim.esm|05BF09</t>
  </si>
  <si>
    <t>Espadon de frisson nordique antique</t>
  </si>
  <si>
    <t>skyrim.esm|0DDD67</t>
  </si>
  <si>
    <t>Espadon de frisson nordique antique affûté</t>
  </si>
  <si>
    <t>skyrim.esm|05BF0B</t>
  </si>
  <si>
    <t>Espadon de givre nordique antique</t>
  </si>
  <si>
    <t>skyrim.esm|0DDD69</t>
  </si>
  <si>
    <t>Espadon de givre nordique antique affûté</t>
  </si>
  <si>
    <t>skyrim.esm|05BF0A</t>
  </si>
  <si>
    <t>Espadon de glace nordique antique</t>
  </si>
  <si>
    <t>skyrim.esm|0DDD68</t>
  </si>
  <si>
    <t>Espadon de glace nordique antique affûté</t>
  </si>
  <si>
    <t>dragonborn.esm|028458</t>
  </si>
  <si>
    <t>Espadon de stalhrim d'absorption</t>
  </si>
  <si>
    <t>dragonborn.esm|02843B</t>
  </si>
  <si>
    <t>Espadon de stalhrim d'anathème</t>
  </si>
  <si>
    <t>dragonborn.esm|02844D</t>
  </si>
  <si>
    <t>Espadon de stalhrim d'angoisse</t>
  </si>
  <si>
    <t>dragonborn.esm|02844E</t>
  </si>
  <si>
    <t>Espadon de stalhrim d'annihilation</t>
  </si>
  <si>
    <t>dragonborn.esm|028451</t>
  </si>
  <si>
    <t>Espadon de stalhrim d'assimilation</t>
  </si>
  <si>
    <t>dragonborn.esm|02844B</t>
  </si>
  <si>
    <t>Espadon de stalhrim d'effroi</t>
  </si>
  <si>
    <t>dragonborn.esm|028452</t>
  </si>
  <si>
    <t>Espadon de stalhrim d'engrangement</t>
  </si>
  <si>
    <t>dragonborn.esm|028436</t>
  </si>
  <si>
    <t>Espadon de stalhrim d'épuisement</t>
  </si>
  <si>
    <t>dragonborn.esm|028455</t>
  </si>
  <si>
    <t>Espadon de stalhrim d'évocation</t>
  </si>
  <si>
    <t>dragonborn.esm|02844F</t>
  </si>
  <si>
    <t>Espadon de stalhrim d'expulsion</t>
  </si>
  <si>
    <t>dragonborn.esm|028440</t>
  </si>
  <si>
    <t>Espadon de stalhrim d'immobilisation</t>
  </si>
  <si>
    <t>dragonborn.esm|028441</t>
  </si>
  <si>
    <t>Espadon de stalhrim d'inertie</t>
  </si>
  <si>
    <t>dragonborn.esm|028450</t>
  </si>
  <si>
    <t>Espadon de stalhrim de bannissement</t>
  </si>
  <si>
    <t>dragonborn.esm|028446</t>
  </si>
  <si>
    <t>Espadon de stalhrim de blizzard</t>
  </si>
  <si>
    <t>dragonborn.esm|028449</t>
  </si>
  <si>
    <t>Espadon de stalhrim de chaos extrême</t>
  </si>
  <si>
    <t>dragonborn.esm|028448</t>
  </si>
  <si>
    <t>Espadon de stalhrim de chaos ultime</t>
  </si>
  <si>
    <t>dragonborn.esm|028439</t>
  </si>
  <si>
    <t>Espadon de stalhrim de damnation</t>
  </si>
  <si>
    <t>dragonborn.esm|028443</t>
  </si>
  <si>
    <t>Espadon de stalhrim de débilitation</t>
  </si>
  <si>
    <t>dragonborn.esm|028444</t>
  </si>
  <si>
    <t>Espadon de stalhrim de dégradation</t>
  </si>
  <si>
    <t>dragonborn.esm|028459</t>
  </si>
  <si>
    <t>Espadon de stalhrim de dévorement</t>
  </si>
  <si>
    <t>dragonborn.esm|028447</t>
  </si>
  <si>
    <t>Espadon de stalhrim de frimas</t>
  </si>
  <si>
    <t>dragonborn.esm|02843C</t>
  </si>
  <si>
    <t>Espadon de stalhrim de fulguration</t>
  </si>
  <si>
    <t>dragonborn.esm|028445</t>
  </si>
  <si>
    <t>Espadon de stalhrim de glaciation</t>
  </si>
  <si>
    <t>dragonborn.esm|028437</t>
  </si>
  <si>
    <t>Espadon de stalhrim de léthargie</t>
  </si>
  <si>
    <t>dragonborn.esm|02843A</t>
  </si>
  <si>
    <t>Espadon de stalhrim de malédiction</t>
  </si>
  <si>
    <t>dragonborn.esm|02843F</t>
  </si>
  <si>
    <t>Espadon de stalhrim de pétrification</t>
  </si>
  <si>
    <t>dragonborn.esm|02844A</t>
  </si>
  <si>
    <t>Espadon de stalhrim de profond chaos</t>
  </si>
  <si>
    <t>dragonborn.esm|028453</t>
  </si>
  <si>
    <t>Espadon de stalhrim de récolte</t>
  </si>
  <si>
    <t>dragonborn.esm|028454</t>
  </si>
  <si>
    <t>Espadon de stalhrim de sorcellerie</t>
  </si>
  <si>
    <t>dragonborn.esm|028442</t>
  </si>
  <si>
    <t>Espadon de stalhrim de suppression</t>
  </si>
  <si>
    <t>dragonborn.esm|02843D</t>
  </si>
  <si>
    <t>Espadon de stalhrim de tempête</t>
  </si>
  <si>
    <t>dragonborn.esm|02844C</t>
  </si>
  <si>
    <t>Espadon de stalhrim de terreur</t>
  </si>
  <si>
    <t>dragonborn.esm|02843E</t>
  </si>
  <si>
    <t>Espadon de stalhrim de tonnerre</t>
  </si>
  <si>
    <t>dragonborn.esm|028438</t>
  </si>
  <si>
    <t>Espadon de stalhrim de torpeur</t>
  </si>
  <si>
    <t>dragonborn.esm|028456</t>
  </si>
  <si>
    <t>Espadon de stalhrim de transfusion</t>
  </si>
  <si>
    <t>dragonborn.esm|028457</t>
  </si>
  <si>
    <t>Espadon de stalhrim de vampirisme</t>
  </si>
  <si>
    <t>dragonborn.esm|028433</t>
  </si>
  <si>
    <t>Espadon de stalhrim sacré</t>
  </si>
  <si>
    <t>dragonborn.esm|028434</t>
  </si>
  <si>
    <t>Espadon de stalhrim saint</t>
  </si>
  <si>
    <t>dragonborn.esm|028435</t>
  </si>
  <si>
    <t>Espadon de stalhrim sanctifié</t>
  </si>
  <si>
    <t>skyrim.esm|0139A7</t>
  </si>
  <si>
    <t>Espadon de verre</t>
  </si>
  <si>
    <t>skyrim.esm|0BEF2A</t>
  </si>
  <si>
    <t>Espadon de verre d'abattement</t>
  </si>
  <si>
    <t>skyrim.esm|0BEF0D</t>
  </si>
  <si>
    <t>Espadon de verre d'absorption</t>
  </si>
  <si>
    <t>skyrim.esm|0BEF0E</t>
  </si>
  <si>
    <t>Espadon de verre d'amalgame</t>
  </si>
  <si>
    <t>skyrim.esm|0BEF28</t>
  </si>
  <si>
    <t>Espadon de verre d'anathème</t>
  </si>
  <si>
    <t>skyrim.esm|0BEF17</t>
  </si>
  <si>
    <t>Espadon de verre d'angoisse</t>
  </si>
  <si>
    <t>skyrim.esm|0BEF23</t>
  </si>
  <si>
    <t>Espadon de verre d'éclairs</t>
  </si>
  <si>
    <t>skyrim.esm|0BEF13</t>
  </si>
  <si>
    <t>Espadon de verre d'engrangement</t>
  </si>
  <si>
    <t>skyrim.esm|0BEF10</t>
  </si>
  <si>
    <t>Espadon de verre d'évocation</t>
  </si>
  <si>
    <t>skyrim.esm|0BEF15</t>
  </si>
  <si>
    <t>Espadon de verre d'expulsion</t>
  </si>
  <si>
    <t>skyrim.esm|0BEF22</t>
  </si>
  <si>
    <t>Espadon de verre d'immobilisation</t>
  </si>
  <si>
    <t>skyrim.esm|0BEF21</t>
  </si>
  <si>
    <t>Espadon de verre d'inertie</t>
  </si>
  <si>
    <t>skyrim.esm|0BEF0B</t>
  </si>
  <si>
    <t>Espadon de verre d'ingestion</t>
  </si>
  <si>
    <t>skyrim.esm|0BEF14</t>
  </si>
  <si>
    <t>Espadon de verre de bannissement</t>
  </si>
  <si>
    <t>skyrim.esm|0BEF1E</t>
  </si>
  <si>
    <t>Espadon de verre de blizzard</t>
  </si>
  <si>
    <t>skyrim.esm|0BEF1B</t>
  </si>
  <si>
    <t>Espadon de verre de brasier</t>
  </si>
  <si>
    <t>skyrim.esm|0BEF27</t>
  </si>
  <si>
    <t>Espadon de verre de capture</t>
  </si>
  <si>
    <t>skyrim.esm|0BEF16</t>
  </si>
  <si>
    <t>Espadon de verre de crainte</t>
  </si>
  <si>
    <t>skyrim.esm|0BEF20</t>
  </si>
  <si>
    <t>Espadon de verre de débilitation</t>
  </si>
  <si>
    <t>skyrim.esm|0BEF1F</t>
  </si>
  <si>
    <t>Espadon de verre de dégradation</t>
  </si>
  <si>
    <t>skyrim.esm|0BEF0C</t>
  </si>
  <si>
    <t>Espadon de verre de dévorement</t>
  </si>
  <si>
    <t>skyrim.esm|0BEF1A</t>
  </si>
  <si>
    <t>Espadon de verre de flambée</t>
  </si>
  <si>
    <t>skyrim.esm|0BEF19</t>
  </si>
  <si>
    <t>Espadon de verre de flammes</t>
  </si>
  <si>
    <t>skyrim.esm|0BEF1D</t>
  </si>
  <si>
    <t>Espadon de verre de frimas</t>
  </si>
  <si>
    <t>skyrim.esm|0BEF1C</t>
  </si>
  <si>
    <t>Espadon de verre de givre</t>
  </si>
  <si>
    <t>skyrim.esm|0BEF2C</t>
  </si>
  <si>
    <t>Espadon de verre de léthargie</t>
  </si>
  <si>
    <t>skyrim.esm|0BEF29</t>
  </si>
  <si>
    <t>Espadon de verre de malédiction</t>
  </si>
  <si>
    <t>skyrim.esm|0BEF11</t>
  </si>
  <si>
    <t>Espadon de verre de moisson</t>
  </si>
  <si>
    <t>skyrim.esm|0BEF12</t>
  </si>
  <si>
    <t>Espadon de verre de récolte</t>
  </si>
  <si>
    <t>skyrim.esm|0BEF26</t>
  </si>
  <si>
    <t>Espadon de verre de tempête</t>
  </si>
  <si>
    <t>skyrim.esm|0BEF18</t>
  </si>
  <si>
    <t>Espadon de verre de terreur</t>
  </si>
  <si>
    <t>skyrim.esm|0BEF24</t>
  </si>
  <si>
    <t>Espadon de verre de tonnerre</t>
  </si>
  <si>
    <t>skyrim.esm|0BEF2B</t>
  </si>
  <si>
    <t>Espadon de verre de torpeur</t>
  </si>
  <si>
    <t>skyrim.esm|0BEF0F</t>
  </si>
  <si>
    <t>Espadon de verre de transfusion</t>
  </si>
  <si>
    <t>skyrim.esm|0BEF2F</t>
  </si>
  <si>
    <t>Espadon de verre saint</t>
  </si>
  <si>
    <t>skyrim.esm|0BEF2E</t>
  </si>
  <si>
    <t>Espadon de verre sanctifié</t>
  </si>
  <si>
    <t>skyrim.esm|0BEF2D</t>
  </si>
  <si>
    <t>Espadon de verre vertueux</t>
  </si>
  <si>
    <t>skyrim.esm|013997</t>
  </si>
  <si>
    <t>Espadon dwemer</t>
  </si>
  <si>
    <t>skyrim.esm|0ACC04</t>
  </si>
  <si>
    <t>Espadon dwemer béni</t>
  </si>
  <si>
    <t>skyrim.esm|0ACC02</t>
  </si>
  <si>
    <t>Espadon dwemer d'abattement</t>
  </si>
  <si>
    <t>skyrim.esm|0ACBE8</t>
  </si>
  <si>
    <t>Espadon dwemer d'amalgame</t>
  </si>
  <si>
    <t>skyrim.esm|0ACBF7</t>
  </si>
  <si>
    <t>Espadon dwemer d'amenuisement</t>
  </si>
  <si>
    <t>skyrim.esm|0ACC00</t>
  </si>
  <si>
    <t>Espadon dwemer d'anathème</t>
  </si>
  <si>
    <t>skyrim.esm|0ACBF0</t>
  </si>
  <si>
    <t>Espadon dwemer d'angoisse</t>
  </si>
  <si>
    <t>skyrim.esm|0ACBFC</t>
  </si>
  <si>
    <t>Espadon dwemer d'éclairs</t>
  </si>
  <si>
    <t>skyrim.esm|0ACBE5</t>
  </si>
  <si>
    <t>Espadon dwemer d'ingestion</t>
  </si>
  <si>
    <t>skyrim.esm|0ACBF1</t>
  </si>
  <si>
    <t>Espadon dwemer de brûlure</t>
  </si>
  <si>
    <t>skyrim.esm|0ACBFF</t>
  </si>
  <si>
    <t>Espadon dwemer de capture</t>
  </si>
  <si>
    <t>skyrim.esm|0ACBEF</t>
  </si>
  <si>
    <t>Espadon dwemer de crainte</t>
  </si>
  <si>
    <t>skyrim.esm|0ACBFB</t>
  </si>
  <si>
    <t>Espadon dwemer de décharge</t>
  </si>
  <si>
    <t>skyrim.esm|0ACBF9</t>
  </si>
  <si>
    <t>Espadon dwemer de dégradation</t>
  </si>
  <si>
    <t>skyrim.esm|0ACBE6</t>
  </si>
  <si>
    <t>Espadon dwemer de dévorement</t>
  </si>
  <si>
    <t>skyrim.esm|0ACBF3</t>
  </si>
  <si>
    <t>Espadon dwemer de flambée</t>
  </si>
  <si>
    <t>skyrim.esm|0ACBF2</t>
  </si>
  <si>
    <t>Espadon dwemer de flammes</t>
  </si>
  <si>
    <t>skyrim.esm|0ACBF6</t>
  </si>
  <si>
    <t>Espadon dwemer de frimas</t>
  </si>
  <si>
    <t>skyrim.esm|0ACBF5</t>
  </si>
  <si>
    <t>Espadon dwemer de givre</t>
  </si>
  <si>
    <t>skyrim.esm|0ACBF4</t>
  </si>
  <si>
    <t>Espadon dwemer de glace</t>
  </si>
  <si>
    <t>skyrim.esm|0ACBEA</t>
  </si>
  <si>
    <t>Espadon dwemer de glanure</t>
  </si>
  <si>
    <t>skyrim.esm|0ACC01</t>
  </si>
  <si>
    <t>Espadon dwemer de lassitude</t>
  </si>
  <si>
    <t>skyrim.esm|0ACBEB</t>
  </si>
  <si>
    <t>Espadon dwemer de moisson</t>
  </si>
  <si>
    <t>skyrim.esm|0ACBFE</t>
  </si>
  <si>
    <t>Espadon dwemer de piège</t>
  </si>
  <si>
    <t>skyrim.esm|0ACBEC</t>
  </si>
  <si>
    <t>Espadon dwemer de récolte</t>
  </si>
  <si>
    <t>skyrim.esm|0ACBE4</t>
  </si>
  <si>
    <t>Espadon dwemer de recueil</t>
  </si>
  <si>
    <t>skyrim.esm|0ACBF8</t>
  </si>
  <si>
    <t>Espadon dwemer de réduction</t>
  </si>
  <si>
    <t>skyrim.esm|0ACBE7</t>
  </si>
  <si>
    <t>Espadon dwemer de siphonnage</t>
  </si>
  <si>
    <t>skyrim.esm|0ACBFD</t>
  </si>
  <si>
    <t>Espadon dwemer de tonnerre</t>
  </si>
  <si>
    <t>skyrim.esm|0ACC03</t>
  </si>
  <si>
    <t>Espadon dwemer de torpeur</t>
  </si>
  <si>
    <t>skyrim.esm|0ACBE9</t>
  </si>
  <si>
    <t>Espadon dwemer de transfusion</t>
  </si>
  <si>
    <t>skyrim.esm|0ACBEE</t>
  </si>
  <si>
    <t>Espadon dwemer de veulerie</t>
  </si>
  <si>
    <t>skyrim.esm|0ACC06</t>
  </si>
  <si>
    <t>Espadon dwemer sanctifié</t>
  </si>
  <si>
    <t>skyrim.esm|0ACC05</t>
  </si>
  <si>
    <t>Espadon dwemer vertueux</t>
  </si>
  <si>
    <t>skyrim.esm|01399F</t>
  </si>
  <si>
    <t>Espadon elfique</t>
  </si>
  <si>
    <t>Date</t>
  </si>
  <si>
    <t>skyrim.esm|0BE1C4</t>
  </si>
  <si>
    <t>Espadon elfique d'abattement</t>
  </si>
  <si>
    <t>skyrim.esm|0BE1A7</t>
  </si>
  <si>
    <t>Espadon elfique d'absorption</t>
  </si>
  <si>
    <t>skyrim.esm|0BE1A8</t>
  </si>
  <si>
    <t>Espadon elfique d'amalgame</t>
  </si>
  <si>
    <t>skyrim.esm|0BE1C2</t>
  </si>
  <si>
    <t>Espadon elfique d'anathème</t>
  </si>
  <si>
    <t>Contrevenant</t>
  </si>
  <si>
    <t>Infraction</t>
  </si>
  <si>
    <t>skyrim.esm|0BE1B1</t>
  </si>
  <si>
    <t>Espadon elfique d'angoisse</t>
  </si>
  <si>
    <t>Montant</t>
  </si>
  <si>
    <t>skyrim.esm|0BE1BE</t>
  </si>
  <si>
    <t>Espadon elfique d'éclairs</t>
  </si>
  <si>
    <t>skyrim.esm|0BE1AD</t>
  </si>
  <si>
    <t>Espadon elfique d'engrangement</t>
  </si>
  <si>
    <t>Reversé</t>
  </si>
  <si>
    <t>skyrim.esm|0BE1AA</t>
  </si>
  <si>
    <t>Espadon elfique d'évocation</t>
  </si>
  <si>
    <t>skyrim.esm|0BE1AF</t>
  </si>
  <si>
    <t>Espadon elfique d'expulsion</t>
  </si>
  <si>
    <t>skyrim.esm|0BE1BD</t>
  </si>
  <si>
    <t>Espadon elfique d'immobilisation</t>
  </si>
  <si>
    <t>skyrim.esm|0BE1BC</t>
  </si>
  <si>
    <t>Espadon elfique d'inertie</t>
  </si>
  <si>
    <t>skyrim.esm|0BE1A5</t>
  </si>
  <si>
    <t>Espadon elfique d'ingestion</t>
  </si>
  <si>
    <t>skyrim.esm|0BE1AE</t>
  </si>
  <si>
    <t>Espadon elfique de bannissement</t>
  </si>
  <si>
    <t>skyrim.esm|0BE1B8</t>
  </si>
  <si>
    <t>Espadon elfique de blizzard</t>
  </si>
  <si>
    <t>skyrim.esm|0BE1B5</t>
  </si>
  <si>
    <t>Espadon elfique de brasier</t>
  </si>
  <si>
    <t>skyrim.esm|0BE1C1</t>
  </si>
  <si>
    <t>Espadon elfique de capture</t>
  </si>
  <si>
    <t>Jean Eude</t>
  </si>
  <si>
    <t>skyrim.esm|0BE1B0</t>
  </si>
  <si>
    <t>Espadon elfique de crainte</t>
  </si>
  <si>
    <t>skyrim.esm|0BE1BB</t>
  </si>
  <si>
    <t>Espadon elfique de débilitation</t>
  </si>
  <si>
    <t>skyrim.esm|0BE1BA</t>
  </si>
  <si>
    <t>Art. 117 — Du vol dans les fermes</t>
  </si>
  <si>
    <t>Espadon elfique de dégradation</t>
  </si>
  <si>
    <t>skyrim.esm|0BE1A6</t>
  </si>
  <si>
    <t>Espadon elfique de dévorement</t>
  </si>
  <si>
    <t>skyrim.esm|0BE1B4</t>
  </si>
  <si>
    <t>Espadon elfique de flambée</t>
  </si>
  <si>
    <t>skyrim.esm|0BE1B3</t>
  </si>
  <si>
    <t>Espadon elfique de flammes</t>
  </si>
  <si>
    <t>skyrim.esm|0BE1B7</t>
  </si>
  <si>
    <t>Espadon elfique de frimas</t>
  </si>
  <si>
    <t xml:space="preserve">Erwan </t>
  </si>
  <si>
    <t>'Lechatblanc''</t>
  </si>
  <si>
    <t>skyrim.esm|0BE1B6</t>
  </si>
  <si>
    <t>Espadon elfique de givre</t>
  </si>
  <si>
    <t>skyrim.esm|0BE1C6</t>
  </si>
  <si>
    <t>Art. 114 — De la marche obligatoire</t>
  </si>
  <si>
    <t>Espadon elfique de léthargie</t>
  </si>
  <si>
    <t>skyrim.esm|0BE1C3</t>
  </si>
  <si>
    <t>Espadon elfique de malédiction</t>
  </si>
  <si>
    <t>skyrim.esm|0BE1AB</t>
  </si>
  <si>
    <t>Espadon elfique de moisson</t>
  </si>
  <si>
    <t>Daran la collectionneur</t>
  </si>
  <si>
    <t>skyrim.esm|0BE1AC</t>
  </si>
  <si>
    <t>Espadon elfique de récolte</t>
  </si>
  <si>
    <t>skyrim.esm|0BE1B9</t>
  </si>
  <si>
    <t>Espadon elfique de réduction</t>
  </si>
  <si>
    <t xml:space="preserve">Ulfar </t>
  </si>
  <si>
    <t>skyrim.esm|0BE1C0</t>
  </si>
  <si>
    <t>Emric de la tour</t>
  </si>
  <si>
    <t>Espadon elfique de tempête</t>
  </si>
  <si>
    <t>Art. 115 — Du visage découvert</t>
  </si>
  <si>
    <t>skyrim.esm|0BE1B2</t>
  </si>
  <si>
    <t>Espadon elfique de terreur</t>
  </si>
  <si>
    <t>skyrim.esm|0BE1BF</t>
  </si>
  <si>
    <t>Espadon elfique de tonnerre</t>
  </si>
  <si>
    <t>Moren Mont Sombre</t>
  </si>
  <si>
    <t>skyrim.esm|0BE1C5</t>
  </si>
  <si>
    <t>Espadon elfique de torpeur</t>
  </si>
  <si>
    <t>skyrim.esm|0BE1A9</t>
  </si>
  <si>
    <t>Espadon elfique de transfusion</t>
  </si>
  <si>
    <t>skyrim.esm|0BE1C9</t>
  </si>
  <si>
    <t>Espadon elfique saint</t>
  </si>
  <si>
    <t>skyrim.esm|0BE1C8</t>
  </si>
  <si>
    <t>Lucor</t>
  </si>
  <si>
    <t>Espadon elfique sanctifié</t>
  </si>
  <si>
    <t>skyrim.esm|0BE1C7</t>
  </si>
  <si>
    <t>Espadon elfique vertueux</t>
  </si>
  <si>
    <t>dragonborn.esm|01CDAF</t>
  </si>
  <si>
    <t>Espadon nordique</t>
  </si>
  <si>
    <t>skyrim.esm|0236A5</t>
  </si>
  <si>
    <t>Espadon nordique antique</t>
  </si>
  <si>
    <t>skyrim.esm|05BF13</t>
  </si>
  <si>
    <t>Georgeon Tranchon</t>
  </si>
  <si>
    <t>Espadon nordique antique affûté</t>
  </si>
  <si>
    <t>dragonborn.esm|028311</t>
  </si>
  <si>
    <t>Espadon nordique d'abattement</t>
  </si>
  <si>
    <t>dragonborn.esm|02832E</t>
  </si>
  <si>
    <t>Espadon nordique d'absorption</t>
  </si>
  <si>
    <t>dragonborn.esm|02832D</t>
  </si>
  <si>
    <t>mizma</t>
  </si>
  <si>
    <t>Espadon nordique d'amalgame</t>
  </si>
  <si>
    <t>Art. 116 — Du saut des murailles</t>
  </si>
  <si>
    <t>dragonborn.esm|028313</t>
  </si>
  <si>
    <t>Espadon nordique d'anathème</t>
  </si>
  <si>
    <t>dragonborn.esm|028324</t>
  </si>
  <si>
    <t>Espadon nordique d'angoisse</t>
  </si>
  <si>
    <t>dragonborn.esm|028317</t>
  </si>
  <si>
    <t>O reil</t>
  </si>
  <si>
    <t>Espadon nordique d'éclairs</t>
  </si>
  <si>
    <t>dragonborn.esm|028328</t>
  </si>
  <si>
    <t>Espadon nordique d'engrangement</t>
  </si>
  <si>
    <t>dragonborn.esm|02832B</t>
  </si>
  <si>
    <t>Espadon nordique d'évocation</t>
  </si>
  <si>
    <t>dragonborn.esm|028326</t>
  </si>
  <si>
    <t>Espadon nordique d'expulsion</t>
  </si>
  <si>
    <t>dragonborn.esm|028318</t>
  </si>
  <si>
    <t>Espadon nordique d'immobilisation</t>
  </si>
  <si>
    <t>dragonborn.esm|028319</t>
  </si>
  <si>
    <t>Espadon nordique d'inertie</t>
  </si>
  <si>
    <t>dragonborn.esm|028330</t>
  </si>
  <si>
    <t>Espadon nordique d'ingestion</t>
  </si>
  <si>
    <t>dragonborn.esm|028327</t>
  </si>
  <si>
    <t>Espadon nordique de bannissement</t>
  </si>
  <si>
    <t>dragonborn.esm|02831D</t>
  </si>
  <si>
    <t>Espadon nordique de blizzard</t>
  </si>
  <si>
    <t>coupe les crocs</t>
  </si>
  <si>
    <t>dragonborn.esm|028320</t>
  </si>
  <si>
    <t>Espadon nordique de brasier</t>
  </si>
  <si>
    <t>dragonborn.esm|028314</t>
  </si>
  <si>
    <t>Espadon nordique de capture</t>
  </si>
  <si>
    <t>Galtier</t>
  </si>
  <si>
    <t>Rabin</t>
  </si>
  <si>
    <t>dragonborn.esm|02C47C</t>
  </si>
  <si>
    <t>Espadon nordique de chaos</t>
  </si>
  <si>
    <t>dragonborn.esm|02C47E</t>
  </si>
  <si>
    <t>Espadon nordique de chaos extrême</t>
  </si>
  <si>
    <t>dragonborn.esm|028325</t>
  </si>
  <si>
    <t>Espadon nordique de crainte</t>
  </si>
  <si>
    <t>Perdu le nom</t>
  </si>
  <si>
    <t>dragonborn.esm|02831A</t>
  </si>
  <si>
    <t>Espadon nordique de débilitation</t>
  </si>
  <si>
    <t>dragonborn.esm|02831B</t>
  </si>
  <si>
    <t>Espadon nordique de dégradation</t>
  </si>
  <si>
    <t>dragonborn.esm|02832F</t>
  </si>
  <si>
    <t>Espadon nordique de dévorement</t>
  </si>
  <si>
    <t>dragonborn.esm|028321</t>
  </si>
  <si>
    <t>Espadon nordique de flambée</t>
  </si>
  <si>
    <t>dragonborn.esm|028322</t>
  </si>
  <si>
    <t>Espadon nordique de flammes</t>
  </si>
  <si>
    <t>dragonborn.esm|02831E</t>
  </si>
  <si>
    <t>Espadon nordique de frimas</t>
  </si>
  <si>
    <t>dragonborn.esm|02831F</t>
  </si>
  <si>
    <t>Espadon nordique de givre</t>
  </si>
  <si>
    <t>dragonborn.esm|02830F</t>
  </si>
  <si>
    <t>Espadon nordique de léthargie</t>
  </si>
  <si>
    <t>dragonborn.esm|028312</t>
  </si>
  <si>
    <t>Espadon nordique de malédiction</t>
  </si>
  <si>
    <t>dragonborn.esm|02832A</t>
  </si>
  <si>
    <t>Espadon nordique de moisson</t>
  </si>
  <si>
    <t>dragonborn.esm|02C47D</t>
  </si>
  <si>
    <t>Espadon nordique de profond chaos</t>
  </si>
  <si>
    <t>dragonborn.esm|028329</t>
  </si>
  <si>
    <t>Espadon nordique de récolte</t>
  </si>
  <si>
    <t>dragonborn.esm|02831C</t>
  </si>
  <si>
    <t>Espadon nordique de réduction</t>
  </si>
  <si>
    <t>dragonborn.esm|028315</t>
  </si>
  <si>
    <t>Espadon nordique de tempête</t>
  </si>
  <si>
    <t>??</t>
  </si>
  <si>
    <t>dragonborn.esm|028323</t>
  </si>
  <si>
    <t>Espadon nordique de terreur</t>
  </si>
  <si>
    <t>dragonborn.esm|028316</t>
  </si>
  <si>
    <t>Espadon nordique de tonnerre</t>
  </si>
  <si>
    <t>dragonborn.esm|028310</t>
  </si>
  <si>
    <t>Espadon nordique de torpeur</t>
  </si>
  <si>
    <t>dragonborn.esm|02832C</t>
  </si>
  <si>
    <t>Espadon nordique de transfusion</t>
  </si>
  <si>
    <t>dragonborn.esm|02830C</t>
  </si>
  <si>
    <t>Espadon nordique saint</t>
  </si>
  <si>
    <t>Zeek</t>
  </si>
  <si>
    <t>dragonborn.esm|02830D</t>
  </si>
  <si>
    <t>Espadon nordique sanctifié</t>
  </si>
  <si>
    <t>dragonborn.esm|02830E</t>
  </si>
  <si>
    <t>Espadon nordique vertueux</t>
  </si>
  <si>
    <t>skyrim.esm|01398F</t>
  </si>
  <si>
    <t>Espadon orque</t>
  </si>
  <si>
    <t>jo</t>
  </si>
  <si>
    <t>skyrim.esm|0AA187</t>
  </si>
  <si>
    <t>Espadon orque béni</t>
  </si>
  <si>
    <t>skyrim.esm|0AA185</t>
  </si>
  <si>
    <t>Espadon orque d'abattement</t>
  </si>
  <si>
    <t>skyrim.esm|0AA17D</t>
  </si>
  <si>
    <t>Espadon orque d'amalgame</t>
  </si>
  <si>
    <t>skyrim.esm|0AA14F</t>
  </si>
  <si>
    <t>Espadon orque d'amenuisement</t>
  </si>
  <si>
    <t>skyrim.esm|0AA183</t>
  </si>
  <si>
    <t>Espadon orque d'anathème</t>
  </si>
  <si>
    <t>skyrim.esm|0AA148</t>
  </si>
  <si>
    <t>Espadon orque d'angoisse</t>
  </si>
  <si>
    <t>skyrim.esm|0AA153</t>
  </si>
  <si>
    <t>vellas  ine daurile</t>
  </si>
  <si>
    <t>Espadon orque d'éclairs</t>
  </si>
  <si>
    <t>skyrim.esm|0AA17B</t>
  </si>
  <si>
    <t>Espadon orque d'ingestion</t>
  </si>
  <si>
    <t>skyrim.esm|0AA149</t>
  </si>
  <si>
    <t>Espadon orque de brûlure</t>
  </si>
  <si>
    <t>skyrim.esm|0AA182</t>
  </si>
  <si>
    <t>Varan Elnavar</t>
  </si>
  <si>
    <t>Espadon orque de capture</t>
  </si>
  <si>
    <t>skyrim.esm|0AA147</t>
  </si>
  <si>
    <t>Espadon orque de crainte</t>
  </si>
  <si>
    <t>skyrim.esm|0AA152</t>
  </si>
  <si>
    <t>Espadon orque de décharge</t>
  </si>
  <si>
    <t>skyrim.esm|0AA151</t>
  </si>
  <si>
    <t>arkno</t>
  </si>
  <si>
    <t>Espadon orque de dégradation</t>
  </si>
  <si>
    <t>skyrim.esm|0AA17C</t>
  </si>
  <si>
    <t>Espadon orque de dévorement</t>
  </si>
  <si>
    <t>skyrim.esm|0AA14B</t>
  </si>
  <si>
    <t>Espadon orque de flambée</t>
  </si>
  <si>
    <t>Aldren LANCE-DRAGON</t>
  </si>
  <si>
    <t>skyrim.esm|0AA14A</t>
  </si>
  <si>
    <t>Espadon orque de flammes</t>
  </si>
  <si>
    <t>skyrim.esm|0AA14E</t>
  </si>
  <si>
    <t>Espadon orque de frimas</t>
  </si>
  <si>
    <t>skyrim.esm|0AA14D</t>
  </si>
  <si>
    <t>Espadon orque de givre</t>
  </si>
  <si>
    <t>Namass PAMOUSS</t>
  </si>
  <si>
    <t>skyrim.esm|0AA14C</t>
  </si>
  <si>
    <t>Espadon orque de glace</t>
  </si>
  <si>
    <t>skyrim.esm|0AA17A</t>
  </si>
  <si>
    <t>Espadon orque de glanure</t>
  </si>
  <si>
    <t>skyrim.esm|0AA184</t>
  </si>
  <si>
    <t>Grise line</t>
  </si>
  <si>
    <t>Espadon orque de lassitude</t>
  </si>
  <si>
    <t>skyrim.esm|0AA17F</t>
  </si>
  <si>
    <t>Espadon orque de moisson</t>
  </si>
  <si>
    <t>skyrim.esm|0AA181</t>
  </si>
  <si>
    <t>Espadon orque de piège</t>
  </si>
  <si>
    <t>Asbjorn Jorgorinssen</t>
  </si>
  <si>
    <t>skyrim.esm|0AA180</t>
  </si>
  <si>
    <t>Espadon orque de récolte</t>
  </si>
  <si>
    <t>skyrim.esm|0AA178</t>
  </si>
  <si>
    <t>Espadon orque de recueil</t>
  </si>
  <si>
    <t>skyrim.esm|0AA150</t>
  </si>
  <si>
    <t>Espadon orque de réduction</t>
  </si>
  <si>
    <t>Hakyl</t>
  </si>
  <si>
    <t>skyrim.esm|0AA179</t>
  </si>
  <si>
    <t>Espadon orque de siphonnage</t>
  </si>
  <si>
    <t>skyrim.esm|0AA154</t>
  </si>
  <si>
    <t>Espadon orque de tonnerre</t>
  </si>
  <si>
    <t>skyrim.esm|0AA186</t>
  </si>
  <si>
    <t>Espadon orque de torpeur</t>
  </si>
  <si>
    <t>skyrim.esm|0AA17E</t>
  </si>
  <si>
    <t>Neddsskar Iron</t>
  </si>
  <si>
    <t>Espadon orque de transfusion</t>
  </si>
  <si>
    <t>skyrim.esm|0AA146</t>
  </si>
  <si>
    <t>Espadon orque de veulerie</t>
  </si>
  <si>
    <t>skyrim.esm|0AA189</t>
  </si>
  <si>
    <t>Espadon orque sanctifié</t>
  </si>
  <si>
    <t>skyrim.esm|0AA188</t>
  </si>
  <si>
    <t>Espadon orque vertueux</t>
  </si>
  <si>
    <t>Thov Commandant du clan Lemarch</t>
  </si>
  <si>
    <t>skyrim.esm|029B94</t>
  </si>
  <si>
    <t>Faible bâton de péril</t>
  </si>
  <si>
    <t>sentinel - city guards.esp|0008E6</t>
  </si>
  <si>
    <t>Falkreath War Axe</t>
  </si>
  <si>
    <t>dragonborn.esm|0179C9</t>
  </si>
  <si>
    <t>Feralgide</t>
  </si>
  <si>
    <t>Ombre coeur Queue de belette</t>
  </si>
  <si>
    <t>skyrim.esm|01C492</t>
  </si>
  <si>
    <t>Fléortie</t>
  </si>
  <si>
    <t>skyrim.esm|01F25B</t>
  </si>
  <si>
    <t>Fourchette</t>
  </si>
  <si>
    <t>Helacorn</t>
  </si>
  <si>
    <t>skyrim.esm|0F82FA</t>
  </si>
  <si>
    <t>Francisque de Vole-sang</t>
  </si>
  <si>
    <t>skyrim.esm|0AB703</t>
  </si>
  <si>
    <t>Furie de l'Aigle carmin</t>
  </si>
  <si>
    <t>skyrim.esm|01A138</t>
  </si>
  <si>
    <t>FXdustDropWEP</t>
  </si>
  <si>
    <t>faulse tricheor</t>
  </si>
  <si>
    <t>skyrim.esm|01A13E</t>
  </si>
  <si>
    <t>skyrim.esm|01A141</t>
  </si>
  <si>
    <t>skyrim.esm|020E21</t>
  </si>
  <si>
    <t>skyrim.esm|0001F6</t>
  </si>
  <si>
    <t>GasTrap Dummy</t>
  </si>
  <si>
    <t>Verick Irnand</t>
  </si>
  <si>
    <t>skyrim.esm|0AB702</t>
  </si>
  <si>
    <t>Gauldur Noirlame</t>
  </si>
  <si>
    <t>skyrim.esm|0F5D1A</t>
  </si>
  <si>
    <t>skyrim.esm|0F5D1B</t>
  </si>
  <si>
    <t>skyrim.esm|0F5D1C</t>
  </si>
  <si>
    <t xml:space="preserve">Ilflynn </t>
  </si>
  <si>
    <t>Mojzah</t>
  </si>
  <si>
    <t>skyrim.esm|0F5D1D</t>
  </si>
  <si>
    <t>skyrim.esm|0AE087</t>
  </si>
  <si>
    <t>Geis de Roncecoeur</t>
  </si>
  <si>
    <t>dis_heavy_legion.esp|0012FB</t>
  </si>
  <si>
    <t>General's Sword</t>
  </si>
  <si>
    <t>sentinel.esp|000B1E</t>
  </si>
  <si>
    <t>Gor-mak</t>
  </si>
  <si>
    <t>Gilded Ebony Battleaxe</t>
  </si>
  <si>
    <t>sentinel.esp|000B1C</t>
  </si>
  <si>
    <t>Gilded Ebony Dagger</t>
  </si>
  <si>
    <t>sentinel.esp|000B1D</t>
  </si>
  <si>
    <t>Art. 55 — De l’exhibition</t>
  </si>
  <si>
    <t>Gilded Ebony Greatsword</t>
  </si>
  <si>
    <t>sentinel.esp|000B1B</t>
  </si>
  <si>
    <t>Gilded Ebony Mace</t>
  </si>
  <si>
    <t>sentinel.esp|000B19</t>
  </si>
  <si>
    <t>Gilded Ebony Sword</t>
  </si>
  <si>
    <t>Dornir rochever</t>
  </si>
  <si>
    <t>sentinel.esp|000B1A</t>
  </si>
  <si>
    <t>Gilded Ebony War Axe</t>
  </si>
  <si>
    <t>sentinel.esp|000B1F</t>
  </si>
  <si>
    <t>Gilded Ebony Warhammer</t>
  </si>
  <si>
    <t>dragonborn.esm|01A578</t>
  </si>
  <si>
    <t>Gourdin du champion</t>
  </si>
  <si>
    <t>skyrim.esm|029B91</t>
  </si>
  <si>
    <t>Grand bâton d'ensorcellement</t>
  </si>
  <si>
    <t>skyrim.esm|029B9B</t>
  </si>
  <si>
    <t>Grand bâton de fléau</t>
  </si>
  <si>
    <t>skyrim.esm|029B97</t>
  </si>
  <si>
    <t>Grand bâton de péril</t>
  </si>
  <si>
    <t>skyrim.esm|06A8FD</t>
  </si>
  <si>
    <t>Hache ancestrale de Ghorbash</t>
  </si>
  <si>
    <t>skyrim.esm|08ADFB</t>
  </si>
  <si>
    <t>'Vignar Corn''</t>
  </si>
  <si>
    <t>Hache cérémonielle</t>
  </si>
  <si>
    <t>Art. 6 — Des sanctions</t>
  </si>
  <si>
    <t>skyrim.esm|0A69E3</t>
  </si>
  <si>
    <t>Hache d'acier bénie</t>
  </si>
  <si>
    <t>skyrim.esm|0A69E1</t>
  </si>
  <si>
    <t>strenn pleure-vouivre</t>
  </si>
  <si>
    <t>Hache d'acier d'abattement</t>
  </si>
  <si>
    <t>skyrim.esm|0A69DA</t>
  </si>
  <si>
    <t>Hache d'acier d'amenuisement</t>
  </si>
  <si>
    <t>skyrim.esm|0A69DC</t>
  </si>
  <si>
    <t>Hache d'acier d'anima</t>
  </si>
  <si>
    <t>skyrim.esm|04B46B</t>
  </si>
  <si>
    <t>lucia</t>
  </si>
  <si>
    <t>Hache d'acier d'éclairs</t>
  </si>
  <si>
    <t>skyrim.esm|04B469</t>
  </si>
  <si>
    <t>Hache d'acier d'étincelles</t>
  </si>
  <si>
    <t>skyrim.esm|04B457</t>
  </si>
  <si>
    <t>Hache d'acier d'incandescence</t>
  </si>
  <si>
    <t>skyrim.esm|0A69D6</t>
  </si>
  <si>
    <t>Hache d'acier d'intimidation</t>
  </si>
  <si>
    <t>skyrim.esm|04B458</t>
  </si>
  <si>
    <t>Hache d'acier de brûlure</t>
  </si>
  <si>
    <t>skyrim.esm|0A69DE</t>
  </si>
  <si>
    <t>Hache d'acier de capture</t>
  </si>
  <si>
    <t>skyrim.esm|0A69D8</t>
  </si>
  <si>
    <t>Hache d'acier de crainte</t>
  </si>
  <si>
    <t>'Amantus''</t>
  </si>
  <si>
    <t>skyrim.esm|04B46A</t>
  </si>
  <si>
    <t>Hache d'acier de décharge</t>
  </si>
  <si>
    <t>skyrim.esm|0A69DF</t>
  </si>
  <si>
    <t>Hache d'acier de fatigue</t>
  </si>
  <si>
    <t>skyrim.esm|04B459</t>
  </si>
  <si>
    <t>Hache d'acier de flammes</t>
  </si>
  <si>
    <t xml:space="preserve">Ma'arl </t>
  </si>
  <si>
    <t>skyrim.esm|04B460</t>
  </si>
  <si>
    <t>Hache d'acier de frisson</t>
  </si>
  <si>
    <t>skyrim.esm|04B462</t>
  </si>
  <si>
    <t>Art. 34 — De l’intrusion en propriété privée extérieure</t>
  </si>
  <si>
    <t>Hache d'acier de givre</t>
  </si>
  <si>
    <t>skyrim.esm|04B461</t>
  </si>
  <si>
    <t>Hache d'acier de glace</t>
  </si>
  <si>
    <t>skyrim.esm|09F260</t>
  </si>
  <si>
    <t>Hache d'acier de la Forgeciel</t>
  </si>
  <si>
    <t>Khajiit portant une couronne. Il prétend venir de Fortdhiver et a donné un faux nom.</t>
  </si>
  <si>
    <t>skyrim.esm|0A69E0</t>
  </si>
  <si>
    <t>Hache d'acier de lassitude</t>
  </si>
  <si>
    <t>Motif personnalisé — Article 114  - De la marche obligatoire
+ 5 septimes car manque de respect et donne un faux nom</t>
  </si>
  <si>
    <t>skyrim.esm|0A69DD</t>
  </si>
  <si>
    <t>Hache d'acier de piège</t>
  </si>
  <si>
    <t>skyrim.esm|0A69DB</t>
  </si>
  <si>
    <t>Hache d'acier de réduction</t>
  </si>
  <si>
    <t>skyrim.esm|0A69D9</t>
  </si>
  <si>
    <t>Hache d'acier de sape</t>
  </si>
  <si>
    <t>skyrim.esm|0A69D7</t>
  </si>
  <si>
    <t>Hache d'acier de veulerie</t>
  </si>
  <si>
    <t>skyrim.esm|03B0B8</t>
  </si>
  <si>
    <t>Hache d'acier lunaire</t>
  </si>
  <si>
    <t>skyrim.esm|03B0BB</t>
  </si>
  <si>
    <t>skyrim.esm|03B0BE</t>
  </si>
  <si>
    <t>skyrim.esm|0A69E2</t>
  </si>
  <si>
    <t>Motif personnalisé — Outrage à la garde + cours à Cap Granite</t>
  </si>
  <si>
    <t>Hache d'acier pieuse</t>
  </si>
  <si>
    <t>skyrim.esm|0A69E4</t>
  </si>
  <si>
    <t>Hache d'acier vertueuse</t>
  </si>
  <si>
    <t>skyrim.esm|0A6988</t>
  </si>
  <si>
    <t>Hache d'armes d'acier bénie</t>
  </si>
  <si>
    <t>skyrim.esm|0A6986</t>
  </si>
  <si>
    <t>Hache d'armes d'acier d'abattement</t>
  </si>
  <si>
    <t>skyrim.esm|040002</t>
  </si>
  <si>
    <t>Hache d'armes d'acier d'âme fougueuse</t>
  </si>
  <si>
    <t>skyrim.esm|0A697F</t>
  </si>
  <si>
    <t>Hache d'armes d'acier d'amenuisement</t>
  </si>
  <si>
    <t>skyrim.esm|0A6981</t>
  </si>
  <si>
    <t>Hache d'armes d'acier d'anima</t>
  </si>
  <si>
    <t>skyrim.esm|0A697D</t>
  </si>
  <si>
    <t>Hache d'armes d'acier d'éclairs</t>
  </si>
  <si>
    <t>skyrim.esm|0A697B</t>
  </si>
  <si>
    <t>Hache d'armes d'acier d'étincelles</t>
  </si>
  <si>
    <t>skyrim.esm|0A56CE</t>
  </si>
  <si>
    <t>Hache d'armes d'acier d'incandescence</t>
  </si>
  <si>
    <t>skyrim.esm|0A6978</t>
  </si>
  <si>
    <t>Hache d'armes d'acier d'intimidation</t>
  </si>
  <si>
    <t>skyrim.esm|0A56CF</t>
  </si>
  <si>
    <t>Hache d'armes d'acier de brûlure</t>
  </si>
  <si>
    <t>skyrim.esm|0A6983</t>
  </si>
  <si>
    <t>Hache d'armes d'acier de capture</t>
  </si>
  <si>
    <t>skyrim.esm|0A697A</t>
  </si>
  <si>
    <t>Hache d'armes d'acier de crainte</t>
  </si>
  <si>
    <t>skyrim.esm|0A697C</t>
  </si>
  <si>
    <t>Hache d'armes d'acier de décharge</t>
  </si>
  <si>
    <t>skyrim.esm|0A6984</t>
  </si>
  <si>
    <t>Hache d'armes d'acier de fatigue</t>
  </si>
  <si>
    <t>skyrim.esm|0A56D0</t>
  </si>
  <si>
    <t>Hache d'armes d'acier de flammes</t>
  </si>
  <si>
    <t>skyrim.esm|0A6975</t>
  </si>
  <si>
    <t>Hache d'armes d'acier de frisson</t>
  </si>
  <si>
    <t>skyrim.esm|0A6977</t>
  </si>
  <si>
    <t>Hache d'armes d'acier de givre</t>
  </si>
  <si>
    <t>skyrim.esm|0A6976</t>
  </si>
  <si>
    <t>Hache d'armes d'acier de glace</t>
  </si>
  <si>
    <t>skyrim.esm|09F25F</t>
  </si>
  <si>
    <t>Hache d'armes d'acier de la Forgeciel</t>
  </si>
  <si>
    <t>skyrim.esm|0A6985</t>
  </si>
  <si>
    <t>Hache d'armes d'acier de lassitude</t>
  </si>
  <si>
    <t>skyrim.esm|0A6982</t>
  </si>
  <si>
    <t>Hache d'armes d'acier de piège</t>
  </si>
  <si>
    <t>skyrim.esm|0A6980</t>
  </si>
  <si>
    <t>Hache d'armes d'acier de réduction</t>
  </si>
  <si>
    <t>skyrim.esm|0A697E</t>
  </si>
  <si>
    <t>Hache d'armes d'acier de sape</t>
  </si>
  <si>
    <t>skyrim.esm|0A6979</t>
  </si>
  <si>
    <t>Hache d'armes d'acier de veulerie</t>
  </si>
  <si>
    <t>skyrim.esm|0A6987</t>
  </si>
  <si>
    <t>Hache d'armes d'acier pieuse</t>
  </si>
  <si>
    <t>skyrim.esm|0A6989</t>
  </si>
  <si>
    <t>Hache d'armes d'acier vertueuse</t>
  </si>
  <si>
    <t>skyrim.esm|0139AC</t>
  </si>
  <si>
    <t>Hache d'armes d'ébonite</t>
  </si>
  <si>
    <t>skyrim.esm|0BF3CF</t>
  </si>
  <si>
    <t>Hache d'armes d'ébonite d'absorption</t>
  </si>
  <si>
    <t>skyrim.esm|0BF3EC</t>
  </si>
  <si>
    <t>Hache d'armes d'ébonite d'anathème</t>
  </si>
  <si>
    <t>skyrim.esm|0BF3DA</t>
  </si>
  <si>
    <t>Hache d'armes d'ébonite d'angoisse</t>
  </si>
  <si>
    <t>skyrim.esm|0BF3D9</t>
  </si>
  <si>
    <t>Hache d'armes d'ébonite d'annihilation</t>
  </si>
  <si>
    <t>skyrim.esm|0BF3D3</t>
  </si>
  <si>
    <t>Hache d'armes d'ébonite d'assimilation</t>
  </si>
  <si>
    <t>skyrim.esm|0BF3DC</t>
  </si>
  <si>
    <t>Hache d'armes d'ébonite d'effroi</t>
  </si>
  <si>
    <t>skyrim.esm|0BF3D2</t>
  </si>
  <si>
    <t>Hache d'armes d'ébonite d'engrangement</t>
  </si>
  <si>
    <t>skyrim.esm|0BF3F1</t>
  </si>
  <si>
    <t>Hache d'armes d'ébonite d'épuisement</t>
  </si>
  <si>
    <t>skyrim.esm|0BF3D5</t>
  </si>
  <si>
    <t>Hache d'armes d'ébonite d'évocation</t>
  </si>
  <si>
    <t>skyrim.esm|0BF3D8</t>
  </si>
  <si>
    <t>Hache d'armes d'ébonite d'expulsion</t>
  </si>
  <si>
    <t>skyrim.esm|0BF3E7</t>
  </si>
  <si>
    <t>Hache d'armes d'ébonite d'immobilisation</t>
  </si>
  <si>
    <t>skyrim.esm|0BF3DF</t>
  </si>
  <si>
    <t>Hache d'armes d'ébonite d'incinération</t>
  </si>
  <si>
    <t>skyrim.esm|0BF3E6</t>
  </si>
  <si>
    <t>Hache d'armes d'ébonite d'inertie</t>
  </si>
  <si>
    <t>skyrim.esm|0BF3D7</t>
  </si>
  <si>
    <t>Hache d'armes d'ébonite de bannissement</t>
  </si>
  <si>
    <t>skyrim.esm|0BF3E1</t>
  </si>
  <si>
    <t>Hache d'armes d'ébonite de blizzard</t>
  </si>
  <si>
    <t>skyrim.esm|0BF3DE</t>
  </si>
  <si>
    <t>Hache d'armes d'ébonite de brasier</t>
  </si>
  <si>
    <t>skyrim.esm|0BF3EE</t>
  </si>
  <si>
    <t>Hache d'armes d'ébonite de damnation</t>
  </si>
  <si>
    <t>skyrim.esm|0BF3E4</t>
  </si>
  <si>
    <t>Hache d'armes d'ébonite de débilitation</t>
  </si>
  <si>
    <t>skyrim.esm|0BF3E3</t>
  </si>
  <si>
    <t>Hache d'armes d'ébonite de dégradation</t>
  </si>
  <si>
    <t>skyrim.esm|0BF3CE</t>
  </si>
  <si>
    <t>Hache d'armes d'ébonite de dévorement</t>
  </si>
  <si>
    <t>skyrim.esm|0BF3DD</t>
  </si>
  <si>
    <t>Hache d'armes d'ébonite de flambée</t>
  </si>
  <si>
    <t>skyrim.esm|0BF3E0</t>
  </si>
  <si>
    <t>Hache d'armes d'ébonite de frimas</t>
  </si>
  <si>
    <t>skyrim.esm|0BF3EB</t>
  </si>
  <si>
    <t>Hache d'armes d'ébonite de fulguration</t>
  </si>
  <si>
    <t>skyrim.esm|0BF3E2</t>
  </si>
  <si>
    <t>Hache d'armes d'ébonite de glaciation</t>
  </si>
  <si>
    <t>skyrim.esm|0BF3F0</t>
  </si>
  <si>
    <t>Hache d'armes d'ébonite de léthargie</t>
  </si>
  <si>
    <t>skyrim.esm|0BF3ED</t>
  </si>
  <si>
    <t>Hache d'armes d'ébonite de malédiction</t>
  </si>
  <si>
    <t>skyrim.esm|0BF3E8</t>
  </si>
  <si>
    <t>Hache d'armes d'ébonite de pétrification</t>
  </si>
  <si>
    <t>skyrim.esm|0BF3D1</t>
  </si>
  <si>
    <t>Hache d'armes d'ébonite de récolte</t>
  </si>
  <si>
    <t>skyrim.esm|0BF3D6</t>
  </si>
  <si>
    <t>Hache d'armes d'ébonite de sorcellerie</t>
  </si>
  <si>
    <t>skyrim.esm|0BF3E5</t>
  </si>
  <si>
    <t>Hache d'armes d'ébonite de suppression</t>
  </si>
  <si>
    <t>skyrim.esm|0BF3EA</t>
  </si>
  <si>
    <t>Hache d'armes d'ébonite de tempête</t>
  </si>
  <si>
    <t>skyrim.esm|0BF3DB</t>
  </si>
  <si>
    <t>Hache d'armes d'ébonite de terreur</t>
  </si>
  <si>
    <t>skyrim.esm|0BF3E9</t>
  </si>
  <si>
    <t>Hache d'armes d'ébonite de tonnerre</t>
  </si>
  <si>
    <t>skyrim.esm|0BF3EF</t>
  </si>
  <si>
    <t>Hache d'armes d'ébonite de torpeur</t>
  </si>
  <si>
    <t>skyrim.esm|0BF3D4</t>
  </si>
  <si>
    <t>Hache d'armes d'ébonite de transfusion</t>
  </si>
  <si>
    <t>skyrim.esm|0BF3D0</t>
  </si>
  <si>
    <t>Hache d'armes d'ébonite de vampirisme</t>
  </si>
  <si>
    <t>skyrim.esm|0BF3F4</t>
  </si>
  <si>
    <t>Hache d'armes d'ébonite sacrée</t>
  </si>
  <si>
    <t>skyrim.esm|0BF3F3</t>
  </si>
  <si>
    <t>Hache d'armes d'ébonite sainte</t>
  </si>
  <si>
    <t>skyrim.esm|0BF3F2</t>
  </si>
  <si>
    <t>Hache d'armes d'ébonite sanctifiée</t>
  </si>
  <si>
    <t>dawnguard.esm|014FC3</t>
  </si>
  <si>
    <t>Hache d'armes d'os de dragon</t>
  </si>
  <si>
    <t>skyrim.esm|0139B4</t>
  </si>
  <si>
    <t>Hache d'armes daedra</t>
  </si>
  <si>
    <t>Sillas</t>
  </si>
  <si>
    <t>skyrim.esm|01DD39</t>
  </si>
  <si>
    <t>Hache d'armes daedra d'absorption</t>
  </si>
  <si>
    <t>skyrim.esm|01DFCC</t>
  </si>
  <si>
    <t>Hache d'armes daedra d'anathème</t>
  </si>
  <si>
    <t>skyrim.esm|01DD9F</t>
  </si>
  <si>
    <t>Hache d'armes daedra d'angoisse</t>
  </si>
  <si>
    <t>skyrim.esm|01DD9C</t>
  </si>
  <si>
    <t>Hache d'armes daedra d'annihilation</t>
  </si>
  <si>
    <t xml:space="preserve">Do'Rhazir </t>
  </si>
  <si>
    <t>skyrim.esm|01DD95</t>
  </si>
  <si>
    <t>Aranor</t>
  </si>
  <si>
    <t>Motif personnalisé — Art 116 : Saut de muraille
La personne a été obéissante et gentil donc je lui ai seulement fait faire le blé pour payer ses crimes.
Il m'a aussi donné une torche.</t>
  </si>
  <si>
    <t>Hache d'armes daedra d'assimilation</t>
  </si>
  <si>
    <t>Astaera Griffacier</t>
  </si>
  <si>
    <t>skyrim.esm|01DDA1</t>
  </si>
  <si>
    <t>Hache d'armes daedra d'effroi</t>
  </si>
  <si>
    <t>Motif personnalisé — Art 116 : Saut de Muraille
La personne a été compréhensive et gentil, et elle n'avait apparemment pas assez sur elle pour payer, elle m'a transmis la totalité de sa bourse.</t>
  </si>
  <si>
    <t>skyrim.esm|01DD54</t>
  </si>
  <si>
    <t>Hache d'armes daedra d'engrangement</t>
  </si>
  <si>
    <t>skyrim.esm|01DFD1</t>
  </si>
  <si>
    <t>Hache d'armes daedra d'épuisement</t>
  </si>
  <si>
    <t>skyrim.esm|01DD47</t>
  </si>
  <si>
    <t>Hache d'armes daedra d'évocation</t>
  </si>
  <si>
    <t>Jurgen forge machoir</t>
  </si>
  <si>
    <t>Motif personnalisé — Port de la capuche 
+ Décret du Jarl = délit doublé</t>
  </si>
  <si>
    <t>skyrim.esm|01DD97</t>
  </si>
  <si>
    <t>Hache d'armes daedra d'expulsion</t>
  </si>
  <si>
    <t>skyrim.esm|01DFC7</t>
  </si>
  <si>
    <t>Hache d'armes daedra d'immobilisation</t>
  </si>
  <si>
    <t>skyrim.esm|01DDFB</t>
  </si>
  <si>
    <t>Hache d'armes daedra d'incinération</t>
  </si>
  <si>
    <t>Tybalt veine de glace</t>
  </si>
  <si>
    <t>skyrim.esm|01DFC6</t>
  </si>
  <si>
    <t>Hache d'armes daedra d'inertie</t>
  </si>
  <si>
    <t>skyrim.esm|01DD96</t>
  </si>
  <si>
    <t>Hache d'armes daedra de bannissement</t>
  </si>
  <si>
    <t>skyrim.esm|01DE68</t>
  </si>
  <si>
    <t>Hache d'armes daedra de blizzard</t>
  </si>
  <si>
    <t>Marcelo</t>
  </si>
  <si>
    <t>skyrim.esm|01DDC8</t>
  </si>
  <si>
    <t>Hache d'armes daedra de brasier</t>
  </si>
  <si>
    <t>skyrim.esm|01DFCE</t>
  </si>
  <si>
    <t>Hache d'armes daedra de damnation</t>
  </si>
  <si>
    <t>skyrim.esm|01DFA9</t>
  </si>
  <si>
    <t>Hache d'armes daedra de débilitation</t>
  </si>
  <si>
    <t>Inconnu</t>
  </si>
  <si>
    <t>Motif personnalisé — Décret du Jarl
Amende récupéré de la part de Alaric aux Faubourgs. La personne n'a pas voulu décliner son identité également donc nous n'avons pas le nom du contrevenant</t>
  </si>
  <si>
    <t>skyrim.esm|01DF09</t>
  </si>
  <si>
    <t>Hache d'armes daedra de dégradation</t>
  </si>
  <si>
    <t>skyrim.esm|01DD38</t>
  </si>
  <si>
    <t>Hache d'armes daedra de dévorement</t>
  </si>
  <si>
    <t>skyrim.esm|01DDA2</t>
  </si>
  <si>
    <t>Hache d'armes daedra de flambée</t>
  </si>
  <si>
    <t>Aymon</t>
  </si>
  <si>
    <t>skyrim.esm|01DE10</t>
  </si>
  <si>
    <t>Hache d'armes daedra de frimas</t>
  </si>
  <si>
    <t>skyrim.esm|01DFCB</t>
  </si>
  <si>
    <t>Hache d'armes daedra de fulguration</t>
  </si>
  <si>
    <t>skyrim.esm|01DED0</t>
  </si>
  <si>
    <t>Hache d'armes daedra de glaciation</t>
  </si>
  <si>
    <t>skyrim.esm|01DFD0</t>
  </si>
  <si>
    <t>Hache d'armes daedra de léthargie</t>
  </si>
  <si>
    <t>skyrim.esm|01DFCD</t>
  </si>
  <si>
    <t>Hache d'armes daedra de malédiction</t>
  </si>
  <si>
    <t>skyrim.esm|01DFC8</t>
  </si>
  <si>
    <t>Hache d'armes daedra de pétrification</t>
  </si>
  <si>
    <t>Drusila</t>
  </si>
  <si>
    <t>skyrim.esm|01DD4E</t>
  </si>
  <si>
    <t>Hache d'armes daedra de récolte</t>
  </si>
  <si>
    <t>skyrim.esm|01DD4A</t>
  </si>
  <si>
    <t>Hache d'armes daedra de sorcellerie</t>
  </si>
  <si>
    <t>skyrim.esm|01DFB9</t>
  </si>
  <si>
    <t>Hache d'armes daedra de suppression</t>
  </si>
  <si>
    <t>skyrim.esm|01DFCA</t>
  </si>
  <si>
    <t>Hache d'armes daedra de tempête</t>
  </si>
  <si>
    <t>skyrim.esm|01DDA0</t>
  </si>
  <si>
    <t>Hache d'armes daedra de terreur</t>
  </si>
  <si>
    <t>skyrim.esm|01DFC9</t>
  </si>
  <si>
    <t>Hache d'armes daedra de tonnerre</t>
  </si>
  <si>
    <t>skyrim.esm|01DFCF</t>
  </si>
  <si>
    <t>De voix Stanislas</t>
  </si>
  <si>
    <t>Hache d'armes daedra de torpeur</t>
  </si>
  <si>
    <t>skyrim.esm|01DD42</t>
  </si>
  <si>
    <t>Hache d'armes daedra de transfusion</t>
  </si>
  <si>
    <t>skyrim.esm|01DD41</t>
  </si>
  <si>
    <t>Hache d'armes daedra de vampirisme</t>
  </si>
  <si>
    <t>skyrim.esm|01DFD4</t>
  </si>
  <si>
    <t>Stanislas de voix</t>
  </si>
  <si>
    <t>Hache d'armes daedra sacrée</t>
  </si>
  <si>
    <t>skyrim.esm|01DFD3</t>
  </si>
  <si>
    <t>Hache d'armes daedra sainte</t>
  </si>
  <si>
    <t>skyrim.esm|01DFD2</t>
  </si>
  <si>
    <t>Hache d'armes daedra sanctifiée</t>
  </si>
  <si>
    <t>skyrim.esm|013980</t>
  </si>
  <si>
    <t>Hache d'armes de fer</t>
  </si>
  <si>
    <t>Solen</t>
  </si>
  <si>
    <t>skyrim.esm|0896F1</t>
  </si>
  <si>
    <t>Hache d'armes de fer bénie</t>
  </si>
  <si>
    <t>skyrim.esm|0896FE</t>
  </si>
  <si>
    <t>Hache d'armes de fer d'abattement</t>
  </si>
  <si>
    <t>skyrim.esm|0896D3</t>
  </si>
  <si>
    <t>Hache d'armes de fer d'amenuisement</t>
  </si>
  <si>
    <t>skyrim.esm|0896E7</t>
  </si>
  <si>
    <t>Hache d'armes de fer d'anima</t>
  </si>
  <si>
    <t>skyrim.esm|0896C8</t>
  </si>
  <si>
    <t>Hache d'armes de fer d'éclairs</t>
  </si>
  <si>
    <t>skyrim.esm|0896C6</t>
  </si>
  <si>
    <t>Hache d'armes de fer d'étincelles</t>
  </si>
  <si>
    <t>Malikir</t>
  </si>
  <si>
    <t>skyrim.esm|0896B0</t>
  </si>
  <si>
    <t>Hache d'armes de fer d'incandescence</t>
  </si>
  <si>
    <t>skyrim.esm|089708</t>
  </si>
  <si>
    <t>Hache d'armes de fer d'intimidation</t>
  </si>
  <si>
    <t>skyrim.esm|0896B2</t>
  </si>
  <si>
    <t>Hache d'armes de fer de brûlure</t>
  </si>
  <si>
    <t>skyrim.esm|0896E9</t>
  </si>
  <si>
    <t>Hache d'armes de fer de capture</t>
  </si>
  <si>
    <t>skyrim.esm|08970A</t>
  </si>
  <si>
    <t>Hache d'armes de fer de crainte</t>
  </si>
  <si>
    <t>skyrim.esm|0896C7</t>
  </si>
  <si>
    <t>Hache d'armes de fer de décharge</t>
  </si>
  <si>
    <t>skyrim.esm|0896FC</t>
  </si>
  <si>
    <t>Hache d'armes de fer de fatigue</t>
  </si>
  <si>
    <t>Ektaar</t>
  </si>
  <si>
    <t>Motif personnalisé — Récidive</t>
  </si>
  <si>
    <t>skyrim.esm|0896B3</t>
  </si>
  <si>
    <t>Hache d'armes de fer de flammes</t>
  </si>
  <si>
    <t>skyrim.esm|0896BA</t>
  </si>
  <si>
    <t>Hache d'armes de fer de frisson</t>
  </si>
  <si>
    <t>skyrim.esm|0896BC</t>
  </si>
  <si>
    <t>Hache d'armes de fer de givre</t>
  </si>
  <si>
    <t>skyrim.esm|0896BB</t>
  </si>
  <si>
    <t>Hache d'armes de fer de glace</t>
  </si>
  <si>
    <t>Motif personnalisé — Récidive Art 114</t>
  </si>
  <si>
    <t>skyrim.esm|0896FD</t>
  </si>
  <si>
    <t>Hache d'armes de fer de lassitude</t>
  </si>
  <si>
    <t>skyrim.esm|0896E8</t>
  </si>
  <si>
    <t>Hache d'armes de fer de piège</t>
  </si>
  <si>
    <t>skyrim.esm|0896D4</t>
  </si>
  <si>
    <t>Hache d'armes de fer de réduction</t>
  </si>
  <si>
    <t>skyrim.esm|0896D2</t>
  </si>
  <si>
    <t>Hache d'armes de fer de sape</t>
  </si>
  <si>
    <t>Caettra</t>
  </si>
  <si>
    <t>skyrim.esm|089709</t>
  </si>
  <si>
    <t>Hache d'armes de fer de veulerie</t>
  </si>
  <si>
    <t>skyrim.esm|0896F0</t>
  </si>
  <si>
    <t>Hache d'armes de fer pieuse</t>
  </si>
  <si>
    <t>skyrim.esm|0896F2</t>
  </si>
  <si>
    <t>Hache d'armes de fer vertueuse</t>
  </si>
  <si>
    <t>skyrim.esm|05BF07</t>
  </si>
  <si>
    <t>Hache d'armes de frisson nordique antique</t>
  </si>
  <si>
    <t>skyrim.esm|0DDD64</t>
  </si>
  <si>
    <t>Hache d'armes de frisson nordique antique affûtée</t>
  </si>
  <si>
    <t>skyrim.esm|05BF08</t>
  </si>
  <si>
    <t>Hache d'armes de givre nordique antique</t>
  </si>
  <si>
    <t>skyrim.esm|0DDD66</t>
  </si>
  <si>
    <t>Hache d'armes de givre nordique antique affûtée</t>
  </si>
  <si>
    <t>skyrim.esm|05BF06</t>
  </si>
  <si>
    <t>Hache d'armes de glace nordique antique</t>
  </si>
  <si>
    <t>Thalion Teubéril</t>
  </si>
  <si>
    <t>skyrim.esm|0DDD65</t>
  </si>
  <si>
    <t>Hache d'armes de glace nordique antique affûtée</t>
  </si>
  <si>
    <t>Motif personnalisé — Art-54 dissimulation du visage + 10 septimes car il ne voulait pas payer l’amende.
Capuchonné et masqué, il a avoué aimer charrier les gardes et refuser de payer les amendes parfois pour créer du “divertissement”.</t>
  </si>
  <si>
    <t>dragonborn.esm|0284C4</t>
  </si>
  <si>
    <t>Hache d'armes de stalhrim d'absorption</t>
  </si>
  <si>
    <t>dragonborn.esm|0284A7</t>
  </si>
  <si>
    <t>Hache d'armes de stalhrim d'anathème</t>
  </si>
  <si>
    <t>Thoran</t>
  </si>
  <si>
    <t>dragonborn.esm|0284BF</t>
  </si>
  <si>
    <t>Hache d'armes de stalhrim d'angoisse</t>
  </si>
  <si>
    <t>dragonborn.esm|0284B7</t>
  </si>
  <si>
    <t>Hache d'armes de stalhrim d'annihilation</t>
  </si>
  <si>
    <t>Art. 54 — De la dissimulation du visage</t>
  </si>
  <si>
    <t>dragonborn.esm|0284BA</t>
  </si>
  <si>
    <t>Hache d'armes de stalhrim d'assimilation</t>
  </si>
  <si>
    <t>dragonborn.esm|0284BE</t>
  </si>
  <si>
    <t>Hache d'armes de stalhrim d'effroi</t>
  </si>
  <si>
    <t>dragonborn.esm|0284BB</t>
  </si>
  <si>
    <t>Passereau (Dar'Jazir)</t>
  </si>
  <si>
    <t>Hache d'armes de stalhrim d'engrangement</t>
  </si>
  <si>
    <t>dragonborn.esm|0284A2</t>
  </si>
  <si>
    <t>Motif personnalisé — Art. 15  — Des menaces =&gt; Menaces sur les vigiles de Stendarr au Temple de Blancherive =&gt; Contravention de 250 septims
Art. 21  — De la mise en danger de la vie d’autrui =&gt; Pose d'une rune de glace dans la cellule 3 au cas où les gardes s'en prendraient à lui =&gt; Contravention de 500 septims
Art. 34 — De l’intrusion en propriété privée extérieure =&gt; Contravention de 50 septims
Art. 63 — Du refus d’obtempérer : "L’infraction devient un délit en cas d’usage de violence, de magie ou de potions." =&gt; délit du fait d'utilisation de potion d'invisibilité pour tenter de fuir puis une seconde fois au temple en menaçant d'utiliser sa magie de destruction =&gt; Jugement + contravention 50 septims</t>
  </si>
  <si>
    <t>Hache d'armes de stalhrim d'épuisement</t>
  </si>
  <si>
    <t>dragonborn.esm|0284C1</t>
  </si>
  <si>
    <t>Hache d'armes de stalhrim d'évocation</t>
  </si>
  <si>
    <t>dragonborn.esm|0284B8</t>
  </si>
  <si>
    <t>Helio</t>
  </si>
  <si>
    <t>Hache d'armes de stalhrim d'expulsion</t>
  </si>
  <si>
    <t>dragonborn.esm|0284AC</t>
  </si>
  <si>
    <t>Hache d'armes de stalhrim d'immobilisation</t>
  </si>
  <si>
    <t>dragonborn.esm|0284AD</t>
  </si>
  <si>
    <t>Hache d'armes de stalhrim d'inertie</t>
  </si>
  <si>
    <t>Orry Dagsson</t>
  </si>
  <si>
    <t>dragonborn.esm|0284B9</t>
  </si>
  <si>
    <t>Hache d'armes de stalhrim de bannissement</t>
  </si>
  <si>
    <t>dragonborn.esm|0284B2</t>
  </si>
  <si>
    <t>Hache d'armes de stalhrim de blizzard</t>
  </si>
  <si>
    <t>dragonborn.esm|0284B5</t>
  </si>
  <si>
    <t>Hache d'armes de stalhrim de chaos extrême</t>
  </si>
  <si>
    <t>dragonborn.esm|0284B4</t>
  </si>
  <si>
    <t>meelk--irr</t>
  </si>
  <si>
    <t>Hache d'armes de stalhrim de chaos ultime</t>
  </si>
  <si>
    <t>dragonborn.esm|0284A5</t>
  </si>
  <si>
    <t>Hache d'armes de stalhrim de damnation</t>
  </si>
  <si>
    <t>dragonborn.esm|0284AF</t>
  </si>
  <si>
    <t>Hache d'armes de stalhrim de débilitation</t>
  </si>
  <si>
    <t>dragonborn.esm|0284B0</t>
  </si>
  <si>
    <t>Hache d'armes de stalhrim de dégradation</t>
  </si>
  <si>
    <t>dragonborn.esm|0284C5</t>
  </si>
  <si>
    <t>talaka</t>
  </si>
  <si>
    <t>Hache d'armes de stalhrim de dévorement</t>
  </si>
  <si>
    <t>Motif personnalisé — Art. 114 — De la marche obligatoire amende doublée (état d'alerte)</t>
  </si>
  <si>
    <t>dragonborn.esm|0284B3</t>
  </si>
  <si>
    <t>Hache d'armes de stalhrim de frimas</t>
  </si>
  <si>
    <t>dragonborn.esm|0284A8</t>
  </si>
  <si>
    <t>Hache d'armes de stalhrim de fulguration</t>
  </si>
  <si>
    <t>dragonborn.esm|0284B1</t>
  </si>
  <si>
    <t>do'shriva</t>
  </si>
  <si>
    <t>Hache d'armes de stalhrim de glaciation</t>
  </si>
  <si>
    <t>dragonborn.esm|0284A3</t>
  </si>
  <si>
    <t>Hache d'armes de stalhrim de léthargie</t>
  </si>
  <si>
    <t>dragonborn.esm|0284A6</t>
  </si>
  <si>
    <t>koba des sables</t>
  </si>
  <si>
    <t>Hache d'armes de stalhrim de malédiction</t>
  </si>
  <si>
    <t>dragonborn.esm|0284AB</t>
  </si>
  <si>
    <t>Hache d'armes de stalhrim de pétrification</t>
  </si>
  <si>
    <t>dragonborn.esm|0284B6</t>
  </si>
  <si>
    <t>Hache d'armes de stalhrim de profond chaos</t>
  </si>
  <si>
    <t>loti'lias</t>
  </si>
  <si>
    <t>dragonborn.esm|0284BC</t>
  </si>
  <si>
    <t>Hache d'armes de stalhrim de récolte</t>
  </si>
  <si>
    <t>dragonborn.esm|0284C0</t>
  </si>
  <si>
    <t>Hache d'armes de stalhrim de sorcellerie</t>
  </si>
  <si>
    <t>serpi'aillesale</t>
  </si>
  <si>
    <t>dragonborn.esm|0284AE</t>
  </si>
  <si>
    <t>Hache d'armes de stalhrim de suppression</t>
  </si>
  <si>
    <t>dragonborn.esm|0284A9</t>
  </si>
  <si>
    <t>Hache d'armes de stalhrim de tempête</t>
  </si>
  <si>
    <t>dragonborn.esm|0284BD</t>
  </si>
  <si>
    <t>Hache d'armes de stalhrim de terreur</t>
  </si>
  <si>
    <t>rolf loin voyant</t>
  </si>
  <si>
    <t>dragonborn.esm|0284AA</t>
  </si>
  <si>
    <t>Hache d'armes de stalhrim de tonnerre</t>
  </si>
  <si>
    <t>dragonborn.esm|0284A4</t>
  </si>
  <si>
    <t>Hache d'armes de stalhrim de torpeur</t>
  </si>
  <si>
    <t>dragonborn.esm|0284C2</t>
  </si>
  <si>
    <t>Hache d'armes de stalhrim de transfusion</t>
  </si>
  <si>
    <t>liora forgeglace</t>
  </si>
  <si>
    <t>dragonborn.esm|0284C3</t>
  </si>
  <si>
    <t>Hache d'armes de stalhrim de vampirisme</t>
  </si>
  <si>
    <t>dragonborn.esm|02849F</t>
  </si>
  <si>
    <t>Hache d'armes de stalhrim sacrée</t>
  </si>
  <si>
    <t>alf grewynn</t>
  </si>
  <si>
    <t>dragonborn.esm|0284A0</t>
  </si>
  <si>
    <t>Motif personnalisé — Motif personnalisé — Art. 114 — De la marche obligatoire amende doublée (état d'alerte)</t>
  </si>
  <si>
    <t>Hache d'armes de stalhrim sainte</t>
  </si>
  <si>
    <t>dragonborn.esm|0284A1</t>
  </si>
  <si>
    <t>Hache d'armes de stalhrim sanctifiée</t>
  </si>
  <si>
    <t>skyrim.esm|0139A4</t>
  </si>
  <si>
    <t>Hache d'armes de verre</t>
  </si>
  <si>
    <t xml:space="preserve">Ronin </t>
  </si>
  <si>
    <t>Talaka</t>
  </si>
  <si>
    <t>skyrim.esm|0BEEBC</t>
  </si>
  <si>
    <t>Motif personnalisé — De la vente à la sauvette
De l'outrage</t>
  </si>
  <si>
    <t>Hache d'armes de verre d'abattement</t>
  </si>
  <si>
    <t>skyrim.esm|0BEE9F</t>
  </si>
  <si>
    <t>Hache d'armes de verre d'absorption</t>
  </si>
  <si>
    <t>skyrim.esm|0BEEA0</t>
  </si>
  <si>
    <t>Hache d'armes de verre d'amalgame</t>
  </si>
  <si>
    <t>okin</t>
  </si>
  <si>
    <t>skyrim.esm|0BEEBA</t>
  </si>
  <si>
    <t>Hache d'armes de verre d'anathème</t>
  </si>
  <si>
    <t>skyrim.esm|0BEEA9</t>
  </si>
  <si>
    <t>Hache d'armes de verre d'angoisse</t>
  </si>
  <si>
    <t>skyrim.esm|0BEEB6</t>
  </si>
  <si>
    <t>Hache d'armes de verre d'éclairs</t>
  </si>
  <si>
    <t>skyrim.esm|0BEEA5</t>
  </si>
  <si>
    <t>Hache d'armes de verre d'engrangement</t>
  </si>
  <si>
    <t>skyrim.esm|0BEEA2</t>
  </si>
  <si>
    <t>Hache d'armes de verre d'évocation</t>
  </si>
  <si>
    <t>Aranor Hiver-Gris</t>
  </si>
  <si>
    <t>skyrim.esm|0BEEA7</t>
  </si>
  <si>
    <t>Hache d'armes de verre d'expulsion</t>
  </si>
  <si>
    <t>skyrim.esm|0BEEB5</t>
  </si>
  <si>
    <t>Hache d'armes de verre d'immobilisation</t>
  </si>
  <si>
    <t>skyrim.esm|0BEEB4</t>
  </si>
  <si>
    <t>Hache d'armes de verre d'inertie</t>
  </si>
  <si>
    <t>skyrim.esm|0BEE9D</t>
  </si>
  <si>
    <t>Hache d'armes de verre d'ingestion</t>
  </si>
  <si>
    <t>skyrim.esm|0BEEA6</t>
  </si>
  <si>
    <t>Hache d'armes de verre de bannissement</t>
  </si>
  <si>
    <t>skyrim.esm|0BEEB0</t>
  </si>
  <si>
    <t>Hache d'armes de verre de blizzard</t>
  </si>
  <si>
    <t>Ulysse Bosquet</t>
  </si>
  <si>
    <t>skyrim.esm|0BEEAD</t>
  </si>
  <si>
    <t>Hache d'armes de verre de brasier</t>
  </si>
  <si>
    <t>Rohan Tars</t>
  </si>
  <si>
    <t>skyrim.esm|0BEEB9</t>
  </si>
  <si>
    <t>Hache d'armes de verre de capture</t>
  </si>
  <si>
    <t>skyrim.esm|0BEEA8</t>
  </si>
  <si>
    <t>Hache d'armes de verre de crainte</t>
  </si>
  <si>
    <t>skyrim.esm|0BEEB3</t>
  </si>
  <si>
    <t>KAELREN veyr</t>
  </si>
  <si>
    <t>Hache d'armes de verre de débilitation</t>
  </si>
  <si>
    <t>skyrim.esm|0BEEB2</t>
  </si>
  <si>
    <t>Hache d'armes de verre de dégradation</t>
  </si>
  <si>
    <t>skyrim.esm|0BEE9E</t>
  </si>
  <si>
    <t>Hache d'armes de verre de dévorement</t>
  </si>
  <si>
    <t>skyrim.esm|0BEEAC</t>
  </si>
  <si>
    <t>gulag yarick</t>
  </si>
  <si>
    <t>Hache d'armes de verre de flambée</t>
  </si>
  <si>
    <t>skyrim.esm|0BEEAB</t>
  </si>
  <si>
    <t>Hache d'armes de verre de flammes</t>
  </si>
  <si>
    <t>skyrim.esm|0BEEAF</t>
  </si>
  <si>
    <t>Hache d'armes de verre de frimas</t>
  </si>
  <si>
    <t>skyrim.esm|0BEEAE</t>
  </si>
  <si>
    <t>Hache d'armes de verre de givre</t>
  </si>
  <si>
    <t>skyrim.esm|0BEEBE</t>
  </si>
  <si>
    <t>Hache d'armes de verre de léthargie</t>
  </si>
  <si>
    <t>skyrim.esm|0BEEBB</t>
  </si>
  <si>
    <t>Hache d'armes de verre de malédiction</t>
  </si>
  <si>
    <t>skyrim.esm|0BEEA3</t>
  </si>
  <si>
    <t>Hache d'armes de verre de moisson</t>
  </si>
  <si>
    <t>skyrim.esm|0BEEA4</t>
  </si>
  <si>
    <t>Hache d'armes de verre de récolte</t>
  </si>
  <si>
    <t>skyrim.esm|0BEEB1</t>
  </si>
  <si>
    <t>Hache d'armes de verre de réduction</t>
  </si>
  <si>
    <t>skyrim.esm|0BEEB8</t>
  </si>
  <si>
    <t>Hache d'armes de verre de tempête</t>
  </si>
  <si>
    <t>skyrim.esm|0BEEAA</t>
  </si>
  <si>
    <t>Hache d'armes de verre de terreur</t>
  </si>
  <si>
    <t>(Oswald Mandus) Erik Marche-Brume</t>
  </si>
  <si>
    <t>Motif personnalisé — Voir rapport Affaire Oswald Mandus</t>
  </si>
  <si>
    <t>skyrim.esm|0BEEB7</t>
  </si>
  <si>
    <t>Hache d'armes de verre de tonnerre</t>
  </si>
  <si>
    <t>Motif personnalisé — Refus d'obtempérer x2. Refus de remettre deux bâtons de magie sans autorisation de licence. Les bâtons ont été ensuite récupérés, en cours d'estimation pour la sanction associé.</t>
  </si>
  <si>
    <t>skyrim.esm|0BEEBD</t>
  </si>
  <si>
    <t>Hache d'armes de verre de torpeur</t>
  </si>
  <si>
    <t>skyrim.esm|0BEEA1</t>
  </si>
  <si>
    <t>Hache d'armes de verre de transfusion</t>
  </si>
  <si>
    <t>regard brise-fer</t>
  </si>
  <si>
    <t>skyrim.esm|0BEEC1</t>
  </si>
  <si>
    <t>Hache d'armes de verre sainte</t>
  </si>
  <si>
    <t>skyrim.esm|0BEEC0</t>
  </si>
  <si>
    <t>Hache d'armes de verre sanctifiée</t>
  </si>
  <si>
    <t>skyrim.esm|0BEEBF</t>
  </si>
  <si>
    <t>Hache d'armes de verre vertueuse</t>
  </si>
  <si>
    <t>skyrim.esm|013994</t>
  </si>
  <si>
    <t>Hache d'armes dwemer</t>
  </si>
  <si>
    <t>Heloth Alvos</t>
  </si>
  <si>
    <t>skyrim.esm|0ACBB2</t>
  </si>
  <si>
    <t>Hache d'armes dwemer bénie</t>
  </si>
  <si>
    <t>Art. 15 — Des menaces</t>
  </si>
  <si>
    <t>skyrim.esm|0ACBB0</t>
  </si>
  <si>
    <t>Hache d'armes dwemer d'abattement</t>
  </si>
  <si>
    <t>skyrim.esm|0ACB98</t>
  </si>
  <si>
    <t>Hache d'armes dwemer d'amalgame</t>
  </si>
  <si>
    <t>skyrim.esm|0ACBA6</t>
  </si>
  <si>
    <t xml:space="preserve">Filoki </t>
  </si>
  <si>
    <t>Hache d'armes dwemer d'amenuisement</t>
  </si>
  <si>
    <t>Kaelren veyr</t>
  </si>
  <si>
    <t>skyrim.esm|0ACBAE</t>
  </si>
  <si>
    <t>Hache d'armes dwemer d'anathème</t>
  </si>
  <si>
    <t>Motif personnalisé — Article 51 - Usurpation de fonction. 
L'individu s'est rendu de lui même. Il semblait vouloir dissiper le mal entendu. Peine commuée en travaux forcés. 
Remarque de suivit post libération:
L'individu semble s'être présenter comme garde de Blancherive par le passé à plusieurs reprises, et huscarl du Thane de Cap Granite. Celui-ci semble mentir allègrement et aurait abuser de notre clémence. 
En cas de récidive. Un procès devant le jarl sera requis.</t>
  </si>
  <si>
    <t>skyrim.esm|0ACB9F</t>
  </si>
  <si>
    <t>Hache d'armes dwemer d'angoisse</t>
  </si>
  <si>
    <t>skyrim.esm|0ACBAA</t>
  </si>
  <si>
    <t>Hache d'armes dwemer d'éclairs</t>
  </si>
  <si>
    <t>skyrim.esm|0ACB95</t>
  </si>
  <si>
    <t>Hache d'armes dwemer d'ingestion</t>
  </si>
  <si>
    <t>skyrim.esm|0ACBA0</t>
  </si>
  <si>
    <t>Hache d'armes dwemer de brûlure</t>
  </si>
  <si>
    <t>skyrim.esm|0ACBAD</t>
  </si>
  <si>
    <t>Hache d'armes dwemer de capture</t>
  </si>
  <si>
    <t>skyrim.esm|0ACB9E</t>
  </si>
  <si>
    <t>Hache d'armes dwemer de crainte</t>
  </si>
  <si>
    <t>skyrim.esm|0ACBA9</t>
  </si>
  <si>
    <t>Hache d'armes dwemer de décharge</t>
  </si>
  <si>
    <t>skyrim.esm|0ACBA8</t>
  </si>
  <si>
    <t>Hache d'armes dwemer de dégradation</t>
  </si>
  <si>
    <t>skyrim.esm|0ACB96</t>
  </si>
  <si>
    <t>Hache d'armes dwemer de dévorement</t>
  </si>
  <si>
    <t>skyrim.esm|0ACBA2</t>
  </si>
  <si>
    <t>Hache d'armes dwemer de flambée</t>
  </si>
  <si>
    <t>skyrim.esm|0ACBA1</t>
  </si>
  <si>
    <t>Hache d'armes dwemer de flammes</t>
  </si>
  <si>
    <t>skyrim.esm|0ACBA5</t>
  </si>
  <si>
    <t>Hache d'armes dwemer de frimas</t>
  </si>
  <si>
    <t>skyrim.esm|0ACBA4</t>
  </si>
  <si>
    <t>Hache d'armes dwemer de givre</t>
  </si>
  <si>
    <t>skyrim.esm|0ACBA3</t>
  </si>
  <si>
    <t>Hache d'armes dwemer de glace</t>
  </si>
  <si>
    <t>skyrim.esm|0ACB9A</t>
  </si>
  <si>
    <t>Hache d'armes dwemer de glanure</t>
  </si>
  <si>
    <t>skyrim.esm|0ACBAF</t>
  </si>
  <si>
    <t>Hache d'armes dwemer de lassitude</t>
  </si>
  <si>
    <t>skyrim.esm|0ACB9B</t>
  </si>
  <si>
    <t>Hache d'armes dwemer de moisson</t>
  </si>
  <si>
    <t>skyrim.esm|0ACBAC</t>
  </si>
  <si>
    <t>Hache d'armes dwemer de piège</t>
  </si>
  <si>
    <t>skyrim.esm|0ACB9C</t>
  </si>
  <si>
    <t>Hache d'armes dwemer de récolte</t>
  </si>
  <si>
    <t>skyrim.esm|0ACB94</t>
  </si>
  <si>
    <t>Hache d'armes dwemer de recueil</t>
  </si>
  <si>
    <t>skyrim.esm|0ACBA7</t>
  </si>
  <si>
    <t>Hache d'armes dwemer de réduction</t>
  </si>
  <si>
    <t>skyrim.esm|0ACB97</t>
  </si>
  <si>
    <t>Hache d'armes dwemer de siphonnage</t>
  </si>
  <si>
    <t>skyrim.esm|0ACBAB</t>
  </si>
  <si>
    <t>Hache d'armes dwemer de tonnerre</t>
  </si>
  <si>
    <t>skyrim.esm|0ACBB1</t>
  </si>
  <si>
    <t>Hache d'armes dwemer de torpeur</t>
  </si>
  <si>
    <t>skyrim.esm|0ACB99</t>
  </si>
  <si>
    <t>Hache d'armes dwemer de transfusion</t>
  </si>
  <si>
    <t>skyrim.esm|0ACB9D</t>
  </si>
  <si>
    <t>Hache d'armes dwemer de veulerie</t>
  </si>
  <si>
    <t>skyrim.esm|0ACBB4</t>
  </si>
  <si>
    <t>Hache d'armes dwemer sanctifiée</t>
  </si>
  <si>
    <t>skyrim.esm|0ACBB3</t>
  </si>
  <si>
    <t>Hache d'armes dwemer vertueuse</t>
  </si>
  <si>
    <t>skyrim.esm|01399C</t>
  </si>
  <si>
    <t>Hache d'armes elfique</t>
  </si>
  <si>
    <t>skyrim.esm|0BD826</t>
  </si>
  <si>
    <t>Hache d'armes elfique d'abattement</t>
  </si>
  <si>
    <t>skyrim.esm|0BD813</t>
  </si>
  <si>
    <t>Hache d'armes elfique d'absorption</t>
  </si>
  <si>
    <t>skyrim.esm|0BD814</t>
  </si>
  <si>
    <t>Hache d'armes elfique d'amalgame</t>
  </si>
  <si>
    <t>skyrim.esm|0BD825</t>
  </si>
  <si>
    <t>Hache d'armes elfique d'anathème</t>
  </si>
  <si>
    <t>skyrim.esm|0BD81A</t>
  </si>
  <si>
    <t>Hache d'armes elfique d'angoisse</t>
  </si>
  <si>
    <t>skyrim.esm|0BD822</t>
  </si>
  <si>
    <t>Hache d'armes elfique d'éclairs</t>
  </si>
  <si>
    <t>skyrim.esm|0BD82B</t>
  </si>
  <si>
    <t>Hache d'armes elfique d'engrangement</t>
  </si>
  <si>
    <t>skyrim.esm|0BD82A</t>
  </si>
  <si>
    <t>Hache d'armes elfique d'évocation</t>
  </si>
  <si>
    <t>skyrim.esm|0BD82C</t>
  </si>
  <si>
    <t>Hache d'armes elfique d'expulsion</t>
  </si>
  <si>
    <t>skyrim.esm|0BD82D</t>
  </si>
  <si>
    <t>Hache d'armes elfique d'immobilisation</t>
  </si>
  <si>
    <t>skyrim.esm|0BD821</t>
  </si>
  <si>
    <t>Hache d'armes elfique d'inertie</t>
  </si>
  <si>
    <t>skyrim.esm|0BD811</t>
  </si>
  <si>
    <t>Hache d'armes elfique d'ingestion</t>
  </si>
  <si>
    <t>skyrim.esm|0BD818</t>
  </si>
  <si>
    <t>Hache d'armes elfique de bannissement</t>
  </si>
  <si>
    <t>skyrim.esm|0BD830</t>
  </si>
  <si>
    <t>Hache d'armes elfique de blizzard</t>
  </si>
  <si>
    <t>skyrim.esm|0BD82F</t>
  </si>
  <si>
    <t>Hache d'armes elfique de brasier</t>
  </si>
  <si>
    <t>skyrim.esm|0BD824</t>
  </si>
  <si>
    <t>Hache d'armes elfique de capture</t>
  </si>
  <si>
    <t>skyrim.esm|0BD819</t>
  </si>
  <si>
    <t>Hache d'armes elfique de crainte</t>
  </si>
  <si>
    <t>skyrim.esm|0BD831</t>
  </si>
  <si>
    <t>Hache d'armes elfique de débilitation</t>
  </si>
  <si>
    <t>skyrim.esm|0BD820</t>
  </si>
  <si>
    <t>Hache d'armes elfique de dégradation</t>
  </si>
  <si>
    <t>skyrim.esm|0BD812</t>
  </si>
  <si>
    <t>Hache d'armes elfique de dévorement</t>
  </si>
  <si>
    <t>skyrim.esm|0BD81C</t>
  </si>
  <si>
    <t>Hache d'armes elfique de flambée</t>
  </si>
  <si>
    <t>skyrim.esm|0BD81B</t>
  </si>
  <si>
    <t>Hache d'armes elfique de flammes</t>
  </si>
  <si>
    <t>skyrim.esm|0BD81E</t>
  </si>
  <si>
    <t>Hache d'armes elfique de frimas</t>
  </si>
  <si>
    <t>skyrim.esm|0BD81D</t>
  </si>
  <si>
    <t>Hache d'armes elfique de givre</t>
  </si>
  <si>
    <t>skyrim.esm|0BD834</t>
  </si>
  <si>
    <t>Hache d'armes elfique de léthargie</t>
  </si>
  <si>
    <t>skyrim.esm|0BD833</t>
  </si>
  <si>
    <t>Hache d'armes elfique de malédiction</t>
  </si>
  <si>
    <t>skyrim.esm|0BD816</t>
  </si>
  <si>
    <t>Hache d'armes elfique de moisson</t>
  </si>
  <si>
    <t>skyrim.esm|0BD817</t>
  </si>
  <si>
    <t>Hache d'armes elfique de récolte</t>
  </si>
  <si>
    <t>skyrim.esm|0BD81F</t>
  </si>
  <si>
    <t>Hache d'armes elfique de réduction</t>
  </si>
  <si>
    <t>skyrim.esm|0BD832</t>
  </si>
  <si>
    <t>Hache d'armes elfique de tempête</t>
  </si>
  <si>
    <t>skyrim.esm|0BD82E</t>
  </si>
  <si>
    <t>Hache d'armes elfique de terreur</t>
  </si>
  <si>
    <t>skyrim.esm|0BD823</t>
  </si>
  <si>
    <t>Hache d'armes elfique de tonnerre</t>
  </si>
  <si>
    <t>skyrim.esm|0BD827</t>
  </si>
  <si>
    <t>Hache d'armes elfique de torpeur</t>
  </si>
  <si>
    <t>skyrim.esm|0BD815</t>
  </si>
  <si>
    <t>Hache d'armes elfique de transfusion</t>
  </si>
  <si>
    <t>skyrim.esm|0BD835</t>
  </si>
  <si>
    <t>Hache d'armes elfique sainte</t>
  </si>
  <si>
    <t>skyrim.esm|0BD829</t>
  </si>
  <si>
    <t>Hache d'armes elfique sanctifiée</t>
  </si>
  <si>
    <t>skyrim.esm|0BD828</t>
  </si>
  <si>
    <t>Hache d'armes elfique vertueuse</t>
  </si>
  <si>
    <t>dragonborn.esm|01CDAD</t>
  </si>
  <si>
    <t>Hache d'armes nordique</t>
  </si>
  <si>
    <t>skyrim.esm|01CB64</t>
  </si>
  <si>
    <t>Hache d'armes nordique antique</t>
  </si>
  <si>
    <t>skyrim.esm|05BF12</t>
  </si>
  <si>
    <t>Hache d'armes nordique antique affûtée</t>
  </si>
  <si>
    <t>dragonborn.esm|028377</t>
  </si>
  <si>
    <t>Hache d'armes nordique d'abattement</t>
  </si>
  <si>
    <t>dragonborn.esm|028394</t>
  </si>
  <si>
    <t>Hache d'armes nordique d'absorption</t>
  </si>
  <si>
    <t>dragonborn.esm|028393</t>
  </si>
  <si>
    <t>Hache d'armes nordique d'amalgame</t>
  </si>
  <si>
    <t>dragonborn.esm|028379</t>
  </si>
  <si>
    <t>Hache d'armes nordique d'anathème</t>
  </si>
  <si>
    <t>dragonborn.esm|02838A</t>
  </si>
  <si>
    <t>Hache d'armes nordique d'angoisse</t>
  </si>
  <si>
    <t>dragonborn.esm|02837D</t>
  </si>
  <si>
    <t>Hache d'armes nordique d'éclairs</t>
  </si>
  <si>
    <t>dragonborn.esm|02838E</t>
  </si>
  <si>
    <t>Hache d'armes nordique d'engrangement</t>
  </si>
  <si>
    <t>dragonborn.esm|028391</t>
  </si>
  <si>
    <t>Hache d'armes nordique d'évocation</t>
  </si>
  <si>
    <t>dragonborn.esm|02838C</t>
  </si>
  <si>
    <t>Hache d'armes nordique d'expulsion</t>
  </si>
  <si>
    <t>dragonborn.esm|02837E</t>
  </si>
  <si>
    <t>Hache d'armes nordique d'immobilisation</t>
  </si>
  <si>
    <t>dragonborn.esm|02837F</t>
  </si>
  <si>
    <t>Hache d'armes nordique d'inertie</t>
  </si>
  <si>
    <t>dragonborn.esm|028396</t>
  </si>
  <si>
    <t>Hache d'armes nordique d'ingestion</t>
  </si>
  <si>
    <t>dragonborn.esm|02838D</t>
  </si>
  <si>
    <t>Hache d'armes nordique de bannissement</t>
  </si>
  <si>
    <t>dragonborn.esm|028383</t>
  </si>
  <si>
    <t>Hache d'armes nordique de blizzard</t>
  </si>
  <si>
    <t>dragonborn.esm|028386</t>
  </si>
  <si>
    <t>Hache d'armes nordique de brasier</t>
  </si>
  <si>
    <t>dragonborn.esm|02837A</t>
  </si>
  <si>
    <t>Hache d'armes nordique de capture</t>
  </si>
  <si>
    <t>dragonborn.esm|02C473</t>
  </si>
  <si>
    <t>Hache d'armes nordique de chaos</t>
  </si>
  <si>
    <t>dragonborn.esm|02C475</t>
  </si>
  <si>
    <t>Hache d'armes nordique de chaos extrême</t>
  </si>
  <si>
    <t>dragonborn.esm|02838B</t>
  </si>
  <si>
    <t>Hache d'armes nordique de crainte</t>
  </si>
  <si>
    <t>dragonborn.esm|028380</t>
  </si>
  <si>
    <t>Hache d'armes nordique de débilitation</t>
  </si>
  <si>
    <t>dragonborn.esm|028381</t>
  </si>
  <si>
    <t>Hache d'armes nordique de dégradation</t>
  </si>
  <si>
    <t>dragonborn.esm|028395</t>
  </si>
  <si>
    <t>Hache d'armes nordique de dévorement</t>
  </si>
  <si>
    <t>dragonborn.esm|028387</t>
  </si>
  <si>
    <t>Hache d'armes nordique de flambée</t>
  </si>
  <si>
    <t>dragonborn.esm|028388</t>
  </si>
  <si>
    <t>Hache d'armes nordique de flammes</t>
  </si>
  <si>
    <t>dragonborn.esm|028384</t>
  </si>
  <si>
    <t>Hache d'armes nordique de frimas</t>
  </si>
  <si>
    <t>dragonborn.esm|028385</t>
  </si>
  <si>
    <t>Hache d'armes nordique de givre</t>
  </si>
  <si>
    <t>dragonborn.esm|028375</t>
  </si>
  <si>
    <t>Hache d'armes nordique de léthargie</t>
  </si>
  <si>
    <t>dragonborn.esm|028378</t>
  </si>
  <si>
    <t>Hache d'armes nordique de malédiction</t>
  </si>
  <si>
    <t>dragonborn.esm|028390</t>
  </si>
  <si>
    <t>Hache d'armes nordique de moisson</t>
  </si>
  <si>
    <t>dragonborn.esm|02C474</t>
  </si>
  <si>
    <t>Hache d'armes nordique de profond chaos</t>
  </si>
  <si>
    <t>dragonborn.esm|02838F</t>
  </si>
  <si>
    <t>Hache d'armes nordique de récolte</t>
  </si>
  <si>
    <t>dragonborn.esm|028382</t>
  </si>
  <si>
    <t>Hache d'armes nordique de réduction</t>
  </si>
  <si>
    <t>dragonborn.esm|02837B</t>
  </si>
  <si>
    <t>Hache d'armes nordique de tempête</t>
  </si>
  <si>
    <t>dragonborn.esm|028389</t>
  </si>
  <si>
    <t>Hache d'armes nordique de terreur</t>
  </si>
  <si>
    <t>dragonborn.esm|02837C</t>
  </si>
  <si>
    <t>Hache d'armes nordique de tonnerre</t>
  </si>
  <si>
    <t>dragonborn.esm|028376</t>
  </si>
  <si>
    <t>Hache d'armes nordique de torpeur</t>
  </si>
  <si>
    <t>dragonborn.esm|028392</t>
  </si>
  <si>
    <t>Hache d'armes nordique de transfusion</t>
  </si>
  <si>
    <t>dragonborn.esm|028372</t>
  </si>
  <si>
    <t>Hache d'armes nordique sainte</t>
  </si>
  <si>
    <t>dragonborn.esm|028373</t>
  </si>
  <si>
    <t>Hache d'armes nordique sanctifiée</t>
  </si>
  <si>
    <t>dragonborn.esm|028374</t>
  </si>
  <si>
    <t>Hache d'armes nordique vertueuse</t>
  </si>
  <si>
    <t>skyrim.esm|01398C</t>
  </si>
  <si>
    <t>Hache d'armes orque</t>
  </si>
  <si>
    <t>skyrim.esm|0AA12A</t>
  </si>
  <si>
    <t>Hache d'armes orque bénie</t>
  </si>
  <si>
    <t>skyrim.esm|0AA128</t>
  </si>
  <si>
    <t>Hache d'armes orque d'abattement</t>
  </si>
  <si>
    <t>skyrim.esm|0AA16A</t>
  </si>
  <si>
    <t>Hache d'armes orque d'amalgame</t>
  </si>
  <si>
    <t>skyrim.esm|0AA11E</t>
  </si>
  <si>
    <t>Hache d'armes orque d'amenuisement</t>
  </si>
  <si>
    <t>skyrim.esm|0AA126</t>
  </si>
  <si>
    <t>Hache d'armes orque d'anathème</t>
  </si>
  <si>
    <t>skyrim.esm|0AA117</t>
  </si>
  <si>
    <t>Hache d'armes orque d'angoisse</t>
  </si>
  <si>
    <t>skyrim.esm|0AA122</t>
  </si>
  <si>
    <t>Hache d'armes orque d'éclairs</t>
  </si>
  <si>
    <t>skyrim.esm|0AA167</t>
  </si>
  <si>
    <t>Hache d'armes orque d'ingestion</t>
  </si>
  <si>
    <t>skyrim.esm|0AA118</t>
  </si>
  <si>
    <t>Hache d'armes orque de brûlure</t>
  </si>
  <si>
    <t>skyrim.esm|0AA125</t>
  </si>
  <si>
    <t>Hache d'armes orque de capture</t>
  </si>
  <si>
    <t>skyrim.esm|0AA116</t>
  </si>
  <si>
    <t>Hache d'armes orque de crainte</t>
  </si>
  <si>
    <t>skyrim.esm|0AA121</t>
  </si>
  <si>
    <t>Hache d'armes orque de décharge</t>
  </si>
  <si>
    <t>skyrim.esm|0AA120</t>
  </si>
  <si>
    <t>Hache d'armes orque de dégradation</t>
  </si>
  <si>
    <t>skyrim.esm|0AA168</t>
  </si>
  <si>
    <t>Hache d'armes orque de dévorement</t>
  </si>
  <si>
    <t>skyrim.esm|0AA11A</t>
  </si>
  <si>
    <t>Hache d'armes orque de flambée</t>
  </si>
  <si>
    <t>skyrim.esm|0AA119</t>
  </si>
  <si>
    <t>Hache d'armes orque de flammes</t>
  </si>
  <si>
    <t>skyrim.esm|0AA11D</t>
  </si>
  <si>
    <t>Hache d'armes orque de frimas</t>
  </si>
  <si>
    <t>skyrim.esm|0AA11C</t>
  </si>
  <si>
    <t>Hache d'armes orque de givre</t>
  </si>
  <si>
    <t>skyrim.esm|0AA11B</t>
  </si>
  <si>
    <t>Hache d'armes orque de glace</t>
  </si>
  <si>
    <t>skyrim.esm|0AA16C</t>
  </si>
  <si>
    <t>Hache d'armes orque de glanure</t>
  </si>
  <si>
    <t>skyrim.esm|0AA127</t>
  </si>
  <si>
    <t>Hache d'armes orque de lassitude</t>
  </si>
  <si>
    <t>skyrim.esm|0AA16D</t>
  </si>
  <si>
    <t>Hache d'armes orque de moisson</t>
  </si>
  <si>
    <t>skyrim.esm|0AA124</t>
  </si>
  <si>
    <t>Hache d'armes orque de piège</t>
  </si>
  <si>
    <t>skyrim.esm|0AA16E</t>
  </si>
  <si>
    <t>Hache d'armes orque de récolte</t>
  </si>
  <si>
    <t>skyrim.esm|0AA166</t>
  </si>
  <si>
    <t>Hache d'armes orque de recueil</t>
  </si>
  <si>
    <t>skyrim.esm|0AA11F</t>
  </si>
  <si>
    <t>Hache d'armes orque de réduction</t>
  </si>
  <si>
    <t>skyrim.esm|0AA169</t>
  </si>
  <si>
    <t>Hache d'armes orque de siphonnage</t>
  </si>
  <si>
    <t>skyrim.esm|0AA123</t>
  </si>
  <si>
    <t>Hache d'armes orque de tonnerre</t>
  </si>
  <si>
    <t>skyrim.esm|0AA129</t>
  </si>
  <si>
    <t>Hache d'armes orque de torpeur</t>
  </si>
  <si>
    <t>skyrim.esm|0AA16B</t>
  </si>
  <si>
    <t>Hache d'armes orque de transfusion</t>
  </si>
  <si>
    <t>skyrim.esm|0AA115</t>
  </si>
  <si>
    <t>Hache d'armes orque de veulerie</t>
  </si>
  <si>
    <t>skyrim.esm|0AA12C</t>
  </si>
  <si>
    <t>Hache d'armes orque sanctifiée</t>
  </si>
  <si>
    <t>skyrim.esm|0AA12B</t>
  </si>
  <si>
    <t>Hache d'armes orque vertueuse</t>
  </si>
  <si>
    <t>skyrim.esm|0139AB</t>
  </si>
  <si>
    <t>Hache d'ébonite</t>
  </si>
  <si>
    <t>skyrim.esm|01D8B5</t>
  </si>
  <si>
    <t>Hache d'ébonite d'absorption</t>
  </si>
  <si>
    <t>skyrim.esm|01DA3B</t>
  </si>
  <si>
    <t>Hache d'ébonite d'anathème</t>
  </si>
  <si>
    <t>skyrim.esm|01D9C0</t>
  </si>
  <si>
    <t>Hache d'ébonite d'angoisse</t>
  </si>
  <si>
    <t>skyrim.esm|01D9BF</t>
  </si>
  <si>
    <t>Hache d'ébonite d'annihilation</t>
  </si>
  <si>
    <t>skyrim.esm|01D9BC</t>
  </si>
  <si>
    <t>Hache d'ébonite d'assimilation</t>
  </si>
  <si>
    <t>skyrim.esm|01D9C2</t>
  </si>
  <si>
    <t>Hache d'ébonite d'effroi</t>
  </si>
  <si>
    <t>skyrim.esm|01D9BB</t>
  </si>
  <si>
    <t>Hache d'ébonite d'engrangement</t>
  </si>
  <si>
    <t>skyrim.esm|01DB58</t>
  </si>
  <si>
    <t>Hache d'ébonite d'épuisement</t>
  </si>
  <si>
    <t>skyrim.esm|01D8C8</t>
  </si>
  <si>
    <t>Hache d'ébonite d'évocation</t>
  </si>
  <si>
    <t>skyrim.esm|01D9BE</t>
  </si>
  <si>
    <t>Hache d'ébonite d'expulsion</t>
  </si>
  <si>
    <t>skyrim.esm|01D9FF</t>
  </si>
  <si>
    <t>Hache d'ébonite d'immobilisation</t>
  </si>
  <si>
    <t>skyrim.esm|01D9EE</t>
  </si>
  <si>
    <t>Hache d'ébonite d'incinération</t>
  </si>
  <si>
    <t>skyrim.esm|01D9FE</t>
  </si>
  <si>
    <t>Hache d'ébonite d'inertie</t>
  </si>
  <si>
    <t>skyrim.esm|01D9BD</t>
  </si>
  <si>
    <t>Hache d'ébonite de bannissement</t>
  </si>
  <si>
    <t>skyrim.esm|01D9F5</t>
  </si>
  <si>
    <t>Hache d'ébonite de blizzard</t>
  </si>
  <si>
    <t>skyrim.esm|01D9E2</t>
  </si>
  <si>
    <t>Hache d'ébonite de brasier</t>
  </si>
  <si>
    <t>skyrim.esm|01DB3F</t>
  </si>
  <si>
    <t>Hache d'ébonite de damnation</t>
  </si>
  <si>
    <t>skyrim.esm|01D9FC</t>
  </si>
  <si>
    <t>Hache d'ébonite de débilitation</t>
  </si>
  <si>
    <t>skyrim.esm|01D9FB</t>
  </si>
  <si>
    <t>Hache d'ébonite de dégradation</t>
  </si>
  <si>
    <t>skyrim.esm|0BE229</t>
  </si>
  <si>
    <t>skyrim.esm|01D8AE</t>
  </si>
  <si>
    <t>Hache d'ébonite de dévorement</t>
  </si>
  <si>
    <t>skyrim.esm|01D9C7</t>
  </si>
  <si>
    <t>Hache d'ébonite de flambée</t>
  </si>
  <si>
    <t>skyrim.esm|01D9F2</t>
  </si>
  <si>
    <t>Hache d'ébonite de frimas</t>
  </si>
  <si>
    <t>skyrim.esm|01DA32</t>
  </si>
  <si>
    <t>Hache d'ébonite de fulguration</t>
  </si>
  <si>
    <t>skyrim.esm|01D9FA</t>
  </si>
  <si>
    <t>Hache d'ébonite de glaciation</t>
  </si>
  <si>
    <t>skyrim.esm|01DB54</t>
  </si>
  <si>
    <t>Hache d'ébonite de léthargie</t>
  </si>
  <si>
    <t>skyrim.esm|01DAC1</t>
  </si>
  <si>
    <t>Hache d'ébonite de malédiction</t>
  </si>
  <si>
    <t>skyrim.esm|01DA02</t>
  </si>
  <si>
    <t>Hache d'ébonite de pétrification</t>
  </si>
  <si>
    <t>skyrim.esm|01D9BA</t>
  </si>
  <si>
    <t>Hache d'ébonite de récolte</t>
  </si>
  <si>
    <t>skyrim.esm|01D8C9</t>
  </si>
  <si>
    <t>Hache d'ébonite de sorcellerie</t>
  </si>
  <si>
    <t>skyrim.esm|01D9FD</t>
  </si>
  <si>
    <t>Hache d'ébonite de suppression</t>
  </si>
  <si>
    <t>skyrim.esm|01DA26</t>
  </si>
  <si>
    <t>Hache d'ébonite de tempête</t>
  </si>
  <si>
    <t>skyrim.esm|01D9C1</t>
  </si>
  <si>
    <t>Hache d'ébonite de terreur</t>
  </si>
  <si>
    <t>skyrim.esm|01DA08</t>
  </si>
  <si>
    <t>Hache d'ébonite de tonnerre</t>
  </si>
  <si>
    <t>skyrim.esm|01DB51</t>
  </si>
  <si>
    <t>Hache d'ébonite de torpeur</t>
  </si>
  <si>
    <t>skyrim.esm|01D8C7</t>
  </si>
  <si>
    <t>Hache d'ébonite de transfusion</t>
  </si>
  <si>
    <t>skyrim.esm|01D8C0</t>
  </si>
  <si>
    <t>Hache d'ébonite de vampirisme</t>
  </si>
  <si>
    <t>skyrim.esm|01DB71</t>
  </si>
  <si>
    <t>Hache d'ébonite sacrée</t>
  </si>
  <si>
    <t>skyrim.esm|01DB5C</t>
  </si>
  <si>
    <t>Hache d'ébonite sainte</t>
  </si>
  <si>
    <t>skyrim.esm|01DB5B</t>
  </si>
  <si>
    <t>Hache d'ébonite sanctifiée</t>
  </si>
  <si>
    <t>dawnguard.esm|014FCF</t>
  </si>
  <si>
    <t>Hache d'os de dragon</t>
  </si>
  <si>
    <t>skyrim.esm|0139B3</t>
  </si>
  <si>
    <t>Hache daedra</t>
  </si>
  <si>
    <t>skyrim.esm|029562</t>
  </si>
  <si>
    <t>Hache daedra d'absorption</t>
  </si>
  <si>
    <t>skyrim.esm|02958C</t>
  </si>
  <si>
    <t>Hache daedra d'anathème</t>
  </si>
  <si>
    <t>skyrim.esm|029579</t>
  </si>
  <si>
    <t>Hache daedra d'angoisse</t>
  </si>
  <si>
    <t>skyrim.esm|029578</t>
  </si>
  <si>
    <t>Hache daedra d'annihilation</t>
  </si>
  <si>
    <t>skyrim.esm|029575</t>
  </si>
  <si>
    <t>Hache daedra d'assimilation</t>
  </si>
  <si>
    <t>skyrim.esm|02957B</t>
  </si>
  <si>
    <t>Hache daedra d'effroi</t>
  </si>
  <si>
    <t>skyrim.esm|029574</t>
  </si>
  <si>
    <t>Hache daedra d'engrangement</t>
  </si>
  <si>
    <t>skyrim.esm|029594</t>
  </si>
  <si>
    <t>Hache daedra d'épuisement</t>
  </si>
  <si>
    <t>skyrim.esm|029571</t>
  </si>
  <si>
    <t>Hache daedra d'évocation</t>
  </si>
  <si>
    <t>skyrim.esm|029577</t>
  </si>
  <si>
    <t>Hache daedra d'expulsion</t>
  </si>
  <si>
    <t>skyrim.esm|029586</t>
  </si>
  <si>
    <t>Hache daedra d'immobilisation</t>
  </si>
  <si>
    <t>skyrim.esm|02957E</t>
  </si>
  <si>
    <t>Hache daedra d'incinération</t>
  </si>
  <si>
    <t>skyrim.esm|029585</t>
  </si>
  <si>
    <t>Hache daedra d'inertie</t>
  </si>
  <si>
    <t>skyrim.esm|029576</t>
  </si>
  <si>
    <t>Hache daedra de bannissement</t>
  </si>
  <si>
    <t>skyrim.esm|029580</t>
  </si>
  <si>
    <t>Hache daedra de blizzard</t>
  </si>
  <si>
    <t>skyrim.esm|02957D</t>
  </si>
  <si>
    <t>Hache daedra de brasier</t>
  </si>
  <si>
    <t>skyrim.esm|02958E</t>
  </si>
  <si>
    <t>Hache daedra de damnation</t>
  </si>
  <si>
    <t>skyrim.esm|029583</t>
  </si>
  <si>
    <t>Hache daedra de débilitation</t>
  </si>
  <si>
    <t>skyrim.esm|029582</t>
  </si>
  <si>
    <t>Hache daedra de dégradation</t>
  </si>
  <si>
    <t>skyrim.esm|029561</t>
  </si>
  <si>
    <t>Hache daedra de dévorement</t>
  </si>
  <si>
    <t>skyrim.esm|02957C</t>
  </si>
  <si>
    <t>Hache daedra de flambée</t>
  </si>
  <si>
    <t>skyrim.esm|02957F</t>
  </si>
  <si>
    <t>Hache daedra de frimas</t>
  </si>
  <si>
    <t>skyrim.esm|02958A</t>
  </si>
  <si>
    <t>Hache daedra de fulguration</t>
  </si>
  <si>
    <t>skyrim.esm|029581</t>
  </si>
  <si>
    <t>Hache daedra de glaciation</t>
  </si>
  <si>
    <t>skyrim.esm|029591</t>
  </si>
  <si>
    <t>Hache daedra de léthargie</t>
  </si>
  <si>
    <t>skyrim.esm|02958D</t>
  </si>
  <si>
    <t>Hache daedra de malédiction</t>
  </si>
  <si>
    <t>skyrim.esm|029587</t>
  </si>
  <si>
    <t>Hache daedra de pétrification</t>
  </si>
  <si>
    <t>skyrim.esm|029573</t>
  </si>
  <si>
    <t>Hache daedra de récolte</t>
  </si>
  <si>
    <t>skyrim.esm|029572</t>
  </si>
  <si>
    <t>Hache daedra de sorcellerie</t>
  </si>
  <si>
    <t>skyrim.esm|029584</t>
  </si>
  <si>
    <t>Hache daedra de suppression</t>
  </si>
  <si>
    <t>skyrim.esm|029589</t>
  </si>
  <si>
    <t>Hache daedra de tempête</t>
  </si>
  <si>
    <t>skyrim.esm|02957A</t>
  </si>
  <si>
    <t>Hache daedra de terreur</t>
  </si>
  <si>
    <t>skyrim.esm|029588</t>
  </si>
  <si>
    <t>Hache daedra de tonnerre</t>
  </si>
  <si>
    <t>skyrim.esm|02958F</t>
  </si>
  <si>
    <t>Hache daedra de torpeur</t>
  </si>
  <si>
    <t>skyrim.esm|029567</t>
  </si>
  <si>
    <t>Hache daedra de transfusion</t>
  </si>
  <si>
    <t>skyrim.esm|029563</t>
  </si>
  <si>
    <t>Hache daedra de vampirisme</t>
  </si>
  <si>
    <t>skyrim.esm|029597</t>
  </si>
  <si>
    <t>Hache daedra sacrée</t>
  </si>
  <si>
    <t>skyrim.esm|029596</t>
  </si>
  <si>
    <t>Hache daedra sainte</t>
  </si>
  <si>
    <t>skyrim.esm|029595</t>
  </si>
  <si>
    <t>Hache daedra sanctifié</t>
  </si>
  <si>
    <t>skyrim.esm|02F2F4</t>
  </si>
  <si>
    <t>Hache de bûcheron</t>
  </si>
  <si>
    <t>skyrim.esm|013790</t>
  </si>
  <si>
    <t>Hache de fer</t>
  </si>
  <si>
    <t>skyrim.esm|05BEFB</t>
  </si>
  <si>
    <t>Hache de fer bénie</t>
  </si>
  <si>
    <t>skyrim.esm|05B482</t>
  </si>
  <si>
    <t>Hache de fer d'abattement</t>
  </si>
  <si>
    <t>skyrim.esm|05B478</t>
  </si>
  <si>
    <t>Hache de fer d'amenuisement</t>
  </si>
  <si>
    <t>skyrim.esm|05D178</t>
  </si>
  <si>
    <t>Hache de fer d'anima</t>
  </si>
  <si>
    <t>skyrim.esm|04B15D</t>
  </si>
  <si>
    <t>Hache de fer d'éclairs</t>
  </si>
  <si>
    <t>skyrim.esm|04B15B</t>
  </si>
  <si>
    <t>Hache de fer d'étincelles</t>
  </si>
  <si>
    <t>skyrim.esm|04B155</t>
  </si>
  <si>
    <t>Hache de fer d'incandescence</t>
  </si>
  <si>
    <t>skyrim.esm|089717</t>
  </si>
  <si>
    <t>Hache de fer d'intimidation</t>
  </si>
  <si>
    <t>skyrim.esm|04B156</t>
  </si>
  <si>
    <t>Hache de fer de brûlure</t>
  </si>
  <si>
    <t>skyrim.esm|0896E3</t>
  </si>
  <si>
    <t>Hache de fer de capture</t>
  </si>
  <si>
    <t>skyrim.esm|089719</t>
  </si>
  <si>
    <t>Hache de fer de crainte</t>
  </si>
  <si>
    <t>skyrim.esm|04B15C</t>
  </si>
  <si>
    <t>Hache de fer de décharge</t>
  </si>
  <si>
    <t>skyrim.esm|05B480</t>
  </si>
  <si>
    <t>Hache de fer de fatigue</t>
  </si>
  <si>
    <t>skyrim.esm|04B157</t>
  </si>
  <si>
    <t>Hache de fer de flammes</t>
  </si>
  <si>
    <t>skyrim.esm|04B158</t>
  </si>
  <si>
    <t>Hache de fer de frisson</t>
  </si>
  <si>
    <t>skyrim.esm|04B15A</t>
  </si>
  <si>
    <t>Hache de fer de givre</t>
  </si>
  <si>
    <t>skyrim.esm|04B159</t>
  </si>
  <si>
    <t>Hache de fer de glace</t>
  </si>
  <si>
    <t>skyrim.esm|05B481</t>
  </si>
  <si>
    <t>Hache de fer de lassitude</t>
  </si>
  <si>
    <t>skyrim.esm|0896E2</t>
  </si>
  <si>
    <t>Hache de fer de piège</t>
  </si>
  <si>
    <t>skyrim.esm|05B479</t>
  </si>
  <si>
    <t>Hache de fer de réduction</t>
  </si>
  <si>
    <t>skyrim.esm|05B477</t>
  </si>
  <si>
    <t>Hache de fer de sape</t>
  </si>
  <si>
    <t>skyrim.esm|089718</t>
  </si>
  <si>
    <t>Hache de fer de veulerie</t>
  </si>
  <si>
    <t>skyrim.esm|03B0C5</t>
  </si>
  <si>
    <t>Hache de fer lunaire</t>
  </si>
  <si>
    <t>skyrim.esm|03B0C6</t>
  </si>
  <si>
    <t>skyrim.esm|03B0C7</t>
  </si>
  <si>
    <t>skyrim.esm|05BEFA</t>
  </si>
  <si>
    <t>Hache de fer pieuse</t>
  </si>
  <si>
    <t>skyrim.esm|05BEFC</t>
  </si>
  <si>
    <t>Hache de fer vertueuse</t>
  </si>
  <si>
    <t>skyrim.esm|05BF0F</t>
  </si>
  <si>
    <t>Hache de frisson nordique antique</t>
  </si>
  <si>
    <t>skyrim.esm|0DDD6D</t>
  </si>
  <si>
    <t>skyrim.esm|05BF11</t>
  </si>
  <si>
    <t>Hache de givre nordique antique</t>
  </si>
  <si>
    <t>skyrim.esm|0DDD6F</t>
  </si>
  <si>
    <t>Hache de givre nordique antique affûtée</t>
  </si>
  <si>
    <t>skyrim.esm|05BF10</t>
  </si>
  <si>
    <t>Hache de glace nordique antique</t>
  </si>
  <si>
    <t>skyrim.esm|0DDD6E</t>
  </si>
  <si>
    <t>Hache de glace nordique antique affûtée</t>
  </si>
  <si>
    <t>dawnguard.esm|00D098</t>
  </si>
  <si>
    <t>Hache de la Garde de l'aube</t>
  </si>
  <si>
    <t>skyrim.esm|0CC829</t>
  </si>
  <si>
    <t>Hache de Parjure</t>
  </si>
  <si>
    <t>dragonborn.esm|0283E3</t>
  </si>
  <si>
    <t>Hache de stalhrim d'absorption</t>
  </si>
  <si>
    <t>dragonborn.esm|0283C6</t>
  </si>
  <si>
    <t>Hache de stalhrim d'anathème</t>
  </si>
  <si>
    <t>dragonborn.esm|0283D8</t>
  </si>
  <si>
    <t>Hache de stalhrim d'angoisse</t>
  </si>
  <si>
    <t>dragonborn.esm|0283D9</t>
  </si>
  <si>
    <t>Hache de stalhrim d'annihilation</t>
  </si>
  <si>
    <t>dragonborn.esm|0283DC</t>
  </si>
  <si>
    <t>Hache de stalhrim d'assimilation</t>
  </si>
  <si>
    <t>dragonborn.esm|0283D6</t>
  </si>
  <si>
    <t>Hache de stalhrim d'effroi</t>
  </si>
  <si>
    <t>dragonborn.esm|0283DD</t>
  </si>
  <si>
    <t>Hache de stalhrim d'engrangement</t>
  </si>
  <si>
    <t>dragonborn.esm|0283C1</t>
  </si>
  <si>
    <t>Hache de stalhrim d'épuisement</t>
  </si>
  <si>
    <t>dragonborn.esm|0283E0</t>
  </si>
  <si>
    <t>Hache de stalhrim d'évocation</t>
  </si>
  <si>
    <t>dragonborn.esm|0283DA</t>
  </si>
  <si>
    <t>Hache de stalhrim d'expulsion</t>
  </si>
  <si>
    <t>dragonborn.esm|0283CB</t>
  </si>
  <si>
    <t>Hache de stalhrim d'immobilisation</t>
  </si>
  <si>
    <t>dragonborn.esm|0283CC</t>
  </si>
  <si>
    <t>Hache de stalhrim d'inertie</t>
  </si>
  <si>
    <t>dragonborn.esm|0283DB</t>
  </si>
  <si>
    <t>Hache de stalhrim de bannissement</t>
  </si>
  <si>
    <t>dragonborn.esm|0283D1</t>
  </si>
  <si>
    <t>Hache de stalhrim de blizzard</t>
  </si>
  <si>
    <t>dragonborn.esm|0283D4</t>
  </si>
  <si>
    <t>Hache de stalhrim de chaos extrême</t>
  </si>
  <si>
    <t>dragonborn.esm|0283D3</t>
  </si>
  <si>
    <t>Hache de stalhrim de chaos ultime</t>
  </si>
  <si>
    <t>dragonborn.esm|0283C4</t>
  </si>
  <si>
    <t>Hache de stalhrim de damnation</t>
  </si>
  <si>
    <t>dragonborn.esm|0283CE</t>
  </si>
  <si>
    <t>Hache de stalhrim de débilitation</t>
  </si>
  <si>
    <t>dragonborn.esm|0283CF</t>
  </si>
  <si>
    <t>Hache de stalhrim de dégradation</t>
  </si>
  <si>
    <t>dragonborn.esm|0283E4</t>
  </si>
  <si>
    <t>Hache de stalhrim de dévorement</t>
  </si>
  <si>
    <t>dragonborn.esm|0283D2</t>
  </si>
  <si>
    <t>Hache de stalhrim de frimas</t>
  </si>
  <si>
    <t>dragonborn.esm|0283C7</t>
  </si>
  <si>
    <t>Hache de stalhrim de fulguration</t>
  </si>
  <si>
    <t>dragonborn.esm|0283D0</t>
  </si>
  <si>
    <t>Hache de stalhrim de glaciation</t>
  </si>
  <si>
    <t>dragonborn.esm|0283C2</t>
  </si>
  <si>
    <t>Hache de stalhrim de léthargie</t>
  </si>
  <si>
    <t>dragonborn.esm|0283C5</t>
  </si>
  <si>
    <t>Hache de stalhrim de malédiction</t>
  </si>
  <si>
    <t>dragonborn.esm|0283CA</t>
  </si>
  <si>
    <t>Hache de stalhrim de pétrification</t>
  </si>
  <si>
    <t>dragonborn.esm|0283D5</t>
  </si>
  <si>
    <t>Hache de stalhrim de profond chaos</t>
  </si>
  <si>
    <t>dragonborn.esm|0283DE</t>
  </si>
  <si>
    <t>Hache de stalhrim de récolte</t>
  </si>
  <si>
    <t>dragonborn.esm|0283DF</t>
  </si>
  <si>
    <t>Hache de stalhrim de sorcellerie</t>
  </si>
  <si>
    <t>dragonborn.esm|0283CD</t>
  </si>
  <si>
    <t>Hache de stalhrim de suppression</t>
  </si>
  <si>
    <t>dragonborn.esm|0283C8</t>
  </si>
  <si>
    <t>Hache de stalhrim de tempête</t>
  </si>
  <si>
    <t>dragonborn.esm|0283D7</t>
  </si>
  <si>
    <t>Hache de stalhrim de terreur</t>
  </si>
  <si>
    <t>dragonborn.esm|0283C9</t>
  </si>
  <si>
    <t>Hache de stalhrim de tonnerre</t>
  </si>
  <si>
    <t>dragonborn.esm|0283C3</t>
  </si>
  <si>
    <t>Hache de stalhrim de torpeur</t>
  </si>
  <si>
    <t>dragonborn.esm|0283E1</t>
  </si>
  <si>
    <t>Hache de stalhrim de transfusion</t>
  </si>
  <si>
    <t>dragonborn.esm|0283E2</t>
  </si>
  <si>
    <t>Hache de stalhrim de vampirisme</t>
  </si>
  <si>
    <t>dragonborn.esm|0283BE</t>
  </si>
  <si>
    <t>Hache de stalhrim sacrée</t>
  </si>
  <si>
    <t>dragonborn.esm|0283BF</t>
  </si>
  <si>
    <t>Hache de stalhrim sainte</t>
  </si>
  <si>
    <t>dragonborn.esm|0283C0</t>
  </si>
  <si>
    <t>Hache de stalhrim sanctifiée</t>
  </si>
  <si>
    <t>skyrim.esm|0139A3</t>
  </si>
  <si>
    <t>Hache de verre</t>
  </si>
  <si>
    <t>skyrim.esm|0BEF96</t>
  </si>
  <si>
    <t>Hache de verre d'abattement</t>
  </si>
  <si>
    <t>skyrim.esm|0BEF7A</t>
  </si>
  <si>
    <t>Hache de verre d'absorption</t>
  </si>
  <si>
    <t>skyrim.esm|0BEF7B</t>
  </si>
  <si>
    <t>Hache de verre d'amalgame</t>
  </si>
  <si>
    <t>skyrim.esm|0BEF94</t>
  </si>
  <si>
    <t>Hache de verre d'anathème</t>
  </si>
  <si>
    <t>skyrim.esm|0BEF84</t>
  </si>
  <si>
    <t>Hache de verre d'angoisse</t>
  </si>
  <si>
    <t>skyrim.esm|0BEF90</t>
  </si>
  <si>
    <t>Hache de verre d'éclairs</t>
  </si>
  <si>
    <t>skyrim.esm|0BEF80</t>
  </si>
  <si>
    <t>Hache de verre d'engrangement</t>
  </si>
  <si>
    <t>skyrim.esm|0BEF7D</t>
  </si>
  <si>
    <t>Hache de verre d'évocation</t>
  </si>
  <si>
    <t>skyrim.esm|0BEF82</t>
  </si>
  <si>
    <t>Hache de verre d'expulsion</t>
  </si>
  <si>
    <t>skyrim.esm|0BEF8F</t>
  </si>
  <si>
    <t>Hache de verre d'immobilisation</t>
  </si>
  <si>
    <t>skyrim.esm|0BEF8E</t>
  </si>
  <si>
    <t>Hache de verre d'inertie</t>
  </si>
  <si>
    <t>dawnguard.esm|00427D</t>
  </si>
  <si>
    <t>Hache de verre d'ingestion</t>
  </si>
  <si>
    <t>skyrim.esm|0BEF78</t>
  </si>
  <si>
    <t>skyrim.esm|0BEF81</t>
  </si>
  <si>
    <t>Hache de verre de bannissement</t>
  </si>
  <si>
    <t>skyrim.esm|0BEF8B</t>
  </si>
  <si>
    <t>Hache de verre de blizzard</t>
  </si>
  <si>
    <t>skyrim.esm|0BEF88</t>
  </si>
  <si>
    <t>Hache de verre de brasier</t>
  </si>
  <si>
    <t>skyrim.esm|0BEF93</t>
  </si>
  <si>
    <t>Hache de verre de capture</t>
  </si>
  <si>
    <t>skyrim.esm|0BEF83</t>
  </si>
  <si>
    <t>Hache de verre de crainte</t>
  </si>
  <si>
    <t>skyrim.esm|0BEF8D</t>
  </si>
  <si>
    <t>Hache de verre de débilitation</t>
  </si>
  <si>
    <t>skyrim.esm|0BEF8C</t>
  </si>
  <si>
    <t>Hache de verre de dégradation</t>
  </si>
  <si>
    <t>skyrim.esm|0BEF79</t>
  </si>
  <si>
    <t>Hache de verre de dévorement</t>
  </si>
  <si>
    <t>skyrim.esm|0BEF87</t>
  </si>
  <si>
    <t>Hache de verre de flambée</t>
  </si>
  <si>
    <t>skyrim.esm|0BEF86</t>
  </si>
  <si>
    <t>Hache de verre de flammes</t>
  </si>
  <si>
    <t>skyrim.esm|0BEF8A</t>
  </si>
  <si>
    <t>Hache de verre de frimas</t>
  </si>
  <si>
    <t>skyrim.esm|0BEF89</t>
  </si>
  <si>
    <t>Hache de verre de givre</t>
  </si>
  <si>
    <t>skyrim.esm|0BEF98</t>
  </si>
  <si>
    <t>Hache de verre de léthargie</t>
  </si>
  <si>
    <t>skyrim.esm|0BEF95</t>
  </si>
  <si>
    <t>Hache de verre de malédiction</t>
  </si>
  <si>
    <t>skyrim.esm|0BEF7E</t>
  </si>
  <si>
    <t>Hache de verre de moisson</t>
  </si>
  <si>
    <t>skyrim.esm|0BEF7F</t>
  </si>
  <si>
    <t>Hache de verre de récolte</t>
  </si>
  <si>
    <t>skyrim.esm|0BEF92</t>
  </si>
  <si>
    <t>Hache de verre de tempête</t>
  </si>
  <si>
    <t>skyrim.esm|0BEF85</t>
  </si>
  <si>
    <t>Hache de verre de terreur</t>
  </si>
  <si>
    <t>skyrim.esm|0BEF91</t>
  </si>
  <si>
    <t>Hache de verre de tonnerre</t>
  </si>
  <si>
    <t>skyrim.esm|0BEF97</t>
  </si>
  <si>
    <t>Hache de verre de torpeur</t>
  </si>
  <si>
    <t>skyrim.esm|0BEF7C</t>
  </si>
  <si>
    <t>Hache de verre de transfusion</t>
  </si>
  <si>
    <t>skyrim.esm|0BEF9B</t>
  </si>
  <si>
    <t>Hache de verre sainte</t>
  </si>
  <si>
    <t>skyrim.esm|0BEF9A</t>
  </si>
  <si>
    <t>Hache de verre sanctifiée</t>
  </si>
  <si>
    <t>skyrim.esm|0BEF99</t>
  </si>
  <si>
    <t>Hache de verre vertueuse</t>
  </si>
  <si>
    <t>skyrim.esm|05BF15</t>
  </si>
  <si>
    <t>Hache draugr affûtée</t>
  </si>
  <si>
    <t>skyrim.esm|0BE25E</t>
  </si>
  <si>
    <t>Hache du bourreau</t>
  </si>
  <si>
    <t>skyrim.esm|0AE086</t>
  </si>
  <si>
    <t>Hache du braconnier</t>
  </si>
  <si>
    <t>skyrim.esm|01C4E6</t>
  </si>
  <si>
    <t>Hache du chagrin</t>
  </si>
  <si>
    <t>skyrim.esm|013993</t>
  </si>
  <si>
    <t>Hache dwemer</t>
  </si>
  <si>
    <t>skyrim.esm|0ACC6D</t>
  </si>
  <si>
    <t>Hache dwemer bénie</t>
  </si>
  <si>
    <t>skyrim.esm|0ACC6B</t>
  </si>
  <si>
    <t>Hache dwemer d'abattement</t>
  </si>
  <si>
    <t>skyrim.esm|0ACC51</t>
  </si>
  <si>
    <t>Hache dwemer d'amalgame</t>
  </si>
  <si>
    <t>skyrim.esm|0ACC60</t>
  </si>
  <si>
    <t>Hache dwemer d'amenuisement</t>
  </si>
  <si>
    <t>skyrim.esm|0ACC69</t>
  </si>
  <si>
    <t>Hache dwemer d'anathème</t>
  </si>
  <si>
    <t>skyrim.esm|0ACC59</t>
  </si>
  <si>
    <t>Hache dwemer d'angoisse</t>
  </si>
  <si>
    <t>skyrim.esm|0ACC65</t>
  </si>
  <si>
    <t>Hache dwemer d'éclairs</t>
  </si>
  <si>
    <t>skyrim.esm|0ACC4E</t>
  </si>
  <si>
    <t>Hache dwemer d'ingestion</t>
  </si>
  <si>
    <t>skyrim.esm|0ACC5A</t>
  </si>
  <si>
    <t>Hache dwemer de brûlure</t>
  </si>
  <si>
    <t>skyrim.esm|0ACC68</t>
  </si>
  <si>
    <t>Hache dwemer de capture</t>
  </si>
  <si>
    <t>skyrim.esm|0ACC58</t>
  </si>
  <si>
    <t>Hache dwemer de crainte</t>
  </si>
  <si>
    <t>skyrim.esm|0ACC64</t>
  </si>
  <si>
    <t>Hache dwemer de décharge</t>
  </si>
  <si>
    <t>skyrim.esm|0ACC62</t>
  </si>
  <si>
    <t>Hache dwemer de dégradation</t>
  </si>
  <si>
    <t>skyrim.esm|0ACC4F</t>
  </si>
  <si>
    <t>Hache dwemer de dévorement</t>
  </si>
  <si>
    <t>skyrim.esm|0ACC5C</t>
  </si>
  <si>
    <t>Hache dwemer de flambée</t>
  </si>
  <si>
    <t>skyrim.esm|0ACC5B</t>
  </si>
  <si>
    <t>Hache dwemer de flammes</t>
  </si>
  <si>
    <t>skyrim.esm|0ACC5F</t>
  </si>
  <si>
    <t>Hache dwemer de frimas</t>
  </si>
  <si>
    <t>skyrim.esm|0ACC5E</t>
  </si>
  <si>
    <t>Hache dwemer de givre</t>
  </si>
  <si>
    <t>skyrim.esm|0ACC5D</t>
  </si>
  <si>
    <t>Hache dwemer de glace</t>
  </si>
  <si>
    <t>skyrim.esm|0ACC53</t>
  </si>
  <si>
    <t>Hache dwemer de glanure</t>
  </si>
  <si>
    <t>skyrim.esm|0ACC6A</t>
  </si>
  <si>
    <t>Hache dwemer de lassitude</t>
  </si>
  <si>
    <t>skyrim.esm|0ACC54</t>
  </si>
  <si>
    <t>Hache dwemer de moisson</t>
  </si>
  <si>
    <t>skyrim.esm|0ACC67</t>
  </si>
  <si>
    <t>Hache dwemer de piège</t>
  </si>
  <si>
    <t>skyrim.esm|0ACC55</t>
  </si>
  <si>
    <t>Hache dwemer de récolte</t>
  </si>
  <si>
    <t>skyrim.esm|0ACC4D</t>
  </si>
  <si>
    <t>Hache dwemer de recueil</t>
  </si>
  <si>
    <t>skyrim.esm|0ACC61</t>
  </si>
  <si>
    <t>Hache dwemer de réduction</t>
  </si>
  <si>
    <t>skyrim.esm|0ACC50</t>
  </si>
  <si>
    <t>Hache dwemer de siphonnage</t>
  </si>
  <si>
    <t>skyrim.esm|0ACC66</t>
  </si>
  <si>
    <t>Hache dwemer de tonnerre</t>
  </si>
  <si>
    <t>skyrim.esm|0ACC6C</t>
  </si>
  <si>
    <t>Hache dwemer de torpeur</t>
  </si>
  <si>
    <t>skyrim.esm|0ACC52</t>
  </si>
  <si>
    <t>Hache dwemer de transfusion</t>
  </si>
  <si>
    <t>skyrim.esm|0ACC57</t>
  </si>
  <si>
    <t>Hache dwemer de veulerie</t>
  </si>
  <si>
    <t>skyrim.esm|0ACC6F</t>
  </si>
  <si>
    <t>Hache dwemer sanctifiée</t>
  </si>
  <si>
    <t>skyrim.esm|0ACC6E</t>
  </si>
  <si>
    <t>Hache dwemer vertueuse</t>
  </si>
  <si>
    <t>skyrim.esm|1019D4</t>
  </si>
  <si>
    <t>Hache ébréchée</t>
  </si>
  <si>
    <t>skyrim.esm|01399B</t>
  </si>
  <si>
    <t>Hache elfique</t>
  </si>
  <si>
    <t>skyrim.esm|0BE233</t>
  </si>
  <si>
    <t>Hache elfique d'abattement</t>
  </si>
  <si>
    <t>skyrim.esm|0BE216</t>
  </si>
  <si>
    <t>Hache elfique d'absorption</t>
  </si>
  <si>
    <t>skyrim.esm|0BE217</t>
  </si>
  <si>
    <t>Hache elfique d'amalgame</t>
  </si>
  <si>
    <t>skyrim.esm|0BE231</t>
  </si>
  <si>
    <t>Hache elfique d'anathème</t>
  </si>
  <si>
    <t>skyrim.esm|0BE220</t>
  </si>
  <si>
    <t>Hache elfique d'angoisse</t>
  </si>
  <si>
    <t>skyrim.esm|0BE22D</t>
  </si>
  <si>
    <t>Hache elfique d'éclairs</t>
  </si>
  <si>
    <t>skyrim.esm|0BE21C</t>
  </si>
  <si>
    <t>Hache elfique d'engrangement</t>
  </si>
  <si>
    <t>skyrim.esm|0BE219</t>
  </si>
  <si>
    <t>Hache elfique d'évocation</t>
  </si>
  <si>
    <t>skyrim.esm|0BE21E</t>
  </si>
  <si>
    <t>Hache elfique d'expulsion</t>
  </si>
  <si>
    <t>skyrim.esm|0BE22C</t>
  </si>
  <si>
    <t>Hache elfique d'immobilisation</t>
  </si>
  <si>
    <t>skyrim.esm|0BE22B</t>
  </si>
  <si>
    <t>Hache elfique d'inertie</t>
  </si>
  <si>
    <t>skyrim.esm|0BE214</t>
  </si>
  <si>
    <t>Hache elfique d'ingestion</t>
  </si>
  <si>
    <t>skyrim.esm|0BE21D</t>
  </si>
  <si>
    <t>Hache elfique de bannissement</t>
  </si>
  <si>
    <t>skyrim.esm|0BE227</t>
  </si>
  <si>
    <t>Hache elfique de blizzard</t>
  </si>
  <si>
    <t>skyrim.esm|0BE224</t>
  </si>
  <si>
    <t>Hache elfique de brasier</t>
  </si>
  <si>
    <t>skyrim.esm|0BE230</t>
  </si>
  <si>
    <t>Hache elfique de capture</t>
  </si>
  <si>
    <t>skyrim.esm|0BE21F</t>
  </si>
  <si>
    <t>Hache elfique de crainte</t>
  </si>
  <si>
    <t>skyrim.esm|0BE22A</t>
  </si>
  <si>
    <t>Hache elfique de débilitation</t>
  </si>
  <si>
    <t>skyrim.esm|0BE215</t>
  </si>
  <si>
    <t>Hache elfique de dévorement</t>
  </si>
  <si>
    <t>skyrim.esm|0BE223</t>
  </si>
  <si>
    <t>Hache elfique de flambée</t>
  </si>
  <si>
    <t>skyrim.esm|0BE222</t>
  </si>
  <si>
    <t>Hache elfique de flammes</t>
  </si>
  <si>
    <t>skyrim.esm|0BE226</t>
  </si>
  <si>
    <t>Hache elfique de frimas</t>
  </si>
  <si>
    <t>skyrim.esm|0BE225</t>
  </si>
  <si>
    <t>Hache elfique de givre</t>
  </si>
  <si>
    <t>skyrim.esm|0BE235</t>
  </si>
  <si>
    <t>Hache elfique de léthargie</t>
  </si>
  <si>
    <t>skyrim.esm|0BE232</t>
  </si>
  <si>
    <t>Hache elfique de malédiction</t>
  </si>
  <si>
    <t>skyrim.esm|0BE21A</t>
  </si>
  <si>
    <t>Hache elfique de moisson</t>
  </si>
  <si>
    <t>skyrim.esm|0BE21B</t>
  </si>
  <si>
    <t>Hache elfique de récolte</t>
  </si>
  <si>
    <t>skyrim.esm|0BE228</t>
  </si>
  <si>
    <t>Hache elfique de réduction</t>
  </si>
  <si>
    <t>skyrim.esm|0BE22F</t>
  </si>
  <si>
    <t>Hache elfique de tempête</t>
  </si>
  <si>
    <t>skyrim.esm|0BE221</t>
  </si>
  <si>
    <t>Hache elfique de terreur</t>
  </si>
  <si>
    <t>skyrim.esm|0BE22E</t>
  </si>
  <si>
    <t>Hache elfique de tonnerre</t>
  </si>
  <si>
    <t>skyrim.esm|0BE234</t>
  </si>
  <si>
    <t>Hache elfique de torpeur</t>
  </si>
  <si>
    <t>skyrim.esm|0BE218</t>
  </si>
  <si>
    <t>Hache elfique de transfusion</t>
  </si>
  <si>
    <t>skyrim.esm|0BE238</t>
  </si>
  <si>
    <t>Hache elfique sainte</t>
  </si>
  <si>
    <t>skyrim.esm|0BE237</t>
  </si>
  <si>
    <t>Hache elfique sanctifiée</t>
  </si>
  <si>
    <t>skyrim.esm|0BE236</t>
  </si>
  <si>
    <t>Hache elfique vertueuse</t>
  </si>
  <si>
    <t>skyrim.esm|0302CD</t>
  </si>
  <si>
    <t>Hache falmer</t>
  </si>
  <si>
    <t>skyrim.esm|06F700</t>
  </si>
  <si>
    <t>Hache falmer affûtée</t>
  </si>
  <si>
    <t>skyrim.esm|0E7A31</t>
  </si>
  <si>
    <t>Hache illusoire</t>
  </si>
  <si>
    <t>dragonborn.esm|01CDB2</t>
  </si>
  <si>
    <t>Hache nordique</t>
  </si>
  <si>
    <t>skyrim.esm|02C672</t>
  </si>
  <si>
    <t>Hache nordique antique</t>
  </si>
  <si>
    <t>dragonborn.esm|0282A2</t>
  </si>
  <si>
    <t>Hache nordique d'abattement</t>
  </si>
  <si>
    <t>dragonborn.esm|0282BF</t>
  </si>
  <si>
    <t>Hache nordique d'absorption</t>
  </si>
  <si>
    <t>dragonborn.esm|0282BE</t>
  </si>
  <si>
    <t>Hache nordique d'amalgame</t>
  </si>
  <si>
    <t>dragonborn.esm|0282A4</t>
  </si>
  <si>
    <t>Hache nordique d'anathème</t>
  </si>
  <si>
    <t>dragonborn.esm|0282B5</t>
  </si>
  <si>
    <t>Hache nordique d'angoisse</t>
  </si>
  <si>
    <t>dragonborn.esm|0282A8</t>
  </si>
  <si>
    <t>Hache nordique d'éclairs</t>
  </si>
  <si>
    <t>dragonborn.esm|0282B9</t>
  </si>
  <si>
    <t>Hache nordique d'engrangement</t>
  </si>
  <si>
    <t>dragonborn.esm|0282BC</t>
  </si>
  <si>
    <t>Hache nordique d'évocation</t>
  </si>
  <si>
    <t>dragonborn.esm|0282B7</t>
  </si>
  <si>
    <t>Hache nordique d'expulsion</t>
  </si>
  <si>
    <t>dragonborn.esm|0282A9</t>
  </si>
  <si>
    <t>Hache nordique d'immobilisation</t>
  </si>
  <si>
    <t>dragonborn.esm|0282AA</t>
  </si>
  <si>
    <t>Hache nordique d'inertie</t>
  </si>
  <si>
    <t>dragonborn.esm|0282C1</t>
  </si>
  <si>
    <t>Hache nordique d'ingestion</t>
  </si>
  <si>
    <t>dragonborn.esm|0282B8</t>
  </si>
  <si>
    <t>Hache nordique de bannissement</t>
  </si>
  <si>
    <t>dragonborn.esm|0282AE</t>
  </si>
  <si>
    <t>Hache nordique de blizzard</t>
  </si>
  <si>
    <t>dragonborn.esm|0282B1</t>
  </si>
  <si>
    <t>Hache nordique de brasier</t>
  </si>
  <si>
    <t>dragonborn.esm|0282A5</t>
  </si>
  <si>
    <t>Hache nordique de capture</t>
  </si>
  <si>
    <t>dragonborn.esm|02C485</t>
  </si>
  <si>
    <t>Hache nordique de chaos</t>
  </si>
  <si>
    <t>dragonborn.esm|02C487</t>
  </si>
  <si>
    <t>Hache nordique de chaos extrême</t>
  </si>
  <si>
    <t>dragonborn.esm|0282B6</t>
  </si>
  <si>
    <t>Hache nordique de crainte</t>
  </si>
  <si>
    <t>dragonborn.esm|0282AB</t>
  </si>
  <si>
    <t>Hache nordique de débilitation</t>
  </si>
  <si>
    <t>dragonborn.esm|0282AC</t>
  </si>
  <si>
    <t>Hache nordique de dégradation</t>
  </si>
  <si>
    <t>dragonborn.esm|0282C0</t>
  </si>
  <si>
    <t>Hache nordique de dévorement</t>
  </si>
  <si>
    <t>dragonborn.esm|0282B2</t>
  </si>
  <si>
    <t>Hache nordique de flambée</t>
  </si>
  <si>
    <t>dragonborn.esm|0282B3</t>
  </si>
  <si>
    <t>Hache nordique de flammes</t>
  </si>
  <si>
    <t>dragonborn.esm|0282AF</t>
  </si>
  <si>
    <t>Hache nordique de frimas</t>
  </si>
  <si>
    <t>dragonborn.esm|0282B0</t>
  </si>
  <si>
    <t>Hache nordique de givre</t>
  </si>
  <si>
    <t>dragonborn.esm|0282A0</t>
  </si>
  <si>
    <t>Hache nordique de léthargie</t>
  </si>
  <si>
    <t>dragonborn.esm|0282A3</t>
  </si>
  <si>
    <t>Hache nordique de malédiction</t>
  </si>
  <si>
    <t>dragonborn.esm|0282BB</t>
  </si>
  <si>
    <t>Hache nordique de moisson</t>
  </si>
  <si>
    <t>dragonborn.esm|02C486</t>
  </si>
  <si>
    <t>Hache nordique de profond chaos</t>
  </si>
  <si>
    <t>dragonborn.esm|0282BA</t>
  </si>
  <si>
    <t>Hache nordique de récolte</t>
  </si>
  <si>
    <t>dragonborn.esm|0282AD</t>
  </si>
  <si>
    <t>Hache nordique de réduction</t>
  </si>
  <si>
    <t>dragonborn.esm|0282A6</t>
  </si>
  <si>
    <t>Hache nordique de tempête</t>
  </si>
  <si>
    <t>dragonborn.esm|0282B4</t>
  </si>
  <si>
    <t>Hache nordique de terreur</t>
  </si>
  <si>
    <t>dragonborn.esm|0282A7</t>
  </si>
  <si>
    <t>Hache nordique de tonnerre</t>
  </si>
  <si>
    <t>dragonborn.esm|0282A1</t>
  </si>
  <si>
    <t>Hache nordique de torpeur</t>
  </si>
  <si>
    <t>dragonborn.esm|0282BD</t>
  </si>
  <si>
    <t>Hache nordique de transfusion</t>
  </si>
  <si>
    <t>dragonborn.esm|02829D</t>
  </si>
  <si>
    <t>Hache nordique sainte</t>
  </si>
  <si>
    <t>dragonborn.esm|02829E</t>
  </si>
  <si>
    <t>Hache nordique sanctifiée</t>
  </si>
  <si>
    <t>dragonborn.esm|02829F</t>
  </si>
  <si>
    <t>Hache nordique vertueuse</t>
  </si>
  <si>
    <t>skyrim.esm|01398B</t>
  </si>
  <si>
    <t>Hache orque</t>
  </si>
  <si>
    <t>skyrim.esm|0AA1E5</t>
  </si>
  <si>
    <t>Hache orque bénie</t>
  </si>
  <si>
    <t>skyrim.esm|0AA1E7</t>
  </si>
  <si>
    <t>Hache orque d'abattement</t>
  </si>
  <si>
    <t>skyrim.esm|0AA1CE</t>
  </si>
  <si>
    <t>Hache orque d'amalgame</t>
  </si>
  <si>
    <t>skyrim.esm|0AA1DB</t>
  </si>
  <si>
    <t>Hache orque d'amenuisement</t>
  </si>
  <si>
    <t>skyrim.esm|0AA1E3</t>
  </si>
  <si>
    <t>Hache orque d'anathème</t>
  </si>
  <si>
    <t>skyrim.esm|0AA1D4</t>
  </si>
  <si>
    <t>Hache orque d'angoisse</t>
  </si>
  <si>
    <t>skyrim.esm|0AA1DF</t>
  </si>
  <si>
    <t>Hache orque d'éclairs</t>
  </si>
  <si>
    <t>skyrim.esm|0AA1CC</t>
  </si>
  <si>
    <t>Hache orque d'ingestion</t>
  </si>
  <si>
    <t>skyrim.esm|0AA1D5</t>
  </si>
  <si>
    <t>Hache orque de brûlure</t>
  </si>
  <si>
    <t>skyrim.esm|0AA1E2</t>
  </si>
  <si>
    <t>Hache orque de capture</t>
  </si>
  <si>
    <t>skyrim.esm|0AA1D3</t>
  </si>
  <si>
    <t>Hache orque de crainte</t>
  </si>
  <si>
    <t>skyrim.esm|0AA1DE</t>
  </si>
  <si>
    <t>Hache orque de décharge</t>
  </si>
  <si>
    <t>skyrim.esm|0AA1DD</t>
  </si>
  <si>
    <t>Hache orque de dégradation</t>
  </si>
  <si>
    <t>skyrim.esm|0AA1CD</t>
  </si>
  <si>
    <t>Hache orque de dévorement</t>
  </si>
  <si>
    <t>skyrim.esm|0AA1D7</t>
  </si>
  <si>
    <t>Hache orque de flambée</t>
  </si>
  <si>
    <t>skyrim.esm|0AA1D6</t>
  </si>
  <si>
    <t>Hache orque de flammes</t>
  </si>
  <si>
    <t>skyrim.esm|0AA1DA</t>
  </si>
  <si>
    <t>Hache orque de frimas</t>
  </si>
  <si>
    <t>skyrim.esm|0AA1D9</t>
  </si>
  <si>
    <t>Hache orque de givre</t>
  </si>
  <si>
    <t>skyrim.esm|0AA1D8</t>
  </si>
  <si>
    <t>Hache orque de glace</t>
  </si>
  <si>
    <t>skyrim.esm|0AA1CB</t>
  </si>
  <si>
    <t>Hache orque de glanure</t>
  </si>
  <si>
    <t>skyrim.esm|0AA1E4</t>
  </si>
  <si>
    <t>Hache orque de lassitude</t>
  </si>
  <si>
    <t>skyrim.esm|0AA1D0</t>
  </si>
  <si>
    <t>Hache orque de moisson</t>
  </si>
  <si>
    <t>skyrim.esm|0AA1E1</t>
  </si>
  <si>
    <t>Hache orque de piège</t>
  </si>
  <si>
    <t>skyrim.esm|0AA1D1</t>
  </si>
  <si>
    <t>Hache orque de récolte</t>
  </si>
  <si>
    <t>skyrim.esm|0AA1C9</t>
  </si>
  <si>
    <t>Hache orque de recueil</t>
  </si>
  <si>
    <t>skyrim.esm|0AA1DC</t>
  </si>
  <si>
    <t>Hache orque de réduction</t>
  </si>
  <si>
    <t>skyrim.esm|0AA1CA</t>
  </si>
  <si>
    <t>Hache orque de siphonnage</t>
  </si>
  <si>
    <t>skyrim.esm|0AA1E0</t>
  </si>
  <si>
    <t>Hache orque de tonnerre</t>
  </si>
  <si>
    <t>skyrim.esm|0AA1E8</t>
  </si>
  <si>
    <t>Hache orque de torpeur</t>
  </si>
  <si>
    <t>skyrim.esm|0AA1CF</t>
  </si>
  <si>
    <t>Hache orque de transfusion</t>
  </si>
  <si>
    <t>skyrim.esm|0AA1D2</t>
  </si>
  <si>
    <t>Hache orque de veulerie</t>
  </si>
  <si>
    <t>skyrim.esm|0AA1EA</t>
  </si>
  <si>
    <t>Hache orque sanctifiée</t>
  </si>
  <si>
    <t>skyrim.esm|0AA1E9</t>
  </si>
  <si>
    <t>Hache orque vertueuse</t>
  </si>
  <si>
    <t>dawnguard.esm|0067CF</t>
  </si>
  <si>
    <t>Harkon's Sword</t>
  </si>
  <si>
    <t>keizaal.esp|E6D86F</t>
  </si>
  <si>
    <t>Hay Bale</t>
  </si>
  <si>
    <t>windhelmsse.esp|14306E</t>
  </si>
  <si>
    <t>Hjarrandi's Staff</t>
  </si>
  <si>
    <t>dragonborn.esm|026490</t>
  </si>
  <si>
    <t>Horqueruine</t>
  </si>
  <si>
    <t>skyrim.esm|0135B8</t>
  </si>
  <si>
    <t>Imperial Sword</t>
  </si>
  <si>
    <t>skyrim.esm|04A38F</t>
  </si>
  <si>
    <t>Lame d'ébonite</t>
  </si>
  <si>
    <t>skyrim.esm|0EA29C</t>
  </si>
  <si>
    <t>skyrim.esm|0964C9</t>
  </si>
  <si>
    <t>Lame de la souffrance</t>
  </si>
  <si>
    <t>skyrim.esm|09CCDC</t>
  </si>
  <si>
    <t>dragonborn.esm|01AEA4</t>
  </si>
  <si>
    <t>Lame des Skalsangue</t>
  </si>
  <si>
    <t>skyrim.esm|079B1D</t>
  </si>
  <si>
    <t>Lame du sacrifice</t>
  </si>
  <si>
    <t>skyrim.esm|06A13C</t>
  </si>
  <si>
    <t>Lamentation</t>
  </si>
  <si>
    <t>windhelmsse.esp|32584A</t>
  </si>
  <si>
    <t>Lightbringer</t>
  </si>
  <si>
    <t>skyrim.esm|0AE085</t>
  </si>
  <si>
    <t>Longmaillet</t>
  </si>
  <si>
    <t>sentinel - city guards.esp|0008E3</t>
  </si>
  <si>
    <t>Markarth Sword</t>
  </si>
  <si>
    <t>keizaal.esp|02083D</t>
  </si>
  <si>
    <t>Marshal's Hammer</t>
  </si>
  <si>
    <t>skyrim.esm|0A69B6</t>
  </si>
  <si>
    <t>Marteau d'acier béni</t>
  </si>
  <si>
    <t>skyrim.esm|0A69B4</t>
  </si>
  <si>
    <t>Marteau d'acier d'abattement</t>
  </si>
  <si>
    <t>skyrim.esm|0A69AA</t>
  </si>
  <si>
    <t>Marteau d'acier d'amenuisement</t>
  </si>
  <si>
    <t>skyrim.esm|0A69AF</t>
  </si>
  <si>
    <t>Marteau d'acier d'anima</t>
  </si>
  <si>
    <t>skyrim.esm|0A69AE</t>
  </si>
  <si>
    <t>Marteau d'acier d'éclairs</t>
  </si>
  <si>
    <t>skyrim.esm|0A69AC</t>
  </si>
  <si>
    <t>Marteau d'acier d'étincelles</t>
  </si>
  <si>
    <t>skyrim.esm|0A69A5</t>
  </si>
  <si>
    <t>Marteau d'acier d'incandescence</t>
  </si>
  <si>
    <t>skyrim.esm|0A69A2</t>
  </si>
  <si>
    <t>Marteau d'acier d'intimidation</t>
  </si>
  <si>
    <t>skyrim.esm|0A69A6</t>
  </si>
  <si>
    <t>Marteau d'acier de brûlure</t>
  </si>
  <si>
    <t>skyrim.esm|0A69B1</t>
  </si>
  <si>
    <t>Marteau d'acier de capture</t>
  </si>
  <si>
    <t>skyrim.esm|0A69A4</t>
  </si>
  <si>
    <t>Marteau d'acier de crainte</t>
  </si>
  <si>
    <t>skyrim.esm|0A69AD</t>
  </si>
  <si>
    <t>Marteau d'acier de décharge</t>
  </si>
  <si>
    <t>skyrim.esm|0A69B2</t>
  </si>
  <si>
    <t>Marteau d'acier de fatigue</t>
  </si>
  <si>
    <t>skyrim.esm|0A6A2A</t>
  </si>
  <si>
    <t>Marteau d'acier de flammes</t>
  </si>
  <si>
    <t>skyrim.esm|0A69A7</t>
  </si>
  <si>
    <t>Marteau d'acier de frisson</t>
  </si>
  <si>
    <t>skyrim.esm|0A6A2C</t>
  </si>
  <si>
    <t>Marteau d'acier de givre</t>
  </si>
  <si>
    <t>skyrim.esm|0A69A8</t>
  </si>
  <si>
    <t>Marteau d'acier de glace</t>
  </si>
  <si>
    <t>skyrim.esm|0A69B3</t>
  </si>
  <si>
    <t>Marteau d'acier de lassitude</t>
  </si>
  <si>
    <t>skyrim.esm|0A69B0</t>
  </si>
  <si>
    <t>Marteau d'acier de piège</t>
  </si>
  <si>
    <t>skyrim.esm|0A69AB</t>
  </si>
  <si>
    <t>Marteau d'acier de réduction</t>
  </si>
  <si>
    <t>skyrim.esm|0A69A9</t>
  </si>
  <si>
    <t>Marteau d'acier de sape</t>
  </si>
  <si>
    <t>skyrim.esm|0A69A3</t>
  </si>
  <si>
    <t>Marteau d'acier de veulerie</t>
  </si>
  <si>
    <t>skyrim.esm|0A69B5</t>
  </si>
  <si>
    <t>Marteau d'acier pieux</t>
  </si>
  <si>
    <t>skyrim.esm|0A69B7</t>
  </si>
  <si>
    <t>Marteau d'acier vertueux</t>
  </si>
  <si>
    <t>skyrim.esm|0139B2</t>
  </si>
  <si>
    <t>Marteau d'ébonite</t>
  </si>
  <si>
    <t>skyrim.esm|01DBD6</t>
  </si>
  <si>
    <t>Marteau d'ébonite d'absorption</t>
  </si>
  <si>
    <t>skyrim.esm|01DD04</t>
  </si>
  <si>
    <t>Marteau d'ébonite d'anathème</t>
  </si>
  <si>
    <t>skyrim.esm|01DCE0</t>
  </si>
  <si>
    <t>Marteau d'ébonite d'angoisse</t>
  </si>
  <si>
    <t>skyrim.esm|01DCDE</t>
  </si>
  <si>
    <t>Marteau d'ébonite d'annihilation</t>
  </si>
  <si>
    <t>skyrim.esm|01DCCE</t>
  </si>
  <si>
    <t>Marteau d'ébonite d'assimilation</t>
  </si>
  <si>
    <t>skyrim.esm|01DCE2</t>
  </si>
  <si>
    <t>Marteau d'ébonite d'effroi</t>
  </si>
  <si>
    <t>skyrim.esm|01DC1F</t>
  </si>
  <si>
    <t>Marteau d'ébonite d'engrangement</t>
  </si>
  <si>
    <t>skyrim.esm|01DD0D</t>
  </si>
  <si>
    <t>Marteau d'ébonite d'épuisement</t>
  </si>
  <si>
    <t>skyrim.esm|01DBFD</t>
  </si>
  <si>
    <t>Marteau d'ébonite d'évocation</t>
  </si>
  <si>
    <t>skyrim.esm|01DCDD</t>
  </si>
  <si>
    <t>Marteau d'ébonite d'expulsion</t>
  </si>
  <si>
    <t>skyrim.esm|01DCFA</t>
  </si>
  <si>
    <t>Marteau d'ébonite d'immobilisation</t>
  </si>
  <si>
    <t>skyrim.esm|01DCE6</t>
  </si>
  <si>
    <t>Marteau d'ébonite d'incinération</t>
  </si>
  <si>
    <t>skyrim.esm|01DCF5</t>
  </si>
  <si>
    <t>Marteau d'ébonite d'inertie</t>
  </si>
  <si>
    <t>skyrim.esm|01DCCF</t>
  </si>
  <si>
    <t>Marteau d'ébonite de bannissement</t>
  </si>
  <si>
    <t>skyrim.esm|01DCE9</t>
  </si>
  <si>
    <t>Marteau d'ébonite de blizzard</t>
  </si>
  <si>
    <t>skyrim.esm|01DCE4</t>
  </si>
  <si>
    <t>Marteau d'ébonite de brasier</t>
  </si>
  <si>
    <t>skyrim.esm|01DD06</t>
  </si>
  <si>
    <t>Marteau d'ébonite de damnation</t>
  </si>
  <si>
    <t>skyrim.esm|01DCEC</t>
  </si>
  <si>
    <t>Marteau d'ébonite de débilitation</t>
  </si>
  <si>
    <t>skyrim.esm|01DCEB</t>
  </si>
  <si>
    <t>Marteau d'ébonite de dégradation</t>
  </si>
  <si>
    <t>skyrim.esm|01DBCF</t>
  </si>
  <si>
    <t>Marteau d'ébonite de dévorement</t>
  </si>
  <si>
    <t>skyrim.esm|01DCE3</t>
  </si>
  <si>
    <t>Marteau d'ébonite de flambée</t>
  </si>
  <si>
    <t>skyrim.esm|01DCE8</t>
  </si>
  <si>
    <t>Marteau d'ébonite de frimas</t>
  </si>
  <si>
    <t>skyrim.esm|01DD03</t>
  </si>
  <si>
    <t>Marteau d'ébonite de fulguration</t>
  </si>
  <si>
    <t>skyrim.esm|01DCEA</t>
  </si>
  <si>
    <t>Marteau d'ébonite de glaciation</t>
  </si>
  <si>
    <t>skyrim.esm|01DD0B</t>
  </si>
  <si>
    <t>Marteau d'ébonite de léthargie</t>
  </si>
  <si>
    <t>skyrim.esm|01DD05</t>
  </si>
  <si>
    <t>Marteau d'ébonite de malédiction</t>
  </si>
  <si>
    <t>skyrim.esm|01DCFE</t>
  </si>
  <si>
    <t>Marteau d'ébonite de pétrification</t>
  </si>
  <si>
    <t>skyrim.esm|01DC1E</t>
  </si>
  <si>
    <t>Marteau d'ébonite de récolte</t>
  </si>
  <si>
    <t>skyrim.esm|01DC14</t>
  </si>
  <si>
    <t>Marteau d'ébonite de sorcellerie</t>
  </si>
  <si>
    <t>skyrim.esm|01DCEE</t>
  </si>
  <si>
    <t>Marteau d'ébonite de suppression</t>
  </si>
  <si>
    <t>skyrim.esm|01DD02</t>
  </si>
  <si>
    <t>Marteau d'ébonite de tempête</t>
  </si>
  <si>
    <t>skyrim.esm|01DCE1</t>
  </si>
  <si>
    <t>Marteau d'ébonite de terreur</t>
  </si>
  <si>
    <t>skyrim.esm|01DD01</t>
  </si>
  <si>
    <t>Marteau d'ébonite de tonnerre</t>
  </si>
  <si>
    <t>skyrim.esm|01DD07</t>
  </si>
  <si>
    <t>Marteau d'ébonite de torpeur</t>
  </si>
  <si>
    <t>skyrim.esm|01DBF8</t>
  </si>
  <si>
    <t>Marteau d'ébonite de transfusion</t>
  </si>
  <si>
    <t>skyrim.esm|01DBD7</t>
  </si>
  <si>
    <t>Marteau d'ébonite de vampirisme</t>
  </si>
  <si>
    <t>skyrim.esm|01DD17</t>
  </si>
  <si>
    <t>Marteau d'ébonite saint</t>
  </si>
  <si>
    <t>skyrim.esm|01DD0E</t>
  </si>
  <si>
    <t>Marteau d'ébonite sanctifié</t>
  </si>
  <si>
    <t>dawnguard.esm|014FD0</t>
  </si>
  <si>
    <t>Marteau d'os de dragon</t>
  </si>
  <si>
    <t>skyrim.esm|0139BA</t>
  </si>
  <si>
    <t>Marteau daedra</t>
  </si>
  <si>
    <t>skyrim.esm|029599</t>
  </si>
  <si>
    <t>Marteau daedra d'absorption</t>
  </si>
  <si>
    <t>skyrim.esm|0295B7</t>
  </si>
  <si>
    <t>Marteau daedra d'anathème</t>
  </si>
  <si>
    <t>skyrim.esm|0295A5</t>
  </si>
  <si>
    <t>Marteau daedra d'angoisse</t>
  </si>
  <si>
    <t>skyrim.esm|0295A4</t>
  </si>
  <si>
    <t>Marteau daedra d'annihilation</t>
  </si>
  <si>
    <t>skyrim.esm|0295A1</t>
  </si>
  <si>
    <t>Marteau daedra d'assimilation</t>
  </si>
  <si>
    <t>skyrim.esm|0295A7</t>
  </si>
  <si>
    <t>Marteau daedra d'effroi</t>
  </si>
  <si>
    <t>skyrim.esm|0295A0</t>
  </si>
  <si>
    <t>Marteau daedra d'engrangement</t>
  </si>
  <si>
    <t>skyrim.esm|0295BC</t>
  </si>
  <si>
    <t>Marteau daedra d'épuisement</t>
  </si>
  <si>
    <t>skyrim.esm|02959C</t>
  </si>
  <si>
    <t>Marteau daedra d'évocation</t>
  </si>
  <si>
    <t>skyrim.esm|0295A3</t>
  </si>
  <si>
    <t>Marteau daedra d'expulsion</t>
  </si>
  <si>
    <t>skyrim.esm|0295B2</t>
  </si>
  <si>
    <t>Marteau daedra d'immobilisation</t>
  </si>
  <si>
    <t>skyrim.esm|0295AA</t>
  </si>
  <si>
    <t>Marteau daedra d'incinération</t>
  </si>
  <si>
    <t>skyrim.esm|0295B1</t>
  </si>
  <si>
    <t>Marteau daedra d'inertie</t>
  </si>
  <si>
    <t>skyrim.esm|0295A2</t>
  </si>
  <si>
    <t>Marteau daedra de bannissement</t>
  </si>
  <si>
    <t>skyrim.esm|0295AC</t>
  </si>
  <si>
    <t>Marteau daedra de blizzard</t>
  </si>
  <si>
    <t>skyrim.esm|0295A9</t>
  </si>
  <si>
    <t>Marteau daedra de brasier</t>
  </si>
  <si>
    <t>skyrim.esm|0295B9</t>
  </si>
  <si>
    <t>Marteau daedra de damnation</t>
  </si>
  <si>
    <t>skyrim.esm|0295AF</t>
  </si>
  <si>
    <t>Marteau daedra de débilitation</t>
  </si>
  <si>
    <t>skyrim.esm|0295AE</t>
  </si>
  <si>
    <t>Marteau daedra de dégradation</t>
  </si>
  <si>
    <t>skyrim.esm|029598</t>
  </si>
  <si>
    <t>Marteau daedra de dévorement</t>
  </si>
  <si>
    <t>skyrim.esm|0295A8</t>
  </si>
  <si>
    <t>Marteau daedra de flambée</t>
  </si>
  <si>
    <t>skyrim.esm|0295AB</t>
  </si>
  <si>
    <t>Marteau daedra de frimas</t>
  </si>
  <si>
    <t>skyrim.esm|0295B6</t>
  </si>
  <si>
    <t>Marteau daedra de fulguration</t>
  </si>
  <si>
    <t>skyrim.esm|0295AD</t>
  </si>
  <si>
    <t>Marteau daedra de glaciation</t>
  </si>
  <si>
    <t>skyrim.esm|0295BB</t>
  </si>
  <si>
    <t>Marteau daedra de léthargie</t>
  </si>
  <si>
    <t>skyrim.esm|0295B8</t>
  </si>
  <si>
    <t>Marteau daedra de malédiction</t>
  </si>
  <si>
    <t>skyrim.esm|0295B3</t>
  </si>
  <si>
    <t>Marteau daedra de pétrification</t>
  </si>
  <si>
    <t>skyrim.esm|02959E</t>
  </si>
  <si>
    <t>Marteau daedra de récolte</t>
  </si>
  <si>
    <t>skyrim.esm|02959D</t>
  </si>
  <si>
    <t>Marteau daedra de sorcellerie</t>
  </si>
  <si>
    <t>skyrim.esm|0295B0</t>
  </si>
  <si>
    <t>Marteau daedra de suppression</t>
  </si>
  <si>
    <t>skyrim.esm|0295B5</t>
  </si>
  <si>
    <t>Marteau daedra de tempête</t>
  </si>
  <si>
    <t>skyrim.esm|0295A6</t>
  </si>
  <si>
    <t>Marteau daedra de terreur</t>
  </si>
  <si>
    <t>skyrim.esm|0295B4</t>
  </si>
  <si>
    <t>Marteau daedra de tonnerre</t>
  </si>
  <si>
    <t>skyrim.esm|0295BA</t>
  </si>
  <si>
    <t>Marteau daedra de torpeur</t>
  </si>
  <si>
    <t>skyrim.esm|02959B</t>
  </si>
  <si>
    <t>Marteau daedra de transfusion</t>
  </si>
  <si>
    <t>skyrim.esm|02959A</t>
  </si>
  <si>
    <t>Marteau daedra de vampirisme</t>
  </si>
  <si>
    <t>skyrim.esm|0295BF</t>
  </si>
  <si>
    <t>Marteau daedra sacré</t>
  </si>
  <si>
    <t>skyrim.esm|0295BE</t>
  </si>
  <si>
    <t>Marteau daedra saint</t>
  </si>
  <si>
    <t>skyrim.esm|0295BD</t>
  </si>
  <si>
    <t>Marteau daedra sanctifié</t>
  </si>
  <si>
    <t>skyrim.esm|013981</t>
  </si>
  <si>
    <t>Marteau de fer</t>
  </si>
  <si>
    <t>skyrim.esm|0896FA</t>
  </si>
  <si>
    <t>Marteau de fer béni</t>
  </si>
  <si>
    <t>skyrim.esm|089707</t>
  </si>
  <si>
    <t>Marteau de fer d'abattement</t>
  </si>
  <si>
    <t>skyrim.esm|0896DC</t>
  </si>
  <si>
    <t>Marteau de fer d'amenuisement</t>
  </si>
  <si>
    <t>skyrim.esm|0896E4</t>
  </si>
  <si>
    <t>Marteau de fer d'anima</t>
  </si>
  <si>
    <t>skyrim.esm|0896D1</t>
  </si>
  <si>
    <t>Marteau de fer d'éclairs</t>
  </si>
  <si>
    <t>skyrim.esm|0896CF</t>
  </si>
  <si>
    <t>Marteau de fer d'étincelles</t>
  </si>
  <si>
    <t>skyrim.esm|0896B1</t>
  </si>
  <si>
    <t>Marteau de fer d'incandescence</t>
  </si>
  <si>
    <t>skyrim.esm|08971A</t>
  </si>
  <si>
    <t>Marteau de fer d'intimidation</t>
  </si>
  <si>
    <t>skyrim.esm|0896B8</t>
  </si>
  <si>
    <t>Marteau de fer de brûlure</t>
  </si>
  <si>
    <t>skyrim.esm|0896E6</t>
  </si>
  <si>
    <t>Marteau de fer de capture</t>
  </si>
  <si>
    <t>skyrim.esm|08971C</t>
  </si>
  <si>
    <t>Marteau de fer de crainte</t>
  </si>
  <si>
    <t>skyrim.esm|0896D0</t>
  </si>
  <si>
    <t>Marteau de fer de décharge</t>
  </si>
  <si>
    <t>skyrim.esm|089705</t>
  </si>
  <si>
    <t>Marteau de fer de fatigue</t>
  </si>
  <si>
    <t>skyrim.esm|0896B9</t>
  </si>
  <si>
    <t>Marteau de fer de flammes</t>
  </si>
  <si>
    <t>skyrim.esm|0896C3</t>
  </si>
  <si>
    <t>Marteau de fer de frisson</t>
  </si>
  <si>
    <t>skyrim.esm|0896C5</t>
  </si>
  <si>
    <t>Marteau de fer de givre</t>
  </si>
  <si>
    <t>skyrim.esm|0896C4</t>
  </si>
  <si>
    <t>Marteau de fer de glace</t>
  </si>
  <si>
    <t>skyrim.esm|089706</t>
  </si>
  <si>
    <t>Marteau de fer de lassitude</t>
  </si>
  <si>
    <t>skyrim.esm|0896E5</t>
  </si>
  <si>
    <t>Marteau de fer de piège</t>
  </si>
  <si>
    <t>skyrim.esm|0896DD</t>
  </si>
  <si>
    <t>Marteau de fer de réduction</t>
  </si>
  <si>
    <t>skyrim.esm|0896DB</t>
  </si>
  <si>
    <t>Marteau de fer de sape</t>
  </si>
  <si>
    <t>skyrim.esm|08971B</t>
  </si>
  <si>
    <t>Marteau de fer de veulerie</t>
  </si>
  <si>
    <t>skyrim.esm|0896F9</t>
  </si>
  <si>
    <t>Marteau de fer pieux</t>
  </si>
  <si>
    <t>skyrim.esm|0896FB</t>
  </si>
  <si>
    <t>Marteau de fer vertueux</t>
  </si>
  <si>
    <t>skyrim.esm|01DD1B</t>
  </si>
  <si>
    <t>Marteau de guerre sacré en ébonite</t>
  </si>
  <si>
    <t>dawnguard.esm|00DD55</t>
  </si>
  <si>
    <t>Marteau de la Garde de l'aube</t>
  </si>
  <si>
    <t>skyrim.esm|0223FB</t>
  </si>
  <si>
    <t>Marteau de Shagrol</t>
  </si>
  <si>
    <t>dragonborn.esm|0283BC</t>
  </si>
  <si>
    <t>Marteau de stalhrim d'absorption</t>
  </si>
  <si>
    <t>dragonborn.esm|02839F</t>
  </si>
  <si>
    <t>Marteau de stalhrim d'anathème</t>
  </si>
  <si>
    <t>dragonborn.esm|0283B1</t>
  </si>
  <si>
    <t>Marteau de stalhrim d'angoisse</t>
  </si>
  <si>
    <t>dragonborn.esm|0283B2</t>
  </si>
  <si>
    <t>Marteau de stalhrim d'annihilation</t>
  </si>
  <si>
    <t>dragonborn.esm|0283B5</t>
  </si>
  <si>
    <t>Marteau de stalhrim d'assimilation</t>
  </si>
  <si>
    <t>dragonborn.esm|0283AF</t>
  </si>
  <si>
    <t>Marteau de stalhrim d'effroi</t>
  </si>
  <si>
    <t>dragonborn.esm|0283B6</t>
  </si>
  <si>
    <t>Marteau de stalhrim d'engrangement</t>
  </si>
  <si>
    <t>dragonborn.esm|02839A</t>
  </si>
  <si>
    <t>Marteau de stalhrim d'épuisement</t>
  </si>
  <si>
    <t>dragonborn.esm|0283B9</t>
  </si>
  <si>
    <t>Marteau de stalhrim d'évocation</t>
  </si>
  <si>
    <t>dragonborn.esm|0283B3</t>
  </si>
  <si>
    <t>Marteau de stalhrim d'expulsion</t>
  </si>
  <si>
    <t>dragonborn.esm|0283A4</t>
  </si>
  <si>
    <t>Marteau de stalhrim d'immobilisation</t>
  </si>
  <si>
    <t>dragonborn.esm|0283A5</t>
  </si>
  <si>
    <t>Marteau de stalhrim d'inertie</t>
  </si>
  <si>
    <t>dragonborn.esm|0283B4</t>
  </si>
  <si>
    <t>Marteau de stalhrim de bannissement</t>
  </si>
  <si>
    <t>dragonborn.esm|0283AA</t>
  </si>
  <si>
    <t>Marteau de stalhrim de blizzard</t>
  </si>
  <si>
    <t>dragonborn.esm|0283AD</t>
  </si>
  <si>
    <t>Marteau de stalhrim de chaos extrême</t>
  </si>
  <si>
    <t>dragonborn.esm|0283AC</t>
  </si>
  <si>
    <t>Marteau de stalhrim de chaos ultime</t>
  </si>
  <si>
    <t>dragonborn.esm|02839D</t>
  </si>
  <si>
    <t>Marteau de stalhrim de damnation</t>
  </si>
  <si>
    <t>dragonborn.esm|0283A7</t>
  </si>
  <si>
    <t>Marteau de stalhrim de débilitation</t>
  </si>
  <si>
    <t>dragonborn.esm|0283A8</t>
  </si>
  <si>
    <t>Marteau de stalhrim de dégradation</t>
  </si>
  <si>
    <t>dragonborn.esm|0283BD</t>
  </si>
  <si>
    <t>Marteau de stalhrim de dévorement</t>
  </si>
  <si>
    <t>dragonborn.esm|0283AB</t>
  </si>
  <si>
    <t>Marteau de stalhrim de frimas</t>
  </si>
  <si>
    <t>dragonborn.esm|0283A0</t>
  </si>
  <si>
    <t>Marteau de stalhrim de fulguration</t>
  </si>
  <si>
    <t>dragonborn.esm|0283A9</t>
  </si>
  <si>
    <t>Marteau de stalhrim de glaciation</t>
  </si>
  <si>
    <t>dragonborn.esm|02839B</t>
  </si>
  <si>
    <t>Marteau de stalhrim de léthargie</t>
  </si>
  <si>
    <t>dragonborn.esm|02839E</t>
  </si>
  <si>
    <t>Marteau de stalhrim de malédiction</t>
  </si>
  <si>
    <t>dragonborn.esm|0283A3</t>
  </si>
  <si>
    <t>Marteau de stalhrim de pétrification</t>
  </si>
  <si>
    <t>dragonborn.esm|0283AE</t>
  </si>
  <si>
    <t>Marteau de stalhrim de profond chaos</t>
  </si>
  <si>
    <t>dragonborn.esm|0283B7</t>
  </si>
  <si>
    <t>Marteau de stalhrim de récolte</t>
  </si>
  <si>
    <t>dragonborn.esm|0283B8</t>
  </si>
  <si>
    <t>Marteau de stalhrim de sorcellerie</t>
  </si>
  <si>
    <t>dragonborn.esm|0283A6</t>
  </si>
  <si>
    <t>Marteau de stalhrim de suppression</t>
  </si>
  <si>
    <t>dragonborn.esm|0283A1</t>
  </si>
  <si>
    <t>Marteau de stalhrim de tempête</t>
  </si>
  <si>
    <t>dragonborn.esm|0283B0</t>
  </si>
  <si>
    <t>Marteau de stalhrim de terreur</t>
  </si>
  <si>
    <t>dragonborn.esm|0283A2</t>
  </si>
  <si>
    <t>Marteau de stalhrim de tonnerre</t>
  </si>
  <si>
    <t>dragonborn.esm|02839C</t>
  </si>
  <si>
    <t>Marteau de stalhrim de torpeur</t>
  </si>
  <si>
    <t>dragonborn.esm|0283BA</t>
  </si>
  <si>
    <t>Marteau de stalhrim de transfusion</t>
  </si>
  <si>
    <t>dragonborn.esm|0283BB</t>
  </si>
  <si>
    <t>Marteau de stalhrim de vampirisme</t>
  </si>
  <si>
    <t>dragonborn.esm|028397</t>
  </si>
  <si>
    <t>Marteau de stalhrim sacré</t>
  </si>
  <si>
    <t>dragonborn.esm|028398</t>
  </si>
  <si>
    <t>Marteau de stalhrim saint</t>
  </si>
  <si>
    <t>dragonborn.esm|028399</t>
  </si>
  <si>
    <t>Marteau de stalhrim sanctifié</t>
  </si>
  <si>
    <t>skyrim.esm|0139AA</t>
  </si>
  <si>
    <t>Marteau de verre</t>
  </si>
  <si>
    <t>skyrim.esm|0BEFB7</t>
  </si>
  <si>
    <t>Marteau de verre d'abattement</t>
  </si>
  <si>
    <t>skyrim.esm|0BEF9E</t>
  </si>
  <si>
    <t>Marteau de verre d'absorption</t>
  </si>
  <si>
    <t>skyrim.esm|0BEF9F</t>
  </si>
  <si>
    <t>Marteau de verre d'amalgame</t>
  </si>
  <si>
    <t>skyrim.esm|0CB3EC</t>
  </si>
  <si>
    <t>Marteau de verre d'anathème</t>
  </si>
  <si>
    <t>skyrim.esm|0BEFA8</t>
  </si>
  <si>
    <t>Marteau de verre d'angoisse</t>
  </si>
  <si>
    <t>skyrim.esm|0BEFB4</t>
  </si>
  <si>
    <t>Marteau de verre d'éclairs</t>
  </si>
  <si>
    <t>skyrim.esm|0BEFA4</t>
  </si>
  <si>
    <t>Marteau de verre d'engrangement</t>
  </si>
  <si>
    <t>skyrim.esm|0BEFA6</t>
  </si>
  <si>
    <t>Marteau de verre d'expulsion</t>
  </si>
  <si>
    <t>skyrim.esm|0BEFB3</t>
  </si>
  <si>
    <t>Marteau de verre d'immobilisation</t>
  </si>
  <si>
    <t>skyrim.esm|0BEFB2</t>
  </si>
  <si>
    <t>Marteau de verre d'inertie</t>
  </si>
  <si>
    <t>skyrim.esm|0BEF9C</t>
  </si>
  <si>
    <t>Marteau de verre d'ingestion</t>
  </si>
  <si>
    <t>skyrim.esm|0BEFA5</t>
  </si>
  <si>
    <t>Marteau de verre de bannissement</t>
  </si>
  <si>
    <t>skyrim.esm|0BEFAF</t>
  </si>
  <si>
    <t>Marteau de verre de blizzard</t>
  </si>
  <si>
    <t>skyrim.esm|0BEFAC</t>
  </si>
  <si>
    <t>Marteau de verre de brasier</t>
  </si>
  <si>
    <t>skyrim.esm|0CB3EB</t>
  </si>
  <si>
    <t>Marteau de verre de capture</t>
  </si>
  <si>
    <t>skyrim.esm|0BEFA7</t>
  </si>
  <si>
    <t>Marteau de verre de crainte</t>
  </si>
  <si>
    <t>skyrim.esm|0BEFB1</t>
  </si>
  <si>
    <t>Marteau de verre de débilitation</t>
  </si>
  <si>
    <t>skyrim.esm|0BEFB0</t>
  </si>
  <si>
    <t>Marteau de verre de dégradation</t>
  </si>
  <si>
    <t>skyrim.esm|0BEF9D</t>
  </si>
  <si>
    <t>Marteau de verre de dévorement</t>
  </si>
  <si>
    <t>skyrim.esm|0BEFAB</t>
  </si>
  <si>
    <t>Marteau de verre de flambée</t>
  </si>
  <si>
    <t>skyrim.esm|0BEFAA</t>
  </si>
  <si>
    <t>Marteau de verre de flammes</t>
  </si>
  <si>
    <t>skyrim.esm|0BEFAE</t>
  </si>
  <si>
    <t>Marteau de verre de frimas</t>
  </si>
  <si>
    <t>skyrim.esm|0BEFAD</t>
  </si>
  <si>
    <t>Marteau de verre de givre</t>
  </si>
  <si>
    <t>skyrim.esm|0BEFB9</t>
  </si>
  <si>
    <t>Marteau de verre de léthargie</t>
  </si>
  <si>
    <t>skyrim.esm|0CB3ED</t>
  </si>
  <si>
    <t>Marteau de verre de malédiction</t>
  </si>
  <si>
    <t>skyrim.esm|0BEFA2</t>
  </si>
  <si>
    <t>Marteau de verre de moisson</t>
  </si>
  <si>
    <t>skyrim.esm|0BEFA3</t>
  </si>
  <si>
    <t>Marteau de verre de récolte</t>
  </si>
  <si>
    <t>skyrim.esm|0BEFB6</t>
  </si>
  <si>
    <t>Marteau de verre de tempête</t>
  </si>
  <si>
    <t>skyrim.esm|0BEFA9</t>
  </si>
  <si>
    <t>Marteau de verre de terreur</t>
  </si>
  <si>
    <t>skyrim.esm|0BEFB5</t>
  </si>
  <si>
    <t>Marteau de verre de tonnerre</t>
  </si>
  <si>
    <t>skyrim.esm|0BEFB8</t>
  </si>
  <si>
    <t>Marteau de verre de torpeur</t>
  </si>
  <si>
    <t>skyrim.esm|0BEFA0</t>
  </si>
  <si>
    <t>Marteau de verre de transfusion</t>
  </si>
  <si>
    <t>skyrim.esm|0BEFBC</t>
  </si>
  <si>
    <t>Marteau de verre saint</t>
  </si>
  <si>
    <t>skyrim.esm|0BEFBB</t>
  </si>
  <si>
    <t>Marteau de verre sanctifié</t>
  </si>
  <si>
    <t>skyrim.esm|0BEFBA</t>
  </si>
  <si>
    <t>Marteau de verre vertueux</t>
  </si>
  <si>
    <t>skyrim.esm|0BEFA1</t>
  </si>
  <si>
    <t>Marteau de verree d'évocation</t>
  </si>
  <si>
    <t>skyrim.esm|01399A</t>
  </si>
  <si>
    <t>Marteau dwemer</t>
  </si>
  <si>
    <t>skyrim.esm|0ACC90</t>
  </si>
  <si>
    <t>Marteau dwemer béni</t>
  </si>
  <si>
    <t>skyrim.esm|0ACC8E</t>
  </si>
  <si>
    <t>Marteau dwemer d'abattement</t>
  </si>
  <si>
    <t>skyrim.esm|0ACC74</t>
  </si>
  <si>
    <t>Marteau dwemer d'amalgame</t>
  </si>
  <si>
    <t>skyrim.esm|0ACC83</t>
  </si>
  <si>
    <t>Marteau dwemer d'amenuisement</t>
  </si>
  <si>
    <t>skyrim.esm|0ACC8C</t>
  </si>
  <si>
    <t>Marteau dwemer d'anathème</t>
  </si>
  <si>
    <t>skyrim.esm|0ACC7C</t>
  </si>
  <si>
    <t>Marteau dwemer d'angoisse</t>
  </si>
  <si>
    <t>skyrim.esm|0ACC88</t>
  </si>
  <si>
    <t>Marteau dwemer d'éclairs</t>
  </si>
  <si>
    <t>skyrim.esm|0ACC71</t>
  </si>
  <si>
    <t>Marteau dwemer d'ingestion</t>
  </si>
  <si>
    <t>skyrim.esm|0ACC7D</t>
  </si>
  <si>
    <t>Marteau dwemer de brûlure</t>
  </si>
  <si>
    <t>skyrim.esm|0ACC8B</t>
  </si>
  <si>
    <t>Marteau dwemer de capture</t>
  </si>
  <si>
    <t>skyrim.esm|0ACC7B</t>
  </si>
  <si>
    <t>Marteau dwemer de crainte</t>
  </si>
  <si>
    <t>skyrim.esm|0ACC87</t>
  </si>
  <si>
    <t>Marteau dwemer de décharge</t>
  </si>
  <si>
    <t>skyrim.esm|0ACC85</t>
  </si>
  <si>
    <t>Marteau dwemer de dégradation</t>
  </si>
  <si>
    <t>skyrim.esm|0ACC72</t>
  </si>
  <si>
    <t>Marteau dwemer de dévorement</t>
  </si>
  <si>
    <t>skyrim.esm|0ACC7F</t>
  </si>
  <si>
    <t>Marteau dwemer de flambée</t>
  </si>
  <si>
    <t>skyrim.esm|0ACC7E</t>
  </si>
  <si>
    <t>Marteau dwemer de flammes</t>
  </si>
  <si>
    <t>skyrim.esm|0ACC82</t>
  </si>
  <si>
    <t>Marteau dwemer de frimas</t>
  </si>
  <si>
    <t>skyrim.esm|0ACC81</t>
  </si>
  <si>
    <t>Marteau dwemer de givre</t>
  </si>
  <si>
    <t>skyrim.esm|0ACC80</t>
  </si>
  <si>
    <t>Marteau dwemer de glace</t>
  </si>
  <si>
    <t>skyrim.esm|0ACC76</t>
  </si>
  <si>
    <t>Marteau dwemer de glanure</t>
  </si>
  <si>
    <t>skyrim.esm|0ACC8D</t>
  </si>
  <si>
    <t>Marteau dwemer de lassitude</t>
  </si>
  <si>
    <t>skyrim.esm|0ACC77</t>
  </si>
  <si>
    <t>Marteau dwemer de moisson</t>
  </si>
  <si>
    <t>skyrim.esm|0ACC8A</t>
  </si>
  <si>
    <t>Marteau dwemer de piège</t>
  </si>
  <si>
    <t>skyrim.esm|0ACC78</t>
  </si>
  <si>
    <t>Marteau dwemer de récolte</t>
  </si>
  <si>
    <t>skyrim.esm|0ACC70</t>
  </si>
  <si>
    <t>Marteau dwemer de recueil</t>
  </si>
  <si>
    <t>skyrim.esm|0ACC84</t>
  </si>
  <si>
    <t>Marteau dwemer de réduction</t>
  </si>
  <si>
    <t>skyrim.esm|0ACC73</t>
  </si>
  <si>
    <t>Marteau dwemer de siphonnage</t>
  </si>
  <si>
    <t>skyrim.esm|0ACC89</t>
  </si>
  <si>
    <t>Marteau dwemer de tonnerre</t>
  </si>
  <si>
    <t>skyrim.esm|0ACC8F</t>
  </si>
  <si>
    <t>Marteau dwemer de torpeur</t>
  </si>
  <si>
    <t>skyrim.esm|0ACC75</t>
  </si>
  <si>
    <t>Marteau dwemer de transfusion</t>
  </si>
  <si>
    <t>skyrim.esm|0ACC7A</t>
  </si>
  <si>
    <t>Marteau dwemer de veulerie</t>
  </si>
  <si>
    <t>skyrim.esm|0ACC92</t>
  </si>
  <si>
    <t>Marteau dwemer sanctifié</t>
  </si>
  <si>
    <t>skyrim.esm|0ACC91</t>
  </si>
  <si>
    <t>Marteau dwemer vertueux</t>
  </si>
  <si>
    <t>skyrim.esm|0139A2</t>
  </si>
  <si>
    <t>Marteau elfique</t>
  </si>
  <si>
    <t>skyrim.esm|0BE258</t>
  </si>
  <si>
    <t>Marteau elfique d'abattement</t>
  </si>
  <si>
    <t>skyrim.esm|0BE23B</t>
  </si>
  <si>
    <t>Marteau elfique d'absorption</t>
  </si>
  <si>
    <t>skyrim.esm|0BE23C</t>
  </si>
  <si>
    <t>Marteau elfique d'amalgame</t>
  </si>
  <si>
    <t>skyrim.esm|0BE256</t>
  </si>
  <si>
    <t>Marteau elfique d'anathème</t>
  </si>
  <si>
    <t>skyrim.esm|0BE245</t>
  </si>
  <si>
    <t>Marteau elfique d'angoisse</t>
  </si>
  <si>
    <t>skyrim.esm|0BE252</t>
  </si>
  <si>
    <t>Marteau elfique d'éclairs</t>
  </si>
  <si>
    <t>skyrim.esm|0BE241</t>
  </si>
  <si>
    <t>Marteau elfique d'engrangement</t>
  </si>
  <si>
    <t>skyrim.esm|0BE23E</t>
  </si>
  <si>
    <t>Marteau elfique d'évocation</t>
  </si>
  <si>
    <t>skyrim.esm|0BE243</t>
  </si>
  <si>
    <t>Marteau elfique d'expulsion</t>
  </si>
  <si>
    <t>skyrim.esm|0BE251</t>
  </si>
  <si>
    <t>Marteau elfique d'immobilisation</t>
  </si>
  <si>
    <t>skyrim.esm|0BE250</t>
  </si>
  <si>
    <t>Marteau elfique d'inertie</t>
  </si>
  <si>
    <t>skyrim.esm|0BE239</t>
  </si>
  <si>
    <t>Marteau elfique d'ingestion</t>
  </si>
  <si>
    <t>skyrim.esm|0BE242</t>
  </si>
  <si>
    <t>Marteau elfique de bannissement</t>
  </si>
  <si>
    <t>skyrim.esm|0BE24C</t>
  </si>
  <si>
    <t>Marteau elfique de blizzard</t>
  </si>
  <si>
    <t>skyrim.esm|0BE249</t>
  </si>
  <si>
    <t>Marteau elfique de brasier</t>
  </si>
  <si>
    <t>skyrim.esm|0BE255</t>
  </si>
  <si>
    <t>Marteau elfique de capture</t>
  </si>
  <si>
    <t>skyrim.esm|0BE244</t>
  </si>
  <si>
    <t>Marteau elfique de crainte</t>
  </si>
  <si>
    <t>skyrim.esm|0BE24F</t>
  </si>
  <si>
    <t>Marteau elfique de débilitation</t>
  </si>
  <si>
    <t>skyrim.esm|0BE24E</t>
  </si>
  <si>
    <t>Marteau elfique de dégradation</t>
  </si>
  <si>
    <t>skyrim.esm|0BE23A</t>
  </si>
  <si>
    <t>Marteau elfique de dévorement</t>
  </si>
  <si>
    <t>skyrim.esm|0BE248</t>
  </si>
  <si>
    <t>Marteau elfique de flambée</t>
  </si>
  <si>
    <t>skyrim.esm|0BE247</t>
  </si>
  <si>
    <t>Marteau elfique de flammes</t>
  </si>
  <si>
    <t>skyrim.esm|0BE24B</t>
  </si>
  <si>
    <t>Marteau elfique de frimas</t>
  </si>
  <si>
    <t>skyrim.esm|0BE24A</t>
  </si>
  <si>
    <t>Marteau elfique de givre</t>
  </si>
  <si>
    <t>skyrim.esm|0BE25A</t>
  </si>
  <si>
    <t>Marteau elfique de léthargie</t>
  </si>
  <si>
    <t>skyrim.esm|0BE257</t>
  </si>
  <si>
    <t>Marteau elfique de malédiction</t>
  </si>
  <si>
    <t>skyrim.esm|0BE23F</t>
  </si>
  <si>
    <t>Marteau elfique de moisson</t>
  </si>
  <si>
    <t>skyrim.esm|0BE240</t>
  </si>
  <si>
    <t>Marteau elfique de récolte</t>
  </si>
  <si>
    <t>skyrim.esm|0BE24D</t>
  </si>
  <si>
    <t>Marteau elfique de réduction</t>
  </si>
  <si>
    <t>skyrim.esm|0BE254</t>
  </si>
  <si>
    <t>Marteau elfique de tempête</t>
  </si>
  <si>
    <t>skyrim.esm|0BE246</t>
  </si>
  <si>
    <t>Marteau elfique de terreur</t>
  </si>
  <si>
    <t>skyrim.esm|0BE253</t>
  </si>
  <si>
    <t>Marteau elfique de tonnerre</t>
  </si>
  <si>
    <t>skyrim.esm|0BE259</t>
  </si>
  <si>
    <t>Marteau elfique de torpeur</t>
  </si>
  <si>
    <t>skyrim.esm|0BE23D</t>
  </si>
  <si>
    <t>Marteau elfique de transfusion</t>
  </si>
  <si>
    <t>skyrim.esm|0BE25D</t>
  </si>
  <si>
    <t>Marteau elfique saint</t>
  </si>
  <si>
    <t>skyrim.esm|0BE25C</t>
  </si>
  <si>
    <t>Marteau elfique sanctifié</t>
  </si>
  <si>
    <t>skyrim.esm|0BE25B</t>
  </si>
  <si>
    <t>Marteau elfique vertueux</t>
  </si>
  <si>
    <t>dragonborn.esm|01CDB3</t>
  </si>
  <si>
    <t>Marteau nordique</t>
  </si>
  <si>
    <t>dragonborn.esm|02827D</t>
  </si>
  <si>
    <t>Marteau nordique d'abattement</t>
  </si>
  <si>
    <t>dragonborn.esm|02829A</t>
  </si>
  <si>
    <t>Marteau nordique d'absorption</t>
  </si>
  <si>
    <t>dragonborn.esm|028299</t>
  </si>
  <si>
    <t>Marteau nordique d'amalgame</t>
  </si>
  <si>
    <t>dragonborn.esm|02827F</t>
  </si>
  <si>
    <t>Marteau nordique d'anathème</t>
  </si>
  <si>
    <t>dragonborn.esm|028290</t>
  </si>
  <si>
    <t>Marteau nordique d'angoisse</t>
  </si>
  <si>
    <t>dragonborn.esm|028283</t>
  </si>
  <si>
    <t>Marteau nordique d'éclairs</t>
  </si>
  <si>
    <t>dragonborn.esm|028294</t>
  </si>
  <si>
    <t>Marteau nordique d'engrangement</t>
  </si>
  <si>
    <t>dragonborn.esm|028297</t>
  </si>
  <si>
    <t>Marteau nordique d'évocation</t>
  </si>
  <si>
    <t>dragonborn.esm|028292</t>
  </si>
  <si>
    <t>Marteau nordique d'expulsion</t>
  </si>
  <si>
    <t>dragonborn.esm|028284</t>
  </si>
  <si>
    <t>Marteau nordique d'immobilisation</t>
  </si>
  <si>
    <t>dragonborn.esm|028285</t>
  </si>
  <si>
    <t>Marteau nordique d'inertie</t>
  </si>
  <si>
    <t>dragonborn.esm|02829C</t>
  </si>
  <si>
    <t>Marteau nordique d'ingestion</t>
  </si>
  <si>
    <t>dragonborn.esm|028293</t>
  </si>
  <si>
    <t>Marteau nordique de bannissement</t>
  </si>
  <si>
    <t>dragonborn.esm|028289</t>
  </si>
  <si>
    <t>Marteau nordique de blizzard</t>
  </si>
  <si>
    <t>dragonborn.esm|02828C</t>
  </si>
  <si>
    <t>Marteau nordique de brasier</t>
  </si>
  <si>
    <t>dragonborn.esm|028280</t>
  </si>
  <si>
    <t>Marteau nordique de capture</t>
  </si>
  <si>
    <t>dragonborn.esm|02C488</t>
  </si>
  <si>
    <t>Marteau nordique de chaos</t>
  </si>
  <si>
    <t>dragonborn.esm|02C48A</t>
  </si>
  <si>
    <t>Marteau nordique de chaos extrême</t>
  </si>
  <si>
    <t>dragonborn.esm|028291</t>
  </si>
  <si>
    <t>Marteau nordique de crainte</t>
  </si>
  <si>
    <t>dragonborn.esm|028286</t>
  </si>
  <si>
    <t>Marteau nordique de débilitation</t>
  </si>
  <si>
    <t>dragonborn.esm|028287</t>
  </si>
  <si>
    <t>Marteau nordique de dégradation</t>
  </si>
  <si>
    <t>dragonborn.esm|02829B</t>
  </si>
  <si>
    <t>Marteau nordique de dévorement</t>
  </si>
  <si>
    <t>dragonborn.esm|02828D</t>
  </si>
  <si>
    <t>Marteau nordique de flambée</t>
  </si>
  <si>
    <t>dragonborn.esm|02828E</t>
  </si>
  <si>
    <t>Marteau nordique de flammes</t>
  </si>
  <si>
    <t>dragonborn.esm|02828A</t>
  </si>
  <si>
    <t>Marteau nordique de frimas</t>
  </si>
  <si>
    <t>dragonborn.esm|02828B</t>
  </si>
  <si>
    <t>Marteau nordique de givre</t>
  </si>
  <si>
    <t>dragonborn.esm|02827B</t>
  </si>
  <si>
    <t>Marteau nordique de léthargie</t>
  </si>
  <si>
    <t>dragonborn.esm|02827E</t>
  </si>
  <si>
    <t>Marteau nordique de malédiction</t>
  </si>
  <si>
    <t>dragonborn.esm|028296</t>
  </si>
  <si>
    <t>Marteau nordique de moisson</t>
  </si>
  <si>
    <t>dragonborn.esm|02C489</t>
  </si>
  <si>
    <t>Marteau nordique de profond chaos</t>
  </si>
  <si>
    <t>dragonborn.esm|028295</t>
  </si>
  <si>
    <t>Marteau nordique de récolte</t>
  </si>
  <si>
    <t>dragonborn.esm|028288</t>
  </si>
  <si>
    <t>Marteau nordique de réduction</t>
  </si>
  <si>
    <t>dragonborn.esm|028281</t>
  </si>
  <si>
    <t>Marteau nordique de tempête</t>
  </si>
  <si>
    <t>dragonborn.esm|02828F</t>
  </si>
  <si>
    <t>Marteau nordique de terreur</t>
  </si>
  <si>
    <t>dragonborn.esm|028282</t>
  </si>
  <si>
    <t>Marteau nordique de tonnerre</t>
  </si>
  <si>
    <t>dragonborn.esm|02827C</t>
  </si>
  <si>
    <t>Marteau nordique de torpeur</t>
  </si>
  <si>
    <t>dragonborn.esm|028298</t>
  </si>
  <si>
    <t>Marteau nordique de transfusion</t>
  </si>
  <si>
    <t>dragonborn.esm|028278</t>
  </si>
  <si>
    <t>Marteau nordique saint</t>
  </si>
  <si>
    <t>dragonborn.esm|028279</t>
  </si>
  <si>
    <t>Marteau nordique sanctifié</t>
  </si>
  <si>
    <t>dragonborn.esm|02827A</t>
  </si>
  <si>
    <t>Marteau nordique vertueux</t>
  </si>
  <si>
    <t>skyrim.esm|013992</t>
  </si>
  <si>
    <t>Marteau orque</t>
  </si>
  <si>
    <t>skyrim.esm|0AA209</t>
  </si>
  <si>
    <t>Marteau orque béni</t>
  </si>
  <si>
    <t>skyrim.esm|0AA207</t>
  </si>
  <si>
    <t>Marteau orque d'abattement</t>
  </si>
  <si>
    <t>skyrim.esm|0AA1F6</t>
  </si>
  <si>
    <t>Marteau orque d'amalgame</t>
  </si>
  <si>
    <t>skyrim.esm|0AA1FD</t>
  </si>
  <si>
    <t>Marteau orque d'amenuisement</t>
  </si>
  <si>
    <t>skyrim.esm|0AA205</t>
  </si>
  <si>
    <t>Marteau orque d'anathème</t>
  </si>
  <si>
    <t>skyrim.esm|0AA1EF</t>
  </si>
  <si>
    <t>Marteau orque d'angoisse</t>
  </si>
  <si>
    <t>skyrim.esm|0AA201</t>
  </si>
  <si>
    <t>Marteau orque d'éclairs</t>
  </si>
  <si>
    <t>skyrim.esm|0AA1F2</t>
  </si>
  <si>
    <t>Marteau orque d'ingestion</t>
  </si>
  <si>
    <t>skyrim.esm|0AA1ED</t>
  </si>
  <si>
    <t>Marteau orque de brûlure</t>
  </si>
  <si>
    <t>skyrim.esm|0AA204</t>
  </si>
  <si>
    <t>Marteau orque de capture</t>
  </si>
  <si>
    <t>skyrim.esm|0AA1EE</t>
  </si>
  <si>
    <t>Marteau orque de crainte</t>
  </si>
  <si>
    <t>skyrim.esm|0AA200</t>
  </si>
  <si>
    <t>Marteau orque de décharge</t>
  </si>
  <si>
    <t>skyrim.esm|0AA1FF</t>
  </si>
  <si>
    <t>Marteau orque de dégradation</t>
  </si>
  <si>
    <t>skyrim.esm|0AA1F3</t>
  </si>
  <si>
    <t>Marteau orque de dévorement</t>
  </si>
  <si>
    <t>skyrim.esm|0AA1F1</t>
  </si>
  <si>
    <t>Marteau orque de flambée</t>
  </si>
  <si>
    <t>skyrim.esm|0AA1F0</t>
  </si>
  <si>
    <t>Marteau orque de flammes</t>
  </si>
  <si>
    <t>skyrim.esm|0AA1FC</t>
  </si>
  <si>
    <t>Marteau orque de frimas</t>
  </si>
  <si>
    <t>skyrim.esm|0AA1FB</t>
  </si>
  <si>
    <t>Marteau orque de givre</t>
  </si>
  <si>
    <t>skyrim.esm|0AA1FA</t>
  </si>
  <si>
    <t>Marteau orque de glace</t>
  </si>
  <si>
    <t>skyrim.esm|0AA1F5</t>
  </si>
  <si>
    <t>Marteau orque de glanure</t>
  </si>
  <si>
    <t>skyrim.esm|0AA206</t>
  </si>
  <si>
    <t>Marteau orque de lassitude</t>
  </si>
  <si>
    <t>skyrim.esm|0AA1F8</t>
  </si>
  <si>
    <t>Marteau orque de moisson</t>
  </si>
  <si>
    <t>skyrim.esm|0AA203</t>
  </si>
  <si>
    <t>Marteau orque de piège</t>
  </si>
  <si>
    <t>skyrim.esm|0AA1F9</t>
  </si>
  <si>
    <t>Marteau orque de récolte</t>
  </si>
  <si>
    <t>skyrim.esm|0AA1EB</t>
  </si>
  <si>
    <t>Marteau orque de recueil</t>
  </si>
  <si>
    <t>skyrim.esm|0AA1FE</t>
  </si>
  <si>
    <t>Marteau orque de réduction</t>
  </si>
  <si>
    <t>skyrim.esm|0AA1F4</t>
  </si>
  <si>
    <t>Marteau orque de siphonnage</t>
  </si>
  <si>
    <t>skyrim.esm|0AA202</t>
  </si>
  <si>
    <t>Marteau orque de tonnerre</t>
  </si>
  <si>
    <t>skyrim.esm|0AA208</t>
  </si>
  <si>
    <t>Marteau orque de torpeur</t>
  </si>
  <si>
    <t>skyrim.esm|0AA1F7</t>
  </si>
  <si>
    <t>Marteau orque de transfusion</t>
  </si>
  <si>
    <t>skyrim.esm|0AA1EC</t>
  </si>
  <si>
    <t>Marteau orque de veulerie</t>
  </si>
  <si>
    <t>skyrim.esm|0AA20B</t>
  </si>
  <si>
    <t>Marteau orque sanctifié</t>
  </si>
  <si>
    <t>skyrim.esm|0AA20A</t>
  </si>
  <si>
    <t>Marteau orque vertueux</t>
  </si>
  <si>
    <t>dawnguard.esm|011BAD</t>
  </si>
  <si>
    <t>Marteau runique de la Garde de l'aube</t>
  </si>
  <si>
    <t>skyrim.esm|0A69C4</t>
  </si>
  <si>
    <t>Masse d'acier bénie</t>
  </si>
  <si>
    <t>skyrim.esm|0A69C2</t>
  </si>
  <si>
    <t>Masse d'acier d'abattement</t>
  </si>
  <si>
    <t>skyrim.esm|0A69BB</t>
  </si>
  <si>
    <t>Masse d'acier d'amenuisement</t>
  </si>
  <si>
    <t>skyrim.esm|0A69BD</t>
  </si>
  <si>
    <t>Masse d'acier d'anima</t>
  </si>
  <si>
    <t>skyrim.esm|04B465</t>
  </si>
  <si>
    <t>Masse d'acier d'éclairs</t>
  </si>
  <si>
    <t>skyrim.esm|04B463</t>
  </si>
  <si>
    <t>Masse d'acier d'étincelles</t>
  </si>
  <si>
    <t>skyrim.esm|04B454</t>
  </si>
  <si>
    <t>Masse d'acier d'incandescence</t>
  </si>
  <si>
    <t>skyrim.esm|0A69B8</t>
  </si>
  <si>
    <t>Masse d'acier d'intimidation</t>
  </si>
  <si>
    <t>skyrim.esm|04B455</t>
  </si>
  <si>
    <t>Masse d'acier de brûlure</t>
  </si>
  <si>
    <t>skyrim.esm|0A69BF</t>
  </si>
  <si>
    <t>Masse d'acier de capture</t>
  </si>
  <si>
    <t>skyrim.esm|0A69C8</t>
  </si>
  <si>
    <t>Masse d'acier de crainte</t>
  </si>
  <si>
    <t>skyrim.esm|04B464</t>
  </si>
  <si>
    <t>Masse d'acier de décharge</t>
  </si>
  <si>
    <t>skyrim.esm|0A69C0</t>
  </si>
  <si>
    <t>Masse d'acier de fatigue</t>
  </si>
  <si>
    <t>skyrim.esm|04B456</t>
  </si>
  <si>
    <t>Masse d'acier de flammes</t>
  </si>
  <si>
    <t>skyrim.esm|04B45A</t>
  </si>
  <si>
    <t>Masse d'acier de frisson</t>
  </si>
  <si>
    <t>Détenu</t>
  </si>
  <si>
    <t>skyrim.esm|04B45C</t>
  </si>
  <si>
    <t>Masse d'acier de givre</t>
  </si>
  <si>
    <t>Cellule</t>
  </si>
  <si>
    <t>skyrim.esm|04B45B</t>
  </si>
  <si>
    <t>Masse d'acier de glace</t>
  </si>
  <si>
    <t>skyrim.esm|0A69C1</t>
  </si>
  <si>
    <t>Durée prévue</t>
  </si>
  <si>
    <t>Masse d'acier de lassitude</t>
  </si>
  <si>
    <t>Heure d'entrée</t>
  </si>
  <si>
    <t>skyrim.esm|0A69BE</t>
  </si>
  <si>
    <t>Masse d'acier de piège</t>
  </si>
  <si>
    <t>Heure de sortie prévue</t>
  </si>
  <si>
    <t>skyrim.esm|0A69BC</t>
  </si>
  <si>
    <t>Masse d'acier de réduction</t>
  </si>
  <si>
    <t>Libéré</t>
  </si>
  <si>
    <t>skyrim.esm|0A69BA</t>
  </si>
  <si>
    <t>Masse d'acier de sape</t>
  </si>
  <si>
    <t>skyrim.esm|0A69B9</t>
  </si>
  <si>
    <t>Masse d'acier de veulerie</t>
  </si>
  <si>
    <t>skyrim.esm|03B0B6</t>
  </si>
  <si>
    <t>Masse d'acier lunaire</t>
  </si>
  <si>
    <t>Saisies sur la personne</t>
  </si>
  <si>
    <t>Motif / Notes</t>
  </si>
  <si>
    <t>skyrim.esm|03B0B9</t>
  </si>
  <si>
    <t>skyrim.esm|03B0BC</t>
  </si>
  <si>
    <t>skyrim.esm|0A69C3</t>
  </si>
  <si>
    <t>Masse d'acier pieuse</t>
  </si>
  <si>
    <t>skyrim.esm|0A69C5</t>
  </si>
  <si>
    <t>Masse d'acier vertueuse</t>
  </si>
  <si>
    <t>skyrim.esm|0139B0</t>
  </si>
  <si>
    <t>Masse d'ébonite</t>
  </si>
  <si>
    <t>skyrim.esm|01CEE2</t>
  </si>
  <si>
    <t>Masse d'ébonite d'absorption</t>
  </si>
  <si>
    <t>skyrim.esm|01D083</t>
  </si>
  <si>
    <t>Masse d'ébonite d'anathème</t>
  </si>
  <si>
    <t>skyrim.esm|01CFB0</t>
  </si>
  <si>
    <t>Masse d'ébonite d'angoisse</t>
  </si>
  <si>
    <t>skyrim.esm|01CF78</t>
  </si>
  <si>
    <t>Masse d'ébonite d'annihilation</t>
  </si>
  <si>
    <t>skyrim.esm|01CF31</t>
  </si>
  <si>
    <t>Masse d'ébonite d'assimilation</t>
  </si>
  <si>
    <t>skyrim.esm|01CFB3</t>
  </si>
  <si>
    <t>Lokir Bjornson</t>
  </si>
  <si>
    <t>Masse d'ébonite d'effroi</t>
  </si>
  <si>
    <t>skyrim.esm|01CF2E</t>
  </si>
  <si>
    <t>Masse d'ébonite d'engrangement</t>
  </si>
  <si>
    <t>skyrim.esm|01D4B3</t>
  </si>
  <si>
    <t>Masse d'ébonite d'épuisement</t>
  </si>
  <si>
    <t>skyrim.esm|01CEE6</t>
  </si>
  <si>
    <t>Masse d'ébonite d'évocation</t>
  </si>
  <si>
    <t>skyrim.esm|01CF77</t>
  </si>
  <si>
    <t>Art. 71 — De la désertion</t>
  </si>
  <si>
    <t>Masse d'ébonite d'expulsion</t>
  </si>
  <si>
    <t>skyrim.esm|01CFD8</t>
  </si>
  <si>
    <t>Masse d'ébonite d'immobilisation</t>
  </si>
  <si>
    <t>skyrim.esm|01CFBB</t>
  </si>
  <si>
    <t>Masse d'ébonite d'incinération</t>
  </si>
  <si>
    <t>skyrim.esm|01CFD4</t>
  </si>
  <si>
    <t>Masse d'ébonite d'inertie</t>
  </si>
  <si>
    <t>skyrim.esm|01CF5C</t>
  </si>
  <si>
    <t>Masse d'ébonite de bannissement</t>
  </si>
  <si>
    <t>Ancient Nord Sword
Bouclier 'acier
Casque d'acier à cornes
Nord Hero Sword
Northern Steel Armor
Steel Cuffed Boots
Steel Nordic Gauntlets
Bourse de 5460 septimes</t>
  </si>
  <si>
    <t>skyrim.esm|01CFC8</t>
  </si>
  <si>
    <t>Masse d'ébonite de blizzard</t>
  </si>
  <si>
    <t>La bourse serai celle de la compagnie de l'écaille 
Rapport réalisé en présence de Kedall Delamre et Wulfgar Durrock.</t>
  </si>
  <si>
    <t>skyrim.esm|01CFB9</t>
  </si>
  <si>
    <t>Masse d'ébonite de brasier</t>
  </si>
  <si>
    <t>skyrim.esm|01D098</t>
  </si>
  <si>
    <t>Masse d'ébonite de damnation</t>
  </si>
  <si>
    <t>Alicia</t>
  </si>
  <si>
    <t>skyrim.esm|01CFD1</t>
  </si>
  <si>
    <t>Masse d'ébonite de débilitation</t>
  </si>
  <si>
    <t>Art. 79 — De l’usage de faux</t>
  </si>
  <si>
    <t>skyrim.esm|01CFCD</t>
  </si>
  <si>
    <t>Masse d'ébonite de dégradation</t>
  </si>
  <si>
    <t>skyrim.esm|01CECE</t>
  </si>
  <si>
    <t>[{"id":"skyrim.esm|07A91A","nom":"Cimeterre","quantite":1},{"id":"skyrim.esm|0D8E3F","nom":"Sucrelune","quantite":7}]</t>
  </si>
  <si>
    <t>Masse d'ébonite de dévorement</t>
  </si>
  <si>
    <t>Pour contrebande + usage de faux (se faire passer pour une personne en mission par le penitus) 350 septims.
La Cimeterre est dans le tonneau des réquisitions prisonniers, et sera rendue seulement si la personne ramène les 350 septims.</t>
  </si>
  <si>
    <t>skyrim.esm|01CFB4</t>
  </si>
  <si>
    <t>Masse d'ébonite de flambée</t>
  </si>
  <si>
    <t>skyrim.esm|01CFC0</t>
  </si>
  <si>
    <t>Le petit con [ 2D19B ]</t>
  </si>
  <si>
    <t>Masse d'ébonite de frimas</t>
  </si>
  <si>
    <t>skyrim.esm|01D082</t>
  </si>
  <si>
    <t>Masse d'ébonite de fulguration</t>
  </si>
  <si>
    <t>skyrim.esm|01CFCA</t>
  </si>
  <si>
    <t>Masse d'ébonite de glaciation</t>
  </si>
  <si>
    <t>skyrim.esm|01D49F</t>
  </si>
  <si>
    <t>Masse d'ébonite de léthargie</t>
  </si>
  <si>
    <t>skyrim.esm|01D097</t>
  </si>
  <si>
    <t>Masse d'ébonite de malédiction</t>
  </si>
  <si>
    <t>La saisie a été effectuer par Illflynn voir avec lui. 
Prie Talos. 
Tentative de fuite a plusieurs reprises contre des gardes armés avec les armes en mains. 
Refus de donner l'intégralité de ses biens. 
Donne des coups de poings. 
Non respect des tortures.</t>
  </si>
  <si>
    <t>skyrim.esm|01CFDE</t>
  </si>
  <si>
    <t>Masse d'ébonite de pétrification</t>
  </si>
  <si>
    <t>skyrim.esm|01CF00</t>
  </si>
  <si>
    <t>Masse d'ébonite de récolte</t>
  </si>
  <si>
    <t>Gael Loïc</t>
  </si>
  <si>
    <t>skyrim.esm|01CEEA</t>
  </si>
  <si>
    <t>Motif personnalisé — Il a couru vers le trône du Jarl malgré les sommations de s’arrêter.
Nouvel arrivant en Bordeciel.</t>
  </si>
  <si>
    <t>Masse d'ébonite de sorcellerie</t>
  </si>
  <si>
    <t>skyrim.esm|01CFD2</t>
  </si>
  <si>
    <t>Masse d'ébonite de suppression</t>
  </si>
  <si>
    <t>[{"id":"skyrim.esm|02F2F4","nom":"Hache de bûcheron","quantite":1},{"id":"skyrim.esm|0E3C16","nom":"Pioche","quantite":1}]</t>
  </si>
  <si>
    <t>skyrim.esm|01D062</t>
  </si>
  <si>
    <t>Il passera le balais dans les geôles une heure</t>
  </si>
  <si>
    <t>Masse d'ébonite de tempête</t>
  </si>
  <si>
    <t>skyrim.esm|01CFB2</t>
  </si>
  <si>
    <t>Masse d'ébonite de terreur</t>
  </si>
  <si>
    <t>Lokir</t>
  </si>
  <si>
    <t>skyrim.esm|01CFDF</t>
  </si>
  <si>
    <t>Masse d'ébonite de tonnerre</t>
  </si>
  <si>
    <t>Motif personnalisé — Mis aux arrêts sur ordre du Jarl, pour avoir lancé un avis de recherche sur S’karr.
Affaire gérée par la Hird et la cour, un procès serait prévu ce soir.
Mis en cellule par Caelir Vaelion.</t>
  </si>
  <si>
    <t>skyrim.esm|01D3ED</t>
  </si>
  <si>
    <t>Masse d'ébonite de torpeur</t>
  </si>
  <si>
    <t>skyrim.esm|01CEE4</t>
  </si>
  <si>
    <t>Masse d'ébonite de transfusion</t>
  </si>
  <si>
    <t>skyrim.esm|01CEE3</t>
  </si>
  <si>
    <t>Masse d'ébonite de vampirisme</t>
  </si>
  <si>
    <t>skyrim.esm|01D4D4</t>
  </si>
  <si>
    <t>Masse d'ébonite sacrée</t>
  </si>
  <si>
    <t>Altor brise dent</t>
  </si>
  <si>
    <t>skyrim.esm|01D4B6</t>
  </si>
  <si>
    <t>Masse d'ébonite sainte</t>
  </si>
  <si>
    <t>Motif personnalisé — Altor Brise-Dent ne s’est présenté à aucun des deux jugements auxquels il avait pourtant préalablement confirmé sa présence.altor s'est rendu de son plein gré à la garde pour se justifier et a collaboré sans aucun problème, en attente de jugement</t>
  </si>
  <si>
    <t>skyrim.esm|01D4B4</t>
  </si>
  <si>
    <t>Masse d'ébonite sanctifiée</t>
  </si>
  <si>
    <t>dawnguard.esm|014FCD</t>
  </si>
  <si>
    <t>Masse d'os de dragon</t>
  </si>
  <si>
    <t>skyrim.esm|0139B8</t>
  </si>
  <si>
    <t>Masse daedra</t>
  </si>
  <si>
    <t>Elerim</t>
  </si>
  <si>
    <t>skyrim.esm|028DC9</t>
  </si>
  <si>
    <t>Motif personnalisé — Mis en geôles pour suspicion d’appartenir au culte de Vermina.
Identifié par Astrid Lame-Fine.</t>
  </si>
  <si>
    <t>Masse daedra d'absorption</t>
  </si>
  <si>
    <t>skyrim.esm|028DFF</t>
  </si>
  <si>
    <t>Masse daedra d'anathème</t>
  </si>
  <si>
    <t>skyrim.esm|028DE5</t>
  </si>
  <si>
    <t>Masse daedra d'angoisse</t>
  </si>
  <si>
    <t>Resté une heure en geôle le temps que les vigiles soient prévenus, puis un peu moins d’une heure pour l’interroger et délibérer. Après un interrogatoire Il a été jugé que les preuves n’étaient pas assez conséquentes pour le garder en geôles ou prouver qu’il soit lié de près ou de loin au culte.
Néanmoins, les vigiles pensent tout comme moi qu’il est louche et qu’il faut le surveiller. Je pense aussi qu’il a menti.</t>
  </si>
  <si>
    <t>skyrim.esm|028DE4</t>
  </si>
  <si>
    <t>Masse daedra d'annihilation</t>
  </si>
  <si>
    <t>Craknar</t>
  </si>
  <si>
    <t>skyrim.esm|028DE1</t>
  </si>
  <si>
    <t>Masse daedra d'assimilation</t>
  </si>
  <si>
    <t>skyrim.esm|028DE7</t>
  </si>
  <si>
    <t>Masse daedra d'effroi</t>
  </si>
  <si>
    <t>Art. 35 — De l’intrusion en propriété privée intérieure</t>
  </si>
  <si>
    <t>skyrim.esm|028DDF</t>
  </si>
  <si>
    <t>Masse daedra d'engrangement</t>
  </si>
  <si>
    <t>skyrim.esm|028E5D</t>
  </si>
  <si>
    <t>[{"id":"skyrim.esm|068C79","nom":"Nord Hero Battle Axe","quantite":1},{"id":"sentinel.esp|000849","nom":"Bosmer Mask","quantite":1}]</t>
  </si>
  <si>
    <t>Masse daedra d'épuisement</t>
  </si>
  <si>
    <t>skyrim.esm|028DDB</t>
  </si>
  <si>
    <t>Masse daedra d'évocation</t>
  </si>
  <si>
    <t>Ra'zina</t>
  </si>
  <si>
    <t>skyrim.esm|028DE3</t>
  </si>
  <si>
    <t>Masse daedra d'expulsion</t>
  </si>
  <si>
    <t>Motif personnalisé — Art. 35 — De l’intrusion en propriété privée intérieure
Art. 17 - De la rébellion
Art. 16 - Des menaces aggravées</t>
  </si>
  <si>
    <t>skyrim.esm|028DF2</t>
  </si>
  <si>
    <t>Masse daedra d'immobilisation</t>
  </si>
  <si>
    <t>skyrim.esm|028DEA</t>
  </si>
  <si>
    <t>Masse daedra d'incinération</t>
  </si>
  <si>
    <t>[{"id":"","nom":"arbalette","quantite":1,"libre":true},{"id":"","nom":"Tenu khajiit","quantite":1,"libre":true},{"id":"","nom":"potion invibilité","quantite":1,"libre":true},{"id":"","nom":"potion de soin","quantite":1,"libre":true},{"id":"","nom":"lame bosmer","quantite":2,"libre":true}]</t>
  </si>
  <si>
    <t>skyrim.esm|028DF1</t>
  </si>
  <si>
    <t>Masse daedra d'inertie</t>
  </si>
  <si>
    <t>skyrim.esm|028DE2</t>
  </si>
  <si>
    <t>Masse daedra de bannissement</t>
  </si>
  <si>
    <t>skyrim.esm|028DEC</t>
  </si>
  <si>
    <t>Masse daedra de blizzard</t>
  </si>
  <si>
    <t>skyrim.esm|028DE9</t>
  </si>
  <si>
    <t>Masse daedra de brasier</t>
  </si>
  <si>
    <t>[{"id":"","nom":"Crochet","quantite":95,"libre":true},{"id":"","nom":"Potion invisibilité prolongé","quantite":1,"libre":true},{"id":"","nom":"Tenue Khajiit","quantite":1,"libre":true}]</t>
  </si>
  <si>
    <t>skyrim.esm|028E28</t>
  </si>
  <si>
    <t>Masse daedra de damnation</t>
  </si>
  <si>
    <t>skyrim.esm|028DEF</t>
  </si>
  <si>
    <t>Masse daedra de débilitation</t>
  </si>
  <si>
    <t>Erik Marche-Brume</t>
  </si>
  <si>
    <t>skyrim.esm|028DEE</t>
  </si>
  <si>
    <t>Motif personnalisé — Article 115 : Du port du masque
Article 63 : Du refus d'obtempérer</t>
  </si>
  <si>
    <t>Masse daedra de dégradation</t>
  </si>
  <si>
    <t>skyrim.esm|028DC6</t>
  </si>
  <si>
    <t>Masse daedra de dévorement</t>
  </si>
  <si>
    <t>skyrim.esm|028DE8</t>
  </si>
  <si>
    <t>Masse daedra de flambée</t>
  </si>
  <si>
    <t>skyrim.esm|028DEB</t>
  </si>
  <si>
    <t>Grabouille</t>
  </si>
  <si>
    <t>Masse daedra de frimas</t>
  </si>
  <si>
    <t>skyrim.esm|028DF7</t>
  </si>
  <si>
    <t>Masse daedra de fulguration</t>
  </si>
  <si>
    <t>Art. 57 — Du trouble à l’ordre public</t>
  </si>
  <si>
    <t>skyrim.esm|028DED</t>
  </si>
  <si>
    <t>Masse daedra de glaciation</t>
  </si>
  <si>
    <t>skyrim.esm|028E33</t>
  </si>
  <si>
    <t>Masse daedra de léthargie</t>
  </si>
  <si>
    <t>45min de balais dans les geôles pour avoir embêté le Bazar, avoir posé des questions gênante à la marchande, grimpé aux poutre et ne voulait pas sortir.</t>
  </si>
  <si>
    <t>skyrim.esm|028E00</t>
  </si>
  <si>
    <t>Masse daedra de malédiction</t>
  </si>
  <si>
    <t xml:space="preserve">Selene </t>
  </si>
  <si>
    <t>skyrim.esm|028DF4</t>
  </si>
  <si>
    <t>Oswald Mandus</t>
  </si>
  <si>
    <t>Masse daedra de pétrification</t>
  </si>
  <si>
    <t>skyrim.esm|028DDE</t>
  </si>
  <si>
    <t>Masse daedra de récolte</t>
  </si>
  <si>
    <t>skyrim.esm|028DDC</t>
  </si>
  <si>
    <t>Motif personnalisé — *note supplémentaire ajouté*
**suivant le Codex de Blancherive**
Article 14 - De l'usurpation d'identité
Article 15 - Des menaces
Article 16 - Des menaces aggravées
Article 22 - Des violences et agressions simples
Article 23 - Des violences et agressions aggravées
Article 29 - De la torture, de la mutilation et de la barbarie
Article 51 - De l'usurpation de fonction
Article 54 - De la dissimulation du visage 
Article 57 - Du trouble à l'ordre public
Article 63 - Du refus d'obtempérer 
**Suivant le Decretum de Restitutione Bonorum Imperii**
Article III De l'acquisition illégale, non respecté</t>
  </si>
  <si>
    <t>Masse daedra de sorcellerie</t>
  </si>
  <si>
    <t>skyrim.esm|028DF0</t>
  </si>
  <si>
    <t>Masse daedra de suppression</t>
  </si>
  <si>
    <t>skyrim.esm|028DF6</t>
  </si>
  <si>
    <t>[{"id":"skyrim.esm|01BE1B","nom":"Bottes","quantite":1},{"id":"sentinel.esp|000849","nom":"Bosmer Mask","quantite":1},{"id":"skyrim.esm|013999","nom":"Épée dwemer","quantite":1},{"id":"skyrim.esm|06F393","nom":"Armure de fourrure","quantite":1},{"id":"morecraftableequipment.esp|00083C","nom":"Grey Cowl","quantite":1},{"id":"skyrim.esm|06C1DA","nom":"Vêtements","quantite":1},{"id":"skyrim.esm|0877AB","nom":"Anneau d'argent et de grenat","quantite":2},{"id":"","nom":"Baton de Foi","quantite":1,"libre":true},{"id":"","nom":"Épée Falmer","quantite":1,"libre":true},{"id":"","nom":"capuche Rogueswood","quantite":1,"libre":true},{"id":"","nom":"Leather cape","quantite":1,"libre":true}]</t>
  </si>
  <si>
    <t>Masse daedra de tempête</t>
  </si>
  <si>
    <t>le bâton de magie de foi ; 
 l’épée dwemer ; 
 ainsi que l’équipement bosmer retrouvé en sa possession sans licence</t>
  </si>
  <si>
    <t>skyrim.esm|028DE6</t>
  </si>
  <si>
    <t>Masse daedra de terreur</t>
  </si>
  <si>
    <t>skyrim.esm|028DF5</t>
  </si>
  <si>
    <t>Masse daedra de tonnerre</t>
  </si>
  <si>
    <t>skyrim.esm|028E32</t>
  </si>
  <si>
    <t>Masse daedra de torpeur</t>
  </si>
  <si>
    <t>skyrim.esm|028DD9</t>
  </si>
  <si>
    <t>Motif personnalisé — Article 74</t>
  </si>
  <si>
    <t>Masse daedra de transfusion</t>
  </si>
  <si>
    <t>skyrim.esm|028DD4</t>
  </si>
  <si>
    <t>Masse daedra de vampirisme</t>
  </si>
  <si>
    <t>skyrim.esm|028E76</t>
  </si>
  <si>
    <t>Article 74 outrage à la cour, la garde et la chatelerie.</t>
  </si>
  <si>
    <t>Masse daedra sacrée</t>
  </si>
  <si>
    <t>Runar Corbois</t>
  </si>
  <si>
    <t>2eme a gauche en rentrant par salle du trône</t>
  </si>
  <si>
    <t>Motif personnalisé — Suspicion complicité de l'assassinat de Zandalar</t>
  </si>
  <si>
    <t>skyrim.esm|028E75</t>
  </si>
  <si>
    <t>Masse daedra sainte</t>
  </si>
  <si>
    <t>skyrim.esm|028E6A</t>
  </si>
  <si>
    <t>Masse daedra sanctifiée</t>
  </si>
  <si>
    <t>skyrim.esm|013982</t>
  </si>
  <si>
    <t>Masse de fer</t>
  </si>
  <si>
    <t>[{"id":"sentinel.esp|000912","nom":"Large Fur Collar","quantite":1},{"id":"skyrim.esm|086985","nom":"Casque d'officier des Sombrages","quantite":1},{"id":"skyrim.esm|03EB12","nom":"Breuvage de récupération","quantite":1},{"id":"skyrim.esm|03EB11","nom":"Potion de récupération","quantite":1},{"id":"skyrim.esm|03EB02","nom":"Potion de force","quantite":1},{"id":"sentinel.esp|0008B9","nom":"Stormcloak Heavy Lamellar Boots","quantite":1},{"id":"sentinel.esp|0008C4","nom":"Stormcloak Heavy Lamellar Gauntlets","quantite":1},{"id":"sentinel.esp|000B33","nom":"Bosmer Bow","quantite":1},{"id":"skyrim.esm|01397F","nom":"Flèche d'acier","quantite":219},{"id":"skyrim.esm|013984","nom":"Hache d'armes d'acier","quantite":1},{"id":"commonclothes.esp|001874","nom":"Leather Doublet","quantite":1}]</t>
  </si>
  <si>
    <t>skyrim.esm|05BEF5</t>
  </si>
  <si>
    <t>En cellule jusqu'à son jugement.</t>
  </si>
  <si>
    <t>Masse de fer bénie</t>
  </si>
  <si>
    <t>skyrim.esm|05B47C</t>
  </si>
  <si>
    <t>Masse de fer d'abattement</t>
  </si>
  <si>
    <t>Orel le dévastateur</t>
  </si>
  <si>
    <t>skyrim.esm|05B472</t>
  </si>
  <si>
    <t>Motif personnalisé — Soupçon d'être un vampire, porte du masque, racket.</t>
  </si>
  <si>
    <t>Masse de fer d'amenuisement</t>
  </si>
  <si>
    <t>skyrim.esm|05D176</t>
  </si>
  <si>
    <t>Masse de fer d'anima</t>
  </si>
  <si>
    <t>[{"id":"","nom":"Arc orc, capuche noir","quantite":1,"libre":true}]</t>
  </si>
  <si>
    <t>skyrim.esm|04B154</t>
  </si>
  <si>
    <t>Orsimer qui manipule la magie probablement Galgarot ou l'un de ces fils.
ORDRE DE GHORBASH: ne pas rentrer dans la cellule sans la présence d'un vigile.
ON ATTEND LES VIGILES</t>
  </si>
  <si>
    <t>Masse de fer d'éclairs</t>
  </si>
  <si>
    <t>skyrim.esm|04B152</t>
  </si>
  <si>
    <t>Masse de fer d'étincelles</t>
  </si>
  <si>
    <t>Le dévastateur</t>
  </si>
  <si>
    <t>skyrim.esm|04B14C</t>
  </si>
  <si>
    <t>Masse de fer d'incandescence</t>
  </si>
  <si>
    <t>Motif personnalisé — -Menaces aggravées
-Suspicion vampirique
-Rakhet</t>
  </si>
  <si>
    <t>skyrim.esm|089711</t>
  </si>
  <si>
    <t>Masse de fer d'intimidation</t>
  </si>
  <si>
    <t>[{"id":"","nom":"Black Cowl","quantite":1,"libre":true},{"id":"","nom":"Arc orque","quantite":1,"libre":true}]</t>
  </si>
  <si>
    <t>skyrim.esm|04B14D</t>
  </si>
  <si>
    <t>En attente de la garde de l'aube</t>
  </si>
  <si>
    <t>Masse de fer de brûlure</t>
  </si>
  <si>
    <t>skyrim.esm|0896DF</t>
  </si>
  <si>
    <t>Masse de fer de capture</t>
  </si>
  <si>
    <t>skyrim.esm|089713</t>
  </si>
  <si>
    <t>Masse de fer de crainte</t>
  </si>
  <si>
    <t>skyrim.esm|04B153</t>
  </si>
  <si>
    <t>Masse de fer de décharge</t>
  </si>
  <si>
    <t>skyrim.esm|05B47A</t>
  </si>
  <si>
    <t>Masse de fer de fatigue</t>
  </si>
  <si>
    <t>skyrim.esm|04B14E</t>
  </si>
  <si>
    <t>Masse de fer de flammes</t>
  </si>
  <si>
    <t>skyrim.esm|04B14F</t>
  </si>
  <si>
    <t>Masse de fer de frisson</t>
  </si>
  <si>
    <t>skyrim.esm|04B151</t>
  </si>
  <si>
    <t>Masse de fer de givre</t>
  </si>
  <si>
    <t>skyrim.esm|04B150</t>
  </si>
  <si>
    <t>Masse de fer de glace</t>
  </si>
  <si>
    <t>skyrim.esm|05B47B</t>
  </si>
  <si>
    <t>Masse de fer de lassitude</t>
  </si>
  <si>
    <t>skyrim.esm|0896DE</t>
  </si>
  <si>
    <t>Masse de fer de piège</t>
  </si>
  <si>
    <t>skyrim.esm|05B473</t>
  </si>
  <si>
    <t>Masse de fer de réduction</t>
  </si>
  <si>
    <t>skyrim.esm|05B471</t>
  </si>
  <si>
    <t>Masse de fer de sape</t>
  </si>
  <si>
    <t>skyrim.esm|089712</t>
  </si>
  <si>
    <t>Masse de fer de veulerie</t>
  </si>
  <si>
    <t>skyrim.esm|03B0BF</t>
  </si>
  <si>
    <t>Masse de fer lunaire</t>
  </si>
  <si>
    <t>skyrim.esm|03B0C0</t>
  </si>
  <si>
    <t>skyrim.esm|03B0C1</t>
  </si>
  <si>
    <t>skyrim.esm|05BEF4</t>
  </si>
  <si>
    <t>Masse de fer pieuse</t>
  </si>
  <si>
    <t>skyrim.esm|05BEF6</t>
  </si>
  <si>
    <t>Masse de fer vertueuse</t>
  </si>
  <si>
    <t>skyrim.esm|0233E3</t>
  </si>
  <si>
    <t>Masse de Molag Bal</t>
  </si>
  <si>
    <t>dragonborn.esm|028431</t>
  </si>
  <si>
    <t>Masse de stalhrim d'absorption</t>
  </si>
  <si>
    <t>dragonborn.esm|028414</t>
  </si>
  <si>
    <t>Masse de stalhrim d'anathème</t>
  </si>
  <si>
    <t>dragonborn.esm|028426</t>
  </si>
  <si>
    <t>Masse de stalhrim d'angoisse</t>
  </si>
  <si>
    <t>dragonborn.esm|028427</t>
  </si>
  <si>
    <t>Masse de stalhrim d'annihilation</t>
  </si>
  <si>
    <t>dragonborn.esm|02842A</t>
  </si>
  <si>
    <t>Masse de stalhrim d'assimilation</t>
  </si>
  <si>
    <t>dragonborn.esm|028424</t>
  </si>
  <si>
    <t>Masse de stalhrim d'effroi</t>
  </si>
  <si>
    <t>dragonborn.esm|02842B</t>
  </si>
  <si>
    <t>Masse de stalhrim d'engrangement</t>
  </si>
  <si>
    <t>dragonborn.esm|02840F</t>
  </si>
  <si>
    <t>Masse de stalhrim d'épuisement</t>
  </si>
  <si>
    <t>dragonborn.esm|02842E</t>
  </si>
  <si>
    <t>Masse de stalhrim d'évocation</t>
  </si>
  <si>
    <t>dragonborn.esm|028428</t>
  </si>
  <si>
    <t>Masse de stalhrim d'expulsion</t>
  </si>
  <si>
    <t>dragonborn.esm|028419</t>
  </si>
  <si>
    <t>Masse de stalhrim d'immobilisation</t>
  </si>
  <si>
    <t>dragonborn.esm|02841A</t>
  </si>
  <si>
    <t>Masse de stalhrim d'inertie</t>
  </si>
  <si>
    <t>dragonborn.esm|028429</t>
  </si>
  <si>
    <t>Masse de stalhrim de bannissement</t>
  </si>
  <si>
    <t>dragonborn.esm|02841F</t>
  </si>
  <si>
    <t>Masse de stalhrim de blizzard</t>
  </si>
  <si>
    <t>dragonborn.esm|028422</t>
  </si>
  <si>
    <t>Masse de stalhrim de chaos extrême</t>
  </si>
  <si>
    <t>dragonborn.esm|028421</t>
  </si>
  <si>
    <t>Masse de stalhrim de chaos ultime</t>
  </si>
  <si>
    <t>dragonborn.esm|028412</t>
  </si>
  <si>
    <t>Masse de stalhrim de damnation</t>
  </si>
  <si>
    <t>dragonborn.esm|02841C</t>
  </si>
  <si>
    <t>Masse de stalhrim de débilitation</t>
  </si>
  <si>
    <t>dragonborn.esm|02841D</t>
  </si>
  <si>
    <t>Masse de stalhrim de dégradation</t>
  </si>
  <si>
    <t>dragonborn.esm|028432</t>
  </si>
  <si>
    <t>Masse de stalhrim de dévorement</t>
  </si>
  <si>
    <t>dragonborn.esm|028420</t>
  </si>
  <si>
    <t>Masse de stalhrim de frimas</t>
  </si>
  <si>
    <t>dragonborn.esm|028415</t>
  </si>
  <si>
    <t>Masse de stalhrim de fulguration</t>
  </si>
  <si>
    <t>dragonborn.esm|02841E</t>
  </si>
  <si>
    <t>Masse de stalhrim de glaciation</t>
  </si>
  <si>
    <t>dragonborn.esm|028410</t>
  </si>
  <si>
    <t>Masse de stalhrim de léthargie</t>
  </si>
  <si>
    <t>dragonborn.esm|028413</t>
  </si>
  <si>
    <t>Masse de stalhrim de malédiction</t>
  </si>
  <si>
    <t>dragonborn.esm|028418</t>
  </si>
  <si>
    <t>Masse de stalhrim de pétrification</t>
  </si>
  <si>
    <t>dragonborn.esm|028423</t>
  </si>
  <si>
    <t>Masse de stalhrim de profond chaos</t>
  </si>
  <si>
    <t>dragonborn.esm|02842C</t>
  </si>
  <si>
    <t>Masse de stalhrim de récolte</t>
  </si>
  <si>
    <t>dragonborn.esm|02842D</t>
  </si>
  <si>
    <t>Masse de stalhrim de sorcellerie</t>
  </si>
  <si>
    <t>dragonborn.esm|02841B</t>
  </si>
  <si>
    <t>Masse de stalhrim de suppression</t>
  </si>
  <si>
    <t>dragonborn.esm|028416</t>
  </si>
  <si>
    <t>Masse de stalhrim de tempête</t>
  </si>
  <si>
    <t>dragonborn.esm|028425</t>
  </si>
  <si>
    <t>Masse de stalhrim de terreur</t>
  </si>
  <si>
    <t>dragonborn.esm|028417</t>
  </si>
  <si>
    <t>Masse de stalhrim de tonnerre</t>
  </si>
  <si>
    <t>dragonborn.esm|028411</t>
  </si>
  <si>
    <t>Masse de stalhrim de torpeur</t>
  </si>
  <si>
    <t>dragonborn.esm|02842F</t>
  </si>
  <si>
    <t>Masse de stalhrim de transfusion</t>
  </si>
  <si>
    <t>dragonborn.esm|028430</t>
  </si>
  <si>
    <t>Masse de stalhrim de vampirisme</t>
  </si>
  <si>
    <t>dragonborn.esm|02840C</t>
  </si>
  <si>
    <t>Masse de stalhrim sacrée</t>
  </si>
  <si>
    <t>dragonborn.esm|02840D</t>
  </si>
  <si>
    <t>Masse de stalhrim sainte</t>
  </si>
  <si>
    <t>dragonborn.esm|02840E</t>
  </si>
  <si>
    <t>Masse de stalhrim sanctifiée</t>
  </si>
  <si>
    <t>skyrim.esm|0139A8</t>
  </si>
  <si>
    <t>Masse de verre</t>
  </si>
  <si>
    <t>skyrim.esm|0BEF4E</t>
  </si>
  <si>
    <t>Masse de verre d'abattement</t>
  </si>
  <si>
    <t>skyrim.esm|0BEF32</t>
  </si>
  <si>
    <t>Masse de verre d'absorption</t>
  </si>
  <si>
    <t>skyrim.esm|0BEF33</t>
  </si>
  <si>
    <t>Masse de verre d'amalgame</t>
  </si>
  <si>
    <t>skyrim.esm|0BEF4C</t>
  </si>
  <si>
    <t>Masse de verre d'anathème</t>
  </si>
  <si>
    <t>skyrim.esm|0BEF3C</t>
  </si>
  <si>
    <t>Masse de verre d'angoisse</t>
  </si>
  <si>
    <t>skyrim.esm|0BEF48</t>
  </si>
  <si>
    <t>Masse de verre d'éclairs</t>
  </si>
  <si>
    <t>skyrim.esm|0BEF38</t>
  </si>
  <si>
    <t>Masse de verre d'engrangement</t>
  </si>
  <si>
    <t>skyrim.esm|0BEF35</t>
  </si>
  <si>
    <t>Masse de verre d'évocation</t>
  </si>
  <si>
    <t>skyrim.esm|0BEF3A</t>
  </si>
  <si>
    <t>Masse de verre d'expulsion</t>
  </si>
  <si>
    <t>skyrim.esm|0BEF47</t>
  </si>
  <si>
    <t>Masse de verre d'immobilisation</t>
  </si>
  <si>
    <t>skyrim.esm|0BEF46</t>
  </si>
  <si>
    <t>Masse de verre d'inertie</t>
  </si>
  <si>
    <t>skyrim.esm|0BEF30</t>
  </si>
  <si>
    <t>Masse de verre d'ingestion</t>
  </si>
  <si>
    <t>skyrim.esm|0BEF39</t>
  </si>
  <si>
    <t>Masse de verre de bannissement</t>
  </si>
  <si>
    <t>skyrim.esm|0BEF43</t>
  </si>
  <si>
    <t>Masse de verre de blizzard</t>
  </si>
  <si>
    <t>skyrim.esm|0BEF40</t>
  </si>
  <si>
    <t>Masse de verre de brasier</t>
  </si>
  <si>
    <t>skyrim.esm|0BEF4B</t>
  </si>
  <si>
    <t>Masse de verre de capture</t>
  </si>
  <si>
    <t>skyrim.esm|0BEF3B</t>
  </si>
  <si>
    <t>Masse de verre de crainte</t>
  </si>
  <si>
    <t>skyrim.esm|0BEF45</t>
  </si>
  <si>
    <t>Masse de verre de débilitation</t>
  </si>
  <si>
    <t>skyrim.esm|0BEF44</t>
  </si>
  <si>
    <t>Masse de verre de dégradation</t>
  </si>
  <si>
    <t>skyrim.esm|0BEF31</t>
  </si>
  <si>
    <t>Masse de verre de dévorement</t>
  </si>
  <si>
    <t>skyrim.esm|0BEF3F</t>
  </si>
  <si>
    <t>Masse de verre de flambée</t>
  </si>
  <si>
    <t>skyrim.esm|0BEF3E</t>
  </si>
  <si>
    <t>Masse de verre de flammes</t>
  </si>
  <si>
    <t>skyrim.esm|0BEF42</t>
  </si>
  <si>
    <t>Masse de verre de frimas</t>
  </si>
  <si>
    <t>skyrim.esm|0BEF41</t>
  </si>
  <si>
    <t>Masse de verre de givre</t>
  </si>
  <si>
    <t>skyrim.esm|0BEF50</t>
  </si>
  <si>
    <t>Masse de verre de léthargie</t>
  </si>
  <si>
    <t>skyrim.esm|0BEF4D</t>
  </si>
  <si>
    <t>Masse de verre de malédiction</t>
  </si>
  <si>
    <t>skyrim.esm|0BEF36</t>
  </si>
  <si>
    <t>Masse de verre de moisson</t>
  </si>
  <si>
    <t>skyrim.esm|0BEF37</t>
  </si>
  <si>
    <t>Masse de verre de récolte</t>
  </si>
  <si>
    <t>skyrim.esm|0BEF4A</t>
  </si>
  <si>
    <t>Masse de verre de tempête</t>
  </si>
  <si>
    <t>skyrim.esm|0BEF3D</t>
  </si>
  <si>
    <t>Masse de verre de terreur</t>
  </si>
  <si>
    <t>skyrim.esm|0BEF49</t>
  </si>
  <si>
    <t>Masse de verre de tonnerre</t>
  </si>
  <si>
    <t>skyrim.esm|0BEF4F</t>
  </si>
  <si>
    <t>Masse de verre de torpeur</t>
  </si>
  <si>
    <t>skyrim.esm|0BEF34</t>
  </si>
  <si>
    <t>Masse de verre de transfusion</t>
  </si>
  <si>
    <t>skyrim.esm|0BEF53</t>
  </si>
  <si>
    <t>Masse de verre sainte</t>
  </si>
  <si>
    <t>skyrim.esm|0BEF52</t>
  </si>
  <si>
    <t>Masse de verre sanctifiée</t>
  </si>
  <si>
    <t>skyrim.esm|0BEF51</t>
  </si>
  <si>
    <t>Masse de verre vertueuse</t>
  </si>
  <si>
    <t>skyrim.esm|013998</t>
  </si>
  <si>
    <t>Masse dwemer</t>
  </si>
  <si>
    <t>skyrim.esm|0ACC27</t>
  </si>
  <si>
    <t>Masse dwemer bénie</t>
  </si>
  <si>
    <t>skyrim.esm|0ACC25</t>
  </si>
  <si>
    <t>Masse dwemer d'abattement</t>
  </si>
  <si>
    <t>skyrim.esm|0ACC0B</t>
  </si>
  <si>
    <t>Masse dwemer d'amalgame</t>
  </si>
  <si>
    <t>skyrim.esm|0ACC1A</t>
  </si>
  <si>
    <t>Masse dwemer d'amenuisement</t>
  </si>
  <si>
    <t>skyrim.esm|0ACC23</t>
  </si>
  <si>
    <t>Masse dwemer d'anathème</t>
  </si>
  <si>
    <t>skyrim.esm|0ACC13</t>
  </si>
  <si>
    <t>Masse dwemer d'angoisse</t>
  </si>
  <si>
    <t>skyrim.esm|0ACC1F</t>
  </si>
  <si>
    <t>Masse dwemer d'éclairs</t>
  </si>
  <si>
    <t>skyrim.esm|0ACC08</t>
  </si>
  <si>
    <t>Masse dwemer d'ingestion</t>
  </si>
  <si>
    <t>skyrim.esm|0ACC14</t>
  </si>
  <si>
    <t>Masse dwemer de brûlure</t>
  </si>
  <si>
    <t>skyrim.esm|0ACC22</t>
  </si>
  <si>
    <t>Masse dwemer de capture</t>
  </si>
  <si>
    <t>skyrim.esm|0ACC12</t>
  </si>
  <si>
    <t>Masse dwemer de crainte</t>
  </si>
  <si>
    <t>skyrim.esm|0ACC1E</t>
  </si>
  <si>
    <t>Masse dwemer de décharge</t>
  </si>
  <si>
    <t>skyrim.esm|0ACC1C</t>
  </si>
  <si>
    <t>Masse dwemer de dégradation</t>
  </si>
  <si>
    <t>skyrim.esm|0ACC09</t>
  </si>
  <si>
    <t>Masse dwemer de dévorement</t>
  </si>
  <si>
    <t>skyrim.esm|0ACC16</t>
  </si>
  <si>
    <t>Masse dwemer de flambée</t>
  </si>
  <si>
    <t>skyrim.esm|0ACC15</t>
  </si>
  <si>
    <t>Masse dwemer de flammes</t>
  </si>
  <si>
    <t>skyrim.esm|0ACC19</t>
  </si>
  <si>
    <t>Masse dwemer de frimas</t>
  </si>
  <si>
    <t>skyrim.esm|0ACC18</t>
  </si>
  <si>
    <t>Masse dwemer de givre</t>
  </si>
  <si>
    <t>skyrim.esm|0ACC17</t>
  </si>
  <si>
    <t>Masse dwemer de glace</t>
  </si>
  <si>
    <t>skyrim.esm|0ACC0D</t>
  </si>
  <si>
    <t>Masse dwemer de glanure</t>
  </si>
  <si>
    <t>skyrim.esm|0ACC24</t>
  </si>
  <si>
    <t>Masse dwemer de lassitude</t>
  </si>
  <si>
    <t>skyrim.esm|0ACC0E</t>
  </si>
  <si>
    <t>Masse dwemer de moisson</t>
  </si>
  <si>
    <t>skyrim.esm|0ACC21</t>
  </si>
  <si>
    <t>Masse dwemer de piège</t>
  </si>
  <si>
    <t>skyrim.esm|0ACC0F</t>
  </si>
  <si>
    <t>Masse dwemer de récolte</t>
  </si>
  <si>
    <t>skyrim.esm|0ACC07</t>
  </si>
  <si>
    <t>Masse dwemer de recueil</t>
  </si>
  <si>
    <t>skyrim.esm|0ACC1B</t>
  </si>
  <si>
    <t>Masse dwemer de réduction</t>
  </si>
  <si>
    <t>skyrim.esm|0ACC0A</t>
  </si>
  <si>
    <t>Masse dwemer de siphonnage</t>
  </si>
  <si>
    <t>skyrim.esm|0ACC20</t>
  </si>
  <si>
    <t>Masse dwemer de tonnerre</t>
  </si>
  <si>
    <t>skyrim.esm|0ACC26</t>
  </si>
  <si>
    <t>Masse dwemer de torpeur</t>
  </si>
  <si>
    <t>skyrim.esm|0ACC0C</t>
  </si>
  <si>
    <t>Masse dwemer de transfusion</t>
  </si>
  <si>
    <t>skyrim.esm|0ACC11</t>
  </si>
  <si>
    <t>Masse dwemer de veulerie</t>
  </si>
  <si>
    <t>skyrim.esm|0ACC29</t>
  </si>
  <si>
    <t>Masse dwemer sanctifiée</t>
  </si>
  <si>
    <t>skyrim.esm|0ACC28</t>
  </si>
  <si>
    <t>Masse dwemer vertueuse</t>
  </si>
  <si>
    <t>skyrim.esm|0139A0</t>
  </si>
  <si>
    <t>Masse elfique</t>
  </si>
  <si>
    <t>skyrim.esm|0BE1E9</t>
  </si>
  <si>
    <t>Masse elfique d'abattement</t>
  </si>
  <si>
    <t>skyrim.esm|0BE1CC</t>
  </si>
  <si>
    <t>Masse elfique d'absorption</t>
  </si>
  <si>
    <t>skyrim.esm|0BE1CD</t>
  </si>
  <si>
    <t>Masse elfique d'amalgame</t>
  </si>
  <si>
    <t>skyrim.esm|0BE1E7</t>
  </si>
  <si>
    <t>Masse elfique d'anathème</t>
  </si>
  <si>
    <t>skyrim.esm|0BE1D6</t>
  </si>
  <si>
    <t>Masse elfique d'angoisse</t>
  </si>
  <si>
    <t>skyrim.esm|0BE1E3</t>
  </si>
  <si>
    <t>Masse elfique d'éclairs</t>
  </si>
  <si>
    <t>skyrim.esm|0BE1D2</t>
  </si>
  <si>
    <t>Masse elfique d'engrangement</t>
  </si>
  <si>
    <t>skyrim.esm|0BE1CF</t>
  </si>
  <si>
    <t>Masse elfique d'évocation</t>
  </si>
  <si>
    <t>skyrim.esm|0BE1D4</t>
  </si>
  <si>
    <t>Masse elfique d'expulsion</t>
  </si>
  <si>
    <t>skyrim.esm|0BE1E2</t>
  </si>
  <si>
    <t>Masse elfique d'immobilisation</t>
  </si>
  <si>
    <t>skyrim.esm|0BE1E1</t>
  </si>
  <si>
    <t>Masse elfique d'inertie</t>
  </si>
  <si>
    <t>skyrim.esm|0BE1CA</t>
  </si>
  <si>
    <t>Masse elfique d'ingestion</t>
  </si>
  <si>
    <t>skyrim.esm|0BE1D3</t>
  </si>
  <si>
    <t>Masse elfique de bannissement</t>
  </si>
  <si>
    <t>skyrim.esm|0BE1DD</t>
  </si>
  <si>
    <t>Masse elfique de blizzard</t>
  </si>
  <si>
    <t>skyrim.esm|0BE1DA</t>
  </si>
  <si>
    <t>Masse elfique de brasier</t>
  </si>
  <si>
    <t>skyrim.esm|0BE1E6</t>
  </si>
  <si>
    <t>Masse elfique de capture</t>
  </si>
  <si>
    <t>skyrim.esm|0BE1D5</t>
  </si>
  <si>
    <t>Masse elfique de crainte</t>
  </si>
  <si>
    <t>skyrim.esm|0BE1E0</t>
  </si>
  <si>
    <t>Masse elfique de débilitation</t>
  </si>
  <si>
    <t>skyrim.esm|0BE1DF</t>
  </si>
  <si>
    <t>Masse elfique de dégradation</t>
  </si>
  <si>
    <t>skyrim.esm|0BE1CB</t>
  </si>
  <si>
    <t>Masse elfique de dévorement</t>
  </si>
  <si>
    <t>skyrim.esm|0BE1D9</t>
  </si>
  <si>
    <t>Masse elfique de flambée</t>
  </si>
  <si>
    <t>skyrim.esm|0BE1D8</t>
  </si>
  <si>
    <t>Masse elfique de flammes</t>
  </si>
  <si>
    <t>skyrim.esm|0BE1DC</t>
  </si>
  <si>
    <t>Masse elfique de frimas</t>
  </si>
  <si>
    <t>skyrim.esm|0BE1DB</t>
  </si>
  <si>
    <t>Masse elfique de givre</t>
  </si>
  <si>
    <t>skyrim.esm|0BE1EB</t>
  </si>
  <si>
    <t>Masse elfique de léthargie</t>
  </si>
  <si>
    <t>skyrim.esm|0BE1E8</t>
  </si>
  <si>
    <t>Masse elfique de malédiction</t>
  </si>
  <si>
    <t>skyrim.esm|0BE1D0</t>
  </si>
  <si>
    <t>Masse elfique de moisson</t>
  </si>
  <si>
    <t>skyrim.esm|0BE1D1</t>
  </si>
  <si>
    <t>Masse elfique de récolte</t>
  </si>
  <si>
    <t>skyrim.esm|0BE1DE</t>
  </si>
  <si>
    <t>Masse elfique de réduction</t>
  </si>
  <si>
    <t>skyrim.esm|0BE1E5</t>
  </si>
  <si>
    <t>Masse elfique de tempête</t>
  </si>
  <si>
    <t>skyrim.esm|0BE1D7</t>
  </si>
  <si>
    <t>Masse elfique de terreur</t>
  </si>
  <si>
    <t>skyrim.esm|0BE1E4</t>
  </si>
  <si>
    <t>Masse elfique de tonnerre</t>
  </si>
  <si>
    <t>skyrim.esm|0BE1EA</t>
  </si>
  <si>
    <t>Masse elfique de torpeur</t>
  </si>
  <si>
    <t>skyrim.esm|0BE1CE</t>
  </si>
  <si>
    <t>Masse elfique de transfusion</t>
  </si>
  <si>
    <t>skyrim.esm|0BE1EE</t>
  </si>
  <si>
    <t>Masse elfique sainte</t>
  </si>
  <si>
    <t>skyrim.esm|0BE1ED</t>
  </si>
  <si>
    <t>Masse elfique sanctifiée</t>
  </si>
  <si>
    <t>skyrim.esm|0BE1EC</t>
  </si>
  <si>
    <t>Masse elfique vertueuse</t>
  </si>
  <si>
    <t>dragonborn.esm|01CDB0</t>
  </si>
  <si>
    <t>Masse nordique</t>
  </si>
  <si>
    <t>dragonborn.esm|0282EC</t>
  </si>
  <si>
    <t>Masse nordique d'abattement</t>
  </si>
  <si>
    <t>dragonborn.esm|028309</t>
  </si>
  <si>
    <t>Masse nordique d'absorption</t>
  </si>
  <si>
    <t>dragonborn.esm|028308</t>
  </si>
  <si>
    <t>Masse nordique d'amalgame</t>
  </si>
  <si>
    <t>dragonborn.esm|0282EE</t>
  </si>
  <si>
    <t>Masse nordique d'anathème</t>
  </si>
  <si>
    <t>dragonborn.esm|0282FF</t>
  </si>
  <si>
    <t>Masse nordique d'angoisse</t>
  </si>
  <si>
    <t>dragonborn.esm|0282F2</t>
  </si>
  <si>
    <t>Masse nordique d'éclairs</t>
  </si>
  <si>
    <t>dragonborn.esm|028303</t>
  </si>
  <si>
    <t>Masse nordique d'engrangement</t>
  </si>
  <si>
    <t>dragonborn.esm|028306</t>
  </si>
  <si>
    <t>Masse nordique d'évocation</t>
  </si>
  <si>
    <t>dragonborn.esm|028301</t>
  </si>
  <si>
    <t>Masse nordique d'expulsion</t>
  </si>
  <si>
    <t>dragonborn.esm|0282F3</t>
  </si>
  <si>
    <t>Masse nordique d'immobilisation</t>
  </si>
  <si>
    <t>dragonborn.esm|0282F4</t>
  </si>
  <si>
    <t>Masse nordique d'inertie</t>
  </si>
  <si>
    <t>dragonborn.esm|02830B</t>
  </si>
  <si>
    <t>Masse nordique d'ingestion</t>
  </si>
  <si>
    <t>dragonborn.esm|028302</t>
  </si>
  <si>
    <t>Masse nordique de bannissement</t>
  </si>
  <si>
    <t>dragonborn.esm|0282F8</t>
  </si>
  <si>
    <t>Masse nordique de blizzard</t>
  </si>
  <si>
    <t>dragonborn.esm|0282FB</t>
  </si>
  <si>
    <t>Masse nordique de brasier</t>
  </si>
  <si>
    <t>dragonborn.esm|0282EF</t>
  </si>
  <si>
    <t>Masse nordique de capture</t>
  </si>
  <si>
    <t>dragonborn.esm|02C47F</t>
  </si>
  <si>
    <t>Masse nordique de chaos</t>
  </si>
  <si>
    <t>dragonborn.esm|02C481</t>
  </si>
  <si>
    <t>Masse nordique de chaos extrême</t>
  </si>
  <si>
    <t>dragonborn.esm|028300</t>
  </si>
  <si>
    <t>Masse nordique de crainte</t>
  </si>
  <si>
    <t>dragonborn.esm|0282F5</t>
  </si>
  <si>
    <t>Masse nordique de débilitation</t>
  </si>
  <si>
    <t>dragonborn.esm|0282F6</t>
  </si>
  <si>
    <t>Masse nordique de dégradation</t>
  </si>
  <si>
    <t>dragonborn.esm|02830A</t>
  </si>
  <si>
    <t>Masse nordique de dévorement</t>
  </si>
  <si>
    <t>dragonborn.esm|0282FC</t>
  </si>
  <si>
    <t>Masse nordique de flambée</t>
  </si>
  <si>
    <t>dragonborn.esm|0282FD</t>
  </si>
  <si>
    <t>Masse nordique de flammes</t>
  </si>
  <si>
    <t>dragonborn.esm|0282F9</t>
  </si>
  <si>
    <t>Masse nordique de frimas</t>
  </si>
  <si>
    <t>dragonborn.esm|0282FA</t>
  </si>
  <si>
    <t>Masse nordique de givre</t>
  </si>
  <si>
    <t>dragonborn.esm|0282EA</t>
  </si>
  <si>
    <t>Masse nordique de léthargie</t>
  </si>
  <si>
    <t>dragonborn.esm|0282ED</t>
  </si>
  <si>
    <t>Masse nordique de malédiction</t>
  </si>
  <si>
    <t>dragonborn.esm|028305</t>
  </si>
  <si>
    <t>Masse nordique de moisson</t>
  </si>
  <si>
    <t>dragonborn.esm|02C480</t>
  </si>
  <si>
    <t>Masse nordique de profond chaos</t>
  </si>
  <si>
    <t>dragonborn.esm|028304</t>
  </si>
  <si>
    <t>Masse nordique de récolte</t>
  </si>
  <si>
    <t>dragonborn.esm|0282F7</t>
  </si>
  <si>
    <t>Masse nordique de réduction</t>
  </si>
  <si>
    <t>dragonborn.esm|0282F0</t>
  </si>
  <si>
    <t>Masse nordique de tempête</t>
  </si>
  <si>
    <t>dragonborn.esm|0282FE</t>
  </si>
  <si>
    <t>Masse nordique de terreur</t>
  </si>
  <si>
    <t>dragonborn.esm|0282F1</t>
  </si>
  <si>
    <t>Masse nordique de tonnerre</t>
  </si>
  <si>
    <t>dragonborn.esm|0282EB</t>
  </si>
  <si>
    <t>Masse nordique de torpeur</t>
  </si>
  <si>
    <t>dragonborn.esm|028307</t>
  </si>
  <si>
    <t>Masse nordique de transfusion</t>
  </si>
  <si>
    <t>dragonborn.esm|0282E7</t>
  </si>
  <si>
    <t>Masse nordique sainte</t>
  </si>
  <si>
    <t>dragonborn.esm|0282E8</t>
  </si>
  <si>
    <t>Masse nordique sanctifiée</t>
  </si>
  <si>
    <t>dragonborn.esm|0282E9</t>
  </si>
  <si>
    <t>Masse nordique vertueuse</t>
  </si>
  <si>
    <t>skyrim.esm|013990</t>
  </si>
  <si>
    <t>Masse orque</t>
  </si>
  <si>
    <t>skyrim.esm|0AA1A8</t>
  </si>
  <si>
    <t>Masse orque bénie</t>
  </si>
  <si>
    <t>skyrim.esm|0AA1A6</t>
  </si>
  <si>
    <t>Masse orque d'abattement</t>
  </si>
  <si>
    <t>skyrim.esm|0AA18F</t>
  </si>
  <si>
    <t>Masse orque d'amalgame</t>
  </si>
  <si>
    <t>skyrim.esm|0AA19C</t>
  </si>
  <si>
    <t>Masse orque d'amenuisement</t>
  </si>
  <si>
    <t>skyrim.esm|0AA1A4</t>
  </si>
  <si>
    <t>Masse orque d'anathème</t>
  </si>
  <si>
    <t>skyrim.esm|0AA195</t>
  </si>
  <si>
    <t>Masse orque d'angoisse</t>
  </si>
  <si>
    <t>skyrim.esm|0AA1A0</t>
  </si>
  <si>
    <t>Masse orque d'éclairs</t>
  </si>
  <si>
    <t>skyrim.esm|0AA18D</t>
  </si>
  <si>
    <t>Masse orque d'ingestion</t>
  </si>
  <si>
    <t>skyrim.esm|0AA196</t>
  </si>
  <si>
    <t>Masse orque de brûlure</t>
  </si>
  <si>
    <t>skyrim.esm|0AA1A3</t>
  </si>
  <si>
    <t>Masse orque de capture</t>
  </si>
  <si>
    <t>skyrim.esm|0AA194</t>
  </si>
  <si>
    <t>Masse orque de crainte</t>
  </si>
  <si>
    <t>skyrim.esm|0AA19F</t>
  </si>
  <si>
    <t>Masse orque de décharge</t>
  </si>
  <si>
    <t>skyrim.esm|0AA19E</t>
  </si>
  <si>
    <t>Masse orque de dégradation</t>
  </si>
  <si>
    <t>skyrim.esm|0AA18E</t>
  </si>
  <si>
    <t>Masse orque de dévorement</t>
  </si>
  <si>
    <t>skyrim.esm|0AA198</t>
  </si>
  <si>
    <t>Masse orque de flambée</t>
  </si>
  <si>
    <t>skyrim.esm|0AA197</t>
  </si>
  <si>
    <t>Masse orque de flammes</t>
  </si>
  <si>
    <t>skyrim.esm|0AA19B</t>
  </si>
  <si>
    <t>Masse orque de frimas</t>
  </si>
  <si>
    <t>skyrim.esm|0AA19A</t>
  </si>
  <si>
    <t>Masse orque de givre</t>
  </si>
  <si>
    <t>skyrim.esm|0AA199</t>
  </si>
  <si>
    <t>Masse orque de glace</t>
  </si>
  <si>
    <t>skyrim.esm|0AA18C</t>
  </si>
  <si>
    <t>Masse orque de glanure</t>
  </si>
  <si>
    <t>skyrim.esm|0AA1A5</t>
  </si>
  <si>
    <t>Masse orque de lassitude</t>
  </si>
  <si>
    <t>skyrim.esm|0AA191</t>
  </si>
  <si>
    <t>Masse orque de moisson</t>
  </si>
  <si>
    <t>skyrim.esm|0AA1A2</t>
  </si>
  <si>
    <t>Masse orque de piège</t>
  </si>
  <si>
    <t>skyrim.esm|0AA192</t>
  </si>
  <si>
    <t>Masse orque de récolte</t>
  </si>
  <si>
    <t>skyrim.esm|0AA18A</t>
  </si>
  <si>
    <t>Masse orque de recueil</t>
  </si>
  <si>
    <t>skyrim.esm|0AA19D</t>
  </si>
  <si>
    <t>Masse orque de réduction</t>
  </si>
  <si>
    <t>skyrim.esm|0AA18B</t>
  </si>
  <si>
    <t>Masse orque de siphonnage</t>
  </si>
  <si>
    <t>skyrim.esm|0AA1A1</t>
  </si>
  <si>
    <t>Masse orque de tonnerre</t>
  </si>
  <si>
    <t>skyrim.esm|0AA1A7</t>
  </si>
  <si>
    <t>Masse orque de torpeur</t>
  </si>
  <si>
    <t>skyrim.esm|0AA190</t>
  </si>
  <si>
    <t>Masse orque de transfusion</t>
  </si>
  <si>
    <t>skyrim.esm|0AA193</t>
  </si>
  <si>
    <t>Masse orque de veulerie</t>
  </si>
  <si>
    <t>skyrim.esm|0AA1AA</t>
  </si>
  <si>
    <t>Masse orque sanctifiée</t>
  </si>
  <si>
    <t>skyrim.esm|0AA1A9</t>
  </si>
  <si>
    <t>Masse orque vertueuse</t>
  </si>
  <si>
    <t>skyrim.esm|022F0F</t>
  </si>
  <si>
    <t>Masse rouillée</t>
  </si>
  <si>
    <t>skyrim.esm|0F1AC1</t>
  </si>
  <si>
    <t>Mort-dragon</t>
  </si>
  <si>
    <t>skyrim.esm|0F71CD</t>
  </si>
  <si>
    <t>skyrim.esm|0F71CE</t>
  </si>
  <si>
    <t>skyrim.esm|0F71CF</t>
  </si>
  <si>
    <t>skyrim.esm|0F71D0</t>
  </si>
  <si>
    <t>sentinel - city guards.esp|0008E7</t>
  </si>
  <si>
    <t>Morthal War Axe</t>
  </si>
  <si>
    <t>skyrim.esm|068C79</t>
  </si>
  <si>
    <t>Nord Hero Battle Axe</t>
  </si>
  <si>
    <t>skyrim.esm|068C57</t>
  </si>
  <si>
    <t>Nord Hero Bow</t>
  </si>
  <si>
    <t>skyrim.esm|0A3115</t>
  </si>
  <si>
    <t>Nord Hero Greatsword</t>
  </si>
  <si>
    <t>skyrim.esm|068C7B</t>
  </si>
  <si>
    <t>Nord Hero Sword</t>
  </si>
  <si>
    <t>skyrim.esm|068C63</t>
  </si>
  <si>
    <t>Nord Hero War Axe</t>
  </si>
  <si>
    <t>sentinel.esp|000B17</t>
  </si>
  <si>
    <t>Northern Iron Battleaxe</t>
  </si>
  <si>
    <t>sentinel.esp|000B15</t>
  </si>
  <si>
    <t>Northern Iron Dagger</t>
  </si>
  <si>
    <t>sentinel.esp|000B16</t>
  </si>
  <si>
    <t>Northern Iron Greatsword</t>
  </si>
  <si>
    <t>sentinel.esp|000B14</t>
  </si>
  <si>
    <t>Northern Iron Mace</t>
  </si>
  <si>
    <t>sentinel.esp|000B12</t>
  </si>
  <si>
    <t>Northern Iron Sword</t>
  </si>
  <si>
    <t>sentinel.esp|000B13</t>
  </si>
  <si>
    <t>Northern Iron War Axe</t>
  </si>
  <si>
    <t>sentinel.esp|000B18</t>
  </si>
  <si>
    <t>Northern Iron Warhammer</t>
  </si>
  <si>
    <t>skyrim.esm|0B3DFA</t>
  </si>
  <si>
    <t>Oeil de Melka</t>
  </si>
  <si>
    <t>dis_heavy_legion.esp|0012FD</t>
  </si>
  <si>
    <t>Officer's Sword</t>
  </si>
  <si>
    <t>skyrim.esm|08FFDE</t>
  </si>
  <si>
    <t>Okin</t>
  </si>
  <si>
    <t>dis_heavy_legion.esp|0012FC</t>
  </si>
  <si>
    <t>Penitus Oculatus Sword</t>
  </si>
  <si>
    <t>skyrim.esm|094A2B</t>
  </si>
  <si>
    <t>Phantasme</t>
  </si>
  <si>
    <t>skyrim.esm|0E3C16</t>
  </si>
  <si>
    <t>Pioche</t>
  </si>
  <si>
    <t>dragonborn.esm|0206F2</t>
  </si>
  <si>
    <t>Pioche nordique antique</t>
  </si>
  <si>
    <t>dragonborn.esm|0398E6</t>
  </si>
  <si>
    <t>windhelmsse.esp|19B6D2</t>
  </si>
  <si>
    <t>Practice Iron Sword</t>
  </si>
  <si>
    <t>sentinel - city guards.esp|0008E4</t>
  </si>
  <si>
    <t>Riften Sword</t>
  </si>
  <si>
    <t>skyrim.esm|01CB36</t>
  </si>
  <si>
    <t>Rose sanghine</t>
  </si>
  <si>
    <t>skyrim.esm|0A4DCE</t>
  </si>
  <si>
    <t>Rougépine</t>
  </si>
  <si>
    <t>dragonborn.esm|018DDD</t>
  </si>
  <si>
    <t>Sangalfange</t>
  </si>
  <si>
    <t>skyrim.esm|0C1989</t>
  </si>
  <si>
    <t>Sermentière</t>
  </si>
  <si>
    <t>windhelmsse.esp|400676</t>
  </si>
  <si>
    <t>Silverfang</t>
  </si>
  <si>
    <t>skyrim.esm|053379</t>
  </si>
  <si>
    <t>Sinistrale</t>
  </si>
  <si>
    <t>sentinel.esp|000B20</t>
  </si>
  <si>
    <t>Skyforge Steel Mace</t>
  </si>
  <si>
    <t>sentinel.esp|000B21</t>
  </si>
  <si>
    <t>Skyforge Steel Warhammer</t>
  </si>
  <si>
    <t>sentinel - city guards.esp|0008E1</t>
  </si>
  <si>
    <t>Solitude Sword</t>
  </si>
  <si>
    <t>dragonborn.esm|01CDB4</t>
  </si>
  <si>
    <t>Stalhrim Battleaxe</t>
  </si>
  <si>
    <t>dragonborn.esm|026231</t>
  </si>
  <si>
    <t>Stalhrim Bow</t>
  </si>
  <si>
    <t>dragonborn.esm|01CDB5</t>
  </si>
  <si>
    <t>Stalhrim Dagger</t>
  </si>
  <si>
    <t>dragonborn.esm|01CDB6</t>
  </si>
  <si>
    <t>Stalhrim Greatsword</t>
  </si>
  <si>
    <t>dragonborn.esm|01CDB7</t>
  </si>
  <si>
    <t>Stalhrim Mace</t>
  </si>
  <si>
    <t>dragonborn.esm|01CDB8</t>
  </si>
  <si>
    <t>Stalhrim Sword</t>
  </si>
  <si>
    <t>dragonborn.esm|01CDB9</t>
  </si>
  <si>
    <t>Stalhrim War Axe</t>
  </si>
  <si>
    <t>dragonborn.esm|01CDBA</t>
  </si>
  <si>
    <t>Stalhrim Warhammer</t>
  </si>
  <si>
    <t>sentinel.esp|000B31</t>
  </si>
  <si>
    <t>Stormcloak Battleaxe</t>
  </si>
  <si>
    <t>sentinel.esp|000B30</t>
  </si>
  <si>
    <t>Stormcloak Bearded Axe</t>
  </si>
  <si>
    <t>sentinel.esp|000B2F</t>
  </si>
  <si>
    <t>Stormcloak Greatsword</t>
  </si>
  <si>
    <t>sentinel.esp|000B2E</t>
  </si>
  <si>
    <t>Stormcloak Sword</t>
  </si>
  <si>
    <t>sentinel.esp|000B40</t>
  </si>
  <si>
    <t>Stormcloak War Axe</t>
  </si>
  <si>
    <t>skyrim.esm|0426C8</t>
  </si>
  <si>
    <t>Surin</t>
  </si>
  <si>
    <t>aaagranitehill.esp|3BC2A2</t>
  </si>
  <si>
    <t>Tara's Steel War Axe</t>
  </si>
  <si>
    <t>dragonborn.esm|026B0B</t>
  </si>
  <si>
    <t>Tempesta</t>
  </si>
  <si>
    <t>dawnguard.esm|0188CD</t>
  </si>
  <si>
    <t>Test Épée vorpale</t>
  </si>
  <si>
    <t>skyrim.esm|0D2AFE</t>
  </si>
  <si>
    <t>Thaumartel</t>
  </si>
  <si>
    <t>skyrim.esm|017059</t>
  </si>
  <si>
    <t>Trépas de Firiniel</t>
  </si>
  <si>
    <t>skyrim.esm|06AF63</t>
  </si>
  <si>
    <t>Tueur-de-Trolls</t>
  </si>
  <si>
    <t>sentinel.esp|000B35</t>
  </si>
  <si>
    <t>Vigilant Mace</t>
  </si>
  <si>
    <t>sentinel.esp|000B36</t>
  </si>
  <si>
    <t>Vigilant Warhammer</t>
  </si>
  <si>
    <t>skyrim.esm|02ACD2</t>
  </si>
  <si>
    <t>Volendrung</t>
  </si>
  <si>
    <t>skyrim.esm|02AC6F</t>
  </si>
  <si>
    <t>Wabbajack</t>
  </si>
  <si>
    <t>skyrim.esm|09B2B2</t>
  </si>
  <si>
    <t>sentinel - city guards.esp|0008E2</t>
  </si>
  <si>
    <t>Windhelm Sword</t>
  </si>
  <si>
    <t>windhelmsse.esp|2638CB</t>
  </si>
  <si>
    <t>Winter's Bite</t>
  </si>
  <si>
    <t>sentinel - city guards.esp|0008E8</t>
  </si>
  <si>
    <t>Winterhold War Axe</t>
  </si>
  <si>
    <t>skyrim.esm|0956B5</t>
  </si>
  <si>
    <t>Wuuthrad</t>
  </si>
  <si>
    <t>dawnguard.esm|00CFB6</t>
  </si>
  <si>
    <t>Zéphyr</t>
  </si>
  <si>
    <t>dragonborn.esm|0240FE</t>
  </si>
  <si>
    <t>Ahzidal</t>
  </si>
  <si>
    <t>Armure / vêtement</t>
  </si>
  <si>
    <t>keizaal.esp|E63193</t>
  </si>
  <si>
    <t>Ahzidal's Helm of Vision</t>
  </si>
  <si>
    <t>skyrim.esm|0F5A1D</t>
  </si>
  <si>
    <t>Alliance d'Asgeir</t>
  </si>
  <si>
    <t>skyrim.esm|0C0164</t>
  </si>
  <si>
    <t>Alliance de Fjola</t>
  </si>
  <si>
    <t>skyrim.esm|0D3BDB</t>
  </si>
  <si>
    <t>skyrim.esm|0F5A1C</t>
  </si>
  <si>
    <t>Alliance de Vittoria</t>
  </si>
  <si>
    <t>dawnguard.esm|01AA0B</t>
  </si>
  <si>
    <t>Amulette d'aigle osseux</t>
  </si>
  <si>
    <t>skyrim.esm|0C8911</t>
  </si>
  <si>
    <t>Amulette d'Akatosh</t>
  </si>
  <si>
    <t>skyrim.esm|0CC848</t>
  </si>
  <si>
    <t>Amulette d'Arkay</t>
  </si>
  <si>
    <t>skyrim.esm|094E3E</t>
  </si>
  <si>
    <t>Amulette d'Arkay d'Andurs</t>
  </si>
  <si>
    <t>skyrim.esm|09DFF7</t>
  </si>
  <si>
    <t>Amulette d'articulation</t>
  </si>
  <si>
    <t>skyrim.esm|0F6904</t>
  </si>
  <si>
    <t>skyrim.esm|0F690D</t>
  </si>
  <si>
    <t>skyrim.esm|0F690E</t>
  </si>
  <si>
    <t>skyrim.esm|0F690F</t>
  </si>
  <si>
    <t>skyrim.esm|0F6910</t>
  </si>
  <si>
    <t>skyrim.esm|0F6911</t>
  </si>
  <si>
    <t>dawnguard.esm|00A2A5</t>
  </si>
  <si>
    <t>Amulette d'Empathie</t>
  </si>
  <si>
    <t>dawnguard.esm|00E803</t>
  </si>
  <si>
    <t>Amulette d'emprise absorbante</t>
  </si>
  <si>
    <t>skyrim.esm|0C8915</t>
  </si>
  <si>
    <t>Amulette de Dibella</t>
  </si>
  <si>
    <t>dawnguard.esm|00A2A6</t>
  </si>
  <si>
    <t>Amulette de Forme brumeuse</t>
  </si>
  <si>
    <t>dawnguard.esm|00F4D5</t>
  </si>
  <si>
    <t>Amulette de gargouille</t>
  </si>
  <si>
    <t>skyrim.esm|02D773</t>
  </si>
  <si>
    <t>Amulette de Gauldur</t>
  </si>
  <si>
    <t>skyrim.esm|0C8917</t>
  </si>
  <si>
    <t>Amulette de Julianos</t>
  </si>
  <si>
    <t>skyrim.esm|0C8919</t>
  </si>
  <si>
    <t>Amulette de Kynareth</t>
  </si>
  <si>
    <t>dragonborn.esm|026735</t>
  </si>
  <si>
    <t>Amulette de la Compagnie de l'Empire oriental</t>
  </si>
  <si>
    <t>skyrim.esm|0D9394</t>
  </si>
  <si>
    <t>Amulette de la lune</t>
  </si>
  <si>
    <t>skyrim.esm|0C891B</t>
  </si>
  <si>
    <t>Amulette de Mara</t>
  </si>
  <si>
    <t>skyrim.esm|0C891D</t>
  </si>
  <si>
    <t>Amulette de nécromancien</t>
  </si>
  <si>
    <t>dawnguard.esm|00F4D7</t>
  </si>
  <si>
    <t>Amulette de Ponction de magie</t>
  </si>
  <si>
    <t>dawnguard.esm|00A2A8</t>
  </si>
  <si>
    <t>Amulette de Réflexes surnaturels</t>
  </si>
  <si>
    <t>skyrim.esm|0233D0</t>
  </si>
  <si>
    <t>Amulette de Saarthal</t>
  </si>
  <si>
    <t>skyrim.esm|0F1B33</t>
  </si>
  <si>
    <t>Amulette de Savos Aren</t>
  </si>
  <si>
    <t>skyrim.esm|0CC844</t>
  </si>
  <si>
    <t>Amulette de Stendarr</t>
  </si>
  <si>
    <t>skyrim.esm|0CC846</t>
  </si>
  <si>
    <t>Amulette de Talos</t>
  </si>
  <si>
    <t>skyrim.esm|064796</t>
  </si>
  <si>
    <t>Amulette de Talos d'Ogmund</t>
  </si>
  <si>
    <t>skyrim.esm|0E0BA2</t>
  </si>
  <si>
    <t>Amulette de Talos gravée de Raerek</t>
  </si>
  <si>
    <t>skyrim.esm|0878BB</t>
  </si>
  <si>
    <t>Amulette de Zénithar</t>
  </si>
  <si>
    <t>skyrim.esm|0BFA0A</t>
  </si>
  <si>
    <t>Amulette de Zénithar de Shahvee</t>
  </si>
  <si>
    <t>dawnguard.esm|0068AE</t>
  </si>
  <si>
    <t>Amulette des chauves-souris</t>
  </si>
  <si>
    <t>dawnguard.esm|00A2A7</t>
  </si>
  <si>
    <t>skyrim.esm|0C8913</t>
  </si>
  <si>
    <t>Amulette du Conseil des Anciens</t>
  </si>
  <si>
    <t>skyrim.esm|0CC842</t>
  </si>
  <si>
    <t>Amulette nordique antique</t>
  </si>
  <si>
    <t>skyrim.esm|06B217</t>
  </si>
  <si>
    <t>Amulette ornée</t>
  </si>
  <si>
    <t>dragonborn.esm|039D4A</t>
  </si>
  <si>
    <t>Amulette skaal</t>
  </si>
  <si>
    <t>windhelmsse.esp|17C4B1</t>
  </si>
  <si>
    <t>Ancient Falmer Cuirass</t>
  </si>
  <si>
    <t>skyrim.esm|018388</t>
  </si>
  <si>
    <t>Ancient Nord Armor</t>
  </si>
  <si>
    <t>skyrim.esm|056A9D</t>
  </si>
  <si>
    <t>Ancient Nord Boots</t>
  </si>
  <si>
    <t>skyrim.esm|056B17</t>
  </si>
  <si>
    <t>Ancient Nord Gauntlets</t>
  </si>
  <si>
    <t>skyrim.esm|056A9E</t>
  </si>
  <si>
    <t>Ancient Nord Helmet</t>
  </si>
  <si>
    <t>windhelmsse.esp|0DD922</t>
  </si>
  <si>
    <t>windhelmsse.esp|12528C</t>
  </si>
  <si>
    <t>arena - markarth side.esp|1505AF</t>
  </si>
  <si>
    <t>Ancient Royal Crown</t>
  </si>
  <si>
    <t>keizaal.esp|E63199</t>
  </si>
  <si>
    <t>Ancient Shrouded Armor</t>
  </si>
  <si>
    <t>keizaal.esp|E63196</t>
  </si>
  <si>
    <t>Ancient Shrouded Boots</t>
  </si>
  <si>
    <t>keizaal.esp|E63198</t>
  </si>
  <si>
    <t>Ancient Shrouded Cowl</t>
  </si>
  <si>
    <t>keizaal.esp|E63197</t>
  </si>
  <si>
    <t>Ancient Shrouded Gloves</t>
  </si>
  <si>
    <t>windhelmsse.esp|0DD920</t>
  </si>
  <si>
    <t>Ancient Vampire Armor</t>
  </si>
  <si>
    <t>windhelmsse.esp|423F0A</t>
  </si>
  <si>
    <t>dawnguard.esm|00E7FD</t>
  </si>
  <si>
    <t>Anneau bestial</t>
  </si>
  <si>
    <t>dawnguard.esm|011CF5</t>
  </si>
  <si>
    <t>Anneau d'aigle osseux</t>
  </si>
  <si>
    <t>skyrim.esm|100DEE</t>
  </si>
  <si>
    <t>Anneau d'altération</t>
  </si>
  <si>
    <t>skyrim.esm|100DF2</t>
  </si>
  <si>
    <t>Anneau d'altération absolue</t>
  </si>
  <si>
    <t>skyrim.esm|100DEF</t>
  </si>
  <si>
    <t>Anneau d'altération accrue</t>
  </si>
  <si>
    <t>skyrim.esm|100DF1</t>
  </si>
  <si>
    <t>Anneau d'altération extrême</t>
  </si>
  <si>
    <t>skyrim.esm|100DF0</t>
  </si>
  <si>
    <t>Anneau d'altération majeure</t>
  </si>
  <si>
    <t>skyrim.esm|0FF7DE</t>
  </si>
  <si>
    <t>Anneau d'altération minime</t>
  </si>
  <si>
    <t>dragonborn.esm|01DB9B</t>
  </si>
  <si>
    <t>Anneau d'arcane d'Ahzidal</t>
  </si>
  <si>
    <t>skyrim.esm|100E24</t>
  </si>
  <si>
    <t>Anneau d'archerie</t>
  </si>
  <si>
    <t>skyrim.esm|100E28</t>
  </si>
  <si>
    <t>Anneau d'archerie absolue</t>
  </si>
  <si>
    <t>skyrim.esm|100E25</t>
  </si>
  <si>
    <t>Anneau d'archerie accrue</t>
  </si>
  <si>
    <t>skyrim.esm|100E27</t>
  </si>
  <si>
    <t>Anneau d'archerie extrême</t>
  </si>
  <si>
    <t>skyrim.esm|100E26</t>
  </si>
  <si>
    <t>Anneau d'archerie majeure</t>
  </si>
  <si>
    <t>skyrim.esm|100E23</t>
  </si>
  <si>
    <t>Anneau d'archerie minime</t>
  </si>
  <si>
    <t>skyrim.esm|03B97C</t>
  </si>
  <si>
    <t>Anneau d'argent</t>
  </si>
  <si>
    <t>skyrim.esm|076F12</t>
  </si>
  <si>
    <t>Anneau d'argent de Madesi</t>
  </si>
  <si>
    <t>skyrim.esm|0877A7</t>
  </si>
  <si>
    <t>Anneau d'argent et d'améthyste</t>
  </si>
  <si>
    <t>skyrim.esm|0877AB</t>
  </si>
  <si>
    <t>Anneau d'argent et de grenat</t>
  </si>
  <si>
    <t>skyrim.esm|0877B1</t>
  </si>
  <si>
    <t>Anneau d'argent et de rubis</t>
  </si>
  <si>
    <t>skyrim.esm|100E19</t>
  </si>
  <si>
    <t>Anneau d'écuyer</t>
  </si>
  <si>
    <t>skyrim.esm|100E5A</t>
  </si>
  <si>
    <t>Anneau d'emplissage</t>
  </si>
  <si>
    <t>skyrim.esm|100E0B</t>
  </si>
  <si>
    <t>Anneau d'humble chevalier</t>
  </si>
  <si>
    <t>skyrim.esm|100E18</t>
  </si>
  <si>
    <t>Anneau d'humble écuyer</t>
  </si>
  <si>
    <t>skyrim.esm|0D5047</t>
  </si>
  <si>
    <t>Anneau d'Ilas-Tei</t>
  </si>
  <si>
    <t>skyrim.esm|100E12</t>
  </si>
  <si>
    <t>Anneau d'illusion</t>
  </si>
  <si>
    <t>skyrim.esm|100E16</t>
  </si>
  <si>
    <t>Anneau d'illusion absolue</t>
  </si>
  <si>
    <t>skyrim.esm|100E13</t>
  </si>
  <si>
    <t>Anneau d'illusion accrue</t>
  </si>
  <si>
    <t>skyrim.esm|100E15</t>
  </si>
  <si>
    <t>Anneau d'illusion extrême</t>
  </si>
  <si>
    <t>skyrim.esm|100E14</t>
  </si>
  <si>
    <t>Anneau d'illusion majeure</t>
  </si>
  <si>
    <t>skyrim.esm|100E11</t>
  </si>
  <si>
    <t>Anneau d'illusion minime</t>
  </si>
  <si>
    <t>dragonborn.esm|0275B7</t>
  </si>
  <si>
    <t>Anneau d'instinct</t>
  </si>
  <si>
    <t>skyrim.esm|01CF2B</t>
  </si>
  <si>
    <t>Anneau d'or</t>
  </si>
  <si>
    <t>skyrim.esm|0877CA</t>
  </si>
  <si>
    <t>Anneau d'or et d'émeraude</t>
  </si>
  <si>
    <t>skyrim.esm|0877C9</t>
  </si>
  <si>
    <t>Anneau d'or et de diamant</t>
  </si>
  <si>
    <t>skyrim.esm|0877CB</t>
  </si>
  <si>
    <t>Anneau d'or et de saphir</t>
  </si>
  <si>
    <t>skyrim.esm|0D8482</t>
  </si>
  <si>
    <t>Anneau de Calcelmo</t>
  </si>
  <si>
    <t>skyrim.esm|100DFA</t>
  </si>
  <si>
    <t>Anneau de conjuration</t>
  </si>
  <si>
    <t>skyrim.esm|100DFE</t>
  </si>
  <si>
    <t>Anneau de conjuration absolue</t>
  </si>
  <si>
    <t>skyrim.esm|100DFB</t>
  </si>
  <si>
    <t>Anneau de conjuration accrue</t>
  </si>
  <si>
    <t>skyrim.esm|100DFD</t>
  </si>
  <si>
    <t>Anneau de conjuration extrême</t>
  </si>
  <si>
    <t>skyrim.esm|100DFC</t>
  </si>
  <si>
    <t>Anneau de conjuration majeure</t>
  </si>
  <si>
    <t>skyrim.esm|100DF9</t>
  </si>
  <si>
    <t>Anneau de conjuration minime</t>
  </si>
  <si>
    <t>skyrim.esm|100E1E</t>
  </si>
  <si>
    <t>Anneau de crochetage</t>
  </si>
  <si>
    <t>skyrim.esm|100E22</t>
  </si>
  <si>
    <t>Anneau de crochetage absolu</t>
  </si>
  <si>
    <t>skyrim.esm|100E1F</t>
  </si>
  <si>
    <t>Anneau de crochetage accru</t>
  </si>
  <si>
    <t>skyrim.esm|100E21</t>
  </si>
  <si>
    <t>Anneau de crochetage extrême</t>
  </si>
  <si>
    <t>skyrim.esm|100E20</t>
  </si>
  <si>
    <t>Anneau de crochetage majeur</t>
  </si>
  <si>
    <t>skyrim.esm|100E17</t>
  </si>
  <si>
    <t>Anneau de crochetage minime</t>
  </si>
  <si>
    <t>skyrim.esm|100E00</t>
  </si>
  <si>
    <t>Anneau de destruction</t>
  </si>
  <si>
    <t>skyrim.esm|100E04</t>
  </si>
  <si>
    <t>Anneau de destruction absolue</t>
  </si>
  <si>
    <t>skyrim.esm|100E01</t>
  </si>
  <si>
    <t>Anneau de destruction accrue</t>
  </si>
  <si>
    <t>skyrim.esm|100E03</t>
  </si>
  <si>
    <t>Anneau de destruction extrême</t>
  </si>
  <si>
    <t>skyrim.esm|100E02</t>
  </si>
  <si>
    <t>Anneau de destruction majeure</t>
  </si>
  <si>
    <t>skyrim.esm|100DFF</t>
  </si>
  <si>
    <t>Anneau de destruction minime</t>
  </si>
  <si>
    <t>skyrim.esm|100E30</t>
  </si>
  <si>
    <t>Anneau de dextérité</t>
  </si>
  <si>
    <t>skyrim.esm|100E7B</t>
  </si>
  <si>
    <t>Anneau de dextérité absolue</t>
  </si>
  <si>
    <t>skyrim.esm|100E31</t>
  </si>
  <si>
    <t>Anneau de dextérité accrue</t>
  </si>
  <si>
    <t>skyrim.esm|100E33</t>
  </si>
  <si>
    <t>Anneau de dextérité extrême</t>
  </si>
  <si>
    <t>skyrim.esm|100E32</t>
  </si>
  <si>
    <t>Anneau de dextérité majeure</t>
  </si>
  <si>
    <t>skyrim.esm|100E2F</t>
  </si>
  <si>
    <t>Anneau de dextérité minime</t>
  </si>
  <si>
    <t>skyrim.esm|100E3C</t>
  </si>
  <si>
    <t>Anneau de forgeage</t>
  </si>
  <si>
    <t>skyrim.esm|100E40</t>
  </si>
  <si>
    <t>Anneau de forgeage absolu</t>
  </si>
  <si>
    <t>skyrim.esm|100E3D</t>
  </si>
  <si>
    <t>Anneau de forgeage accru</t>
  </si>
  <si>
    <t>skyrim.esm|100E3F</t>
  </si>
  <si>
    <t>Anneau de forgeage extrême</t>
  </si>
  <si>
    <t>skyrim.esm|100E3E</t>
  </si>
  <si>
    <t>Anneau de forgeage majeur</t>
  </si>
  <si>
    <t>skyrim.esm|100E3B</t>
  </si>
  <si>
    <t>Anneau de forgeage minime</t>
  </si>
  <si>
    <t>skyrim.esm|100E4C</t>
  </si>
  <si>
    <t>Anneau de frappe minime</t>
  </si>
  <si>
    <t>skyrim.esm|100E41</t>
  </si>
  <si>
    <t>Anneau de furtivité</t>
  </si>
  <si>
    <t>skyrim.esm|100E45</t>
  </si>
  <si>
    <t>Anneau de furtivité absolue</t>
  </si>
  <si>
    <t>skyrim.esm|100E42</t>
  </si>
  <si>
    <t>Anneau de furtivité accrue</t>
  </si>
  <si>
    <t>skyrim.esm|100E44</t>
  </si>
  <si>
    <t>Anneau de furtivité extrême</t>
  </si>
  <si>
    <t>skyrim.esm|100E43</t>
  </si>
  <si>
    <t>Anneau de furtivité majeure</t>
  </si>
  <si>
    <t>skyrim.esm|100E3A</t>
  </si>
  <si>
    <t>Anneau de furtivité minime</t>
  </si>
  <si>
    <t>dawnguard.esm|00A2A3</t>
  </si>
  <si>
    <t>Anneau de gargouille</t>
  </si>
  <si>
    <t>skyrim.esm|100E0C</t>
  </si>
  <si>
    <t>Anneau de grand chevalier</t>
  </si>
  <si>
    <t>skyrim.esm|100E0D</t>
  </si>
  <si>
    <t>skyrim.esm|100E1A</t>
  </si>
  <si>
    <t>Anneau de grand écuyer</t>
  </si>
  <si>
    <t>dawnguard.esm|00E7EB</t>
  </si>
  <si>
    <t>Anneau de griffes d'absorption</t>
  </si>
  <si>
    <t>skyrim.esm|100E35</t>
  </si>
  <si>
    <t>Anneau de guérison</t>
  </si>
  <si>
    <t>skyrim.esm|100E39</t>
  </si>
  <si>
    <t>Anneau de guérison absolue</t>
  </si>
  <si>
    <t>skyrim.esm|100E36</t>
  </si>
  <si>
    <t>Anneau de guérison accrue</t>
  </si>
  <si>
    <t>skyrim.esm|100E38</t>
  </si>
  <si>
    <t>Anneau de guérison extrême</t>
  </si>
  <si>
    <t>skyrim.esm|100E37</t>
  </si>
  <si>
    <t>Anneau de guérison majeure</t>
  </si>
  <si>
    <t>skyrim.esm|100E34</t>
  </si>
  <si>
    <t>Anneau de guérison minime</t>
  </si>
  <si>
    <t>dragonborn.esm|0275B9</t>
  </si>
  <si>
    <t>Anneau de la Chasse</t>
  </si>
  <si>
    <t>dragonborn.esm|01961C</t>
  </si>
  <si>
    <t>Anneau de localisation de Neloth</t>
  </si>
  <si>
    <t>skyrim.esm|0FF7D3</t>
  </si>
  <si>
    <t>Anneau de magie</t>
  </si>
  <si>
    <t>skyrim.esm|0FF7D7</t>
  </si>
  <si>
    <t>Anneau de magie absolue</t>
  </si>
  <si>
    <t>skyrim.esm|0FF7D4</t>
  </si>
  <si>
    <t>Anneau de magie accrue</t>
  </si>
  <si>
    <t>skyrim.esm|10DFCC</t>
  </si>
  <si>
    <t>Anneau de magie anéantie</t>
  </si>
  <si>
    <t>skyrim.esm|10DFC9</t>
  </si>
  <si>
    <t>Anneau de magie atténuée</t>
  </si>
  <si>
    <t>skyrim.esm|10DFCA</t>
  </si>
  <si>
    <t>Anneau de magie évanescente</t>
  </si>
  <si>
    <t>skyrim.esm|0FF7D6</t>
  </si>
  <si>
    <t>Anneau de magie extrême</t>
  </si>
  <si>
    <t>skyrim.esm|0FF7D5</t>
  </si>
  <si>
    <t>Anneau de magie majeure</t>
  </si>
  <si>
    <t>skyrim.esm|0FF7D2</t>
  </si>
  <si>
    <t>Anneau de magie minime</t>
  </si>
  <si>
    <t>skyrim.esm|10DFCB</t>
  </si>
  <si>
    <t>Anneau de magie neutralisée</t>
  </si>
  <si>
    <t>skyrim.esm|100E1D</t>
  </si>
  <si>
    <t>Anneau de maître écuyer</t>
  </si>
  <si>
    <t>dawnguard.esm|00A2A4</t>
  </si>
  <si>
    <t>Anneau de Malédiction cadavérique</t>
  </si>
  <si>
    <t>skyrim.esm|100E2A</t>
  </si>
  <si>
    <t>Anneau de maniement</t>
  </si>
  <si>
    <t>skyrim.esm|100E2E</t>
  </si>
  <si>
    <t>Anneau de maniement absolu</t>
  </si>
  <si>
    <t>skyrim.esm|100E2B</t>
  </si>
  <si>
    <t>Anneau de maniement accru</t>
  </si>
  <si>
    <t>skyrim.esm|100E2D</t>
  </si>
  <si>
    <t>Anneau de maniement extrême</t>
  </si>
  <si>
    <t>skyrim.esm|100E2C</t>
  </si>
  <si>
    <t>Anneau de maniement majeur</t>
  </si>
  <si>
    <t>skyrim.esm|100E29</t>
  </si>
  <si>
    <t>Anneau de maniement minime</t>
  </si>
  <si>
    <t>skyrim.esm|06B218</t>
  </si>
  <si>
    <t>Anneau de Muiri</t>
  </si>
  <si>
    <t>skyrim.esm|06B219</t>
  </si>
  <si>
    <t>skyrim.esm|02C37B</t>
  </si>
  <si>
    <t>Anneau de Namira</t>
  </si>
  <si>
    <t>dragonborn.esm|01DB9A</t>
  </si>
  <si>
    <t>Anneau de nécromancie d'Ahzidal</t>
  </si>
  <si>
    <t>skyrim.esm|100E0E</t>
  </si>
  <si>
    <t>Anneau de noble chevalier</t>
  </si>
  <si>
    <t>skyrim.esm|100E1B</t>
  </si>
  <si>
    <t>Anneau de noble écuyer</t>
  </si>
  <si>
    <t>skyrim.esm|100E10</t>
  </si>
  <si>
    <t>Anneau de paladin</t>
  </si>
  <si>
    <t>skyrim.esm|100DF4</t>
  </si>
  <si>
    <t>Anneau de parade</t>
  </si>
  <si>
    <t>skyrim.esm|100DF8</t>
  </si>
  <si>
    <t>Anneau de parade absolue</t>
  </si>
  <si>
    <t>skyrim.esm|100DF5</t>
  </si>
  <si>
    <t>Anneau de parade accrue</t>
  </si>
  <si>
    <t>skyrim.esm|100DF7</t>
  </si>
  <si>
    <t>Anneau de parade extrême</t>
  </si>
  <si>
    <t>skyrim.esm|100DF6</t>
  </si>
  <si>
    <t>Anneau de parade majeure</t>
  </si>
  <si>
    <t>skyrim.esm|100DF3</t>
  </si>
  <si>
    <t>Anneau de parade minime</t>
  </si>
  <si>
    <t>skyrim.esm|100E4D</t>
  </si>
  <si>
    <t>Anneau de poigne</t>
  </si>
  <si>
    <t>skyrim.esm|100E84</t>
  </si>
  <si>
    <t>Anneau de poigne absolue</t>
  </si>
  <si>
    <t>skyrim.esm|100E4E</t>
  </si>
  <si>
    <t>Anneau de poigne accrue</t>
  </si>
  <si>
    <t>dawnguard.esm|00A2A2</t>
  </si>
  <si>
    <t>Anneau de Poigne du vampire</t>
  </si>
  <si>
    <t>skyrim.esm|100E50</t>
  </si>
  <si>
    <t>Anneau de poigne extrême</t>
  </si>
  <si>
    <t>skyrim.esm|100E4F</t>
  </si>
  <si>
    <t>Anneau de poigne majeure</t>
  </si>
  <si>
    <t>skyrim.esm|100E0F</t>
  </si>
  <si>
    <t>Anneau de preux chevalier</t>
  </si>
  <si>
    <t>skyrim.esm|100E1C</t>
  </si>
  <si>
    <t>Anneau de preux écuyer</t>
  </si>
  <si>
    <t>skyrim.esm|090E32</t>
  </si>
  <si>
    <t>Anneau de pures mixtures</t>
  </si>
  <si>
    <t>dawnguard.esm|00A2A1</t>
  </si>
  <si>
    <t>Anneau de Réanimation</t>
  </si>
  <si>
    <t>skyrim.esm|100E59</t>
  </si>
  <si>
    <t>Anneau de recharge</t>
  </si>
  <si>
    <t>skyrim.esm|100E55</t>
  </si>
  <si>
    <t>Anneau de récupération</t>
  </si>
  <si>
    <t>skyrim.esm|100E5C</t>
  </si>
  <si>
    <t>Anneau de regain</t>
  </si>
  <si>
    <t>skyrim.esm|100E53</t>
  </si>
  <si>
    <t>Anneau de régénération</t>
  </si>
  <si>
    <t>skyrim.esm|100E51</t>
  </si>
  <si>
    <t>Anneau de remède</t>
  </si>
  <si>
    <t>skyrim.esm|100E54</t>
  </si>
  <si>
    <t>Anneau de renaissance</t>
  </si>
  <si>
    <t>skyrim.esm|100E58</t>
  </si>
  <si>
    <t>Anneau de renouveau</t>
  </si>
  <si>
    <t>skyrim.esm|10DFC8</t>
  </si>
  <si>
    <t>Anneau de résistance à la magie</t>
  </si>
  <si>
    <t>skyrim.esm|100E5B</t>
  </si>
  <si>
    <t>Anneau de résurgence</t>
  </si>
  <si>
    <t>skyrim.esm|100E56</t>
  </si>
  <si>
    <t>Anneau de rétablissement</t>
  </si>
  <si>
    <t>skyrim.esm|0FCEFE</t>
  </si>
  <si>
    <t>Anneau de santé</t>
  </si>
  <si>
    <t>skyrim.esm|0FCF02</t>
  </si>
  <si>
    <t>Anneau de santé absolue</t>
  </si>
  <si>
    <t>skyrim.esm|0FCEFF</t>
  </si>
  <si>
    <t>Anneau de santé accrue</t>
  </si>
  <si>
    <t>skyrim.esm|0FCF01</t>
  </si>
  <si>
    <t>Anneau de santé extrême</t>
  </si>
  <si>
    <t>skyrim.esm|0FCF00</t>
  </si>
  <si>
    <t>Anneau de santé majeure</t>
  </si>
  <si>
    <t>skyrim.esm|0FCEFD</t>
  </si>
  <si>
    <t>Anneau de santé minime</t>
  </si>
  <si>
    <t>skyrim.esm|100E52</t>
  </si>
  <si>
    <t>Anneau de soulagement</t>
  </si>
  <si>
    <t>skyrim.esm|10DFCD</t>
  </si>
  <si>
    <t>Anneau de suppression</t>
  </si>
  <si>
    <t>skyrim.esm|0FCEF8</t>
  </si>
  <si>
    <t>Anneau de vigueur</t>
  </si>
  <si>
    <t>skyrim.esm|0FCEFC</t>
  </si>
  <si>
    <t>Anneau de vigueur absolue</t>
  </si>
  <si>
    <t>skyrim.esm|0FCEF9</t>
  </si>
  <si>
    <t>Anneau de vigueur accrue</t>
  </si>
  <si>
    <t>skyrim.esm|0FCEFB</t>
  </si>
  <si>
    <t>Anneau de vigueur extrême</t>
  </si>
  <si>
    <t>skyrim.esm|0FCEFA</t>
  </si>
  <si>
    <t>Anneau de vigueur majeure</t>
  </si>
  <si>
    <t>skyrim.esm|0FCEF7</t>
  </si>
  <si>
    <t>Anneau de vigueur minime</t>
  </si>
  <si>
    <t>skyrim.esm|100E57</t>
  </si>
  <si>
    <t>Anneau de vivification</t>
  </si>
  <si>
    <t>skyrim.esm|02584C</t>
  </si>
  <si>
    <t>Anneau enchanté</t>
  </si>
  <si>
    <t>dragonborn.esm|0275B8</t>
  </si>
  <si>
    <t>Anneau lunaire</t>
  </si>
  <si>
    <t>dragonborn.esm|0275B6</t>
  </si>
  <si>
    <t>Anneau sanguinaire</t>
  </si>
  <si>
    <t>morecraftableequipment.esp|000825</t>
  </si>
  <si>
    <t>Archmage's Boots</t>
  </si>
  <si>
    <t>morecraftableequipment.esp|000828</t>
  </si>
  <si>
    <t>Archmage's Hood</t>
  </si>
  <si>
    <t>morecraftableequipment.esp|000826</t>
  </si>
  <si>
    <t>Archmage's Robes</t>
  </si>
  <si>
    <t>sentinel - priests and acolytes.esp|000881</t>
  </si>
  <si>
    <t>Arkay Robes</t>
  </si>
  <si>
    <t>skyrim.esm|013948</t>
  </si>
  <si>
    <t>Armure à bandes</t>
  </si>
  <si>
    <t>skyrim.esm|10CFC9</t>
  </si>
  <si>
    <t>Armure à bandes d'altération</t>
  </si>
  <si>
    <t>skyrim.esm|10CFCA</t>
  </si>
  <si>
    <t>Armure à bandes d'altération accrue</t>
  </si>
  <si>
    <t>skyrim.esm|10CFC8</t>
  </si>
  <si>
    <t>Armure à bandes d'altération minime</t>
  </si>
  <si>
    <t>skyrim.esm|0ACC9E</t>
  </si>
  <si>
    <t>Armure à bandes d'humble chevalier</t>
  </si>
  <si>
    <t>skyrim.esm|10CFD2</t>
  </si>
  <si>
    <t>Armure à bandes d'illusion</t>
  </si>
  <si>
    <t>skyrim.esm|10CFD3</t>
  </si>
  <si>
    <t>Armure à bandes d'illusion accrue</t>
  </si>
  <si>
    <t>skyrim.esm|10CFD1</t>
  </si>
  <si>
    <t>Armure à bandes d'illusion minime</t>
  </si>
  <si>
    <t>skyrim.esm|0AD521</t>
  </si>
  <si>
    <t>Armure à bandes de chevalier</t>
  </si>
  <si>
    <t>skyrim.esm|10CFCC</t>
  </si>
  <si>
    <t>Armure à bandes de conjuration</t>
  </si>
  <si>
    <t>skyrim.esm|10CFCD</t>
  </si>
  <si>
    <t>Armure à bandes de conjuration accrue</t>
  </si>
  <si>
    <t>skyrim.esm|10CFCB</t>
  </si>
  <si>
    <t>Armure à bandes de conjuration minime</t>
  </si>
  <si>
    <t>skyrim.esm|10CFCF</t>
  </si>
  <si>
    <t>Armure à bandes de destruction</t>
  </si>
  <si>
    <t>skyrim.esm|10CFD0</t>
  </si>
  <si>
    <t>Armure à bandes de destruction accrue</t>
  </si>
  <si>
    <t>skyrim.esm|10CFCE</t>
  </si>
  <si>
    <t>Armure à bandes de destruction minime</t>
  </si>
  <si>
    <t>skyrim.esm|0AD522</t>
  </si>
  <si>
    <t>Armure à bandes de grand chevalier</t>
  </si>
  <si>
    <t>skyrim.esm|10CFD5</t>
  </si>
  <si>
    <t>Armure à bandes de guérison</t>
  </si>
  <si>
    <t>skyrim.esm|10CFD6</t>
  </si>
  <si>
    <t>Armure à bandes de guérison accrue</t>
  </si>
  <si>
    <t>skyrim.esm|10CFD4</t>
  </si>
  <si>
    <t>Armure à bandes de guérison minime</t>
  </si>
  <si>
    <t>skyrim.esm|0AD51F</t>
  </si>
  <si>
    <t>Armure à bandes de santé</t>
  </si>
  <si>
    <t>skyrim.esm|0AD520</t>
  </si>
  <si>
    <t>Armure à bandes de santé accrue</t>
  </si>
  <si>
    <t>skyrim.esm|0ACC9D</t>
  </si>
  <si>
    <t>Armure à bandes de santé minime</t>
  </si>
  <si>
    <t>skyrim.esm|01B3A2</t>
  </si>
  <si>
    <t>Armure cloutée</t>
  </si>
  <si>
    <t>skyrim.esm|0AD4D5</t>
  </si>
  <si>
    <t>Armure cloutée d'écuyer</t>
  </si>
  <si>
    <t>skyrim.esm|0ACC94</t>
  </si>
  <si>
    <t>Armure cloutée d'humble écuyer</t>
  </si>
  <si>
    <t>skyrim.esm|0AD4D6</t>
  </si>
  <si>
    <t>Armure cloutée de grand écuyer</t>
  </si>
  <si>
    <t>skyrim.esm|0AD4D3</t>
  </si>
  <si>
    <t>Armure cloutée de santé</t>
  </si>
  <si>
    <t>skyrim.esm|0AD4D4</t>
  </si>
  <si>
    <t>Armure cloutée de santé accrue</t>
  </si>
  <si>
    <t>skyrim.esm|0ACC93</t>
  </si>
  <si>
    <t>Armure cloutée de santé minime</t>
  </si>
  <si>
    <t>dawnguard.esm|014C05</t>
  </si>
  <si>
    <t>Armure d'acier</t>
  </si>
  <si>
    <t>skyrim.esm|013952</t>
  </si>
  <si>
    <t>skyrim.esm|0F6F22</t>
  </si>
  <si>
    <t>skyrim.esm|10DEF3</t>
  </si>
  <si>
    <t>Armure d'acier d'altération</t>
  </si>
  <si>
    <t>skyrim.esm|10DEF4</t>
  </si>
  <si>
    <t>Armure d'acier d'altération accrue</t>
  </si>
  <si>
    <t>skyrim.esm|10DEF2</t>
  </si>
  <si>
    <t>Armure d'acier d'altération minime</t>
  </si>
  <si>
    <t>skyrim.esm|0B50A8</t>
  </si>
  <si>
    <t>Armure d'acier d'humble chevalier</t>
  </si>
  <si>
    <t>skyrim.esm|10DEFC</t>
  </si>
  <si>
    <t>Armure d'acier d'illusion</t>
  </si>
  <si>
    <t>skyrim.esm|10DEFD</t>
  </si>
  <si>
    <t>Armure d'acier d'illusion accrue</t>
  </si>
  <si>
    <t>skyrim.esm|10DEFB</t>
  </si>
  <si>
    <t>Armure d'acier d'illusion minime</t>
  </si>
  <si>
    <t>skyrim.esm|0B50A9</t>
  </si>
  <si>
    <t>Armure d'acier de chevalier</t>
  </si>
  <si>
    <t>skyrim.esm|10DEF6</t>
  </si>
  <si>
    <t>Armure d'acier de conjuration</t>
  </si>
  <si>
    <t>skyrim.esm|10DEF7</t>
  </si>
  <si>
    <t>Armure d'acier de conjuration accrue</t>
  </si>
  <si>
    <t>skyrim.esm|10DEF5</t>
  </si>
  <si>
    <t>Armure d'acier de conjuration minime</t>
  </si>
  <si>
    <t>skyrim.esm|10DEF9</t>
  </si>
  <si>
    <t>Armure d'acier de destruction</t>
  </si>
  <si>
    <t>skyrim.esm|10DEFA</t>
  </si>
  <si>
    <t>Armure d'acier de destruction accrue</t>
  </si>
  <si>
    <t>skyrim.esm|10DEF8</t>
  </si>
  <si>
    <t>Armure d'acier de destruction minime</t>
  </si>
  <si>
    <t>skyrim.esm|0B50AA</t>
  </si>
  <si>
    <t>Armure d'acier de grand chevalier</t>
  </si>
  <si>
    <t>skyrim.esm|10DEFF</t>
  </si>
  <si>
    <t>Armure d'acier de guérison</t>
  </si>
  <si>
    <t>skyrim.esm|10DF00</t>
  </si>
  <si>
    <t>Armure d'acier de guérison accrue</t>
  </si>
  <si>
    <t>skyrim.esm|10DEFE</t>
  </si>
  <si>
    <t>Armure d'acier de guérison minime</t>
  </si>
  <si>
    <t>skyrim.esm|0B50A6</t>
  </si>
  <si>
    <t>Armure d'acier de santé</t>
  </si>
  <si>
    <t>skyrim.esm|0B50A7</t>
  </si>
  <si>
    <t>Armure d'acier de santé accrue</t>
  </si>
  <si>
    <t>skyrim.esm|0B50A5</t>
  </si>
  <si>
    <t>Armure d'acier de santé minime</t>
  </si>
  <si>
    <t>skyrim.esm|10DF9D</t>
  </si>
  <si>
    <t>Armure d'acier de vigueur accrue</t>
  </si>
  <si>
    <t>skyrim.esm|013961</t>
  </si>
  <si>
    <t>Armure d'ébonite</t>
  </si>
  <si>
    <t>skyrim.esm|10CF6B</t>
  </si>
  <si>
    <t>Armure d'ébonite d'altération accrue</t>
  </si>
  <si>
    <t>skyrim.esm|10CF6D</t>
  </si>
  <si>
    <t>Armure d'ébonite d'altération extrême</t>
  </si>
  <si>
    <t>skyrim.esm|10CF6C</t>
  </si>
  <si>
    <t>Armure d'ébonite d'altération majeure</t>
  </si>
  <si>
    <t>skyrim.esm|10CF73</t>
  </si>
  <si>
    <t>Armure d'ébonite d'illusion accrue</t>
  </si>
  <si>
    <t>skyrim.esm|10CF79</t>
  </si>
  <si>
    <t>Armure d'ébonite d'illusion extrême</t>
  </si>
  <si>
    <t>skyrim.esm|10CF74</t>
  </si>
  <si>
    <t>Armure d'ébonite d'illusion majeure</t>
  </si>
  <si>
    <t>skyrim.esm|10CF6E</t>
  </si>
  <si>
    <t>Armure d'ébonite de conjuration accrue</t>
  </si>
  <si>
    <t>skyrim.esm|10CF70</t>
  </si>
  <si>
    <t>Armure d'ébonite de conjuration extrême</t>
  </si>
  <si>
    <t>skyrim.esm|10CF6F</t>
  </si>
  <si>
    <t>Armure d'ébonite de conjuration majeure</t>
  </si>
  <si>
    <t>skyrim.esm|10CF71</t>
  </si>
  <si>
    <t>Armure d'ébonite de destruction accrue</t>
  </si>
  <si>
    <t>skyrim.esm|10CF78</t>
  </si>
  <si>
    <t>Armure d'ébonite de destruction extrême</t>
  </si>
  <si>
    <t>skyrim.esm|10CF72</t>
  </si>
  <si>
    <t>Armure d'ébonite de destruction majeure</t>
  </si>
  <si>
    <t>skyrim.esm|0CF83A</t>
  </si>
  <si>
    <t>Armure d'ébonite de grand chevalier</t>
  </si>
  <si>
    <t>skyrim.esm|10CF75</t>
  </si>
  <si>
    <t>Armure d'ébonite de guérison accrue</t>
  </si>
  <si>
    <t>skyrim.esm|10CF77</t>
  </si>
  <si>
    <t>Armure d'ébonite de guérison extrême</t>
  </si>
  <si>
    <t>skyrim.esm|10CF76</t>
  </si>
  <si>
    <t>Armure d'ébonite de guérison majeure</t>
  </si>
  <si>
    <t>skyrim.esm|0CF83B</t>
  </si>
  <si>
    <t>Armure d'ébonite de noble chevalier</t>
  </si>
  <si>
    <t>skyrim.esm|0CF83C</t>
  </si>
  <si>
    <t>Armure d'ébonite de preux chevalier</t>
  </si>
  <si>
    <t>skyrim.esm|0FE2EC</t>
  </si>
  <si>
    <t>Armure d'ébonite de récupération</t>
  </si>
  <si>
    <t>skyrim.esm|0FE2EB</t>
  </si>
  <si>
    <t>Armure d'ébonite de régénération</t>
  </si>
  <si>
    <t>skyrim.esm|0FE2E9</t>
  </si>
  <si>
    <t>Armure d'ébonite de remède</t>
  </si>
  <si>
    <t>skyrim.esm|0FE2ED</t>
  </si>
  <si>
    <t>Armure d'ébonite de rétablissement</t>
  </si>
  <si>
    <t>skyrim.esm|0CF837</t>
  </si>
  <si>
    <t>Armure d'ébonite de santé accrue</t>
  </si>
  <si>
    <t>skyrim.esm|0CF839</t>
  </si>
  <si>
    <t>Armure d'ébonite de santé extrême</t>
  </si>
  <si>
    <t>skyrim.esm|0CF838</t>
  </si>
  <si>
    <t>Armure d'ébonite de santé majeure</t>
  </si>
  <si>
    <t>skyrim.esm|0FE2EA</t>
  </si>
  <si>
    <t>Armure d'ébonite de soulagement</t>
  </si>
  <si>
    <t>skyrim.esm|0FE2EE</t>
  </si>
  <si>
    <t>Armure d'ébonite de vivification</t>
  </si>
  <si>
    <t>skyrim.esm|01B3A3</t>
  </si>
  <si>
    <t>Armure d'écailles</t>
  </si>
  <si>
    <t>skyrim.esm|10DEE3</t>
  </si>
  <si>
    <t>Armure d'écailles d'altération</t>
  </si>
  <si>
    <t>skyrim.esm|10DEE4</t>
  </si>
  <si>
    <t>Armure d'écailles d'altération accrue</t>
  </si>
  <si>
    <t>skyrim.esm|10DEE5</t>
  </si>
  <si>
    <t>Armure d'écailles d'altération majeure</t>
  </si>
  <si>
    <t>skyrim.esm|0D53F8</t>
  </si>
  <si>
    <t>Armure d'écailles d'écuyer</t>
  </si>
  <si>
    <t>skyrim.esm|10DEEC</t>
  </si>
  <si>
    <t>Armure d'écailles d'illusion</t>
  </si>
  <si>
    <t>skyrim.esm|10DEED</t>
  </si>
  <si>
    <t>Armure d'écailles d'illusion accrue</t>
  </si>
  <si>
    <t>skyrim.esm|10DEEE</t>
  </si>
  <si>
    <t>Armure d'écailles d'illusion majeure</t>
  </si>
  <si>
    <t>skyrim.esm|10DEE6</t>
  </si>
  <si>
    <t>Armure d'écailles de conjuration</t>
  </si>
  <si>
    <t>skyrim.esm|10DEE7</t>
  </si>
  <si>
    <t>Armure d'écailles de conjuration accrue</t>
  </si>
  <si>
    <t>skyrim.esm|10DEE8</t>
  </si>
  <si>
    <t>Armure d'écailles de conjuration majeure</t>
  </si>
  <si>
    <t>skyrim.esm|10DEE9</t>
  </si>
  <si>
    <t>Armure d'écailles de destruction</t>
  </si>
  <si>
    <t>skyrim.esm|10DEEA</t>
  </si>
  <si>
    <t>Armure d'écailles de destruction accrue</t>
  </si>
  <si>
    <t>skyrim.esm|10DEEB</t>
  </si>
  <si>
    <t>Armure d'écailles de destruction majeure</t>
  </si>
  <si>
    <t>skyrim.esm|0D53F9</t>
  </si>
  <si>
    <t>Armure d'écailles de grand écuyer</t>
  </si>
  <si>
    <t>skyrim.esm|10DEEF</t>
  </si>
  <si>
    <t>Armure d'écailles de guérison</t>
  </si>
  <si>
    <t>skyrim.esm|10DEF0</t>
  </si>
  <si>
    <t>Armure d'écailles de guérison accrue</t>
  </si>
  <si>
    <t>skyrim.esm|10DEF1</t>
  </si>
  <si>
    <t>Armure d'écailles de guérison majeure</t>
  </si>
  <si>
    <t>skyrim.esm|0D53FA</t>
  </si>
  <si>
    <t>Armure d'écailles de noble écuyer</t>
  </si>
  <si>
    <t>skyrim.esm|0D53F5</t>
  </si>
  <si>
    <t>Armure d'écailles de santé</t>
  </si>
  <si>
    <t>skyrim.esm|0D53F6</t>
  </si>
  <si>
    <t>Armure d'écailles de santé accrue</t>
  </si>
  <si>
    <t>skyrim.esm|0D53F7</t>
  </si>
  <si>
    <t>Armure d'écailles de santé majeure</t>
  </si>
  <si>
    <t>skyrim.esm|08697E</t>
  </si>
  <si>
    <t>Armure d'officier des Sombrages</t>
  </si>
  <si>
    <t>dragonborn.esm|01CD93</t>
  </si>
  <si>
    <t>Armure d'ostalium</t>
  </si>
  <si>
    <t>dragonborn.esm|03AB26</t>
  </si>
  <si>
    <t>Armure d'ostalium améliorée</t>
  </si>
  <si>
    <t>dragonborn.esm|0284D9</t>
  </si>
  <si>
    <t>Armure d'ostalium d'écuyer</t>
  </si>
  <si>
    <t>dragonborn.esm|0284D8</t>
  </si>
  <si>
    <t>Armure d'ostalium d'humble écuyer</t>
  </si>
  <si>
    <t>dragonborn.esm|0284DA</t>
  </si>
  <si>
    <t>Armure d'ostalium de grand écuyer</t>
  </si>
  <si>
    <t>dragonborn.esm|0284D6</t>
  </si>
  <si>
    <t>Armure d'ostalium de santé</t>
  </si>
  <si>
    <t>dragonborn.esm|0284D7</t>
  </si>
  <si>
    <t>Armure d'ostalium de santé accrue</t>
  </si>
  <si>
    <t>dragonborn.esm|0284D5</t>
  </si>
  <si>
    <t>Armure d'ostalium de santé minime</t>
  </si>
  <si>
    <t>skyrim.esm|01396B</t>
  </si>
  <si>
    <t>Armure daedra</t>
  </si>
  <si>
    <t>skyrim.esm|10CF32</t>
  </si>
  <si>
    <t>Armure daedra d'altération absolue</t>
  </si>
  <si>
    <t>skyrim.esm|10CF31</t>
  </si>
  <si>
    <t>Armure daedra d'altération extrême</t>
  </si>
  <si>
    <t>skyrim.esm|10CF30</t>
  </si>
  <si>
    <t>Armure daedra d'altération majeure</t>
  </si>
  <si>
    <t>skyrim.esm|10CF3B</t>
  </si>
  <si>
    <t>Armure daedra d'illusion absolue</t>
  </si>
  <si>
    <t>skyrim.esm|10CF3A</t>
  </si>
  <si>
    <t>Armure daedra d'illusion extrême</t>
  </si>
  <si>
    <t>skyrim.esm|10CF39</t>
  </si>
  <si>
    <t>Armure daedra d'illusion majeure</t>
  </si>
  <si>
    <t>skyrim.esm|10CF33</t>
  </si>
  <si>
    <t>Armure daedra de conjuration absolue</t>
  </si>
  <si>
    <t>skyrim.esm|10CF34</t>
  </si>
  <si>
    <t>skyrim.esm|10CF35</t>
  </si>
  <si>
    <t>skyrim.esm|10CF38</t>
  </si>
  <si>
    <t>Armure daedra de destruction absolue</t>
  </si>
  <si>
    <t>skyrim.esm|10CF37</t>
  </si>
  <si>
    <t>Armure daedra de destruction extrême</t>
  </si>
  <si>
    <t>skyrim.esm|10CF36</t>
  </si>
  <si>
    <t>Armure daedra de destruction majeure</t>
  </si>
  <si>
    <t>skyrim.esm|10CF3E</t>
  </si>
  <si>
    <t>Armure daedra de guérison absolue</t>
  </si>
  <si>
    <t>skyrim.esm|10CF3D</t>
  </si>
  <si>
    <t>Armure daedra de guérison extrême</t>
  </si>
  <si>
    <t>skyrim.esm|10CF3C</t>
  </si>
  <si>
    <t>Armure daedra de guérison majeure</t>
  </si>
  <si>
    <t>skyrim.esm|0D7A9B</t>
  </si>
  <si>
    <t>Armure daedra de noble chevalier</t>
  </si>
  <si>
    <t>skyrim.esm|0D7A9D</t>
  </si>
  <si>
    <t>Armure daedra de paladin</t>
  </si>
  <si>
    <t>skyrim.esm|0D7A9C</t>
  </si>
  <si>
    <t>Armure daedra de preux chevalier</t>
  </si>
  <si>
    <t>skyrim.esm|0FE2FF</t>
  </si>
  <si>
    <t>Armure daedra de régénération</t>
  </si>
  <si>
    <t>skyrim.esm|0FE300</t>
  </si>
  <si>
    <t>Armure daedra de renaissance</t>
  </si>
  <si>
    <t>skyrim.esm|0FE2FD</t>
  </si>
  <si>
    <t>Armure daedra de renouveau</t>
  </si>
  <si>
    <t>skyrim.esm|0FE2FB</t>
  </si>
  <si>
    <t>Armure daedra de rétablissement</t>
  </si>
  <si>
    <t>skyrim.esm|0D7A9A</t>
  </si>
  <si>
    <t>Armure daedra de santé absolue</t>
  </si>
  <si>
    <t>skyrim.esm|0D7A99</t>
  </si>
  <si>
    <t>Armure daedra de santé extrême</t>
  </si>
  <si>
    <t>skyrim.esm|0D7A98</t>
  </si>
  <si>
    <t>Armure daedra de santé majeure</t>
  </si>
  <si>
    <t>skyrim.esm|0FE2FE</t>
  </si>
  <si>
    <t>Armure daedra de soulagement</t>
  </si>
  <si>
    <t>skyrim.esm|0FE2FC</t>
  </si>
  <si>
    <t>Armure daedra de vivification</t>
  </si>
  <si>
    <t>dragonborn.esm|01CD87</t>
  </si>
  <si>
    <t>Armure de chitine</t>
  </si>
  <si>
    <t>dragonborn.esm|028FF0</t>
  </si>
  <si>
    <t>Armure de chitine d'altération</t>
  </si>
  <si>
    <t>dragonborn.esm|029163</t>
  </si>
  <si>
    <t>dragonborn.esm|028FF1</t>
  </si>
  <si>
    <t>Armure de chitine d'altération accrue</t>
  </si>
  <si>
    <t>dragonborn.esm|029164</t>
  </si>
  <si>
    <t>dragonborn.esm|028FF2</t>
  </si>
  <si>
    <t>Armure de chitine d'altération majeure</t>
  </si>
  <si>
    <t>dragonborn.esm|029165</t>
  </si>
  <si>
    <t>dragonborn.esm|028FFB</t>
  </si>
  <si>
    <t>Armure de chitine d'écuyer</t>
  </si>
  <si>
    <t>dragonborn.esm|029172</t>
  </si>
  <si>
    <t>Armure de chitine d'illusion</t>
  </si>
  <si>
    <t>dragonborn.esm|029173</t>
  </si>
  <si>
    <t>Armure de chitine d'illusion accrue</t>
  </si>
  <si>
    <t>dragonborn.esm|029174</t>
  </si>
  <si>
    <t>Armure de chitine d'illusion majeure</t>
  </si>
  <si>
    <t>dragonborn.esm|02916F</t>
  </si>
  <si>
    <t>Armure de chitine de chevalier</t>
  </si>
  <si>
    <t>dragonborn.esm|028FF3</t>
  </si>
  <si>
    <t>Armure de chitine de conjuration</t>
  </si>
  <si>
    <t>dragonborn.esm|029166</t>
  </si>
  <si>
    <t>dragonborn.esm|028FF4</t>
  </si>
  <si>
    <t>Armure de chitine de conjuration accrue</t>
  </si>
  <si>
    <t>dragonborn.esm|029167</t>
  </si>
  <si>
    <t>dragonborn.esm|028FF5</t>
  </si>
  <si>
    <t>Armure de chitine de conjuration majeure</t>
  </si>
  <si>
    <t>dragonborn.esm|029168</t>
  </si>
  <si>
    <t>dragonborn.esm|028FF6</t>
  </si>
  <si>
    <t>Armure de chitine de destruction</t>
  </si>
  <si>
    <t>dragonborn.esm|029169</t>
  </si>
  <si>
    <t>dragonborn.esm|028FF7</t>
  </si>
  <si>
    <t>Armure de chitine de destruction accrue</t>
  </si>
  <si>
    <t>dragonborn.esm|02916A</t>
  </si>
  <si>
    <t>dragonborn.esm|028FF8</t>
  </si>
  <si>
    <t>Armure de chitine de destruction majeure</t>
  </si>
  <si>
    <t>dragonborn.esm|02916B</t>
  </si>
  <si>
    <t>dragonborn.esm|029170</t>
  </si>
  <si>
    <t>Armure de chitine de grand chevalier</t>
  </si>
  <si>
    <t>dragonborn.esm|028FFC</t>
  </si>
  <si>
    <t>Armure de chitine de grand écuyer</t>
  </si>
  <si>
    <t>dragonborn.esm|029000</t>
  </si>
  <si>
    <t>Armure de chitine de guérison</t>
  </si>
  <si>
    <t>dragonborn.esm|029175</t>
  </si>
  <si>
    <t>dragonborn.esm|029001</t>
  </si>
  <si>
    <t>Armure de chitine de guérison accrue</t>
  </si>
  <si>
    <t>dragonborn.esm|029176</t>
  </si>
  <si>
    <t>dragonborn.esm|029002</t>
  </si>
  <si>
    <t>Armure de chitine de guérison majeure</t>
  </si>
  <si>
    <t>dragonborn.esm|029177</t>
  </si>
  <si>
    <t>dragonborn.esm|029171</t>
  </si>
  <si>
    <t>Armure de chitine de noble chevalier</t>
  </si>
  <si>
    <t>dragonborn.esm|028FFF</t>
  </si>
  <si>
    <t>Armure de chitine de noble écuyer</t>
  </si>
  <si>
    <t>dragonborn.esm|028FF9</t>
  </si>
  <si>
    <t>Armure de chitine de santé</t>
  </si>
  <si>
    <t>dragonborn.esm|02916C</t>
  </si>
  <si>
    <t>dragonborn.esm|028FFE</t>
  </si>
  <si>
    <t>Armure de chitine de santé accrue</t>
  </si>
  <si>
    <t>dragonborn.esm|02916D</t>
  </si>
  <si>
    <t>dragonborn.esm|028FFA</t>
  </si>
  <si>
    <t>Armure de chitine de santé majeure</t>
  </si>
  <si>
    <t>dragonborn.esm|02916E</t>
  </si>
  <si>
    <t>dragonborn.esm|01CD8A</t>
  </si>
  <si>
    <t>Armure de chitine lourde</t>
  </si>
  <si>
    <t>skyrim.esm|01B3A4</t>
  </si>
  <si>
    <t>Armure de corne à écailles</t>
  </si>
  <si>
    <t>skyrim.esm|03619E</t>
  </si>
  <si>
    <t>Armure de cuir</t>
  </si>
  <si>
    <t>skyrim.esm|10DEC6</t>
  </si>
  <si>
    <t>Armure de cuir d'altération</t>
  </si>
  <si>
    <t>skyrim.esm|10DEC7</t>
  </si>
  <si>
    <t>Armure de cuir d'altération accrue</t>
  </si>
  <si>
    <t>skyrim.esm|10DEC5</t>
  </si>
  <si>
    <t>Armure de cuir d'altération minime</t>
  </si>
  <si>
    <t>skyrim.esm|0B4238</t>
  </si>
  <si>
    <t>Armure de cuir d'écuyer</t>
  </si>
  <si>
    <t>skyrim.esm|0B4237</t>
  </si>
  <si>
    <t>Armure de cuir d'humble écuyer</t>
  </si>
  <si>
    <t>skyrim.esm|10DECF</t>
  </si>
  <si>
    <t>Armure de cuir d'illusion</t>
  </si>
  <si>
    <t>skyrim.esm|10DED0</t>
  </si>
  <si>
    <t>Armure de cuir d'illusion accrue</t>
  </si>
  <si>
    <t>skyrim.esm|10DECE</t>
  </si>
  <si>
    <t>Armure de cuir d'illusion minime</t>
  </si>
  <si>
    <t>skyrim.esm|10DEC9</t>
  </si>
  <si>
    <t>Armure de cuir de conjuration</t>
  </si>
  <si>
    <t>skyrim.esm|10DECA</t>
  </si>
  <si>
    <t>Armure de cuir de conjuration accrue</t>
  </si>
  <si>
    <t>skyrim.esm|10DEC8</t>
  </si>
  <si>
    <t>Armure de cuir de conjuration minime</t>
  </si>
  <si>
    <t>skyrim.esm|10DECC</t>
  </si>
  <si>
    <t>Armure de cuir de destruction</t>
  </si>
  <si>
    <t>skyrim.esm|10DECD</t>
  </si>
  <si>
    <t>Armure de cuir de destruction accrue</t>
  </si>
  <si>
    <t>skyrim.esm|10DECB</t>
  </si>
  <si>
    <t>Armure de cuir de destruction minime</t>
  </si>
  <si>
    <t>skyrim.esm|0B4239</t>
  </si>
  <si>
    <t>Armure de cuir de grand écuyer</t>
  </si>
  <si>
    <t>skyrim.esm|10DED2</t>
  </si>
  <si>
    <t>Armure de cuir de guérison</t>
  </si>
  <si>
    <t>skyrim.esm|10DED3</t>
  </si>
  <si>
    <t>Armure de cuir de guérison accrue</t>
  </si>
  <si>
    <t>skyrim.esm|10DED1</t>
  </si>
  <si>
    <t>Armure de cuir de guérison minime</t>
  </si>
  <si>
    <t>skyrim.esm|0B4235</t>
  </si>
  <si>
    <t>Armure de cuir de santé</t>
  </si>
  <si>
    <t>skyrim.esm|0B4236</t>
  </si>
  <si>
    <t>Armure de cuir de santé accrue</t>
  </si>
  <si>
    <t>skyrim.esm|0B4234</t>
  </si>
  <si>
    <t>Armure de cuir de santé minime</t>
  </si>
  <si>
    <t>skyrim.esm|012E49</t>
  </si>
  <si>
    <t>Armure de fer</t>
  </si>
  <si>
    <t>skyrim.esm|10CFB9</t>
  </si>
  <si>
    <t>Armure de fer d'altération</t>
  </si>
  <si>
    <t>skyrim.esm|10CFBA</t>
  </si>
  <si>
    <t>Armure de fer d'altération accrue</t>
  </si>
  <si>
    <t>skyrim.esm|10CFBB</t>
  </si>
  <si>
    <t>skyrim.esm|10CFB8</t>
  </si>
  <si>
    <t>Armure de fer d'altération minime</t>
  </si>
  <si>
    <t>skyrim.esm|07A128</t>
  </si>
  <si>
    <t>Armure de fer d'humble chevalier</t>
  </si>
  <si>
    <t>skyrim.esm|10CFC3</t>
  </si>
  <si>
    <t>Armure de fer d'illusion</t>
  </si>
  <si>
    <t>skyrim.esm|10CFC4</t>
  </si>
  <si>
    <t>Armure de fer d'illusion accrue</t>
  </si>
  <si>
    <t>skyrim.esm|10CFC2</t>
  </si>
  <si>
    <t>Armure de fer d'illusion minime</t>
  </si>
  <si>
    <t>skyrim.esm|0AD565</t>
  </si>
  <si>
    <t>Armure de fer de chevalier</t>
  </si>
  <si>
    <t>skyrim.esm|10CFBD</t>
  </si>
  <si>
    <t>Armure de fer de conjuration</t>
  </si>
  <si>
    <t>skyrim.esm|10CFBE</t>
  </si>
  <si>
    <t>Armure de fer de conjuration accrue</t>
  </si>
  <si>
    <t>skyrim.esm|10CFBC</t>
  </si>
  <si>
    <t>Armure de fer de conjuration minime</t>
  </si>
  <si>
    <t>skyrim.esm|10CFC0</t>
  </si>
  <si>
    <t>Armure de fer de destruction</t>
  </si>
  <si>
    <t>skyrim.esm|10CFC1</t>
  </si>
  <si>
    <t>Armure de fer de destruction accrue</t>
  </si>
  <si>
    <t>skyrim.esm|10CFBF</t>
  </si>
  <si>
    <t>Armure de fer de destruction minime</t>
  </si>
  <si>
    <t>skyrim.esm|0AD566</t>
  </si>
  <si>
    <t>Armure de fer de grand chevalier</t>
  </si>
  <si>
    <t>skyrim.esm|10CFC6</t>
  </si>
  <si>
    <t>Armure de fer de guérison</t>
  </si>
  <si>
    <t>skyrim.esm|10CFC7</t>
  </si>
  <si>
    <t>Armure de fer de guérison accrue</t>
  </si>
  <si>
    <t>skyrim.esm|10CFC5</t>
  </si>
  <si>
    <t>Armure de fer de guérison minime</t>
  </si>
  <si>
    <t>skyrim.esm|0AD563</t>
  </si>
  <si>
    <t>Armure de fer de santé</t>
  </si>
  <si>
    <t>skyrim.esm|0AD564</t>
  </si>
  <si>
    <t>Armure de fer de santé accrue</t>
  </si>
  <si>
    <t>skyrim.esm|04950E</t>
  </si>
  <si>
    <t>Armure de fer de santé minime</t>
  </si>
  <si>
    <t>skyrim.esm|06F393</t>
  </si>
  <si>
    <t>Armure de fourrure</t>
  </si>
  <si>
    <t>skyrim.esm|10594B</t>
  </si>
  <si>
    <t>skyrim.esm|10594D</t>
  </si>
  <si>
    <t>skyrim.esm|10594F</t>
  </si>
  <si>
    <t>dragonborn.esm|037564</t>
  </si>
  <si>
    <t>Armure de garde d'ostalium</t>
  </si>
  <si>
    <t>dragonborn.esm|02AD33</t>
  </si>
  <si>
    <t>Armure de Gardenoir</t>
  </si>
  <si>
    <t>dawnguard.esm|0050C6</t>
  </si>
  <si>
    <t>Armure de la Garde de l'aube</t>
  </si>
  <si>
    <t>skyrim.esm|0D3AC3</t>
  </si>
  <si>
    <t>Armure de la Guilde des voleurs</t>
  </si>
  <si>
    <t>skyrim.esm|0D3ACC</t>
  </si>
  <si>
    <t>skyrim.esm|108544</t>
  </si>
  <si>
    <t>Armure de Linwe</t>
  </si>
  <si>
    <t>skyrim.esm|0E35D7</t>
  </si>
  <si>
    <t>Armure de maître de guilde</t>
  </si>
  <si>
    <t>dragonborn.esm|0292AC</t>
  </si>
  <si>
    <t>Armure de Morag Tong</t>
  </si>
  <si>
    <t>skyrim.esm|0D8D50</t>
  </si>
  <si>
    <t>Armure de Parjure</t>
  </si>
  <si>
    <t>skyrim.esm|01395C</t>
  </si>
  <si>
    <t>Armure de plates</t>
  </si>
  <si>
    <t>skyrim.esm|10DF01</t>
  </si>
  <si>
    <t>Armure de plates d'altération</t>
  </si>
  <si>
    <t>skyrim.esm|10DF02</t>
  </si>
  <si>
    <t>Armure de plates d'altération accrue</t>
  </si>
  <si>
    <t>skyrim.esm|10DF03</t>
  </si>
  <si>
    <t>Armure de plates d'altération majeure</t>
  </si>
  <si>
    <t>skyrim.esm|10DF0A</t>
  </si>
  <si>
    <t>Armure de plates d'illusion</t>
  </si>
  <si>
    <t>skyrim.esm|10DF0B</t>
  </si>
  <si>
    <t>Armure de plates d'illusion accrue</t>
  </si>
  <si>
    <t>skyrim.esm|10DF0C</t>
  </si>
  <si>
    <t>Armure de plates d'illusion majeure</t>
  </si>
  <si>
    <t>skyrim.esm|01B446</t>
  </si>
  <si>
    <t>Armure de plates de chevalier</t>
  </si>
  <si>
    <t>skyrim.esm|10DF04</t>
  </si>
  <si>
    <t>Armure de plates de conjuration</t>
  </si>
  <si>
    <t>skyrim.esm|10DF05</t>
  </si>
  <si>
    <t>Armure de plates de conjuration accrue</t>
  </si>
  <si>
    <t>skyrim.esm|10DF06</t>
  </si>
  <si>
    <t>Armure de plates de conjuration majeure</t>
  </si>
  <si>
    <t>skyrim.esm|10DF07</t>
  </si>
  <si>
    <t>Armure de plates de destruction</t>
  </si>
  <si>
    <t>skyrim.esm|10DF08</t>
  </si>
  <si>
    <t>Armure de plates de destruction accrue</t>
  </si>
  <si>
    <t>skyrim.esm|10DF09</t>
  </si>
  <si>
    <t>Armure de plates de destruction majeure</t>
  </si>
  <si>
    <t>skyrim.esm|01B54E</t>
  </si>
  <si>
    <t>Armure de plates de grand chevalier</t>
  </si>
  <si>
    <t>skyrim.esm|10DF0D</t>
  </si>
  <si>
    <t>Armure de plates de guérison</t>
  </si>
  <si>
    <t>skyrim.esm|10DF0E</t>
  </si>
  <si>
    <t>Armure de plates de guérison accrue</t>
  </si>
  <si>
    <t>skyrim.esm|10DF0F</t>
  </si>
  <si>
    <t>Armure de plates de guérison majeure</t>
  </si>
  <si>
    <t>skyrim.esm|01B555</t>
  </si>
  <si>
    <t>Armure de plates de noble chevalier</t>
  </si>
  <si>
    <t>skyrim.esm|01B40C</t>
  </si>
  <si>
    <t>Armure de plates de santé</t>
  </si>
  <si>
    <t>skyrim.esm|01B40D</t>
  </si>
  <si>
    <t>Armure de plates de santé accrue</t>
  </si>
  <si>
    <t>skyrim.esm|01B40E</t>
  </si>
  <si>
    <t>Armure de plates de santé majeure</t>
  </si>
  <si>
    <t>skyrim.esm|05DB86</t>
  </si>
  <si>
    <t>Armure de Rossignol</t>
  </si>
  <si>
    <t>skyrim.esm|0FCC0E</t>
  </si>
  <si>
    <t>skyrim.esm|0FCC0F</t>
  </si>
  <si>
    <t>dawnguard.esm|011A84</t>
  </si>
  <si>
    <t>Armure de seigneur vampire</t>
  </si>
  <si>
    <t>dragonborn.esm|02920E</t>
  </si>
  <si>
    <t>Armure de stalhrim d'altération absolue</t>
  </si>
  <si>
    <t>dragonborn.esm|0290A5</t>
  </si>
  <si>
    <t>Armure de stalhrim d'altération accrue</t>
  </si>
  <si>
    <t>dragonborn.esm|0290A7</t>
  </si>
  <si>
    <t>Armure de stalhrim d'altération extrême</t>
  </si>
  <si>
    <t>dragonborn.esm|02920D</t>
  </si>
  <si>
    <t>dragonborn.esm|0290A6</t>
  </si>
  <si>
    <t>Armure de stalhrim d'altération majeure</t>
  </si>
  <si>
    <t>dragonborn.esm|02920C</t>
  </si>
  <si>
    <t>dragonborn.esm|029220</t>
  </si>
  <si>
    <t>Armure de stalhrim d'illusion absolue</t>
  </si>
  <si>
    <t>dragonborn.esm|0290B4</t>
  </si>
  <si>
    <t>Armure de stalhrim d'illusion accrue</t>
  </si>
  <si>
    <t>dragonborn.esm|0290B6</t>
  </si>
  <si>
    <t>Armure de stalhrim d'illusion extrême</t>
  </si>
  <si>
    <t>dragonborn.esm|02921F</t>
  </si>
  <si>
    <t>dragonborn.esm|0290B5</t>
  </si>
  <si>
    <t>Armure de stalhrim d'illusion majeure</t>
  </si>
  <si>
    <t>dragonborn.esm|02921E</t>
  </si>
  <si>
    <t>dragonborn.esm|029211</t>
  </si>
  <si>
    <t>Armure de stalhrim de conjuration absolue</t>
  </si>
  <si>
    <t>dragonborn.esm|0290A8</t>
  </si>
  <si>
    <t>Armure de stalhrim de conjuration accrue</t>
  </si>
  <si>
    <t>dragonborn.esm|0290AA</t>
  </si>
  <si>
    <t>Armure de stalhrim de conjuration extrême</t>
  </si>
  <si>
    <t>dragonborn.esm|029210</t>
  </si>
  <si>
    <t>dragonborn.esm|0290A9</t>
  </si>
  <si>
    <t>Armure de stalhrim de conjuration majeure</t>
  </si>
  <si>
    <t>dragonborn.esm|02920F</t>
  </si>
  <si>
    <t>dragonborn.esm|029214</t>
  </si>
  <si>
    <t>Armure de stalhrim de destruction absolue</t>
  </si>
  <si>
    <t>dragonborn.esm|0290AB</t>
  </si>
  <si>
    <t>Armure de stalhrim de destruction accrue</t>
  </si>
  <si>
    <t>dragonborn.esm|0290AD</t>
  </si>
  <si>
    <t>Armure de stalhrim de destruction extrême</t>
  </si>
  <si>
    <t>dragonborn.esm|029213</t>
  </si>
  <si>
    <t>dragonborn.esm|0290AC</t>
  </si>
  <si>
    <t>Armure de stalhrim de destruction majeure</t>
  </si>
  <si>
    <t>dragonborn.esm|029212</t>
  </si>
  <si>
    <t>dragonborn.esm|0290B7</t>
  </si>
  <si>
    <t>Armure de stalhrim de grand écuyer</t>
  </si>
  <si>
    <t>dragonborn.esm|029223</t>
  </si>
  <si>
    <t>Armure de stalhrim de guérison absolue</t>
  </si>
  <si>
    <t>dragonborn.esm|0290BA</t>
  </si>
  <si>
    <t>Armure de stalhrim de guérison accrue</t>
  </si>
  <si>
    <t>dragonborn.esm|0290BC</t>
  </si>
  <si>
    <t>Armure de stalhrim de guérison extrême</t>
  </si>
  <si>
    <t>dragonborn.esm|029222</t>
  </si>
  <si>
    <t>dragonborn.esm|0290BB</t>
  </si>
  <si>
    <t>Armure de stalhrim de guérison majeure</t>
  </si>
  <si>
    <t>dragonborn.esm|029221</t>
  </si>
  <si>
    <t>dragonborn.esm|0290B8</t>
  </si>
  <si>
    <t>Armure de stalhrim de noble chevalier</t>
  </si>
  <si>
    <t>dragonborn.esm|02921B</t>
  </si>
  <si>
    <t>dragonborn.esm|02921D</t>
  </si>
  <si>
    <t>Armure de stalhrim de paladin</t>
  </si>
  <si>
    <t>dragonborn.esm|0290B9</t>
  </si>
  <si>
    <t>Armure de stalhrim de preux chevalier</t>
  </si>
  <si>
    <t>dragonborn.esm|02921C</t>
  </si>
  <si>
    <t>dragonborn.esm|0290BD</t>
  </si>
  <si>
    <t>Armure de stalhrim de récupération</t>
  </si>
  <si>
    <t>dragonborn.esm|0290B0</t>
  </si>
  <si>
    <t>Armure de stalhrim de régénération</t>
  </si>
  <si>
    <t>dragonborn.esm|02921A</t>
  </si>
  <si>
    <t>dragonborn.esm|0290AE</t>
  </si>
  <si>
    <t>Armure de stalhrim de remède</t>
  </si>
  <si>
    <t>dragonborn.esm|029217</t>
  </si>
  <si>
    <t>Armure de stalhrim de renaissance</t>
  </si>
  <si>
    <t>dragonborn.esm|029226</t>
  </si>
  <si>
    <t>Armure de stalhrim de renouveau</t>
  </si>
  <si>
    <t>dragonborn.esm|0290BE</t>
  </si>
  <si>
    <t>Armure de stalhrim de rétablissement</t>
  </si>
  <si>
    <t>dragonborn.esm|029224</t>
  </si>
  <si>
    <t>dragonborn.esm|029218</t>
  </si>
  <si>
    <t>Armure de stalhrim de santé absolue</t>
  </si>
  <si>
    <t>dragonborn.esm|0290B1</t>
  </si>
  <si>
    <t>Armure de stalhrim de santé accrue</t>
  </si>
  <si>
    <t>dragonborn.esm|0290B3</t>
  </si>
  <si>
    <t>Armure de stalhrim de santé extrême</t>
  </si>
  <si>
    <t>dragonborn.esm|029216</t>
  </si>
  <si>
    <t>dragonborn.esm|0290B2</t>
  </si>
  <si>
    <t>Armure de stalhrim de santé majeure</t>
  </si>
  <si>
    <t>dragonborn.esm|029215</t>
  </si>
  <si>
    <t>dragonborn.esm|0290AF</t>
  </si>
  <si>
    <t>Armure de stalhrim de soulagement</t>
  </si>
  <si>
    <t>dragonborn.esm|029219</t>
  </si>
  <si>
    <t>dragonborn.esm|0290BF</t>
  </si>
  <si>
    <t>Armure de stalhrim de vivification</t>
  </si>
  <si>
    <t>dragonborn.esm|029225</t>
  </si>
  <si>
    <t>skyrim.esm|0C0165</t>
  </si>
  <si>
    <t>Armure de Tsun</t>
  </si>
  <si>
    <t>dawnguard.esm|015CC7</t>
  </si>
  <si>
    <t>Armure de vampire d'emplissage</t>
  </si>
  <si>
    <t>dawnguard.esm|015CC0</t>
  </si>
  <si>
    <t>Armure de vampire de conjuration</t>
  </si>
  <si>
    <t>dawnguard.esm|015CC4</t>
  </si>
  <si>
    <t>Armure de vampire de conjuration absolue</t>
  </si>
  <si>
    <t>dawnguard.esm|015CC1</t>
  </si>
  <si>
    <t>Armure de vampire de conjuration accrue</t>
  </si>
  <si>
    <t>dawnguard.esm|015CC3</t>
  </si>
  <si>
    <t>Armure de vampire de conjuration extrême</t>
  </si>
  <si>
    <t>dawnguard.esm|015CC2</t>
  </si>
  <si>
    <t>Armure de vampire de conjuration majeure</t>
  </si>
  <si>
    <t>dawnguard.esm|015CBF</t>
  </si>
  <si>
    <t>Armure de vampire de conjuration minime</t>
  </si>
  <si>
    <t>dawnguard.esm|015CBA</t>
  </si>
  <si>
    <t>Armure de vampire de destruction</t>
  </si>
  <si>
    <t>dawnguard.esm|015CBE</t>
  </si>
  <si>
    <t>Armure de vampire de destruction absolue</t>
  </si>
  <si>
    <t>dawnguard.esm|015CBB</t>
  </si>
  <si>
    <t>Armure de vampire de destruction accrue</t>
  </si>
  <si>
    <t>dawnguard.esm|015CBD</t>
  </si>
  <si>
    <t>Armure de vampire de destruction extrême</t>
  </si>
  <si>
    <t>dawnguard.esm|015CBC</t>
  </si>
  <si>
    <t>Armure de vampire de destruction majeure</t>
  </si>
  <si>
    <t>dawnguard.esm|015CB9</t>
  </si>
  <si>
    <t>Armure de vampire de destruction minime</t>
  </si>
  <si>
    <t>dawnguard.esm|015CC5</t>
  </si>
  <si>
    <t>Armure de vampire de rapidité</t>
  </si>
  <si>
    <t>dawnguard.esm|015CC6</t>
  </si>
  <si>
    <t>Armure de vampire de recharge</t>
  </si>
  <si>
    <t>dawnguard.esm|015CC8</t>
  </si>
  <si>
    <t>Armure de vampire de résurgence</t>
  </si>
  <si>
    <t>skyrim.esm|013939</t>
  </si>
  <si>
    <t>Armure de verre</t>
  </si>
  <si>
    <t>skyrim.esm|10CF98</t>
  </si>
  <si>
    <t>Armure de verre d'altération accrue</t>
  </si>
  <si>
    <t>skyrim.esm|10CF9A</t>
  </si>
  <si>
    <t>Armure de verre d'altération extrême</t>
  </si>
  <si>
    <t>skyrim.esm|10CF99</t>
  </si>
  <si>
    <t>Armure de verre d'altération majeure</t>
  </si>
  <si>
    <t>skyrim.esm|10CFA2</t>
  </si>
  <si>
    <t>Armure de verre d'illusion accrue</t>
  </si>
  <si>
    <t>skyrim.esm|10CFA4</t>
  </si>
  <si>
    <t>Armure de verre d'illusion extrême</t>
  </si>
  <si>
    <t>skyrim.esm|10CFA3</t>
  </si>
  <si>
    <t>Armure de verre d'illusion majeure</t>
  </si>
  <si>
    <t>skyrim.esm|10CF9B</t>
  </si>
  <si>
    <t>Armure de verre de conjuration accrue</t>
  </si>
  <si>
    <t>skyrim.esm|10CF9D</t>
  </si>
  <si>
    <t>Armure de verre de conjuration extrême</t>
  </si>
  <si>
    <t>skyrim.esm|10CF9C</t>
  </si>
  <si>
    <t>Armure de verre de conjuration majeure</t>
  </si>
  <si>
    <t>skyrim.esm|10CF9E</t>
  </si>
  <si>
    <t>Armure de verre de destruction accrue</t>
  </si>
  <si>
    <t>skyrim.esm|10CFA1</t>
  </si>
  <si>
    <t>Armure de verre de destruction extrême</t>
  </si>
  <si>
    <t>skyrim.esm|10CF9F</t>
  </si>
  <si>
    <t>Armure de verre de destruction majeure</t>
  </si>
  <si>
    <t>skyrim.esm|10CFA0</t>
  </si>
  <si>
    <t>skyrim.esm|0D5384</t>
  </si>
  <si>
    <t>Armure de verre de grand écuyer</t>
  </si>
  <si>
    <t>skyrim.esm|10CFA5</t>
  </si>
  <si>
    <t>Armure de verre de guérison accrue</t>
  </si>
  <si>
    <t>skyrim.esm|10CFA7</t>
  </si>
  <si>
    <t>Armure de verre de guérison extrême</t>
  </si>
  <si>
    <t>skyrim.esm|10CFA6</t>
  </si>
  <si>
    <t>Armure de verre de guérison majeure</t>
  </si>
  <si>
    <t>skyrim.esm|0D5385</t>
  </si>
  <si>
    <t>Armure de verre de noble chevalier</t>
  </si>
  <si>
    <t>skyrim.esm|0D5386</t>
  </si>
  <si>
    <t>Armure de verre de preux chevalier</t>
  </si>
  <si>
    <t>skyrim.esm|0FE2DC</t>
  </si>
  <si>
    <t>Armure de verre de récupération</t>
  </si>
  <si>
    <t>skyrim.esm|0FE2D9</t>
  </si>
  <si>
    <t>Armure de verre de régénération</t>
  </si>
  <si>
    <t>skyrim.esm|0FE2D7</t>
  </si>
  <si>
    <t>Armure de verre de remède</t>
  </si>
  <si>
    <t>skyrim.esm|0FE2DD</t>
  </si>
  <si>
    <t>Armure de verre de rétablissement</t>
  </si>
  <si>
    <t>skyrim.esm|0D5381</t>
  </si>
  <si>
    <t>Armure de verre de santé accrue</t>
  </si>
  <si>
    <t>skyrim.esm|0D5383</t>
  </si>
  <si>
    <t>Armure de verre de santé extrême</t>
  </si>
  <si>
    <t>skyrim.esm|0D5382</t>
  </si>
  <si>
    <t>Armure de verre de santé majeure</t>
  </si>
  <si>
    <t>skyrim.esm|0FE2D8</t>
  </si>
  <si>
    <t>Armure de verre de soulagement</t>
  </si>
  <si>
    <t>skyrim.esm|0FE2DE</t>
  </si>
  <si>
    <t>Armure de verre de vivification</t>
  </si>
  <si>
    <t>skyrim.esm|0EAFD0</t>
  </si>
  <si>
    <t>Armure des Anciennes divinités</t>
  </si>
  <si>
    <t>skyrim.esm|01392A</t>
  </si>
  <si>
    <t>Armure dorée</t>
  </si>
  <si>
    <t>skyrim.esm|10CF89</t>
  </si>
  <si>
    <t>Armure dorée d'altération accrue</t>
  </si>
  <si>
    <t>skyrim.esm|10CF93</t>
  </si>
  <si>
    <t>Armure dorée d'altération extrême</t>
  </si>
  <si>
    <t>skyrim.esm|10CF8A</t>
  </si>
  <si>
    <t>Armure dorée d'altération majeure</t>
  </si>
  <si>
    <t>skyrim.esm|10CF8F</t>
  </si>
  <si>
    <t>Armure dorée d'illusion accrue</t>
  </si>
  <si>
    <t>skyrim.esm|10CF96</t>
  </si>
  <si>
    <t>Armure dorée d'illusion extrême</t>
  </si>
  <si>
    <t>skyrim.esm|10CF90</t>
  </si>
  <si>
    <t>Armure dorée d'illusion majeure</t>
  </si>
  <si>
    <t>skyrim.esm|10CF8B</t>
  </si>
  <si>
    <t>Armure dorée de conjuration accrue</t>
  </si>
  <si>
    <t>skyrim.esm|10CF94</t>
  </si>
  <si>
    <t>Armure dorée de conjuration extrême</t>
  </si>
  <si>
    <t>skyrim.esm|10CF8C</t>
  </si>
  <si>
    <t>Armure dorée de conjuration majeure</t>
  </si>
  <si>
    <t>skyrim.esm|10CF8D</t>
  </si>
  <si>
    <t>Armure dorée de destruction accrue</t>
  </si>
  <si>
    <t>skyrim.esm|10CF95</t>
  </si>
  <si>
    <t>Armure dorée de destruction extrême</t>
  </si>
  <si>
    <t>skyrim.esm|10CF8E</t>
  </si>
  <si>
    <t>Armure dorée de destruction majeure</t>
  </si>
  <si>
    <t>skyrim.esm|0CE1B0</t>
  </si>
  <si>
    <t>Armure dorée de grand écuyer</t>
  </si>
  <si>
    <t>skyrim.esm|10CF91</t>
  </si>
  <si>
    <t>Armure dorée de guérison accrue</t>
  </si>
  <si>
    <t>skyrim.esm|10CF97</t>
  </si>
  <si>
    <t>Armure dorée de guérison extrême</t>
  </si>
  <si>
    <t>skyrim.esm|10CF92</t>
  </si>
  <si>
    <t>Armure dorée de guérison majeure</t>
  </si>
  <si>
    <t>skyrim.esm|0CE1B1</t>
  </si>
  <si>
    <t>Armure dorée de noble chevalier</t>
  </si>
  <si>
    <t>skyrim.esm|0CE1B2</t>
  </si>
  <si>
    <t>Armure dorée de preux chevalier</t>
  </si>
  <si>
    <t>skyrim.esm|0FDA1D</t>
  </si>
  <si>
    <t>Armure dorée de récupération</t>
  </si>
  <si>
    <t>skyrim.esm|0FDA1C</t>
  </si>
  <si>
    <t>Armure dorée de régénération</t>
  </si>
  <si>
    <t>skyrim.esm|0FDA1A</t>
  </si>
  <si>
    <t>Armure dorée de remède</t>
  </si>
  <si>
    <t>skyrim.esm|0FDA1E</t>
  </si>
  <si>
    <t>Armure dorée de rétablissement</t>
  </si>
  <si>
    <t>skyrim.esm|0CE1AD</t>
  </si>
  <si>
    <t>Armure dorée de santé accrue</t>
  </si>
  <si>
    <t>skyrim.esm|0CE1AF</t>
  </si>
  <si>
    <t>Armure dorée de santé extrême</t>
  </si>
  <si>
    <t>skyrim.esm|0CE1AE</t>
  </si>
  <si>
    <t>Armure dorée de santé majeure</t>
  </si>
  <si>
    <t>skyrim.esm|0FDA1B</t>
  </si>
  <si>
    <t>Armure dorée de soulagement</t>
  </si>
  <si>
    <t>skyrim.esm|0FDA1F</t>
  </si>
  <si>
    <t>Armure dorée de vivification</t>
  </si>
  <si>
    <t>skyrim.esm|01393E</t>
  </si>
  <si>
    <t>Armure draconique</t>
  </si>
  <si>
    <t>skyrim.esm|10CF50</t>
  </si>
  <si>
    <t>Armure draconique d'altération absolue</t>
  </si>
  <si>
    <t>skyrim.esm|10CF4F</t>
  </si>
  <si>
    <t>Armure draconique d'altération extrême</t>
  </si>
  <si>
    <t>skyrim.esm|10CF4E</t>
  </si>
  <si>
    <t>Armure draconique d'altération majeure</t>
  </si>
  <si>
    <t>skyrim.esm|10CF59</t>
  </si>
  <si>
    <t>Armure draconique d'illusion absolue</t>
  </si>
  <si>
    <t>skyrim.esm|10CF58</t>
  </si>
  <si>
    <t>Armure draconique d'illusion extrême</t>
  </si>
  <si>
    <t>skyrim.esm|10CF57</t>
  </si>
  <si>
    <t>Armure draconique d'illusion majeure</t>
  </si>
  <si>
    <t>skyrim.esm|10CF53</t>
  </si>
  <si>
    <t>Armure draconique de conjuration absolue</t>
  </si>
  <si>
    <t>skyrim.esm|10CF52</t>
  </si>
  <si>
    <t>Armure draconique de conjuration extrême</t>
  </si>
  <si>
    <t>skyrim.esm|10CF51</t>
  </si>
  <si>
    <t>Armure draconique de conjuration majeure</t>
  </si>
  <si>
    <t>skyrim.esm|10CF56</t>
  </si>
  <si>
    <t>Armure draconique de destruction absolue</t>
  </si>
  <si>
    <t>skyrim.esm|10CF55</t>
  </si>
  <si>
    <t>Armure draconique de destruction extrême</t>
  </si>
  <si>
    <t>skyrim.esm|10CF54</t>
  </si>
  <si>
    <t>Armure draconique de destruction majeure</t>
  </si>
  <si>
    <t>skyrim.esm|10CF5B</t>
  </si>
  <si>
    <t>Armure draconique de guérison absolue</t>
  </si>
  <si>
    <t>skyrim.esm|10CF5C</t>
  </si>
  <si>
    <t>Armure draconique de guérison extrême</t>
  </si>
  <si>
    <t>skyrim.esm|10CF5A</t>
  </si>
  <si>
    <t>Armure draconique de guérison majeure</t>
  </si>
  <si>
    <t>skyrim.esm|0D79BD</t>
  </si>
  <si>
    <t>Armure draconique de noble chevalier</t>
  </si>
  <si>
    <t>skyrim.esm|0D79BF</t>
  </si>
  <si>
    <t>Armure draconique de paladin</t>
  </si>
  <si>
    <t>skyrim.esm|0D79BE</t>
  </si>
  <si>
    <t>Armure draconique de preux chevalier</t>
  </si>
  <si>
    <t>skyrim.esm|0FE2E1</t>
  </si>
  <si>
    <t>Armure draconique de régénération</t>
  </si>
  <si>
    <t>skyrim.esm|0FE2E2</t>
  </si>
  <si>
    <t>Armure draconique de renaissance</t>
  </si>
  <si>
    <t>skyrim.esm|0FE2E5</t>
  </si>
  <si>
    <t>Armure draconique de renouveau</t>
  </si>
  <si>
    <t>skyrim.esm|0FE2E3</t>
  </si>
  <si>
    <t>Armure draconique de rétablissement</t>
  </si>
  <si>
    <t>skyrim.esm|0D79BC</t>
  </si>
  <si>
    <t>Armure draconique de santé absolue</t>
  </si>
  <si>
    <t>skyrim.esm|0D79BB</t>
  </si>
  <si>
    <t>Armure draconique de santé extrême</t>
  </si>
  <si>
    <t>skyrim.esm|0D79BA</t>
  </si>
  <si>
    <t>Armure draconique de santé majeure</t>
  </si>
  <si>
    <t>skyrim.esm|0FE2E0</t>
  </si>
  <si>
    <t>Armure draconique de soulagement</t>
  </si>
  <si>
    <t>skyrim.esm|0FE2E4</t>
  </si>
  <si>
    <t>Armure draconique de vivification</t>
  </si>
  <si>
    <t>dragonborn.esm|02401B</t>
  </si>
  <si>
    <t>Armure du Balafré</t>
  </si>
  <si>
    <t>dragonborn.esm|01DB97</t>
  </si>
  <si>
    <t>Armure du châtiment d'Ahzidal</t>
  </si>
  <si>
    <t>skyrim.esm|01394D</t>
  </si>
  <si>
    <t>Armure dwemer</t>
  </si>
  <si>
    <t>skyrim.esm|10CF5D</t>
  </si>
  <si>
    <t>Armure dwemer d'altération</t>
  </si>
  <si>
    <t>skyrim.esm|08B67A</t>
  </si>
  <si>
    <t>Armure dwemer d'altération accrue</t>
  </si>
  <si>
    <t>skyrim.esm|10CF5E</t>
  </si>
  <si>
    <t>Armure dwemer d'altération majeure</t>
  </si>
  <si>
    <t>skyrim.esm|10CF65</t>
  </si>
  <si>
    <t>Armure dwemer d'illusion</t>
  </si>
  <si>
    <t>skyrim.esm|10CF66</t>
  </si>
  <si>
    <t>Armure dwemer d'illusion accrue</t>
  </si>
  <si>
    <t>skyrim.esm|10CF67</t>
  </si>
  <si>
    <t>Armure dwemer d'illusion majeure</t>
  </si>
  <si>
    <t>skyrim.esm|01B3DB</t>
  </si>
  <si>
    <t>Armure dwemer de chevalier</t>
  </si>
  <si>
    <t>skyrim.esm|10CF5F</t>
  </si>
  <si>
    <t>Armure dwemer de conjuration</t>
  </si>
  <si>
    <t>skyrim.esm|10CF60</t>
  </si>
  <si>
    <t>Armure dwemer de conjuration accrue</t>
  </si>
  <si>
    <t>skyrim.esm|10CF61</t>
  </si>
  <si>
    <t>Armure dwemer de conjuration majeure</t>
  </si>
  <si>
    <t>skyrim.esm|10CF62</t>
  </si>
  <si>
    <t>Armure dwemer de destruction</t>
  </si>
  <si>
    <t>skyrim.esm|10CF63</t>
  </si>
  <si>
    <t>Armure dwemer de destruction accrue</t>
  </si>
  <si>
    <t>skyrim.esm|10CF64</t>
  </si>
  <si>
    <t>Armure dwemer de destruction majeure</t>
  </si>
  <si>
    <t>skyrim.esm|01B40F</t>
  </si>
  <si>
    <t>Armure dwemer de grand chevalier</t>
  </si>
  <si>
    <t>skyrim.esm|10CF68</t>
  </si>
  <si>
    <t>Armure dwemer de guérison</t>
  </si>
  <si>
    <t>skyrim.esm|10CF69</t>
  </si>
  <si>
    <t>Armure dwemer de guérison accrue</t>
  </si>
  <si>
    <t>skyrim.esm|10CF6A</t>
  </si>
  <si>
    <t>Armure dwemer de guérison majeure</t>
  </si>
  <si>
    <t>skyrim.esm|01B440</t>
  </si>
  <si>
    <t>Armure dwemer de noble chevalier</t>
  </si>
  <si>
    <t>skyrim.esm|01B3D8</t>
  </si>
  <si>
    <t>Armure dwemer de santé</t>
  </si>
  <si>
    <t>skyrim.esm|01B3D9</t>
  </si>
  <si>
    <t>Armure dwemer de santé accrue</t>
  </si>
  <si>
    <t>skyrim.esm|01B3DA</t>
  </si>
  <si>
    <t>Armure dwemer de santé majeure</t>
  </si>
  <si>
    <t>skyrim.esm|0896A3</t>
  </si>
  <si>
    <t>Armure elfique</t>
  </si>
  <si>
    <t>skyrim.esm|10CF7A</t>
  </si>
  <si>
    <t>Armure elfique d'altération</t>
  </si>
  <si>
    <t>skyrim.esm|10CF7B</t>
  </si>
  <si>
    <t>Armure elfique d'altération accrue</t>
  </si>
  <si>
    <t>skyrim.esm|10CF7C</t>
  </si>
  <si>
    <t>Armure elfique d'altération majeure</t>
  </si>
  <si>
    <t>skyrim.esm|0BDFC6</t>
  </si>
  <si>
    <t>Armure elfique d'écuyer</t>
  </si>
  <si>
    <t>skyrim.esm|10CF83</t>
  </si>
  <si>
    <t>Armure elfique d'illusion</t>
  </si>
  <si>
    <t>skyrim.esm|10CF84</t>
  </si>
  <si>
    <t>Armure elfique d'illusion accrue</t>
  </si>
  <si>
    <t>skyrim.esm|10CF85</t>
  </si>
  <si>
    <t>Armure elfique d'illusion majeure</t>
  </si>
  <si>
    <t>skyrim.esm|10CF7D</t>
  </si>
  <si>
    <t>Armure elfique de conjuration</t>
  </si>
  <si>
    <t>skyrim.esm|10CF7E</t>
  </si>
  <si>
    <t>Armure elfique de conjuration accrue</t>
  </si>
  <si>
    <t>skyrim.esm|10CF7F</t>
  </si>
  <si>
    <t>Armure elfique de conjuration majeure</t>
  </si>
  <si>
    <t>skyrim.esm|10CF80</t>
  </si>
  <si>
    <t>Armure elfique de destruction</t>
  </si>
  <si>
    <t>skyrim.esm|10CF81</t>
  </si>
  <si>
    <t>Armure elfique de destruction accrue</t>
  </si>
  <si>
    <t>skyrim.esm|10CF82</t>
  </si>
  <si>
    <t>Armure elfique de destruction majeure</t>
  </si>
  <si>
    <t>skyrim.esm|0BDFC7</t>
  </si>
  <si>
    <t>Armure elfique de grand écuyer</t>
  </si>
  <si>
    <t>skyrim.esm|10CF86</t>
  </si>
  <si>
    <t>Armure elfique de guérison</t>
  </si>
  <si>
    <t>skyrim.esm|10CF87</t>
  </si>
  <si>
    <t>Armure elfique de guérison accrue</t>
  </si>
  <si>
    <t>skyrim.esm|10CF88</t>
  </si>
  <si>
    <t>Armure elfique de guérison majeure</t>
  </si>
  <si>
    <t>skyrim.esm|0BE03E</t>
  </si>
  <si>
    <t>Armure elfique de noble écuyer</t>
  </si>
  <si>
    <t>skyrim.esm|0BDFC4</t>
  </si>
  <si>
    <t>Armure elfique de santé</t>
  </si>
  <si>
    <t>skyrim.esm|0BDFC5</t>
  </si>
  <si>
    <t>Armure elfique de santé accrue</t>
  </si>
  <si>
    <t>skyrim.esm|0BE03D</t>
  </si>
  <si>
    <t>Armure elfique de santé majeure</t>
  </si>
  <si>
    <t>skyrim.esm|013911</t>
  </si>
  <si>
    <t>Armure en peau</t>
  </si>
  <si>
    <t>skyrim.esm|10CFA9</t>
  </si>
  <si>
    <t>Armure en peau d'altération</t>
  </si>
  <si>
    <t>skyrim.esm|10CFAA</t>
  </si>
  <si>
    <t>Armure en peau d'altération accrue</t>
  </si>
  <si>
    <t>skyrim.esm|10CFA8</t>
  </si>
  <si>
    <t>Armure en peau d'altération minime</t>
  </si>
  <si>
    <t>skyrim.esm|0AD494</t>
  </si>
  <si>
    <t>Armure en peau d'écuyer</t>
  </si>
  <si>
    <t>skyrim.esm|07A13C</t>
  </si>
  <si>
    <t>Armure en peau d'humble écuyer</t>
  </si>
  <si>
    <t>skyrim.esm|10CFB2</t>
  </si>
  <si>
    <t>Armure en peau d'illusion</t>
  </si>
  <si>
    <t>skyrim.esm|10CFB3</t>
  </si>
  <si>
    <t>Armure en peau d'illusion accrue</t>
  </si>
  <si>
    <t>skyrim.esm|10CFB1</t>
  </si>
  <si>
    <t>Armure en peau d'illusion minime</t>
  </si>
  <si>
    <t>skyrim.esm|10CFAC</t>
  </si>
  <si>
    <t>Armure en peau de conjuration</t>
  </si>
  <si>
    <t>skyrim.esm|10CFAD</t>
  </si>
  <si>
    <t>Armure en peau de conjuration accrue</t>
  </si>
  <si>
    <t>skyrim.esm|10CFAB</t>
  </si>
  <si>
    <t>Armure en peau de conjuration minime</t>
  </si>
  <si>
    <t>skyrim.esm|10CFAF</t>
  </si>
  <si>
    <t>Armure en peau de destruction</t>
  </si>
  <si>
    <t>skyrim.esm|10CFB0</t>
  </si>
  <si>
    <t>Armure en peau de destruction accrue</t>
  </si>
  <si>
    <t>skyrim.esm|10CFAE</t>
  </si>
  <si>
    <t>Armure en peau de destruction minime</t>
  </si>
  <si>
    <t>skyrim.esm|0AD495</t>
  </si>
  <si>
    <t>Armure en peau de grand écuyer</t>
  </si>
  <si>
    <t>skyrim.esm|10CFB5</t>
  </si>
  <si>
    <t>Armure en peau de guérison</t>
  </si>
  <si>
    <t>skyrim.esm|10CFB6</t>
  </si>
  <si>
    <t>Armure en peau de guérison accrue</t>
  </si>
  <si>
    <t>skyrim.esm|10CFB4</t>
  </si>
  <si>
    <t>Armure en peau de guérison minime</t>
  </si>
  <si>
    <t>skyrim.esm|0AD491</t>
  </si>
  <si>
    <t>Armure en peau de santé</t>
  </si>
  <si>
    <t>skyrim.esm|0AD492</t>
  </si>
  <si>
    <t>Armure en peau de santé accrue</t>
  </si>
  <si>
    <t>skyrim.esm|07A13B</t>
  </si>
  <si>
    <t>Armure en peau de santé minime</t>
  </si>
  <si>
    <t>skyrim.esm|0B83CB</t>
  </si>
  <si>
    <t>Armure falmer</t>
  </si>
  <si>
    <t>dawnguard.esm|00E8DE</t>
  </si>
  <si>
    <t>Armure falmer durcie</t>
  </si>
  <si>
    <t>skyrim.esm|046BB8</t>
  </si>
  <si>
    <t>Armure impériale cloutée d'écuyer</t>
  </si>
  <si>
    <t>skyrim.esm|046BB7</t>
  </si>
  <si>
    <t>Armure impériale cloutée d'humble écuyer</t>
  </si>
  <si>
    <t>skyrim.esm|046BB9</t>
  </si>
  <si>
    <t>Armure impériale cloutée de grand écuyer</t>
  </si>
  <si>
    <t>skyrim.esm|046BB5</t>
  </si>
  <si>
    <t>Armure impériale cloutée de santé</t>
  </si>
  <si>
    <t>skyrim.esm|046BB6</t>
  </si>
  <si>
    <t>Armure impériale cloutée de santé accrue</t>
  </si>
  <si>
    <t>skyrim.esm|046BB4</t>
  </si>
  <si>
    <t>Armure impériale cloutée de santé minime</t>
  </si>
  <si>
    <t>skyrim.esm|0B9720</t>
  </si>
  <si>
    <t>Armure impériale d'écuyer</t>
  </si>
  <si>
    <t>skyrim.esm|0ACCC1</t>
  </si>
  <si>
    <t>Armure impériale d'humble chevalier</t>
  </si>
  <si>
    <t>skyrim.esm|0B971F</t>
  </si>
  <si>
    <t>Armure impériale d'humble écuyer</t>
  </si>
  <si>
    <t>skyrim.esm|0AD4EB</t>
  </si>
  <si>
    <t>Armure impériale de chevalier</t>
  </si>
  <si>
    <t>skyrim.esm|0AD4F0</t>
  </si>
  <si>
    <t>Armure impériale de glace évanescente</t>
  </si>
  <si>
    <t>skyrim.esm|0AD4EC</t>
  </si>
  <si>
    <t>Armure impériale de grand chevalier</t>
  </si>
  <si>
    <t>skyrim.esm|0B9721</t>
  </si>
  <si>
    <t>Armure impériale de grand écuyer</t>
  </si>
  <si>
    <t>skyrim.esm|0AD4E9</t>
  </si>
  <si>
    <t>Armure impériale de santé</t>
  </si>
  <si>
    <t>skyrim.esm|0B971D</t>
  </si>
  <si>
    <t>skyrim.esm|0AD4EA</t>
  </si>
  <si>
    <t>Armure impériale de santé accrue</t>
  </si>
  <si>
    <t>skyrim.esm|0B971E</t>
  </si>
  <si>
    <t>skyrim.esm|0ACCC0</t>
  </si>
  <si>
    <t>Armure impériale de santé minime</t>
  </si>
  <si>
    <t>skyrim.esm|0B971C</t>
  </si>
  <si>
    <t>skyrim.esm|105F12</t>
  </si>
  <si>
    <t>Armure légère elfique</t>
  </si>
  <si>
    <t>dawnguard.esm|0023E9</t>
  </si>
  <si>
    <t>Armure lourde falmer</t>
  </si>
  <si>
    <t>dragonborn.esm|0291B0</t>
  </si>
  <si>
    <t>Armure nordique d'altération accrue</t>
  </si>
  <si>
    <t>dragonborn.esm|0291B2</t>
  </si>
  <si>
    <t>Armure nordique d'altération extrême</t>
  </si>
  <si>
    <t>dragonborn.esm|0291B1</t>
  </si>
  <si>
    <t>Armure nordique d'altération majeure</t>
  </si>
  <si>
    <t>dragonborn.esm|0291BF</t>
  </si>
  <si>
    <t>Armure nordique d'illusion accrue</t>
  </si>
  <si>
    <t>dragonborn.esm|0291C1</t>
  </si>
  <si>
    <t>Armure nordique d'illusion extrême</t>
  </si>
  <si>
    <t>dragonborn.esm|0291C0</t>
  </si>
  <si>
    <t>Armure nordique d'illusion majeure</t>
  </si>
  <si>
    <t>dragonborn.esm|0291B3</t>
  </si>
  <si>
    <t>Armure nordique de conjuration accrue</t>
  </si>
  <si>
    <t>dragonborn.esm|0291B5</t>
  </si>
  <si>
    <t>Armure nordique de conjuration extrême</t>
  </si>
  <si>
    <t>dragonborn.esm|0291B4</t>
  </si>
  <si>
    <t>Armure nordique de conjuration majeure</t>
  </si>
  <si>
    <t>dragonborn.esm|0291B6</t>
  </si>
  <si>
    <t>Armure nordique de destruction accrue</t>
  </si>
  <si>
    <t>dragonborn.esm|0291B8</t>
  </si>
  <si>
    <t>Armure nordique de destruction extrême</t>
  </si>
  <si>
    <t>dragonborn.esm|0291B7</t>
  </si>
  <si>
    <t>Armure nordique de destruction majeure</t>
  </si>
  <si>
    <t>dragonborn.esm|0291BC</t>
  </si>
  <si>
    <t>Armure nordique de grand chevalier</t>
  </si>
  <si>
    <t>dragonborn.esm|0291C2</t>
  </si>
  <si>
    <t>Armure nordique de guérison accrue</t>
  </si>
  <si>
    <t>dragonborn.esm|0291C4</t>
  </si>
  <si>
    <t>Armure nordique de guérison extrême</t>
  </si>
  <si>
    <t>dragonborn.esm|0291C3</t>
  </si>
  <si>
    <t>Armure nordique de guérison majeure</t>
  </si>
  <si>
    <t>dragonborn.esm|0291BD</t>
  </si>
  <si>
    <t>Armure nordique de noble chevalier</t>
  </si>
  <si>
    <t>dragonborn.esm|0291BE</t>
  </si>
  <si>
    <t>Armure nordique de preux chevalier</t>
  </si>
  <si>
    <t>dragonborn.esm|0291B9</t>
  </si>
  <si>
    <t>Armure nordique de santé accrue</t>
  </si>
  <si>
    <t>dragonborn.esm|0291BB</t>
  </si>
  <si>
    <t>Armure nordique de santé extrême</t>
  </si>
  <si>
    <t>dragonborn.esm|0291BA</t>
  </si>
  <si>
    <t>Armure nordique de santé majeure</t>
  </si>
  <si>
    <t>skyrim.esm|013957</t>
  </si>
  <si>
    <t>Armure orque</t>
  </si>
  <si>
    <t>skyrim.esm|10DED4</t>
  </si>
  <si>
    <t>Armure orque d'altération accrue</t>
  </si>
  <si>
    <t>skyrim.esm|10DED6</t>
  </si>
  <si>
    <t>Armure orque d'altération extrême</t>
  </si>
  <si>
    <t>skyrim.esm|10DED5</t>
  </si>
  <si>
    <t>Armure orque d'altération majeure</t>
  </si>
  <si>
    <t>skyrim.esm|10DEDD</t>
  </si>
  <si>
    <t>Armure orque d'illusion accrue</t>
  </si>
  <si>
    <t>skyrim.esm|10DEDF</t>
  </si>
  <si>
    <t>Armure orque d'illusion extrême</t>
  </si>
  <si>
    <t>skyrim.esm|10DEDE</t>
  </si>
  <si>
    <t>Armure orque d'illusion majeure</t>
  </si>
  <si>
    <t>skyrim.esm|10DED7</t>
  </si>
  <si>
    <t>Armure orque de conjuration accrue</t>
  </si>
  <si>
    <t>skyrim.esm|10DED9</t>
  </si>
  <si>
    <t>Armure orque de conjuration extrême</t>
  </si>
  <si>
    <t>skyrim.esm|10DED8</t>
  </si>
  <si>
    <t>Armure orque de conjuration majeure</t>
  </si>
  <si>
    <t>skyrim.esm|10DEDA</t>
  </si>
  <si>
    <t>Armure orque de destruction accrue</t>
  </si>
  <si>
    <t>skyrim.esm|10DEDC</t>
  </si>
  <si>
    <t>Armure orque de destruction extrême</t>
  </si>
  <si>
    <t>skyrim.esm|10DEDB</t>
  </si>
  <si>
    <t>Armure orque de destruction majeure</t>
  </si>
  <si>
    <t>skyrim.esm|0CF7C5</t>
  </si>
  <si>
    <t>Armure orque de grand chevalier</t>
  </si>
  <si>
    <t>skyrim.esm|10DEE0</t>
  </si>
  <si>
    <t>Armure orque de guérison accrue</t>
  </si>
  <si>
    <t>skyrim.esm|10DEE2</t>
  </si>
  <si>
    <t>Armure orque de guérison extrême</t>
  </si>
  <si>
    <t>skyrim.esm|10DEE1</t>
  </si>
  <si>
    <t>Armure orque de guérison majeure</t>
  </si>
  <si>
    <t>skyrim.esm|0CF7C6</t>
  </si>
  <si>
    <t>Armure orque de noble chevalier</t>
  </si>
  <si>
    <t>skyrim.esm|0CF7C7</t>
  </si>
  <si>
    <t>Armure orque de preux chevalier</t>
  </si>
  <si>
    <t>skyrim.esm|0CF7C2</t>
  </si>
  <si>
    <t>Armure orque de santé accrue</t>
  </si>
  <si>
    <t>skyrim.esm|0CF7C4</t>
  </si>
  <si>
    <t>Armure orque de santé extrême</t>
  </si>
  <si>
    <t>skyrim.esm|0CF7C3</t>
  </si>
  <si>
    <t>Armure orque de santé majeure</t>
  </si>
  <si>
    <t>skyrim.esm|10DF95</t>
  </si>
  <si>
    <t>Armure orque de vigueur accrue</t>
  </si>
  <si>
    <t>skyrim.esm|10DF97</t>
  </si>
  <si>
    <t>Armure orque de vigueur extrême</t>
  </si>
  <si>
    <t>skyrim.esm|10DF96</t>
  </si>
  <si>
    <t>Armure orque de vigueur majeure</t>
  </si>
  <si>
    <t>skyrim.esm|013966</t>
  </si>
  <si>
    <t>Armure pendragon</t>
  </si>
  <si>
    <t>skyrim.esm|10CF40</t>
  </si>
  <si>
    <t>Armure pendragon d'altération absolue</t>
  </si>
  <si>
    <t>skyrim.esm|10CF4C</t>
  </si>
  <si>
    <t>Armure pendragon d'altération extrême</t>
  </si>
  <si>
    <t>skyrim.esm|10CF3F</t>
  </si>
  <si>
    <t>Armure pendragon d'altération majeure</t>
  </si>
  <si>
    <t>skyrim.esm|10CF48</t>
  </si>
  <si>
    <t>Armure pendragon d'illusion absolue</t>
  </si>
  <si>
    <t>skyrim.esm|10CF47</t>
  </si>
  <si>
    <t>Armure pendragon d'illusion extrême</t>
  </si>
  <si>
    <t>skyrim.esm|10CF46</t>
  </si>
  <si>
    <t>Armure pendragon d'illusion majeure</t>
  </si>
  <si>
    <t>skyrim.esm|10CF43</t>
  </si>
  <si>
    <t>Armure pendragon de conjuration absolue</t>
  </si>
  <si>
    <t>skyrim.esm|10CF42</t>
  </si>
  <si>
    <t>Armure pendragon de conjuration extrême</t>
  </si>
  <si>
    <t>skyrim.esm|10CF41</t>
  </si>
  <si>
    <t>Armure pendragon de conjuration majeure</t>
  </si>
  <si>
    <t>skyrim.esm|10CF45</t>
  </si>
  <si>
    <t>Armure pendragon de destruction absolue</t>
  </si>
  <si>
    <t>skyrim.esm|10CF4D</t>
  </si>
  <si>
    <t>Armure pendragon de destruction extrême</t>
  </si>
  <si>
    <t>skyrim.esm|10CF44</t>
  </si>
  <si>
    <t>Armure pendragon de destruction majeure</t>
  </si>
  <si>
    <t>skyrim.esm|10CF4B</t>
  </si>
  <si>
    <t>Armure pendragon de guérison absolue</t>
  </si>
  <si>
    <t>skyrim.esm|10CF4A</t>
  </si>
  <si>
    <t>Armure pendragon de guérison extrême</t>
  </si>
  <si>
    <t>skyrim.esm|10CF49</t>
  </si>
  <si>
    <t>Armure pendragon de guérison majeure</t>
  </si>
  <si>
    <t>skyrim.esm|0D7A29</t>
  </si>
  <si>
    <t>Armure pendragon de noble chevalier</t>
  </si>
  <si>
    <t>skyrim.esm|0D7A2B</t>
  </si>
  <si>
    <t>Armure pendragon de paladin</t>
  </si>
  <si>
    <t>skyrim.esm|0D7A2A</t>
  </si>
  <si>
    <t>Armure pendragon de preux chevalier</t>
  </si>
  <si>
    <t>skyrim.esm|0FE2F6</t>
  </si>
  <si>
    <t>Armure pendragon de régénération</t>
  </si>
  <si>
    <t>skyrim.esm|0FE2F7</t>
  </si>
  <si>
    <t>Armure pendragon de renaissance</t>
  </si>
  <si>
    <t>skyrim.esm|0FE2FA</t>
  </si>
  <si>
    <t>Armure pendragon de renouveau</t>
  </si>
  <si>
    <t>skyrim.esm|0FE2F8</t>
  </si>
  <si>
    <t>Armure pendragon de rétablissement</t>
  </si>
  <si>
    <t>skyrim.esm|0D7A28</t>
  </si>
  <si>
    <t>Armure pendragon de santé absolue</t>
  </si>
  <si>
    <t>skyrim.esm|0D7A27</t>
  </si>
  <si>
    <t>Armure pendragon de santé extrême</t>
  </si>
  <si>
    <t>skyrim.esm|0D7A26</t>
  </si>
  <si>
    <t>Armure pendragon de santé majeure</t>
  </si>
  <si>
    <t>skyrim.esm|0FE2F5</t>
  </si>
  <si>
    <t>Armure pendragon de soulagement</t>
  </si>
  <si>
    <t>skyrim.esm|0FE2F9</t>
  </si>
  <si>
    <t>Armure pendragon de vivification</t>
  </si>
  <si>
    <t>skyrim.esm|0D2844</t>
  </si>
  <si>
    <t>Armure sibylline</t>
  </si>
  <si>
    <t>skyrim.esm|0E1F15</t>
  </si>
  <si>
    <t>Armure sibylline antique</t>
  </si>
  <si>
    <t>skyrim.esm|07BC19</t>
  </si>
  <si>
    <t>Atours de Lenclume</t>
  </si>
  <si>
    <t>sentinel - priests and acolytes.esp|000867</t>
  </si>
  <si>
    <t>Azura Robes</t>
  </si>
  <si>
    <t>skyrim.esm|02AC60</t>
  </si>
  <si>
    <t>Bague d'Hircine</t>
  </si>
  <si>
    <t>skyrim.esm|0F82FE</t>
  </si>
  <si>
    <t>Bague d'Hircine maudite</t>
  </si>
  <si>
    <t>skyrim.esm|068B83</t>
  </si>
  <si>
    <t>Bague du Tissombre</t>
  </si>
  <si>
    <t>skyrim.esm|0403A9</t>
  </si>
  <si>
    <t>Bague en or de Viola</t>
  </si>
  <si>
    <t>dawnguard.esm|00E9EA</t>
  </si>
  <si>
    <t>Bandages de pieds</t>
  </si>
  <si>
    <t>skyrim.esm|03CA00</t>
  </si>
  <si>
    <t>skyrim.esm|0CF8A9</t>
  </si>
  <si>
    <t>Bandages sibyllins</t>
  </si>
  <si>
    <t>windhelmsse.esp|1BA0A7</t>
  </si>
  <si>
    <t>Banded Iron Armor</t>
  </si>
  <si>
    <t>sentinel.esp|000818</t>
  </si>
  <si>
    <t>Banded Northern Iron Armor</t>
  </si>
  <si>
    <t>sentinel.esp|00081C</t>
  </si>
  <si>
    <t>Banded Northern Iron Shield</t>
  </si>
  <si>
    <t>sentinel.esp|00081F</t>
  </si>
  <si>
    <t>Banded Rugged Iron Armor</t>
  </si>
  <si>
    <t>sentinel.esp|000823</t>
  </si>
  <si>
    <t>Banded Rugged Iron Shield</t>
  </si>
  <si>
    <t>sentinel.esp|000826</t>
  </si>
  <si>
    <t>Banded Runic Iron Armor</t>
  </si>
  <si>
    <t>sentinel.esp|00082B</t>
  </si>
  <si>
    <t>Banded Wrought Iron Armor</t>
  </si>
  <si>
    <t>windhelmsse.esp|1C57C5</t>
  </si>
  <si>
    <t>Bear Armor</t>
  </si>
  <si>
    <t>windhelmsse.esp|0A4917</t>
  </si>
  <si>
    <t>Bear Cape</t>
  </si>
  <si>
    <t>windhelmsse.esp|1F3546</t>
  </si>
  <si>
    <t>Bear-Head Skullcap</t>
  </si>
  <si>
    <t>windhelmsse.esp|2BA5F1</t>
  </si>
  <si>
    <t>common clothing expanded.esp|000001</t>
  </si>
  <si>
    <t>Belted Tunic</t>
  </si>
  <si>
    <t>common clothing expanded.esp|000002</t>
  </si>
  <si>
    <t>common clothing expanded.esp|000003</t>
  </si>
  <si>
    <t>common clothing expanded.esp|000D63</t>
  </si>
  <si>
    <t>windhelmsse.esp|18C26D</t>
  </si>
  <si>
    <t>morecraftableequipment.esp|00083E</t>
  </si>
  <si>
    <t>Black Cowl</t>
  </si>
  <si>
    <t>windhelmsse.esp|1014F8</t>
  </si>
  <si>
    <t>Black Hood</t>
  </si>
  <si>
    <t>mage clothing expansion.esp|000011</t>
  </si>
  <si>
    <t>Black Priest Robes</t>
  </si>
  <si>
    <t>skyrim.esm|04B28B</t>
  </si>
  <si>
    <t>Blades Armor</t>
  </si>
  <si>
    <t>skyrim.esm|04B288</t>
  </si>
  <si>
    <t>Blades Boots</t>
  </si>
  <si>
    <t>skyrim.esm|04B28D</t>
  </si>
  <si>
    <t>Blades Gauntlets</t>
  </si>
  <si>
    <t>skyrim.esm|04B28F</t>
  </si>
  <si>
    <t>Blades Helmet</t>
  </si>
  <si>
    <t>skyrim.esm|04F912</t>
  </si>
  <si>
    <t>Blades Shield</t>
  </si>
  <si>
    <t>morecraftableequipment.esp|000812</t>
  </si>
  <si>
    <t>Blue Cowl</t>
  </si>
  <si>
    <t>windhelmsse.esp|1B6263</t>
  </si>
  <si>
    <t>Blue Hood</t>
  </si>
  <si>
    <t>windhelmsse.esp|1F3540</t>
  </si>
  <si>
    <t>commonclothes.esp|001870</t>
  </si>
  <si>
    <t>Boiled Leather Cuirass</t>
  </si>
  <si>
    <t>skyrim.esm|013104</t>
  </si>
  <si>
    <t>Bonnet usé</t>
  </si>
  <si>
    <t>sentinel.esp|000846</t>
  </si>
  <si>
    <t>Bosmer Armor</t>
  </si>
  <si>
    <t>sentinel.esp|000845</t>
  </si>
  <si>
    <t>Bosmer Boots</t>
  </si>
  <si>
    <t>sentinel.esp|00084A</t>
  </si>
  <si>
    <t>Bosmer Cape</t>
  </si>
  <si>
    <t>sentinel.esp|000847</t>
  </si>
  <si>
    <t>Bosmer Gloves</t>
  </si>
  <si>
    <t>sentinel.esp|000848</t>
  </si>
  <si>
    <t>Bosmer Hood</t>
  </si>
  <si>
    <t>sentinel.esp|000849</t>
  </si>
  <si>
    <t>Bosmer Mask</t>
  </si>
  <si>
    <t>sentinel.esp|00084D</t>
  </si>
  <si>
    <t>Bosmer Plate Armor</t>
  </si>
  <si>
    <t>sentinel.esp|00084C</t>
  </si>
  <si>
    <t>Bosmer Plate Boots</t>
  </si>
  <si>
    <t>sentinel.esp|00084E</t>
  </si>
  <si>
    <t>Bosmer Plate Gauntlets</t>
  </si>
  <si>
    <t>sentinel.esp|00084F</t>
  </si>
  <si>
    <t>Bosmer Plate Helmet</t>
  </si>
  <si>
    <t>sentinel.esp|00084B</t>
  </si>
  <si>
    <t>Bosmer Shoulder Cape</t>
  </si>
  <si>
    <t>skyrim.esm|01BE1B</t>
  </si>
  <si>
    <t>Bottes</t>
  </si>
  <si>
    <t>skyrim.esm|0209A5</t>
  </si>
  <si>
    <t>skyrim.esm|0261BD</t>
  </si>
  <si>
    <t>skyrim.esm|03452F</t>
  </si>
  <si>
    <t>skyrim.esm|04223D</t>
  </si>
  <si>
    <t>skyrim.esm|06B46C</t>
  </si>
  <si>
    <t>skyrim.esm|07C92E</t>
  </si>
  <si>
    <t>skyrim.esm|080699</t>
  </si>
  <si>
    <t>skyrim.esm|0BACD7</t>
  </si>
  <si>
    <t>skyrim.esm|0C36E8</t>
  </si>
  <si>
    <t>skyrim.esm|0C5D12</t>
  </si>
  <si>
    <t>skyrim.esm|0D1921</t>
  </si>
  <si>
    <t>skyrim.esm|0FB979</t>
  </si>
  <si>
    <t>skyrim.esm|0FB97B</t>
  </si>
  <si>
    <t>skyrim.esm|0CEE78</t>
  </si>
  <si>
    <t>Bottes à revers</t>
  </si>
  <si>
    <t>skyrim.esm|013951</t>
  </si>
  <si>
    <t>Bottes à revers en acier</t>
  </si>
  <si>
    <t>skyrim.esm|0B509B</t>
  </si>
  <si>
    <t>Bottes d'acier d'ardeur</t>
  </si>
  <si>
    <t>skyrim.esm|0B509A</t>
  </si>
  <si>
    <t>Bottes d'acier de bât</t>
  </si>
  <si>
    <t>skyrim.esm|0B509E</t>
  </si>
  <si>
    <t>Bottes d'acier de feu atténué</t>
  </si>
  <si>
    <t>skyrim.esm|0B509F</t>
  </si>
  <si>
    <t>Bottes d'acier de feu évanescent</t>
  </si>
  <si>
    <t>skyrim.esm|0B50A3</t>
  </si>
  <si>
    <t>Bottes d'acier de foudre atténuée</t>
  </si>
  <si>
    <t>skyrim.esm|0B50A4</t>
  </si>
  <si>
    <t>Bottes d'acier de foudre évanescente</t>
  </si>
  <si>
    <t>skyrim.esm|0B50F9</t>
  </si>
  <si>
    <t>Bottes d'acier de glace atténuée</t>
  </si>
  <si>
    <t>skyrim.esm|0B50A1</t>
  </si>
  <si>
    <t>Bottes d'acier de glace évanescente</t>
  </si>
  <si>
    <t>skyrim.esm|0B509D</t>
  </si>
  <si>
    <t>Bottes d'acier de pare-feu</t>
  </si>
  <si>
    <t>skyrim.esm|0B50A2</t>
  </si>
  <si>
    <t>Bottes d'acier de pare-foudre</t>
  </si>
  <si>
    <t>skyrim.esm|0B50A0</t>
  </si>
  <si>
    <t>Bottes d'acier de pare-glace</t>
  </si>
  <si>
    <t>skyrim.esm|0B509C</t>
  </si>
  <si>
    <t>Bottes d'acier de puissance</t>
  </si>
  <si>
    <t>skyrim.esm|092A75</t>
  </si>
  <si>
    <t>Bottes d'acier de silence</t>
  </si>
  <si>
    <t>skyrim.esm|10DF9C</t>
  </si>
  <si>
    <t>Bottes d'acier de vigueur</t>
  </si>
  <si>
    <t>skyrim.esm|10DF9B</t>
  </si>
  <si>
    <t>Bottes d'acier de vigueur minime</t>
  </si>
  <si>
    <t>dragonborn.esm|037B8E</t>
  </si>
  <si>
    <t>Bottes d'adepte</t>
  </si>
  <si>
    <t>skyrim.esm|013960</t>
  </si>
  <si>
    <t>Bottes d'ébonite</t>
  </si>
  <si>
    <t>skyrim.esm|0CF82A</t>
  </si>
  <si>
    <t>Bottes d'ébonite de feu anéanti</t>
  </si>
  <si>
    <t>skyrim.esm|0CF828</t>
  </si>
  <si>
    <t>Bottes d'ébonite de feu évanescent</t>
  </si>
  <si>
    <t>skyrim.esm|0CF829</t>
  </si>
  <si>
    <t>Bottes d'ébonite de feu neutralisé</t>
  </si>
  <si>
    <t>skyrim.esm|0CF830</t>
  </si>
  <si>
    <t>Bottes d'ébonite de foudre anéantie</t>
  </si>
  <si>
    <t>skyrim.esm|0CF82E</t>
  </si>
  <si>
    <t>Bottes d'ébonite de foudre évanescente</t>
  </si>
  <si>
    <t>skyrim.esm|0CF82F</t>
  </si>
  <si>
    <t>Bottes d'ébonite de foudre neutralisée</t>
  </si>
  <si>
    <t>skyrim.esm|0CF82D</t>
  </si>
  <si>
    <t>Bottes d'ébonite de glace anéantie</t>
  </si>
  <si>
    <t>skyrim.esm|0CF82B</t>
  </si>
  <si>
    <t>Bottes d'ébonite de glace évanescente</t>
  </si>
  <si>
    <t>skyrim.esm|0CF82C</t>
  </si>
  <si>
    <t>Bottes d'ébonite de glace neutralisée</t>
  </si>
  <si>
    <t>skyrim.esm|0CF824</t>
  </si>
  <si>
    <t>Bottes d'ébonite de puissance</t>
  </si>
  <si>
    <t>skyrim.esm|0CF827</t>
  </si>
  <si>
    <t>Bottes d'ébonite de silence</t>
  </si>
  <si>
    <t>skyrim.esm|0CF825</t>
  </si>
  <si>
    <t>Bottes d'ébonite de surhomme</t>
  </si>
  <si>
    <t>skyrim.esm|10DF83</t>
  </si>
  <si>
    <t>Bottes d'ébonite de vigueur accrue</t>
  </si>
  <si>
    <t>skyrim.esm|10DF85</t>
  </si>
  <si>
    <t>Bottes d'ébonite de vigueur extrême</t>
  </si>
  <si>
    <t>skyrim.esm|10DF84</t>
  </si>
  <si>
    <t>Bottes d'ébonite de vigueur majeure</t>
  </si>
  <si>
    <t>skyrim.esm|0CF826</t>
  </si>
  <si>
    <t>Bottes d'ébonite du boeuf</t>
  </si>
  <si>
    <t>skyrim.esm|01B39F</t>
  </si>
  <si>
    <t>Bottes d'écailles</t>
  </si>
  <si>
    <t>skyrim.esm|0D53E6</t>
  </si>
  <si>
    <t>Bottes d'écailles d'ardeur</t>
  </si>
  <si>
    <t>skyrim.esm|0D53E9</t>
  </si>
  <si>
    <t>Bottes d'écailles de feu atténué</t>
  </si>
  <si>
    <t>skyrim.esm|0D53EA</t>
  </si>
  <si>
    <t>Bottes d'écailles de feu évanescent</t>
  </si>
  <si>
    <t>skyrim.esm|0D53EB</t>
  </si>
  <si>
    <t>Bottes d'écailles de feu neutralisé</t>
  </si>
  <si>
    <t>skyrim.esm|0D53EF</t>
  </si>
  <si>
    <t>Bottes d'écailles de foudre atténuée</t>
  </si>
  <si>
    <t>skyrim.esm|0D53F0</t>
  </si>
  <si>
    <t>Bottes d'écailles de foudre évanescente</t>
  </si>
  <si>
    <t>skyrim.esm|0D53F1</t>
  </si>
  <si>
    <t>Bottes d'écailles de foudre neutralisée</t>
  </si>
  <si>
    <t>skyrim.esm|0D53F2</t>
  </si>
  <si>
    <t>Bottes d'écailles de furtivité</t>
  </si>
  <si>
    <t>skyrim.esm|0D53F3</t>
  </si>
  <si>
    <t>Bottes d'écailles de furtivité accrue</t>
  </si>
  <si>
    <t>skyrim.esm|0D53F4</t>
  </si>
  <si>
    <t>Bottes d'écailles de furtivité majeure</t>
  </si>
  <si>
    <t>skyrim.esm|0D53EC</t>
  </si>
  <si>
    <t>Bottes d'écailles de glace atténuée</t>
  </si>
  <si>
    <t>skyrim.esm|0D53ED</t>
  </si>
  <si>
    <t>Bottes d'écailles de glace évanescente</t>
  </si>
  <si>
    <t>skyrim.esm|0D53EE</t>
  </si>
  <si>
    <t>Bottes d'écailles de glace neutralisée</t>
  </si>
  <si>
    <t>skyrim.esm|0D53E7</t>
  </si>
  <si>
    <t>Bottes d'écailles de puissance</t>
  </si>
  <si>
    <t>skyrim.esm|0D53E8</t>
  </si>
  <si>
    <t>Bottes d'écailles de surhomme</t>
  </si>
  <si>
    <t>skyrim.esm|10DF98</t>
  </si>
  <si>
    <t>Bottes d'écailles de vigueur</t>
  </si>
  <si>
    <t>skyrim.esm|10DF99</t>
  </si>
  <si>
    <t>Bottes d'écailles de vigueur accrue</t>
  </si>
  <si>
    <t>skyrim.esm|10DF9A</t>
  </si>
  <si>
    <t>Bottes d'écailles de vigueur majeure</t>
  </si>
  <si>
    <t>skyrim.esm|086981</t>
  </si>
  <si>
    <t>Bottes d'officier des Sombrages</t>
  </si>
  <si>
    <t>dragonborn.esm|01CD92</t>
  </si>
  <si>
    <t>Bottes d'ostalium</t>
  </si>
  <si>
    <t>dragonborn.esm|03AB25</t>
  </si>
  <si>
    <t>Bottes d'ostalium améliorées</t>
  </si>
  <si>
    <t>dragonborn.esm|0284C7</t>
  </si>
  <si>
    <t>Bottes d'ostalium d'ardeur</t>
  </si>
  <si>
    <t>dragonborn.esm|0284C6</t>
  </si>
  <si>
    <t>Bottes d'ostalium de bât</t>
  </si>
  <si>
    <t>dragonborn.esm|0284CA</t>
  </si>
  <si>
    <t>Bottes d'ostalium de feu atténué</t>
  </si>
  <si>
    <t>dragonborn.esm|0284CB</t>
  </si>
  <si>
    <t>Bottes d'ostalium de feu évanescent</t>
  </si>
  <si>
    <t>dragonborn.esm|0284D0</t>
  </si>
  <si>
    <t>Bottes d'ostalium de foudre atténuée</t>
  </si>
  <si>
    <t>dragonborn.esm|0284D1</t>
  </si>
  <si>
    <t>Bottes d'ostalium de foudre évanescente</t>
  </si>
  <si>
    <t>dragonborn.esm|0284D3</t>
  </si>
  <si>
    <t>Bottes d'ostalium de furtivité</t>
  </si>
  <si>
    <t>dragonborn.esm|0284D4</t>
  </si>
  <si>
    <t>Bottes d'ostalium de furtivité accrue</t>
  </si>
  <si>
    <t>dragonborn.esm|0284D2</t>
  </si>
  <si>
    <t>Bottes d'ostalium de furtivité minime</t>
  </si>
  <si>
    <t>dragonborn.esm|0284CD</t>
  </si>
  <si>
    <t>Bottes d'ostalium de glace atténuée</t>
  </si>
  <si>
    <t>dragonborn.esm|0284CE</t>
  </si>
  <si>
    <t>Bottes d'ostalium de glace évanescente</t>
  </si>
  <si>
    <t>dragonborn.esm|0284C9</t>
  </si>
  <si>
    <t>Bottes d'ostalium de pare-feu</t>
  </si>
  <si>
    <t>dragonborn.esm|0284CF</t>
  </si>
  <si>
    <t>Bottes d'ostalium de pare-foudre</t>
  </si>
  <si>
    <t>dragonborn.esm|0284CC</t>
  </si>
  <si>
    <t>Bottes d'ostalium de pare-glace</t>
  </si>
  <si>
    <t>dragonborn.esm|0284C8</t>
  </si>
  <si>
    <t>Bottes d'ostalium de puissance</t>
  </si>
  <si>
    <t>skyrim.esm|062311</t>
  </si>
  <si>
    <t>Bottes d'Ulfric</t>
  </si>
  <si>
    <t>skyrim.esm|0D7A8E</t>
  </si>
  <si>
    <t>Bottes daedra de Marchefeu</t>
  </si>
  <si>
    <t>skyrim.esm|01396A</t>
  </si>
  <si>
    <t>Bottes daedras</t>
  </si>
  <si>
    <t>skyrim.esm|0D7A94</t>
  </si>
  <si>
    <t>Bottes daedras d'isolation</t>
  </si>
  <si>
    <t>skyrim.esm|0D7A91</t>
  </si>
  <si>
    <t>Bottes daedras de dégel</t>
  </si>
  <si>
    <t>skyrim.esm|0D7A8D</t>
  </si>
  <si>
    <t>Bottes daedras de feu anéanti</t>
  </si>
  <si>
    <t>skyrim.esm|0D7A8C</t>
  </si>
  <si>
    <t>Bottes daedras de feu neutralisé</t>
  </si>
  <si>
    <t>skyrim.esm|0D7A93</t>
  </si>
  <si>
    <t>Bottes daedras de foudre anéantie</t>
  </si>
  <si>
    <t>skyrim.esm|0D7A92</t>
  </si>
  <si>
    <t>Bottes daedras de foudre neutralisée</t>
  </si>
  <si>
    <t>skyrim.esm|0D7A90</t>
  </si>
  <si>
    <t>Bottes daedras de glace anéantie</t>
  </si>
  <si>
    <t>skyrim.esm|0D7A8F</t>
  </si>
  <si>
    <t>Bottes daedras de glace neutralisée</t>
  </si>
  <si>
    <t>skyrim.esm|0D7A8B</t>
  </si>
  <si>
    <t>Bottes daedras de silence</t>
  </si>
  <si>
    <t>skyrim.esm|0D7A88</t>
  </si>
  <si>
    <t>Bottes daedras de surhomme</t>
  </si>
  <si>
    <t>skyrim.esm|10DF79</t>
  </si>
  <si>
    <t>Bottes daedras de vigueur absolue</t>
  </si>
  <si>
    <t>skyrim.esm|10DF78</t>
  </si>
  <si>
    <t>Bottes daedras de vigueur extrême</t>
  </si>
  <si>
    <t>skyrim.esm|10DF77</t>
  </si>
  <si>
    <t>Bottes daedras de vigueur majeure</t>
  </si>
  <si>
    <t>skyrim.esm|0D7A89</t>
  </si>
  <si>
    <t>Bottes daedras du boeuf</t>
  </si>
  <si>
    <t>skyrim.esm|0D7A8A</t>
  </si>
  <si>
    <t>Bottes daedras du mammouth</t>
  </si>
  <si>
    <t>skyrim.esm|0CEE70</t>
  </si>
  <si>
    <t>Bottes de bouffon</t>
  </si>
  <si>
    <t>dragonborn.esm|01CD86</t>
  </si>
  <si>
    <t>Bottes de chitine</t>
  </si>
  <si>
    <t>dragonborn.esm|028FDF</t>
  </si>
  <si>
    <t>Bottes de chitine d'ardeur</t>
  </si>
  <si>
    <t>dragonborn.esm|029153</t>
  </si>
  <si>
    <t>dragonborn.esm|028FE1</t>
  </si>
  <si>
    <t>Bottes de chitine de feu atténué</t>
  </si>
  <si>
    <t>dragonborn.esm|029157</t>
  </si>
  <si>
    <t>dragonborn.esm|028FE2</t>
  </si>
  <si>
    <t>Bottes de chitine de feu évanescent</t>
  </si>
  <si>
    <t>dragonborn.esm|029158</t>
  </si>
  <si>
    <t>dragonborn.esm|028FE3</t>
  </si>
  <si>
    <t>Bottes de chitine de feu neutralisé</t>
  </si>
  <si>
    <t>dragonborn.esm|029159</t>
  </si>
  <si>
    <t>dragonborn.esm|028FE7</t>
  </si>
  <si>
    <t>Bottes de chitine de foudre atténuée</t>
  </si>
  <si>
    <t>dragonborn.esm|02915D</t>
  </si>
  <si>
    <t>dragonborn.esm|028FE8</t>
  </si>
  <si>
    <t>Bottes de chitine de foudre évanescente</t>
  </si>
  <si>
    <t>dragonborn.esm|02915E</t>
  </si>
  <si>
    <t>dragonborn.esm|028FE9</t>
  </si>
  <si>
    <t>Bottes de chitine de foudre neutralisée</t>
  </si>
  <si>
    <t>dragonborn.esm|02915F</t>
  </si>
  <si>
    <t>dragonborn.esm|028FEA</t>
  </si>
  <si>
    <t>Bottes de chitine de furtivité</t>
  </si>
  <si>
    <t>dragonborn.esm|028FEB</t>
  </si>
  <si>
    <t>Bottes de chitine de furtivité accrue</t>
  </si>
  <si>
    <t>dragonborn.esm|028FEC</t>
  </si>
  <si>
    <t>Bottes de chitine de furtivité majeure</t>
  </si>
  <si>
    <t>dragonborn.esm|028FE4</t>
  </si>
  <si>
    <t>Bottes de chitine de glace atténuée</t>
  </si>
  <si>
    <t>dragonborn.esm|02915A</t>
  </si>
  <si>
    <t>dragonborn.esm|028FE5</t>
  </si>
  <si>
    <t>Bottes de chitine de glace évanescente</t>
  </si>
  <si>
    <t>dragonborn.esm|02915B</t>
  </si>
  <si>
    <t>dragonborn.esm|028FE6</t>
  </si>
  <si>
    <t>Bottes de chitine de glace neutralisée</t>
  </si>
  <si>
    <t>dragonborn.esm|02915C</t>
  </si>
  <si>
    <t>dragonborn.esm|028FFD</t>
  </si>
  <si>
    <t>Bottes de chitine de puissance</t>
  </si>
  <si>
    <t>dragonborn.esm|029154</t>
  </si>
  <si>
    <t>dragonborn.esm|029156</t>
  </si>
  <si>
    <t>Bottes de chitine de silence</t>
  </si>
  <si>
    <t>dragonborn.esm|028FE0</t>
  </si>
  <si>
    <t>Bottes de chitine de surhomme</t>
  </si>
  <si>
    <t>dragonborn.esm|029155</t>
  </si>
  <si>
    <t>dragonborn.esm|028FED</t>
  </si>
  <si>
    <t>Bottes de chitine de vigueur</t>
  </si>
  <si>
    <t>dragonborn.esm|029160</t>
  </si>
  <si>
    <t>dragonborn.esm|028FEE</t>
  </si>
  <si>
    <t>Bottes de chitine de vigueur accrue</t>
  </si>
  <si>
    <t>dragonborn.esm|029161</t>
  </si>
  <si>
    <t>dragonborn.esm|028FEF</t>
  </si>
  <si>
    <t>Bottes de chitine de vigueur majeure</t>
  </si>
  <si>
    <t>dragonborn.esm|029162</t>
  </si>
  <si>
    <t>dragonborn.esm|01CD82</t>
  </si>
  <si>
    <t>Bottes de chitine lourdes</t>
  </si>
  <si>
    <t>skyrim.esm|06492A</t>
  </si>
  <si>
    <t>Bottes de Cicéron</t>
  </si>
  <si>
    <t>skyrim.esm|013920</t>
  </si>
  <si>
    <t>Bottes de cuir</t>
  </si>
  <si>
    <t>skyrim.esm|0B4226</t>
  </si>
  <si>
    <t>Bottes de cuir d'ardeur</t>
  </si>
  <si>
    <t>skyrim.esm|0B4225</t>
  </si>
  <si>
    <t>Bottes de cuir de bât</t>
  </si>
  <si>
    <t>skyrim.esm|0B4229</t>
  </si>
  <si>
    <t>Bottes de cuir de feu atténué</t>
  </si>
  <si>
    <t>skyrim.esm|0B422A</t>
  </si>
  <si>
    <t>Bottes de cuir de feu évanescent</t>
  </si>
  <si>
    <t>skyrim.esm|0B422F</t>
  </si>
  <si>
    <t>Bottes de cuir de foudre atténuée</t>
  </si>
  <si>
    <t>skyrim.esm|0B4230</t>
  </si>
  <si>
    <t>Bottes de cuir de foudre évanescente</t>
  </si>
  <si>
    <t>skyrim.esm|0B4232</t>
  </si>
  <si>
    <t>Bottes de cuir de furtivité</t>
  </si>
  <si>
    <t>skyrim.esm|0B4233</t>
  </si>
  <si>
    <t>Bottes de cuir de furtivité accrue</t>
  </si>
  <si>
    <t>skyrim.esm|0B4231</t>
  </si>
  <si>
    <t>Bottes de cuir de furtivité minime</t>
  </si>
  <si>
    <t>skyrim.esm|0B422C</t>
  </si>
  <si>
    <t>Bottes de cuir de glace atténuée</t>
  </si>
  <si>
    <t>skyrim.esm|0B422D</t>
  </si>
  <si>
    <t>Bottes de cuir de glace évanescente</t>
  </si>
  <si>
    <t>skyrim.esm|0B4228</t>
  </si>
  <si>
    <t>Bottes de cuir de pare-feu</t>
  </si>
  <si>
    <t>skyrim.esm|0B422E</t>
  </si>
  <si>
    <t>Bottes de cuir de pare-foudre</t>
  </si>
  <si>
    <t>skyrim.esm|0B422B</t>
  </si>
  <si>
    <t>Bottes de cuir de pare-glace</t>
  </si>
  <si>
    <t>skyrim.esm|0B4227</t>
  </si>
  <si>
    <t>Bottes de cuir de puissance</t>
  </si>
  <si>
    <t>skyrim.esm|10DF93</t>
  </si>
  <si>
    <t>Bottes de cuir de vigueur</t>
  </si>
  <si>
    <t>skyrim.esm|10DF94</t>
  </si>
  <si>
    <t>Bottes de cuir de vigueur accrue</t>
  </si>
  <si>
    <t>skyrim.esm|10DF92</t>
  </si>
  <si>
    <t>Bottes de cuir de vigueur minime</t>
  </si>
  <si>
    <t>skyrim.esm|012E4B</t>
  </si>
  <si>
    <t>Bottes de fer</t>
  </si>
  <si>
    <t>skyrim.esm|0AD55B</t>
  </si>
  <si>
    <t>Bottes de fer d'ardeur</t>
  </si>
  <si>
    <t>skyrim.esm|07A120</t>
  </si>
  <si>
    <t>Bottes de fer de bât</t>
  </si>
  <si>
    <t>skyrim.esm|0AD55D</t>
  </si>
  <si>
    <t>Bottes de fer de feu atténué</t>
  </si>
  <si>
    <t>skyrim.esm|0AD55E</t>
  </si>
  <si>
    <t>Bottes de fer de feu évanescent</t>
  </si>
  <si>
    <t>skyrim.esm|0AD561</t>
  </si>
  <si>
    <t>Bottes de fer de foudre atténuée</t>
  </si>
  <si>
    <t>skyrim.esm|0AD562</t>
  </si>
  <si>
    <t>Bottes de fer de foudre évanescente</t>
  </si>
  <si>
    <t>skyrim.esm|0AD55F</t>
  </si>
  <si>
    <t>Bottes de fer de glace atténuée</t>
  </si>
  <si>
    <t>skyrim.esm|0AD560</t>
  </si>
  <si>
    <t>Bottes de fer de glace évanescente</t>
  </si>
  <si>
    <t>skyrim.esm|07A0F0</t>
  </si>
  <si>
    <t>Bottes de fer de pare-feu</t>
  </si>
  <si>
    <t>skyrim.esm|049B92</t>
  </si>
  <si>
    <t>Bottes de fer de pare-foudre</t>
  </si>
  <si>
    <t>skyrim.esm|07A0F1</t>
  </si>
  <si>
    <t>Bottes de fer de pare-glace</t>
  </si>
  <si>
    <t>skyrim.esm|0AD55C</t>
  </si>
  <si>
    <t>Bottes de fer de puissance</t>
  </si>
  <si>
    <t>skyrim.esm|10DF90</t>
  </si>
  <si>
    <t>Bottes de fer de vigueur</t>
  </si>
  <si>
    <t>skyrim.esm|10DF91</t>
  </si>
  <si>
    <t>Bottes de fer de vigueur accrue</t>
  </si>
  <si>
    <t>skyrim.esm|10DF8F</t>
  </si>
  <si>
    <t>Bottes de fer de vigueur minime</t>
  </si>
  <si>
    <t>skyrim.esm|0A6D7F</t>
  </si>
  <si>
    <t>Bottes de fourrure</t>
  </si>
  <si>
    <t>dragonborn.esm|02AD34</t>
  </si>
  <si>
    <t>Bottes de Gardenoir</t>
  </si>
  <si>
    <t>skyrim.esm|0B1460</t>
  </si>
  <si>
    <t>Bottes de l'Aube mythique</t>
  </si>
  <si>
    <t>dawnguard.esm|0050C5</t>
  </si>
  <si>
    <t>Bottes de la Garde de l'aube</t>
  </si>
  <si>
    <t>skyrim.esm|0D3AC2</t>
  </si>
  <si>
    <t>Bottes de la Guilde des voleurs</t>
  </si>
  <si>
    <t>skyrim.esm|0D3ACB</t>
  </si>
  <si>
    <t>skyrim.esm|108543</t>
  </si>
  <si>
    <t>Bottes de Linwe</t>
  </si>
  <si>
    <t>skyrim.esm|0E35D6</t>
  </si>
  <si>
    <t>Bottes de maître de guilde</t>
  </si>
  <si>
    <t>dragonborn.esm|01C655</t>
  </si>
  <si>
    <t>Bottes de marche sur l'eau d'Ahzidal</t>
  </si>
  <si>
    <t>dragonborn.esm|03D2AF</t>
  </si>
  <si>
    <t>Bottes de Miraak</t>
  </si>
  <si>
    <t>dragonborn.esm|0292AB</t>
  </si>
  <si>
    <t>Bottes de Morag Tong</t>
  </si>
  <si>
    <t>skyrim.esm|096D9B</t>
  </si>
  <si>
    <t>Bottes de Movarth</t>
  </si>
  <si>
    <t>skyrim.esm|0D8D4E</t>
  </si>
  <si>
    <t>Bottes de Parjure</t>
  </si>
  <si>
    <t>skyrim.esm|0AD452</t>
  </si>
  <si>
    <t>Bottes de peau de puissance</t>
  </si>
  <si>
    <t>skyrim.esm|01395B</t>
  </si>
  <si>
    <t>Bottes de plates</t>
  </si>
  <si>
    <t>skyrim.esm|01B31F</t>
  </si>
  <si>
    <t>Bottes de plates d'ardeur</t>
  </si>
  <si>
    <t>skyrim.esm|01B400</t>
  </si>
  <si>
    <t>Bottes de plates de feu atténué</t>
  </si>
  <si>
    <t>skyrim.esm|01B401</t>
  </si>
  <si>
    <t>Bottes de plates de feu évanescent</t>
  </si>
  <si>
    <t>skyrim.esm|01B402</t>
  </si>
  <si>
    <t>Bottes de plates de feu neutralisé</t>
  </si>
  <si>
    <t>skyrim.esm|01B406</t>
  </si>
  <si>
    <t>Bottes de plates de foudre atténuée</t>
  </si>
  <si>
    <t>skyrim.esm|01B407</t>
  </si>
  <si>
    <t>Bottes de plates de foudre évanescente</t>
  </si>
  <si>
    <t>skyrim.esm|01B408</t>
  </si>
  <si>
    <t>Bottes de plates de foudre neutralisée</t>
  </si>
  <si>
    <t>skyrim.esm|01B403</t>
  </si>
  <si>
    <t>Bottes de plates de glace atténuée</t>
  </si>
  <si>
    <t>skyrim.esm|01B404</t>
  </si>
  <si>
    <t>Bottes de plates de glace évanescente</t>
  </si>
  <si>
    <t>skyrim.esm|01B405</t>
  </si>
  <si>
    <t>Bottes de plates de glace neutralisée</t>
  </si>
  <si>
    <t>skyrim.esm|01B3FE</t>
  </si>
  <si>
    <t>Bottes de plates de puissance</t>
  </si>
  <si>
    <t>skyrim.esm|092A8E</t>
  </si>
  <si>
    <t>Bottes de plates de silence</t>
  </si>
  <si>
    <t>skyrim.esm|01B3FF</t>
  </si>
  <si>
    <t>Bottes de plates de surhomme</t>
  </si>
  <si>
    <t>skyrim.esm|10DF9E</t>
  </si>
  <si>
    <t>Bottes de plates de vigueur</t>
  </si>
  <si>
    <t>skyrim.esm|10DF9F</t>
  </si>
  <si>
    <t>Bottes de plates de vigueur accrue</t>
  </si>
  <si>
    <t>skyrim.esm|10DFA0</t>
  </si>
  <si>
    <t>Bottes de plates de vigueur majeure</t>
  </si>
  <si>
    <t>dragonborn.esm|03B04B</t>
  </si>
  <si>
    <t>Bottes de prêtre du Temple</t>
  </si>
  <si>
    <t>skyrim.esm|05DB85</t>
  </si>
  <si>
    <t>Bottes de Rossignol</t>
  </si>
  <si>
    <t>skyrim.esm|0FCC0C</t>
  </si>
  <si>
    <t>skyrim.esm|0FCC0D</t>
  </si>
  <si>
    <t>skyrim.esm|07BC15</t>
  </si>
  <si>
    <t>Bottes de Rougegarde</t>
  </si>
  <si>
    <t>skyrim.esm|0C7CBD</t>
  </si>
  <si>
    <t>Bottes de Shéogorath</t>
  </si>
  <si>
    <t>dragonborn.esm|039112</t>
  </si>
  <si>
    <t>Bottes de Skaal</t>
  </si>
  <si>
    <t>dragonborn.esm|029208</t>
  </si>
  <si>
    <t>Bottes de stalhrim d'isolation</t>
  </si>
  <si>
    <t>dragonborn.esm|029205</t>
  </si>
  <si>
    <t>Bottes de stalhrim de dégel</t>
  </si>
  <si>
    <t>dragonborn.esm|029098</t>
  </si>
  <si>
    <t>Bottes de stalhrim de feu anéanti</t>
  </si>
  <si>
    <t>dragonborn.esm|029201</t>
  </si>
  <si>
    <t>dragonborn.esm|029096</t>
  </si>
  <si>
    <t>Bottes de stalhrim de feu évanescent</t>
  </si>
  <si>
    <t>dragonborn.esm|029097</t>
  </si>
  <si>
    <t>Bottes de stalhrim de feu neutralisé</t>
  </si>
  <si>
    <t>dragonborn.esm|029200</t>
  </si>
  <si>
    <t>dragonborn.esm|02909F</t>
  </si>
  <si>
    <t>Bottes de stalhrim de foudre anéantie</t>
  </si>
  <si>
    <t>dragonborn.esm|029207</t>
  </si>
  <si>
    <t>dragonborn.esm|02909D</t>
  </si>
  <si>
    <t>Bottes de stalhrim de foudre évanescente</t>
  </si>
  <si>
    <t>dragonborn.esm|02909E</t>
  </si>
  <si>
    <t>Bottes de stalhrim de foudre neutralisée</t>
  </si>
  <si>
    <t>dragonborn.esm|029206</t>
  </si>
  <si>
    <t>dragonborn.esm|02909C</t>
  </si>
  <si>
    <t>Bottes de stalhrim de furtivité accrue</t>
  </si>
  <si>
    <t>dragonborn.esm|0290A1</t>
  </si>
  <si>
    <t>Bottes de stalhrim de furtivité extrême</t>
  </si>
  <si>
    <t>dragonborn.esm|0290A0</t>
  </si>
  <si>
    <t>Bottes de stalhrim de furtivité majeure</t>
  </si>
  <si>
    <t>dragonborn.esm|02909B</t>
  </si>
  <si>
    <t>Bottes de stalhrim de glace anéantie</t>
  </si>
  <si>
    <t>dragonborn.esm|029204</t>
  </si>
  <si>
    <t>dragonborn.esm|029099</t>
  </si>
  <si>
    <t>Bottes de stalhrim de glace évanescente</t>
  </si>
  <si>
    <t>dragonborn.esm|02909A</t>
  </si>
  <si>
    <t>Bottes de stalhrim de glace neutralisée</t>
  </si>
  <si>
    <t>dragonborn.esm|029203</t>
  </si>
  <si>
    <t>dragonborn.esm|029202</t>
  </si>
  <si>
    <t>Bottes de stalhrim de Marchefeu</t>
  </si>
  <si>
    <t>dragonborn.esm|029093</t>
  </si>
  <si>
    <t>Bottes de stalhrim de puissance</t>
  </si>
  <si>
    <t>dragonborn.esm|029100</t>
  </si>
  <si>
    <t>Bottes de stalhrim de silence</t>
  </si>
  <si>
    <t>dragonborn.esm|0291FF</t>
  </si>
  <si>
    <t>dragonborn.esm|029094</t>
  </si>
  <si>
    <t>Bottes de stalhrim de surhomme</t>
  </si>
  <si>
    <t>dragonborn.esm|0291FC</t>
  </si>
  <si>
    <t>dragonborn.esm|02920B</t>
  </si>
  <si>
    <t>Bottes de stalhrim de vigueur absolue</t>
  </si>
  <si>
    <t>dragonborn.esm|0290A2</t>
  </si>
  <si>
    <t>Bottes de stalhrim de vigueur accrue</t>
  </si>
  <si>
    <t>dragonborn.esm|0290A4</t>
  </si>
  <si>
    <t>Bottes de stalhrim de vigueur extrême</t>
  </si>
  <si>
    <t>dragonborn.esm|02920A</t>
  </si>
  <si>
    <t>dragonborn.esm|0290A3</t>
  </si>
  <si>
    <t>Bottes de stalhrim de vigueur majeure</t>
  </si>
  <si>
    <t>dragonborn.esm|029209</t>
  </si>
  <si>
    <t>dragonborn.esm|029095</t>
  </si>
  <si>
    <t>Bottes de stalhrim du boeuf</t>
  </si>
  <si>
    <t>dragonborn.esm|0291FD</t>
  </si>
  <si>
    <t>dragonborn.esm|0291FE</t>
  </si>
  <si>
    <t>Bottes de stalhrim du mammouth</t>
  </si>
  <si>
    <t>skyrim.esm|065BAC</t>
  </si>
  <si>
    <t>Bottes de Thalmor</t>
  </si>
  <si>
    <t>dawnguard.esm|00B5DE</t>
  </si>
  <si>
    <t>Bottes de vampire</t>
  </si>
  <si>
    <t>dawnguard.esm|019AE1</t>
  </si>
  <si>
    <t>skyrim.esm|013938</t>
  </si>
  <si>
    <t>Bottes de verre</t>
  </si>
  <si>
    <t>skyrim.esm|0D5374</t>
  </si>
  <si>
    <t>Bottes de verre de feu anéanti</t>
  </si>
  <si>
    <t>skyrim.esm|0D5372</t>
  </si>
  <si>
    <t>Bottes de verre de feu évanescent</t>
  </si>
  <si>
    <t>skyrim.esm|0D5373</t>
  </si>
  <si>
    <t>Bottes de verre de feu neutralisé</t>
  </si>
  <si>
    <t>skyrim.esm|0D537A</t>
  </si>
  <si>
    <t>Bottes de verre de foudre anéantie</t>
  </si>
  <si>
    <t>skyrim.esm|0D5378</t>
  </si>
  <si>
    <t>Bottes de verre de foudre évanescente</t>
  </si>
  <si>
    <t>skyrim.esm|0D5379</t>
  </si>
  <si>
    <t>Bottes de verre de foudre neutralisée</t>
  </si>
  <si>
    <t>skyrim.esm|10DF76</t>
  </si>
  <si>
    <t>Bottes de verre de furtivité extrême</t>
  </si>
  <si>
    <t>skyrim.esm|10DF75</t>
  </si>
  <si>
    <t>Bottes de verre de furtivité majeure</t>
  </si>
  <si>
    <t>skyrim.esm|0D5377</t>
  </si>
  <si>
    <t>Bottes de verre de glace anéantie</t>
  </si>
  <si>
    <t>skyrim.esm|0D5375</t>
  </si>
  <si>
    <t>Bottes de verre de glace évanescente</t>
  </si>
  <si>
    <t>skyrim.esm|0D5376</t>
  </si>
  <si>
    <t>Bottes de verre de glace neutralisée</t>
  </si>
  <si>
    <t>skyrim.esm|0D536E</t>
  </si>
  <si>
    <t>Bottes de verre de puissance</t>
  </si>
  <si>
    <t>skyrim.esm|0D5371</t>
  </si>
  <si>
    <t>Bottes de verre de silence</t>
  </si>
  <si>
    <t>skyrim.esm|0D536F</t>
  </si>
  <si>
    <t>Bottes de verre de surhomme</t>
  </si>
  <si>
    <t>skyrim.esm|10DF74</t>
  </si>
  <si>
    <t>Bottes de verre de vigueur accrue</t>
  </si>
  <si>
    <t>skyrim.esm|10DF89</t>
  </si>
  <si>
    <t>skyrim.esm|10DF8B</t>
  </si>
  <si>
    <t>Bottes de verre de vigueur extrême</t>
  </si>
  <si>
    <t>skyrim.esm|10DF8A</t>
  </si>
  <si>
    <t>Bottes de verre de vigueur majeure</t>
  </si>
  <si>
    <t>skyrim.esm|0D5370</t>
  </si>
  <si>
    <t>Bottes de verre du boeuf</t>
  </si>
  <si>
    <t>skyrim.esm|0EAFD3</t>
  </si>
  <si>
    <t>Bottes des Anciennes divinités</t>
  </si>
  <si>
    <t>skyrim.esm|05DB7E</t>
  </si>
  <si>
    <t>Bottes doublées de fourrure</t>
  </si>
  <si>
    <t>skyrim.esm|01393D</t>
  </si>
  <si>
    <t>Bottes draconiques</t>
  </si>
  <si>
    <t>skyrim.esm|0D79B3</t>
  </si>
  <si>
    <t>Bottes draconiques d'isolation</t>
  </si>
  <si>
    <t>skyrim.esm|0D79B0</t>
  </si>
  <si>
    <t>Bottes draconiques de dégel</t>
  </si>
  <si>
    <t>skyrim.esm|0D79AC</t>
  </si>
  <si>
    <t>Bottes draconiques de feu anéanti</t>
  </si>
  <si>
    <t>skyrim.esm|0D79AB</t>
  </si>
  <si>
    <t>Bottes draconiques de feu neutralisé</t>
  </si>
  <si>
    <t>skyrim.esm|0D79B2</t>
  </si>
  <si>
    <t>Bottes draconiques de foudre anéantie</t>
  </si>
  <si>
    <t>skyrim.esm|0D79B1</t>
  </si>
  <si>
    <t>Bottes draconiques de foudre neutralisée</t>
  </si>
  <si>
    <t>skyrim.esm|0FDA06</t>
  </si>
  <si>
    <t>Bottes draconiques de furtivité absolue</t>
  </si>
  <si>
    <t>skyrim.esm|0FDA05</t>
  </si>
  <si>
    <t>Bottes draconiques de furtivité extrême</t>
  </si>
  <si>
    <t>skyrim.esm|0D79AA</t>
  </si>
  <si>
    <t>Bottes draconiques de furtivité majeure</t>
  </si>
  <si>
    <t>skyrim.esm|0D79AF</t>
  </si>
  <si>
    <t>Bottes draconiques de glace anéantie</t>
  </si>
  <si>
    <t>skyrim.esm|0D79AE</t>
  </si>
  <si>
    <t>Bottes draconiques de glace neutralisée</t>
  </si>
  <si>
    <t>skyrim.esm|0D79AD</t>
  </si>
  <si>
    <t>Bottes draconiques de Marchefeu</t>
  </si>
  <si>
    <t>skyrim.esm|0D79A7</t>
  </si>
  <si>
    <t>Bottes draconiques de surhomme</t>
  </si>
  <si>
    <t>skyrim.esm|10DF7F</t>
  </si>
  <si>
    <t>Bottes draconiques de vigueur absolue</t>
  </si>
  <si>
    <t>skyrim.esm|10DF7E</t>
  </si>
  <si>
    <t>Bottes draconiques de vigueur extrême</t>
  </si>
  <si>
    <t>skyrim.esm|10DF7D</t>
  </si>
  <si>
    <t>Bottes draconiques de vigueur majeure</t>
  </si>
  <si>
    <t>skyrim.esm|0D79A8</t>
  </si>
  <si>
    <t>Bottes draconiques du boeuf</t>
  </si>
  <si>
    <t>skyrim.esm|0D79A9</t>
  </si>
  <si>
    <t>Bottes draconiques du mammouth</t>
  </si>
  <si>
    <t>dragonborn.esm|02401A</t>
  </si>
  <si>
    <t>Bottes du Balafré</t>
  </si>
  <si>
    <t>skyrim.esm|01394C</t>
  </si>
  <si>
    <t>Bottes dwemers</t>
  </si>
  <si>
    <t>skyrim.esm|01B335</t>
  </si>
  <si>
    <t>Bottes dwemers d'ardeur</t>
  </si>
  <si>
    <t>skyrim.esm|01B3CC</t>
  </si>
  <si>
    <t>Bottes dwemers de feu atténué</t>
  </si>
  <si>
    <t>skyrim.esm|01B3CD</t>
  </si>
  <si>
    <t>Bottes dwemers de feu évanescent</t>
  </si>
  <si>
    <t>skyrim.esm|01B3CE</t>
  </si>
  <si>
    <t>Bottes dwemers de feu neutralisé</t>
  </si>
  <si>
    <t>skyrim.esm|01B3D2</t>
  </si>
  <si>
    <t>Bottes dwemers de foudre atténuée</t>
  </si>
  <si>
    <t>skyrim.esm|01B3D3</t>
  </si>
  <si>
    <t>Bottes dwemers de foudre évanescente</t>
  </si>
  <si>
    <t>skyrim.esm|01B3D4</t>
  </si>
  <si>
    <t>Bottes dwemers de foudre neutralisée</t>
  </si>
  <si>
    <t>skyrim.esm|01B3CF</t>
  </si>
  <si>
    <t>Bottes dwemers de glace atténuée</t>
  </si>
  <si>
    <t>skyrim.esm|01B3D0</t>
  </si>
  <si>
    <t>Bottes dwemers de glace évanescente</t>
  </si>
  <si>
    <t>skyrim.esm|01B3D1</t>
  </si>
  <si>
    <t>Bottes dwemers de glace neutralisée</t>
  </si>
  <si>
    <t>skyrim.esm|01B33D</t>
  </si>
  <si>
    <t>Bottes dwemers de puissance</t>
  </si>
  <si>
    <t>skyrim.esm|092A89</t>
  </si>
  <si>
    <t>Bottes dwemers de silence</t>
  </si>
  <si>
    <t>skyrim.esm|01B3CB</t>
  </si>
  <si>
    <t>Bottes dwemers de surhomme</t>
  </si>
  <si>
    <t>skyrim.esm|10DF80</t>
  </si>
  <si>
    <t>Bottes dwemers de vigueur</t>
  </si>
  <si>
    <t>skyrim.esm|10DF81</t>
  </si>
  <si>
    <t>Bottes dwemers de vigueur accrue</t>
  </si>
  <si>
    <t>skyrim.esm|10DF82</t>
  </si>
  <si>
    <t>Bottes dwemers de vigueur extrême</t>
  </si>
  <si>
    <t>skyrim.esm|01391A</t>
  </si>
  <si>
    <t>Bottes elfiques</t>
  </si>
  <si>
    <t>skyrim.esm|0BDFB9</t>
  </si>
  <si>
    <t>Bottes elfiques d'ardeur</t>
  </si>
  <si>
    <t>skyrim.esm|0BDFBC</t>
  </si>
  <si>
    <t>Bottes elfiques de feu atténué</t>
  </si>
  <si>
    <t>skyrim.esm|0BDFBD</t>
  </si>
  <si>
    <t>Bottes elfiques de feu évanescent</t>
  </si>
  <si>
    <t>skyrim.esm|0BDFF8</t>
  </si>
  <si>
    <t>Bottes elfiques de feu neutralisé</t>
  </si>
  <si>
    <t>skyrim.esm|0BDFC0</t>
  </si>
  <si>
    <t>Bottes elfiques de foudre atténuée</t>
  </si>
  <si>
    <t>skyrim.esm|0BDFC1</t>
  </si>
  <si>
    <t>Bottes elfiques de foudre évanescente</t>
  </si>
  <si>
    <t>skyrim.esm|0BE03B</t>
  </si>
  <si>
    <t>Bottes elfiques de foudre neutralisée</t>
  </si>
  <si>
    <t>skyrim.esm|0BDFC2</t>
  </si>
  <si>
    <t>Bottes elfiques de furtivité</t>
  </si>
  <si>
    <t>skyrim.esm|0BDFC3</t>
  </si>
  <si>
    <t>Bottes elfiques de furtivité accrue</t>
  </si>
  <si>
    <t>skyrim.esm|0BE03C</t>
  </si>
  <si>
    <t>Bottes elfiques de furtivité majeure</t>
  </si>
  <si>
    <t>skyrim.esm|0BDFBE</t>
  </si>
  <si>
    <t>Bottes elfiques de glace atténuée</t>
  </si>
  <si>
    <t>skyrim.esm|0BDFBF</t>
  </si>
  <si>
    <t>Bottes elfiques de glace évanescente</t>
  </si>
  <si>
    <t>skyrim.esm|0BE03A</t>
  </si>
  <si>
    <t>Bottes elfiques de glace neutralisée</t>
  </si>
  <si>
    <t>skyrim.esm|0BDFBA</t>
  </si>
  <si>
    <t>Bottes elfiques de puissance</t>
  </si>
  <si>
    <t>skyrim.esm|0BDFBB</t>
  </si>
  <si>
    <t>Bottes elfiques de surhomme</t>
  </si>
  <si>
    <t>skyrim.esm|10DF86</t>
  </si>
  <si>
    <t>Bottes elfiques de vigueur</t>
  </si>
  <si>
    <t>skyrim.esm|10DF87</t>
  </si>
  <si>
    <t>Bottes elfiques de vigueur accrue</t>
  </si>
  <si>
    <t>skyrim.esm|10DF88</t>
  </si>
  <si>
    <t>Bottes elfiques de vigueur majeure</t>
  </si>
  <si>
    <t>skyrim.esm|013910</t>
  </si>
  <si>
    <t>Bottes en peau</t>
  </si>
  <si>
    <t>skyrim.esm|0AD451</t>
  </si>
  <si>
    <t>Bottes en peau d'ardeur</t>
  </si>
  <si>
    <t>skyrim.esm|07A135</t>
  </si>
  <si>
    <t>Bottes en peau de bât</t>
  </si>
  <si>
    <t>skyrim.esm|0AD489</t>
  </si>
  <si>
    <t>Bottes en peau de feu atténué</t>
  </si>
  <si>
    <t>skyrim.esm|0AD48A</t>
  </si>
  <si>
    <t>Bottes en peau de feu évanescent</t>
  </si>
  <si>
    <t>skyrim.esm|0AD48D</t>
  </si>
  <si>
    <t>Bottes en peau de foudre atténuée</t>
  </si>
  <si>
    <t>skyrim.esm|0AD48E</t>
  </si>
  <si>
    <t>Bottes en peau de foudre évanescente</t>
  </si>
  <si>
    <t>skyrim.esm|0AD48F</t>
  </si>
  <si>
    <t>Bottes en peau de furtivité</t>
  </si>
  <si>
    <t>skyrim.esm|0AD490</t>
  </si>
  <si>
    <t>Bottes en peau de furtivité accrue</t>
  </si>
  <si>
    <t>skyrim.esm|07A139</t>
  </si>
  <si>
    <t>Bottes en peau de furtivité minime</t>
  </si>
  <si>
    <t>skyrim.esm|0AD48B</t>
  </si>
  <si>
    <t>Bottes en peau de glace atténuée</t>
  </si>
  <si>
    <t>skyrim.esm|0AD48C</t>
  </si>
  <si>
    <t>Bottes en peau de glace évanescente</t>
  </si>
  <si>
    <t>skyrim.esm|07A136</t>
  </si>
  <si>
    <t>Bottes en peau de pare-feu</t>
  </si>
  <si>
    <t>skyrim.esm|07A138</t>
  </si>
  <si>
    <t>Bottes en peau de pare-foudre</t>
  </si>
  <si>
    <t>skyrim.esm|07A137</t>
  </si>
  <si>
    <t>Bottes en peau de pare-glace</t>
  </si>
  <si>
    <t>skyrim.esm|10DF8D</t>
  </si>
  <si>
    <t>Bottes en peau de vigueur</t>
  </si>
  <si>
    <t>skyrim.esm|10DF8E</t>
  </si>
  <si>
    <t>Bottes en peau de vigueur accrue</t>
  </si>
  <si>
    <t>skyrim.esm|10DF8C</t>
  </si>
  <si>
    <t>Bottes en peau de vigueur minime</t>
  </si>
  <si>
    <t>skyrim.esm|0B83CD</t>
  </si>
  <si>
    <t>Bottes falmers</t>
  </si>
  <si>
    <t>dawnguard.esm|00C815</t>
  </si>
  <si>
    <t>Bottes falmers anciennes</t>
  </si>
  <si>
    <t>dawnguard.esm|00E8DD</t>
  </si>
  <si>
    <t>Bottes falmers durcies</t>
  </si>
  <si>
    <t>skyrim.esm|0E40DE</t>
  </si>
  <si>
    <t>Bottes festives</t>
  </si>
  <si>
    <t>skyrim.esm|0AD4DF</t>
  </si>
  <si>
    <t>Bottes impériales d'ardeur</t>
  </si>
  <si>
    <t>skyrim.esm|0B970E</t>
  </si>
  <si>
    <t>skyrim.esm|0ACCBB</t>
  </si>
  <si>
    <t>Bottes impériales de bât</t>
  </si>
  <si>
    <t>skyrim.esm|0B970D</t>
  </si>
  <si>
    <t>skyrim.esm|0AD4E1</t>
  </si>
  <si>
    <t>Bottes impériales de feu atténué</t>
  </si>
  <si>
    <t>skyrim.esm|0B9711</t>
  </si>
  <si>
    <t>skyrim.esm|0AD4E2</t>
  </si>
  <si>
    <t>Bottes impériales de feu évanescent</t>
  </si>
  <si>
    <t>skyrim.esm|0B9712</t>
  </si>
  <si>
    <t>skyrim.esm|0AD4E5</t>
  </si>
  <si>
    <t>Bottes impériales de foudre atténuée</t>
  </si>
  <si>
    <t>skyrim.esm|0B9717</t>
  </si>
  <si>
    <t>skyrim.esm|0AD4E6</t>
  </si>
  <si>
    <t>Bottes impériales de foudre évanescente</t>
  </si>
  <si>
    <t>skyrim.esm|0B9718</t>
  </si>
  <si>
    <t>skyrim.esm|0AD4E7</t>
  </si>
  <si>
    <t>Bottes impériales de furtivité</t>
  </si>
  <si>
    <t>skyrim.esm|0B971A</t>
  </si>
  <si>
    <t>skyrim.esm|0AD4E8</t>
  </si>
  <si>
    <t>Bottes impériales de furtivité accrue</t>
  </si>
  <si>
    <t>skyrim.esm|0B971B</t>
  </si>
  <si>
    <t>skyrim.esm|0ACCBF</t>
  </si>
  <si>
    <t>Bottes impériales de furtivité minime</t>
  </si>
  <si>
    <t>skyrim.esm|0B9719</t>
  </si>
  <si>
    <t>skyrim.esm|0AD4E3</t>
  </si>
  <si>
    <t>Bottes impériales de glace atténuée</t>
  </si>
  <si>
    <t>skyrim.esm|0B9714</t>
  </si>
  <si>
    <t>skyrim.esm|0AD4E4</t>
  </si>
  <si>
    <t>Bottes impériales de glace évanescente</t>
  </si>
  <si>
    <t>skyrim.esm|0B9715</t>
  </si>
  <si>
    <t>skyrim.esm|0ACCBC</t>
  </si>
  <si>
    <t>Bottes impériales de pare-feu</t>
  </si>
  <si>
    <t>skyrim.esm|0B9710</t>
  </si>
  <si>
    <t>skyrim.esm|0ACCBE</t>
  </si>
  <si>
    <t>Bottes impériales de pare-foudre</t>
  </si>
  <si>
    <t>skyrim.esm|0B9716</t>
  </si>
  <si>
    <t>skyrim.esm|0ACCBD</t>
  </si>
  <si>
    <t>Bottes impériales de pare-glace</t>
  </si>
  <si>
    <t>skyrim.esm|0B9713</t>
  </si>
  <si>
    <t>skyrim.esm|0AD4E0</t>
  </si>
  <si>
    <t>Bottes impériales de puissance</t>
  </si>
  <si>
    <t>skyrim.esm|0B970F</t>
  </si>
  <si>
    <t>skyrim.esm|105F11</t>
  </si>
  <si>
    <t>Bottes légères elfiques</t>
  </si>
  <si>
    <t>dawnguard.esm|0023EF</t>
  </si>
  <si>
    <t>Bottes lourdes falmer</t>
  </si>
  <si>
    <t>dragonborn.esm|0291A6</t>
  </si>
  <si>
    <t>Bottes nordiques de feu anéanti</t>
  </si>
  <si>
    <t>dragonborn.esm|0291A4</t>
  </si>
  <si>
    <t>Bottes nordiques de feu évanescent</t>
  </si>
  <si>
    <t>dragonborn.esm|0291A5</t>
  </si>
  <si>
    <t>Bottes nordiques de feu neutralisé</t>
  </si>
  <si>
    <t>dragonborn.esm|0291AC</t>
  </si>
  <si>
    <t>Bottes nordiques de foudre anéantie</t>
  </si>
  <si>
    <t>dragonborn.esm|0291AA</t>
  </si>
  <si>
    <t>Bottes nordiques de foudre évanescente</t>
  </si>
  <si>
    <t>dragonborn.esm|0291AB</t>
  </si>
  <si>
    <t>Bottes nordiques de foudre neutralisée</t>
  </si>
  <si>
    <t>dragonborn.esm|0291A9</t>
  </si>
  <si>
    <t>Bottes nordiques de glace anéantie</t>
  </si>
  <si>
    <t>dragonborn.esm|0291A7</t>
  </si>
  <si>
    <t>Bottes nordiques de glace évanescente</t>
  </si>
  <si>
    <t>dragonborn.esm|0291A8</t>
  </si>
  <si>
    <t>Bottes nordiques de glace neutralisée</t>
  </si>
  <si>
    <t>dragonborn.esm|0291A0</t>
  </si>
  <si>
    <t>Bottes nordiques de puissance</t>
  </si>
  <si>
    <t>dragonborn.esm|0291A3</t>
  </si>
  <si>
    <t>Bottes nordiques de silence</t>
  </si>
  <si>
    <t>dragonborn.esm|0291A1</t>
  </si>
  <si>
    <t>Bottes nordiques de surhomme</t>
  </si>
  <si>
    <t>dragonborn.esm|0291AD</t>
  </si>
  <si>
    <t>Bottes nordiques de vigueur accrue</t>
  </si>
  <si>
    <t>dragonborn.esm|0291AF</t>
  </si>
  <si>
    <t>Bottes nordiques de vigueur extrême</t>
  </si>
  <si>
    <t>dragonborn.esm|0291AE</t>
  </si>
  <si>
    <t>Bottes nordiques de vigueur majeure</t>
  </si>
  <si>
    <t>dragonborn.esm|0291A2</t>
  </si>
  <si>
    <t>Bottes nordiques du boeuf</t>
  </si>
  <si>
    <t>skyrim.esm|013956</t>
  </si>
  <si>
    <t>Bottes orques</t>
  </si>
  <si>
    <t>skyrim.esm|0CF7B5</t>
  </si>
  <si>
    <t>Bottes orques de feu anéanti</t>
  </si>
  <si>
    <t>skyrim.esm|0CF7B3</t>
  </si>
  <si>
    <t>Bottes orques de feu évanescent</t>
  </si>
  <si>
    <t>skyrim.esm|0CF7B4</t>
  </si>
  <si>
    <t>Bottes orques de feu neutralisé</t>
  </si>
  <si>
    <t>skyrim.esm|0CF7BB</t>
  </si>
  <si>
    <t>Bottes orques de foudre anéantie</t>
  </si>
  <si>
    <t>skyrim.esm|0CF7B9</t>
  </si>
  <si>
    <t>Bottes orques de foudre évanescente</t>
  </si>
  <si>
    <t>skyrim.esm|0CF7BA</t>
  </si>
  <si>
    <t>Bottes orques de foudre neutralisée</t>
  </si>
  <si>
    <t>skyrim.esm|0CF7B8</t>
  </si>
  <si>
    <t>Bottes orques de glace anéantie</t>
  </si>
  <si>
    <t>skyrim.esm|0CF7B6</t>
  </si>
  <si>
    <t>Bottes orques de glace évanescente</t>
  </si>
  <si>
    <t>skyrim.esm|0CF7B7</t>
  </si>
  <si>
    <t>Bottes orques de glace neutralisée</t>
  </si>
  <si>
    <t>skyrim.esm|0CF7AF</t>
  </si>
  <si>
    <t>Bottes orques de puissance</t>
  </si>
  <si>
    <t>skyrim.esm|0CF7B2</t>
  </si>
  <si>
    <t>Bottes orques de silence</t>
  </si>
  <si>
    <t>skyrim.esm|0CF7B0</t>
  </si>
  <si>
    <t>Bottes orques de surhomme</t>
  </si>
  <si>
    <t>skyrim.esm|0CF7B1</t>
  </si>
  <si>
    <t>Bottes orques du boeuf</t>
  </si>
  <si>
    <t>skyrim.esm|013965</t>
  </si>
  <si>
    <t>Bottes pendragon</t>
  </si>
  <si>
    <t>skyrim.esm|0D7A97</t>
  </si>
  <si>
    <t>Bottes pendragon d'isolation</t>
  </si>
  <si>
    <t>skyrim.esm|0D7A25</t>
  </si>
  <si>
    <t>Bottes pendragon de dégel</t>
  </si>
  <si>
    <t>skyrim.esm|0D7A21</t>
  </si>
  <si>
    <t>Bottes pendragon de feu anéanti</t>
  </si>
  <si>
    <t>skyrim.esm|0D7A20</t>
  </si>
  <si>
    <t>Bottes pendragon de feu neutralisé</t>
  </si>
  <si>
    <t>skyrim.esm|0D7A96</t>
  </si>
  <si>
    <t>Bottes pendragon de foudre anéantie</t>
  </si>
  <si>
    <t>skyrim.esm|0D7A95</t>
  </si>
  <si>
    <t>Bottes pendragon de foudre neutralisée</t>
  </si>
  <si>
    <t>skyrim.esm|0D7A24</t>
  </si>
  <si>
    <t>Bottes pendragon de glace anéantie</t>
  </si>
  <si>
    <t>skyrim.esm|0D7A23</t>
  </si>
  <si>
    <t>Bottes pendragon de glace neutralisée</t>
  </si>
  <si>
    <t>skyrim.esm|0D7A22</t>
  </si>
  <si>
    <t>Bottes pendragon de Marchefeu</t>
  </si>
  <si>
    <t>skyrim.esm|0D7A1F</t>
  </si>
  <si>
    <t>Bottes pendragon de silence</t>
  </si>
  <si>
    <t>skyrim.esm|0D7A1C</t>
  </si>
  <si>
    <t>Bottes pendragon de surhomme</t>
  </si>
  <si>
    <t>skyrim.esm|10DF7C</t>
  </si>
  <si>
    <t>Bottes pendragon de vigueur absolue</t>
  </si>
  <si>
    <t>skyrim.esm|10DF7A</t>
  </si>
  <si>
    <t>Bottes pendragon de vigueur accrue</t>
  </si>
  <si>
    <t>skyrim.esm|10DF7B</t>
  </si>
  <si>
    <t>Bottes pendragon de vigueur extrême</t>
  </si>
  <si>
    <t>skyrim.esm|0D7A1D</t>
  </si>
  <si>
    <t>Bottes pendragon du boeuf</t>
  </si>
  <si>
    <t>skyrim.esm|0D7A1E</t>
  </si>
  <si>
    <t>Bottes pendragon du mammouth</t>
  </si>
  <si>
    <t>dragonborn.esm|0376DE</t>
  </si>
  <si>
    <t>Bottes raffinées</t>
  </si>
  <si>
    <t>skyrim.esm|086993</t>
  </si>
  <si>
    <t>skyrim.esm|0CEE82</t>
  </si>
  <si>
    <t>skyrim.esm|0D2845</t>
  </si>
  <si>
    <t>Bottes sibyllines</t>
  </si>
  <si>
    <t>skyrim.esm|0E1F14</t>
  </si>
  <si>
    <t>Bottes sibyllines antiques</t>
  </si>
  <si>
    <t>skyrim.esm|013106</t>
  </si>
  <si>
    <t>Bottes usées</t>
  </si>
  <si>
    <t>skyrim.esm|01394B</t>
  </si>
  <si>
    <t>Bouclier à bandes</t>
  </si>
  <si>
    <t>skyrim.esm|0AD555</t>
  </si>
  <si>
    <t>Bouclier à bandes de feu atténué</t>
  </si>
  <si>
    <t>skyrim.esm|0AD556</t>
  </si>
  <si>
    <t>Bouclier à bandes de feu évanescent</t>
  </si>
  <si>
    <t>skyrim.esm|0AD559</t>
  </si>
  <si>
    <t>Bouclier à bandes de foudre atténuée</t>
  </si>
  <si>
    <t>skyrim.esm|0AD55A</t>
  </si>
  <si>
    <t>Bouclier à bandes de foudre évanescente</t>
  </si>
  <si>
    <t>skyrim.esm|0AD557</t>
  </si>
  <si>
    <t>Bouclier à bandes de glace atténuée</t>
  </si>
  <si>
    <t>skyrim.esm|0AD558</t>
  </si>
  <si>
    <t>Bouclier à bandes de glace évanescente</t>
  </si>
  <si>
    <t>skyrim.esm|10DFBA</t>
  </si>
  <si>
    <t>Bouclier à bandes de magie atténuée</t>
  </si>
  <si>
    <t>skyrim.esm|10DFBB</t>
  </si>
  <si>
    <t>Bouclier à bandes de magie évanescente</t>
  </si>
  <si>
    <t>skyrim.esm|0AD553</t>
  </si>
  <si>
    <t>Bouclier à bandes de parade</t>
  </si>
  <si>
    <t>skyrim.esm|0AD554</t>
  </si>
  <si>
    <t>Bouclier à bandes de parade accrue</t>
  </si>
  <si>
    <t>skyrim.esm|0ACCB7</t>
  </si>
  <si>
    <t>Bouclier à bandes de parade minime</t>
  </si>
  <si>
    <t>skyrim.esm|0ACCB8</t>
  </si>
  <si>
    <t>Bouclier à bandes de pare-feu</t>
  </si>
  <si>
    <t>skyrim.esm|0ACCBA</t>
  </si>
  <si>
    <t>Bouclier à bandes de pare-foudre</t>
  </si>
  <si>
    <t>skyrim.esm|0ACCB9</t>
  </si>
  <si>
    <t>Bouclier à bandes de pare-glace</t>
  </si>
  <si>
    <t>skyrim.esm|10DFB9</t>
  </si>
  <si>
    <t>Bouclier à bandes de résistance à la magie</t>
  </si>
  <si>
    <t>skyrim.esm|06901D</t>
  </si>
  <si>
    <t>Bouclier ancestral de Roggi</t>
  </si>
  <si>
    <t>skyrim.esm|013955</t>
  </si>
  <si>
    <t>Bouclier d'acier</t>
  </si>
  <si>
    <t>skyrim.esm|0B50F1</t>
  </si>
  <si>
    <t>Bouclier d'acier de feu atténué</t>
  </si>
  <si>
    <t>skyrim.esm|0B50F2</t>
  </si>
  <si>
    <t>Bouclier d'acier de feu évanescent</t>
  </si>
  <si>
    <t>skyrim.esm|0B50F5</t>
  </si>
  <si>
    <t>Bouclier d'acier de foudre atténuée</t>
  </si>
  <si>
    <t>skyrim.esm|0B50F6</t>
  </si>
  <si>
    <t>Bouclier d'acier de foudre évanescente</t>
  </si>
  <si>
    <t>skyrim.esm|0B50F3</t>
  </si>
  <si>
    <t>Bouclier d'acier de glace atténuée</t>
  </si>
  <si>
    <t>skyrim.esm|0B50F4</t>
  </si>
  <si>
    <t>Bouclier d'acier de glace évanescente</t>
  </si>
  <si>
    <t>skyrim.esm|10DFC6</t>
  </si>
  <si>
    <t>Bouclier d'acier de magie atténuée</t>
  </si>
  <si>
    <t>skyrim.esm|10DFC7</t>
  </si>
  <si>
    <t>Bouclier d'acier de magie évanescente</t>
  </si>
  <si>
    <t>skyrim.esm|0B50EF</t>
  </si>
  <si>
    <t>Bouclier d'acier de parade</t>
  </si>
  <si>
    <t>skyrim.esm|0B50F0</t>
  </si>
  <si>
    <t>Bouclier d'acier de parade accrue</t>
  </si>
  <si>
    <t>skyrim.esm|0B50EB</t>
  </si>
  <si>
    <t>Bouclier d'acier de parade minime</t>
  </si>
  <si>
    <t>skyrim.esm|0B50EC</t>
  </si>
  <si>
    <t>Bouclier d'acier de pare-feu</t>
  </si>
  <si>
    <t>skyrim.esm|0B50EE</t>
  </si>
  <si>
    <t>Bouclier d'acier de pare-foudre</t>
  </si>
  <si>
    <t>skyrim.esm|0B50ED</t>
  </si>
  <si>
    <t>Bouclier d'acier de pare-glace</t>
  </si>
  <si>
    <t>skyrim.esm|10DFC5</t>
  </si>
  <si>
    <t>Bouclier d'acier de résistance à la magie</t>
  </si>
  <si>
    <t>dawnguard.esm|005759</t>
  </si>
  <si>
    <t>Bouclier d'aethérium</t>
  </si>
  <si>
    <t>dawnguard.esm|00284D</t>
  </si>
  <si>
    <t>Bouclier d'Auriel</t>
  </si>
  <si>
    <t>dawnguard.esm|0071E1</t>
  </si>
  <si>
    <t>skyrim.esm|013964</t>
  </si>
  <si>
    <t>Bouclier d'ébonite</t>
  </si>
  <si>
    <t>skyrim.esm|0CF892</t>
  </si>
  <si>
    <t>Bouclier d'ébonite de feu anéanti</t>
  </si>
  <si>
    <t>skyrim.esm|0CF890</t>
  </si>
  <si>
    <t>Bouclier d'ébonite de feu évanescent</t>
  </si>
  <si>
    <t>skyrim.esm|0CF891</t>
  </si>
  <si>
    <t>Bouclier d'ébonite de feu neutralisé</t>
  </si>
  <si>
    <t>skyrim.esm|0CF898</t>
  </si>
  <si>
    <t>Bouclier d'ébonite de foudre anéantie</t>
  </si>
  <si>
    <t>skyrim.esm|0CF896</t>
  </si>
  <si>
    <t>Bouclier d'ébonite de foudre évanescente</t>
  </si>
  <si>
    <t>skyrim.esm|0CF897</t>
  </si>
  <si>
    <t>Bouclier d'ébonite de foudre neutralisée</t>
  </si>
  <si>
    <t>skyrim.esm|0CF895</t>
  </si>
  <si>
    <t>Bouclier d'ébonite de glace anéantie</t>
  </si>
  <si>
    <t>skyrim.esm|0CF893</t>
  </si>
  <si>
    <t>Bouclier d'ébonite de glace évanescente</t>
  </si>
  <si>
    <t>skyrim.esm|0CF894</t>
  </si>
  <si>
    <t>Bouclier d'ébonite de glace neutralisée</t>
  </si>
  <si>
    <t>skyrim.esm|10DFAF</t>
  </si>
  <si>
    <t>Bouclier d'ébonite de magie anéantie</t>
  </si>
  <si>
    <t>skyrim.esm|10DFAD</t>
  </si>
  <si>
    <t>Bouclier d'ébonite de magie évanescente</t>
  </si>
  <si>
    <t>skyrim.esm|10DFAE</t>
  </si>
  <si>
    <t>Bouclier d'ébonite de magie neutralisée</t>
  </si>
  <si>
    <t>skyrim.esm|0CF88D</t>
  </si>
  <si>
    <t>Bouclier d'ébonite de parade accrue</t>
  </si>
  <si>
    <t>skyrim.esm|0CF88F</t>
  </si>
  <si>
    <t>Bouclier d'ébonite de parade extrême</t>
  </si>
  <si>
    <t>skyrim.esm|0CF88E</t>
  </si>
  <si>
    <t>Bouclier d'ébonite de parade majeure</t>
  </si>
  <si>
    <t>dragonborn.esm|026234</t>
  </si>
  <si>
    <t>Bouclier d'ostalium</t>
  </si>
  <si>
    <t>dragonborn.esm|03AB24</t>
  </si>
  <si>
    <t>Bouclier d'ostalium amélioré</t>
  </si>
  <si>
    <t>dragonborn.esm|02850F</t>
  </si>
  <si>
    <t>Bouclier d'ostalium de feu atténué</t>
  </si>
  <si>
    <t>dragonborn.esm|028510</t>
  </si>
  <si>
    <t>Bouclier d'ostalium de feu évanescent</t>
  </si>
  <si>
    <t>dragonborn.esm|028515</t>
  </si>
  <si>
    <t>Bouclier d'ostalium de foudre atténuée</t>
  </si>
  <si>
    <t>dragonborn.esm|028516</t>
  </si>
  <si>
    <t>Bouclier d'ostalium de foudre évanescente</t>
  </si>
  <si>
    <t>dragonborn.esm|028512</t>
  </si>
  <si>
    <t>Bouclier d'ostalium de glace atténuée</t>
  </si>
  <si>
    <t>dragonborn.esm|028513</t>
  </si>
  <si>
    <t>Bouclier d'ostalium de glace évanescente</t>
  </si>
  <si>
    <t>dragonborn.esm|029151</t>
  </si>
  <si>
    <t>Bouclier d'ostalium de magie atténuée</t>
  </si>
  <si>
    <t>dragonborn.esm|029152</t>
  </si>
  <si>
    <t>Bouclier d'ostalium de magie évanescente</t>
  </si>
  <si>
    <t>dragonborn.esm|02850C</t>
  </si>
  <si>
    <t>Bouclier d'ostalium de parade</t>
  </si>
  <si>
    <t>dragonborn.esm|02850D</t>
  </si>
  <si>
    <t>Bouclier d'ostalium de parade accrue</t>
  </si>
  <si>
    <t>dragonborn.esm|02850B</t>
  </si>
  <si>
    <t>Bouclier d'ostalium de parade minime</t>
  </si>
  <si>
    <t>dragonborn.esm|02850E</t>
  </si>
  <si>
    <t>Bouclier d'ostalium de pare-feu</t>
  </si>
  <si>
    <t>dragonborn.esm|028514</t>
  </si>
  <si>
    <t>Bouclier d'ostalium de pare-foudre</t>
  </si>
  <si>
    <t>dragonborn.esm|028511</t>
  </si>
  <si>
    <t>Bouclier d'ostalium de pare-glace</t>
  </si>
  <si>
    <t>dragonborn.esm|029150</t>
  </si>
  <si>
    <t>Bouclier d'ostalium de résistance à la magie</t>
  </si>
  <si>
    <t>skyrim.esm|0E41D8</t>
  </si>
  <si>
    <t>Bouclier d'Ysgramor</t>
  </si>
  <si>
    <t>skyrim.esm|01396E</t>
  </si>
  <si>
    <t>Bouclier daedra</t>
  </si>
  <si>
    <t>skyrim.esm|0D7AF9</t>
  </si>
  <si>
    <t>Bouclier daedra d'isolation</t>
  </si>
  <si>
    <t>skyrim.esm|0D7AF6</t>
  </si>
  <si>
    <t>Bouclier daedra de dégel</t>
  </si>
  <si>
    <t>skyrim.esm|0D7AF2</t>
  </si>
  <si>
    <t>Bouclier daedra de feu anéanti</t>
  </si>
  <si>
    <t>skyrim.esm|0D7AF1</t>
  </si>
  <si>
    <t>Bouclier daedra de feu neutralisé</t>
  </si>
  <si>
    <t>skyrim.esm|0D7AF8</t>
  </si>
  <si>
    <t>Bouclier daedra de foudre anéantie</t>
  </si>
  <si>
    <t>skyrim.esm|0D7AF7</t>
  </si>
  <si>
    <t>Bouclier daedra de foudre neutralisée</t>
  </si>
  <si>
    <t>skyrim.esm|0D7AF5</t>
  </si>
  <si>
    <t>Bouclier daedra de glace anéantie</t>
  </si>
  <si>
    <t>skyrim.esm|0D7AF4</t>
  </si>
  <si>
    <t>Bouclier daedra de glace neutralisée</t>
  </si>
  <si>
    <t>skyrim.esm|10DFA2</t>
  </si>
  <si>
    <t>Bouclier daedra de magie anéantie</t>
  </si>
  <si>
    <t>skyrim.esm|10DFA1</t>
  </si>
  <si>
    <t>Bouclier daedra de magie neutralisée</t>
  </si>
  <si>
    <t>skyrim.esm|0D7AF3</t>
  </si>
  <si>
    <t>Bouclier daedra de Marchefeu</t>
  </si>
  <si>
    <t>skyrim.esm|0D7AF0</t>
  </si>
  <si>
    <t>Bouclier daedra de parade absolue</t>
  </si>
  <si>
    <t>skyrim.esm|0D7AEF</t>
  </si>
  <si>
    <t>Bouclier daedra de parade extrême</t>
  </si>
  <si>
    <t>skyrim.esm|0D7AEE</t>
  </si>
  <si>
    <t>Bouclier daedra de parade majeure</t>
  </si>
  <si>
    <t>skyrim.esm|10DFA3</t>
  </si>
  <si>
    <t>Bouclier daedra de suppression</t>
  </si>
  <si>
    <t>dragonborn.esm|026235</t>
  </si>
  <si>
    <t>Bouclier de chitine</t>
  </si>
  <si>
    <t>dragonborn.esm|029033</t>
  </si>
  <si>
    <t>Bouclier de chitine de feu atténué</t>
  </si>
  <si>
    <t>dragonborn.esm|029034</t>
  </si>
  <si>
    <t>Bouclier de chitine de feu évanescent</t>
  </si>
  <si>
    <t>dragonborn.esm|029035</t>
  </si>
  <si>
    <t>Bouclier de chitine de feu neutralisé</t>
  </si>
  <si>
    <t>dragonborn.esm|02903C</t>
  </si>
  <si>
    <t>Bouclier de chitine de foudre atténuée</t>
  </si>
  <si>
    <t>dragonborn.esm|02903D</t>
  </si>
  <si>
    <t>Bouclier de chitine de foudre évanescente</t>
  </si>
  <si>
    <t>dragonborn.esm|02903E</t>
  </si>
  <si>
    <t>Bouclier de chitine de foudre neutralisée</t>
  </si>
  <si>
    <t>dragonborn.esm|029036</t>
  </si>
  <si>
    <t>Bouclier de chitine de glace atténuée</t>
  </si>
  <si>
    <t>dragonborn.esm|029037</t>
  </si>
  <si>
    <t>Bouclier de chitine de glace évanescente</t>
  </si>
  <si>
    <t>dragonborn.esm|029038</t>
  </si>
  <si>
    <t>Bouclier de chitine de glace neutralisée</t>
  </si>
  <si>
    <t>dragonborn.esm|029039</t>
  </si>
  <si>
    <t>Bouclier de chitine de magie atténuée</t>
  </si>
  <si>
    <t>dragonborn.esm|02903A</t>
  </si>
  <si>
    <t>Bouclier de chitine de magie évanescente</t>
  </si>
  <si>
    <t>dragonborn.esm|02903B</t>
  </si>
  <si>
    <t>Bouclier de chitine de magie neutralisée</t>
  </si>
  <si>
    <t>dragonborn.esm|029030</t>
  </si>
  <si>
    <t>Bouclier de chitine de parade</t>
  </si>
  <si>
    <t>dragonborn.esm|029031</t>
  </si>
  <si>
    <t>Bouclier de chitine de parade accrue</t>
  </si>
  <si>
    <t>dragonborn.esm|029032</t>
  </si>
  <si>
    <t>Bouclier de chitine de parade majeure</t>
  </si>
  <si>
    <t>skyrim.esm|012EB6</t>
  </si>
  <si>
    <t>Bouclier de fer</t>
  </si>
  <si>
    <t>dragonborn.esm|03399C</t>
  </si>
  <si>
    <t>Bouclier de fer cabossé</t>
  </si>
  <si>
    <t>skyrim.esm|0AD599</t>
  </si>
  <si>
    <t>Bouclier de fer de feu atténué</t>
  </si>
  <si>
    <t>skyrim.esm|0AD59B</t>
  </si>
  <si>
    <t>Bouclier de fer de feu évanescent</t>
  </si>
  <si>
    <t>skyrim.esm|0AD59D</t>
  </si>
  <si>
    <t>Bouclier de fer de foudre atténuée</t>
  </si>
  <si>
    <t>skyrim.esm|0AD59E</t>
  </si>
  <si>
    <t>Bouclier de fer de foudre évanescente</t>
  </si>
  <si>
    <t>skyrim.esm|0AD59A</t>
  </si>
  <si>
    <t>Bouclier de fer de glace atténuée</t>
  </si>
  <si>
    <t>skyrim.esm|0AD59C</t>
  </si>
  <si>
    <t>Bouclier de fer de glace évanescente</t>
  </si>
  <si>
    <t>skyrim.esm|10DFBD</t>
  </si>
  <si>
    <t>Bouclier de fer de magie atténuée</t>
  </si>
  <si>
    <t>skyrim.esm|10DFBE</t>
  </si>
  <si>
    <t>Bouclier de fer de magie évanescente</t>
  </si>
  <si>
    <t>skyrim.esm|0AD596</t>
  </si>
  <si>
    <t>Bouclier de fer de parade</t>
  </si>
  <si>
    <t>skyrim.esm|0AD598</t>
  </si>
  <si>
    <t>Bouclier de fer de parade accrue</t>
  </si>
  <si>
    <t>skyrim.esm|07A11E</t>
  </si>
  <si>
    <t>Bouclier de fer de parade minime</t>
  </si>
  <si>
    <t>skyrim.esm|04A1B4</t>
  </si>
  <si>
    <t>Bouclier de fer de pare-feu</t>
  </si>
  <si>
    <t>skyrim.esm|07A0EF</t>
  </si>
  <si>
    <t>Bouclier de fer de pare-foudre</t>
  </si>
  <si>
    <t>skyrim.esm|07A0EE</t>
  </si>
  <si>
    <t>Bouclier de fer de pare-glace</t>
  </si>
  <si>
    <t>skyrim.esm|10DFBC</t>
  </si>
  <si>
    <t>Bouclier de fer de résistance à la magie</t>
  </si>
  <si>
    <t>skyrim.esm|064B71</t>
  </si>
  <si>
    <t>Bouclier de Hrolfdir</t>
  </si>
  <si>
    <t>skyrim.esm|09E023</t>
  </si>
  <si>
    <t>Bouclier de Solitude</t>
  </si>
  <si>
    <t>skyrim.esm|10EB62</t>
  </si>
  <si>
    <t>skyrim.esm|10EB63</t>
  </si>
  <si>
    <t>skyrim.esm|10EB64</t>
  </si>
  <si>
    <t>skyrim.esm|10EB65</t>
  </si>
  <si>
    <t>dragonborn.esm|0290F5</t>
  </si>
  <si>
    <t>Bouclier de stalhrim de feu anéanti</t>
  </si>
  <si>
    <t>dragonborn.esm|0290F3</t>
  </si>
  <si>
    <t>Bouclier de stalhrim de feu évanescent</t>
  </si>
  <si>
    <t>dragonborn.esm|0290F4</t>
  </si>
  <si>
    <t>Bouclier de stalhrim de feu neutralisé</t>
  </si>
  <si>
    <t>dragonborn.esm|0290FE</t>
  </si>
  <si>
    <t>Bouclier de stalhrim de foudre anéantie</t>
  </si>
  <si>
    <t>dragonborn.esm|0290FC</t>
  </si>
  <si>
    <t>Bouclier de stalhrim de foudre évanescente</t>
  </si>
  <si>
    <t>dragonborn.esm|0290FD</t>
  </si>
  <si>
    <t>Bouclier de stalhrim de foudre neutralisée</t>
  </si>
  <si>
    <t>dragonborn.esm|0290F8</t>
  </si>
  <si>
    <t>Bouclier de stalhrim de glace anéantie</t>
  </si>
  <si>
    <t>dragonborn.esm|0290F6</t>
  </si>
  <si>
    <t>Bouclier de stalhrim de glace évanescente</t>
  </si>
  <si>
    <t>dragonborn.esm|0290F7</t>
  </si>
  <si>
    <t>Bouclier de stalhrim de glace neutralisée</t>
  </si>
  <si>
    <t>dragonborn.esm|0290FB</t>
  </si>
  <si>
    <t>Bouclier de stalhrim de magie anéantie</t>
  </si>
  <si>
    <t>dragonborn.esm|0290F9</t>
  </si>
  <si>
    <t>Bouclier de stalhrim de magie évanescente</t>
  </si>
  <si>
    <t>dragonborn.esm|0290FA</t>
  </si>
  <si>
    <t>Bouclier de stalhrim de magie neutralisée</t>
  </si>
  <si>
    <t>dragonborn.esm|0290F0</t>
  </si>
  <si>
    <t>Bouclier de stalhrim de parade accrue</t>
  </si>
  <si>
    <t>dragonborn.esm|0290F2</t>
  </si>
  <si>
    <t>Bouclier de stalhrim de parade extrême</t>
  </si>
  <si>
    <t>dragonborn.esm|0290F1</t>
  </si>
  <si>
    <t>Bouclier de stalhrim de parade majeure</t>
  </si>
  <si>
    <t>skyrim.esm|01393C</t>
  </si>
  <si>
    <t>Bouclier de verre</t>
  </si>
  <si>
    <t>skyrim.esm|0D53DF</t>
  </si>
  <si>
    <t>Bouclier de verre de feu anéanti</t>
  </si>
  <si>
    <t>skyrim.esm|0D53DD</t>
  </si>
  <si>
    <t>Bouclier de verre de feu évanescent</t>
  </si>
  <si>
    <t>skyrim.esm|0D53DE</t>
  </si>
  <si>
    <t>Bouclier de verre de feu neutralisé</t>
  </si>
  <si>
    <t>skyrim.esm|0D53E5</t>
  </si>
  <si>
    <t>Bouclier de verre de fodure anéantie</t>
  </si>
  <si>
    <t>skyrim.esm|0D53E3</t>
  </si>
  <si>
    <t>Bouclier de verre de foudre évanescente</t>
  </si>
  <si>
    <t>skyrim.esm|0D53E4</t>
  </si>
  <si>
    <t>Bouclier de verre de foudre neutralisée</t>
  </si>
  <si>
    <t>skyrim.esm|0D53E2</t>
  </si>
  <si>
    <t>Bouclier de verre de glace anéantie</t>
  </si>
  <si>
    <t>skyrim.esm|0D53E0</t>
  </si>
  <si>
    <t>Bouclier de verre de glace évanescente</t>
  </si>
  <si>
    <t>skyrim.esm|0D53E1</t>
  </si>
  <si>
    <t>Bouclier de verre de glace neutralisée</t>
  </si>
  <si>
    <t>skyrim.esm|10DFB5</t>
  </si>
  <si>
    <t>Bouclier de verre de magie anéantie</t>
  </si>
  <si>
    <t>skyrim.esm|10DFB3</t>
  </si>
  <si>
    <t>Bouclier de verre de magie évanescente</t>
  </si>
  <si>
    <t>skyrim.esm|10DFB4</t>
  </si>
  <si>
    <t>Bouclier de verre de magie neutralisée</t>
  </si>
  <si>
    <t>skyrim.esm|0D53DA</t>
  </si>
  <si>
    <t>Bouclier de verre de parade accrue</t>
  </si>
  <si>
    <t>skyrim.esm|0D53DC</t>
  </si>
  <si>
    <t>Bouclier de verre de parade extrême</t>
  </si>
  <si>
    <t>skyrim.esm|0D53DB</t>
  </si>
  <si>
    <t>Bouclier de verre de parade majeure</t>
  </si>
  <si>
    <t>skyrim.esm|013941</t>
  </si>
  <si>
    <t>Bouclier draconique</t>
  </si>
  <si>
    <t>skyrim.esm|0D7A1B</t>
  </si>
  <si>
    <t>Bouclier draconique d'isolation</t>
  </si>
  <si>
    <t>skyrim.esm|0D7A18</t>
  </si>
  <si>
    <t>Bouclier draconique de dégel</t>
  </si>
  <si>
    <t>skyrim.esm|0D7A14</t>
  </si>
  <si>
    <t>Bouclier draconique de feu anéanti</t>
  </si>
  <si>
    <t>skyrim.esm|0D7A13</t>
  </si>
  <si>
    <t>Bouclier draconique de feu neutralisé</t>
  </si>
  <si>
    <t>skyrim.esm|0D7A1A</t>
  </si>
  <si>
    <t>Bouclier draconique de foudre anéantie</t>
  </si>
  <si>
    <t>skyrim.esm|0D7A19</t>
  </si>
  <si>
    <t>Bouclier draconique de foudre neutralisée</t>
  </si>
  <si>
    <t>skyrim.esm|0D7A17</t>
  </si>
  <si>
    <t>Bouclier draconique de glace anéantie</t>
  </si>
  <si>
    <t>skyrim.esm|0D7A16</t>
  </si>
  <si>
    <t>Bouclier draconique de glace neutralisée</t>
  </si>
  <si>
    <t>skyrim.esm|10DFA8</t>
  </si>
  <si>
    <t>Bouclier draconique de magie anéantie</t>
  </si>
  <si>
    <t>skyrim.esm|10DFA7</t>
  </si>
  <si>
    <t>Bouclier draconique de magie neutralisée</t>
  </si>
  <si>
    <t>skyrim.esm|0D7A15</t>
  </si>
  <si>
    <t>Bouclier draconique de Marchefeu</t>
  </si>
  <si>
    <t>skyrim.esm|0D7A12</t>
  </si>
  <si>
    <t>Bouclier draconique de parade absolue</t>
  </si>
  <si>
    <t>skyrim.esm|0D7A11</t>
  </si>
  <si>
    <t>Bouclier draconique de parade extrême</t>
  </si>
  <si>
    <t>skyrim.esm|0D7A10</t>
  </si>
  <si>
    <t>Bouclier draconique de parade majeure</t>
  </si>
  <si>
    <t>skyrim.esm|10DFA9</t>
  </si>
  <si>
    <t>Bouclier draconique de suppression</t>
  </si>
  <si>
    <t>skyrim.esm|013950</t>
  </si>
  <si>
    <t>Bouclier dwemer</t>
  </si>
  <si>
    <t>skyrim.esm|084B6F</t>
  </si>
  <si>
    <t>Bouclier dwemer de feu atténué</t>
  </si>
  <si>
    <t>skyrim.esm|084B83</t>
  </si>
  <si>
    <t>Bouclier dwemer de feu évanescent</t>
  </si>
  <si>
    <t>skyrim.esm|084B84</t>
  </si>
  <si>
    <t>Bouclier dwemer de feu neutralisé</t>
  </si>
  <si>
    <t>skyrim.esm|084B71</t>
  </si>
  <si>
    <t>Bouclier dwemer de foudre atténuée</t>
  </si>
  <si>
    <t>skyrim.esm|084B87</t>
  </si>
  <si>
    <t>Bouclier dwemer de foudre évanescente</t>
  </si>
  <si>
    <t>skyrim.esm|084B88</t>
  </si>
  <si>
    <t>Bouclier dwemer de foudre neutralisée</t>
  </si>
  <si>
    <t>skyrim.esm|084B70</t>
  </si>
  <si>
    <t>Bouclier dwemer de glace atténuée</t>
  </si>
  <si>
    <t>skyrim.esm|084B85</t>
  </si>
  <si>
    <t>Bouclier dwemer de glace évanescente</t>
  </si>
  <si>
    <t>skyrim.esm|084B86</t>
  </si>
  <si>
    <t>Bouclier dwemer de glace neutralisée</t>
  </si>
  <si>
    <t>skyrim.esm|10DFAA</t>
  </si>
  <si>
    <t>Bouclier dwemer de magie atténuée</t>
  </si>
  <si>
    <t>skyrim.esm|10DFAB</t>
  </si>
  <si>
    <t>Bouclier dwemer de magie évanescente</t>
  </si>
  <si>
    <t>skyrim.esm|10DFAC</t>
  </si>
  <si>
    <t>Bouclier dwemer de magie neutralisée</t>
  </si>
  <si>
    <t>skyrim.esm|01B9C8</t>
  </si>
  <si>
    <t>Bouclier dwemer de parade</t>
  </si>
  <si>
    <t>skyrim.esm|0BE031</t>
  </si>
  <si>
    <t>Bouclier dwemer de parade accrue</t>
  </si>
  <si>
    <t>skyrim.esm|01B9E2</t>
  </si>
  <si>
    <t>Bouclier dwemer de parade majeure</t>
  </si>
  <si>
    <t>skyrim.esm|01391E</t>
  </si>
  <si>
    <t>Bouclier elfique</t>
  </si>
  <si>
    <t>skyrim.esm|084B68</t>
  </si>
  <si>
    <t>Bouclier elfique de feu atténué</t>
  </si>
  <si>
    <t>skyrim.esm|084B78</t>
  </si>
  <si>
    <t>Bouclier elfique de feu évanescent</t>
  </si>
  <si>
    <t>skyrim.esm|084B80</t>
  </si>
  <si>
    <t>Bouclier elfique de feu neutralisé</t>
  </si>
  <si>
    <t>skyrim.esm|084B6A</t>
  </si>
  <si>
    <t>Bouclier elfique de foudre atténuée</t>
  </si>
  <si>
    <t>skyrim.esm|084B7A</t>
  </si>
  <si>
    <t>Bouclier elfique de foudre évanescente</t>
  </si>
  <si>
    <t>skyrim.esm|084B82</t>
  </si>
  <si>
    <t>Bouclier elfique de foudre neutralisée</t>
  </si>
  <si>
    <t>skyrim.esm|084B69</t>
  </si>
  <si>
    <t>Bouclier elfique de glace atténuée</t>
  </si>
  <si>
    <t>skyrim.esm|084B79</t>
  </si>
  <si>
    <t>Bouclier elfique de glace évanescente</t>
  </si>
  <si>
    <t>skyrim.esm|084B81</t>
  </si>
  <si>
    <t>Bouclier elfique de glace neutralisée</t>
  </si>
  <si>
    <t>skyrim.esm|10DFB0</t>
  </si>
  <si>
    <t>Bouclier elfique de magie atténuée</t>
  </si>
  <si>
    <t>skyrim.esm|10DFB1</t>
  </si>
  <si>
    <t>Bouclier elfique de magie évanescente</t>
  </si>
  <si>
    <t>skyrim.esm|10DFB2</t>
  </si>
  <si>
    <t>Bouclier elfique de magie neutralisée</t>
  </si>
  <si>
    <t>skyrim.esm|10FC26</t>
  </si>
  <si>
    <t>Bouclier elfique de parade</t>
  </si>
  <si>
    <t>skyrim.esm|10FC27</t>
  </si>
  <si>
    <t>Bouclier elfique de parade accrue</t>
  </si>
  <si>
    <t>skyrim.esm|10FC28</t>
  </si>
  <si>
    <t>Bouclier elfique de parade majeure</t>
  </si>
  <si>
    <t>skyrim.esm|013914</t>
  </si>
  <si>
    <t>Bouclier en peau</t>
  </si>
  <si>
    <t>skyrim.esm|0AD4CD</t>
  </si>
  <si>
    <t>Bouclier en peau de feu atténué</t>
  </si>
  <si>
    <t>skyrim.esm|0AD4CE</t>
  </si>
  <si>
    <t>Bouclier en peau de feu évanescent</t>
  </si>
  <si>
    <t>skyrim.esm|0AD4D1</t>
  </si>
  <si>
    <t>Bouclier en peau de foudre atténuée</t>
  </si>
  <si>
    <t>skyrim.esm|0AD4D2</t>
  </si>
  <si>
    <t>Bouclier en peau de foudre évanescente</t>
  </si>
  <si>
    <t>skyrim.esm|0AD4CF</t>
  </si>
  <si>
    <t>Bouclier en peau de glace atténuée</t>
  </si>
  <si>
    <t>skyrim.esm|0AD4D0</t>
  </si>
  <si>
    <t>Bouclier en peau de glace évanescente</t>
  </si>
  <si>
    <t>skyrim.esm|10DFB7</t>
  </si>
  <si>
    <t>Bouclier en peau de magie atténuée</t>
  </si>
  <si>
    <t>skyrim.esm|10DFB8</t>
  </si>
  <si>
    <t>Bouclier en peau de magie évanescente</t>
  </si>
  <si>
    <t>skyrim.esm|0AD4CB</t>
  </si>
  <si>
    <t>Bouclier en peau de parade</t>
  </si>
  <si>
    <t>skyrim.esm|0AD4CC</t>
  </si>
  <si>
    <t>Bouclier en peau de parade accrue</t>
  </si>
  <si>
    <t>skyrim.esm|07A159</t>
  </si>
  <si>
    <t>Bouclier en peau de parade minime</t>
  </si>
  <si>
    <t>skyrim.esm|07A15C</t>
  </si>
  <si>
    <t>Bouclier en peau de pare-feu</t>
  </si>
  <si>
    <t>skyrim.esm|07A15A</t>
  </si>
  <si>
    <t>Bouclier en peau de pare-foudre</t>
  </si>
  <si>
    <t>skyrim.esm|07A15B</t>
  </si>
  <si>
    <t>Bouclier en peau de pare-glace</t>
  </si>
  <si>
    <t>skyrim.esm|10DFB6</t>
  </si>
  <si>
    <t>Bouclier en peau de résistance à la magie</t>
  </si>
  <si>
    <t>skyrim.esm|05C06C</t>
  </si>
  <si>
    <t>Bouclier falmer</t>
  </si>
  <si>
    <t>skyrim.esm|03521F</t>
  </si>
  <si>
    <t>Bouclier familial</t>
  </si>
  <si>
    <t>skyrim.esm|0AD511</t>
  </si>
  <si>
    <t>Bouclier impérial léger de feu atténué</t>
  </si>
  <si>
    <t>skyrim.esm|0AD512</t>
  </si>
  <si>
    <t>Bouclier impérial léger de feu évanescent</t>
  </si>
  <si>
    <t>skyrim.esm|0AD515</t>
  </si>
  <si>
    <t>Bouclier impérial léger de foudre atténuée</t>
  </si>
  <si>
    <t>skyrim.esm|0AD516</t>
  </si>
  <si>
    <t>Bouclier impérial léger de foudre évanescente</t>
  </si>
  <si>
    <t>skyrim.esm|0AD513</t>
  </si>
  <si>
    <t>Bouclier impérial léger de glace atténuée</t>
  </si>
  <si>
    <t>skyrim.esm|0AD514</t>
  </si>
  <si>
    <t>Bouclier impérial léger de glace évanescente</t>
  </si>
  <si>
    <t>skyrim.esm|0AD50F</t>
  </si>
  <si>
    <t>Bouclier impérial léger de parade</t>
  </si>
  <si>
    <t>skyrim.esm|0AD510</t>
  </si>
  <si>
    <t>Bouclier impérial léger de parade accrue</t>
  </si>
  <si>
    <t>skyrim.esm|0AD448</t>
  </si>
  <si>
    <t>Bouclier impérial léger de parade minime</t>
  </si>
  <si>
    <t>skyrim.esm|0AD449</t>
  </si>
  <si>
    <t>Bouclier impérial léger de pare-feu</t>
  </si>
  <si>
    <t>skyrim.esm|0AD44B</t>
  </si>
  <si>
    <t>Bouclier impérial léger de pare-foudre</t>
  </si>
  <si>
    <t>skyrim.esm|0AD44A</t>
  </si>
  <si>
    <t>Bouclier impérial léger de pare-glace</t>
  </si>
  <si>
    <t>dragonborn.esm|0291F2</t>
  </si>
  <si>
    <t>Bouclier nordique de feu anéanti</t>
  </si>
  <si>
    <t>dragonborn.esm|0291ED</t>
  </si>
  <si>
    <t>Bouclier nordique de feu évanescent</t>
  </si>
  <si>
    <t>dragonborn.esm|0291F1</t>
  </si>
  <si>
    <t>Bouclier nordique de feu neutralisé</t>
  </si>
  <si>
    <t>dragonborn.esm|0291FB</t>
  </si>
  <si>
    <t>Bouclier nordique de foudre anéantie</t>
  </si>
  <si>
    <t>dragonborn.esm|0291F9</t>
  </si>
  <si>
    <t>Bouclier nordique de foudre évanescente</t>
  </si>
  <si>
    <t>dragonborn.esm|0291FA</t>
  </si>
  <si>
    <t>Bouclier nordique de foudre neutralisée</t>
  </si>
  <si>
    <t>dragonborn.esm|0291F5</t>
  </si>
  <si>
    <t>Bouclier nordique de glace anéantie</t>
  </si>
  <si>
    <t>dragonborn.esm|0291F3</t>
  </si>
  <si>
    <t>Bouclier nordique de glace évanescente</t>
  </si>
  <si>
    <t>dragonborn.esm|0291F4</t>
  </si>
  <si>
    <t>Bouclier nordique de glace neutralisée</t>
  </si>
  <si>
    <t>dragonborn.esm|0291F8</t>
  </si>
  <si>
    <t>Bouclier nordique de magie anéantie</t>
  </si>
  <si>
    <t>dragonborn.esm|0291F6</t>
  </si>
  <si>
    <t>Bouclier nordique de magie évanescente</t>
  </si>
  <si>
    <t>dragonborn.esm|0291F7</t>
  </si>
  <si>
    <t>Bouclier nordique de magie neutralisée</t>
  </si>
  <si>
    <t>dragonborn.esm|0291EE</t>
  </si>
  <si>
    <t>Bouclier nordique de parade accrue</t>
  </si>
  <si>
    <t>dragonborn.esm|0291F0</t>
  </si>
  <si>
    <t>Bouclier nordique de parade extrême</t>
  </si>
  <si>
    <t>dragonborn.esm|0291EF</t>
  </si>
  <si>
    <t>Bouclier nordique de parade majeure</t>
  </si>
  <si>
    <t>skyrim.esm|013946</t>
  </si>
  <si>
    <t>Bouclier orque</t>
  </si>
  <si>
    <t>skyrim.esm|0CF81D</t>
  </si>
  <si>
    <t>Bouclier orque de feu anéanti</t>
  </si>
  <si>
    <t>skyrim.esm|0CF81B</t>
  </si>
  <si>
    <t>Bouclier orque de feu évanescent</t>
  </si>
  <si>
    <t>skyrim.esm|0CF81C</t>
  </si>
  <si>
    <t>Bouclier orque de feu neutralisé</t>
  </si>
  <si>
    <t>skyrim.esm|0CF822</t>
  </si>
  <si>
    <t>Bouclier orque de foudre anéantie</t>
  </si>
  <si>
    <t>skyrim.esm|0CF821</t>
  </si>
  <si>
    <t>Bouclier orque de foudre évanescente</t>
  </si>
  <si>
    <t>skyrim.esm|0CF823</t>
  </si>
  <si>
    <t>Bouclier orque de foudre neutralisée</t>
  </si>
  <si>
    <t>skyrim.esm|0CE20B</t>
  </si>
  <si>
    <t>Bouclier orque de glace anéantie</t>
  </si>
  <si>
    <t>skyrim.esm|0CF81E</t>
  </si>
  <si>
    <t>Bouclier orque de glace évanescente</t>
  </si>
  <si>
    <t>skyrim.esm|0CF81F</t>
  </si>
  <si>
    <t>Bouclier orque de glace neutralisée</t>
  </si>
  <si>
    <t>skyrim.esm|10DFC1</t>
  </si>
  <si>
    <t>Bouclier orque de magie anéantie</t>
  </si>
  <si>
    <t>skyrim.esm|10DFBF</t>
  </si>
  <si>
    <t>Bouclier orque de magie évanescente</t>
  </si>
  <si>
    <t>skyrim.esm|10DFC0</t>
  </si>
  <si>
    <t>Bouclier orque de magie neutralisée</t>
  </si>
  <si>
    <t>skyrim.esm|0CF818</t>
  </si>
  <si>
    <t>Bouclier orque de parade accrue</t>
  </si>
  <si>
    <t>skyrim.esm|0CF81A</t>
  </si>
  <si>
    <t>Bouclier orque de parade extrême</t>
  </si>
  <si>
    <t>skyrim.esm|0CF819</t>
  </si>
  <si>
    <t>Bouclier orque de parade majeure</t>
  </si>
  <si>
    <t>skyrim.esm|013968</t>
  </si>
  <si>
    <t>Bouclier pendragon</t>
  </si>
  <si>
    <t>skyrim.esm|0D7A87</t>
  </si>
  <si>
    <t>Bouclier pendragon d'isolation</t>
  </si>
  <si>
    <t>skyrim.esm|0D7A84</t>
  </si>
  <si>
    <t>Bouclier pendragon de dégel</t>
  </si>
  <si>
    <t>skyrim.esm|0D7A80</t>
  </si>
  <si>
    <t>Bouclier pendragon de feu anéanti</t>
  </si>
  <si>
    <t>skyrim.esm|0D7A7F</t>
  </si>
  <si>
    <t>Bouclier pendragon de feu neutralisé</t>
  </si>
  <si>
    <t>skyrim.esm|0D7A86</t>
  </si>
  <si>
    <t>Bouclier pendragon de foudre anéantie</t>
  </si>
  <si>
    <t>skyrim.esm|0D7A85</t>
  </si>
  <si>
    <t>Bouclier pendragon de foudre neutralisée</t>
  </si>
  <si>
    <t>skyrim.esm|0D7A83</t>
  </si>
  <si>
    <t>Bouclier pendragon de glace anéantie</t>
  </si>
  <si>
    <t>skyrim.esm|0D7A82</t>
  </si>
  <si>
    <t>Bouclier pendragon de glace neutralisée</t>
  </si>
  <si>
    <t>skyrim.esm|10DFA5</t>
  </si>
  <si>
    <t>Bouclier pendragon de magie anéantie</t>
  </si>
  <si>
    <t>skyrim.esm|10DFA4</t>
  </si>
  <si>
    <t>Bouclier pendragon de magie neutralisée</t>
  </si>
  <si>
    <t>skyrim.esm|0D7A81</t>
  </si>
  <si>
    <t>Bouclier pendragon de Marchefeu</t>
  </si>
  <si>
    <t>skyrim.esm|0D7A7E</t>
  </si>
  <si>
    <t>Bouclier pendragon de parade absolue</t>
  </si>
  <si>
    <t>skyrim.esm|0D7A7D</t>
  </si>
  <si>
    <t>Bouclier pendragon de parade extrême</t>
  </si>
  <si>
    <t>skyrim.esm|0D7A7C</t>
  </si>
  <si>
    <t>Bouclier pendragon de parade majeure</t>
  </si>
  <si>
    <t>skyrim.esm|10DFA6</t>
  </si>
  <si>
    <t>Bouclier pendragon de suppression</t>
  </si>
  <si>
    <t>dawnguard.esm|00488A</t>
  </si>
  <si>
    <t>Bouclier réfléchissant</t>
  </si>
  <si>
    <t>morecraftableequipment.esp|00083A</t>
  </si>
  <si>
    <t>Brown Cowl</t>
  </si>
  <si>
    <t>windhelmsse.esp|1529F7</t>
  </si>
  <si>
    <t>Brown Hood</t>
  </si>
  <si>
    <t>skyrim.esm|017696</t>
  </si>
  <si>
    <t>Capuche</t>
  </si>
  <si>
    <t>skyrim.esm|07BC1A</t>
  </si>
  <si>
    <t>Capuchon d'Alik'r</t>
  </si>
  <si>
    <t>skyrim.esm|10D2B5</t>
  </si>
  <si>
    <t>Capuchon d'apprenti</t>
  </si>
  <si>
    <t>skyrim.esm|10DD3B</t>
  </si>
  <si>
    <t>dragonborn.esm|02AD31</t>
  </si>
  <si>
    <t>Capuchon de Gardenoir</t>
  </si>
  <si>
    <t>skyrim.esm|0D3AC5</t>
  </si>
  <si>
    <t>Capuchon de la Guilde des voleurs</t>
  </si>
  <si>
    <t>skyrim.esm|0D3ACE</t>
  </si>
  <si>
    <t>skyrim.esm|108546</t>
  </si>
  <si>
    <t>Capuchon de Linwe</t>
  </si>
  <si>
    <t>skyrim.esm|0D3DE8</t>
  </si>
  <si>
    <t>Capuchon de mage</t>
  </si>
  <si>
    <t>skyrim.esm|0E35D9</t>
  </si>
  <si>
    <t>Capuchon de maître de guilde</t>
  </si>
  <si>
    <t>dragonborn.esm|0292AE</t>
  </si>
  <si>
    <t>Capuchon de Morag Tong</t>
  </si>
  <si>
    <t>skyrim.esm|10CEE8</t>
  </si>
  <si>
    <t>Capuchon de novice</t>
  </si>
  <si>
    <t>skyrim.esm|10DD3A</t>
  </si>
  <si>
    <t>dragonborn.esm|03B04E</t>
  </si>
  <si>
    <t>Capuchon de prêtre du Temple</t>
  </si>
  <si>
    <t>skyrim.esm|05DB88</t>
  </si>
  <si>
    <t>Capuchon de Rossignol</t>
  </si>
  <si>
    <t>skyrim.esm|0FCC12</t>
  </si>
  <si>
    <t>skyrim.esm|0FCC13</t>
  </si>
  <si>
    <t>skyrim.esm|10CEE6</t>
  </si>
  <si>
    <t>Capuchon de spécialiste</t>
  </si>
  <si>
    <t>skyrim.esm|10DD3C</t>
  </si>
  <si>
    <t>skyrim.esm|0EE5C0</t>
  </si>
  <si>
    <t>Capuchon de tortionnaire</t>
  </si>
  <si>
    <t>dawnguard.esm|019ADE</t>
  </si>
  <si>
    <t>Capuchon de vampire</t>
  </si>
  <si>
    <t>skyrim.esm|047CBE</t>
  </si>
  <si>
    <t>Capuchon en cuir</t>
  </si>
  <si>
    <t>skyrim.esm|0CF8A1</t>
  </si>
  <si>
    <t>Capuchon sibyllin</t>
  </si>
  <si>
    <t>skyrim.esm|013954</t>
  </si>
  <si>
    <t>Casque d'acier</t>
  </si>
  <si>
    <t>skyrim.esm|0F6F24</t>
  </si>
  <si>
    <t>Casque d'acier à cornes</t>
  </si>
  <si>
    <t>skyrim.esm|08B6A0</t>
  </si>
  <si>
    <t>Casque d'acier d'alchimie</t>
  </si>
  <si>
    <t>skyrim.esm|08B6A1</t>
  </si>
  <si>
    <t>Casque d'acier d'alchimie accrue</t>
  </si>
  <si>
    <t>skyrim.esm|08B69F</t>
  </si>
  <si>
    <t>Casque d'acier d'alchimie minime</t>
  </si>
  <si>
    <t>skyrim.esm|0B50DB</t>
  </si>
  <si>
    <t>Casque d'acier d'altération</t>
  </si>
  <si>
    <t>skyrim.esm|0B50DC</t>
  </si>
  <si>
    <t>Casque d'acier d'altération accrue</t>
  </si>
  <si>
    <t>skyrim.esm|0B50D3</t>
  </si>
  <si>
    <t>Casque d'acier d'altération minime</t>
  </si>
  <si>
    <t>skyrim.esm|0B50E9</t>
  </si>
  <si>
    <t>Casque d'acier d'archerie</t>
  </si>
  <si>
    <t>skyrim.esm|0B50EA</t>
  </si>
  <si>
    <t>Casque d'acier d'archerie accrue</t>
  </si>
  <si>
    <t>skyrim.esm|0B50D9</t>
  </si>
  <si>
    <t>Casque d'acier d'archerie minime</t>
  </si>
  <si>
    <t>skyrim.esm|0B50E3</t>
  </si>
  <si>
    <t>Casque d'acier d'illusion</t>
  </si>
  <si>
    <t>skyrim.esm|0B50E4</t>
  </si>
  <si>
    <t>Casque d'acier d'illusion accrue</t>
  </si>
  <si>
    <t>skyrim.esm|0B50D7</t>
  </si>
  <si>
    <t>Casque d'acier d'illusion minime</t>
  </si>
  <si>
    <t>skyrim.esm|0B50DD</t>
  </si>
  <si>
    <t>Casque d'acier de conjuration</t>
  </si>
  <si>
    <t>skyrim.esm|0B50DE</t>
  </si>
  <si>
    <t>Casque d'acier de conjuration accrue</t>
  </si>
  <si>
    <t>skyrim.esm|0B50D4</t>
  </si>
  <si>
    <t>Casque d'acier de conjuration minime</t>
  </si>
  <si>
    <t>skyrim.esm|0B50DF</t>
  </si>
  <si>
    <t>Casque d'acier de destruction</t>
  </si>
  <si>
    <t>skyrim.esm|0B50E0</t>
  </si>
  <si>
    <t>Casque d'acier de destruction accrue</t>
  </si>
  <si>
    <t>skyrim.esm|0B50D5</t>
  </si>
  <si>
    <t>Casque d'acier de destruction minime</t>
  </si>
  <si>
    <t>skyrim.esm|0B50E7</t>
  </si>
  <si>
    <t>Casque d'acier de guérison</t>
  </si>
  <si>
    <t>skyrim.esm|0B50E8</t>
  </si>
  <si>
    <t>Casque d'acier de guérison accrue</t>
  </si>
  <si>
    <t>skyrim.esm|0B50DA</t>
  </si>
  <si>
    <t>Casque d'acier de guérison minime</t>
  </si>
  <si>
    <t>skyrim.esm|0B50E5</t>
  </si>
  <si>
    <t>Casque d'acier de magie</t>
  </si>
  <si>
    <t>skyrim.esm|0B50E6</t>
  </si>
  <si>
    <t>Casque d'acier de magie accrue</t>
  </si>
  <si>
    <t>skyrim.esm|0B50D8</t>
  </si>
  <si>
    <t>Casque d'acier de magie minime</t>
  </si>
  <si>
    <t>skyrim.esm|092A86</t>
  </si>
  <si>
    <t>Casque d'acier de respiration aquatique</t>
  </si>
  <si>
    <t>skyrim.esm|013963</t>
  </si>
  <si>
    <t>Casque d'ébonite</t>
  </si>
  <si>
    <t>skyrim.esm|0CF871</t>
  </si>
  <si>
    <t>Casque d'ébonite d'alchimie accrue</t>
  </si>
  <si>
    <t>skyrim.esm|0CF873</t>
  </si>
  <si>
    <t>Casque d'ébonite d'alchimie extrême</t>
  </si>
  <si>
    <t>skyrim.esm|0CF872</t>
  </si>
  <si>
    <t>Casque d'ébonite d'alchimie majeure</t>
  </si>
  <si>
    <t>skyrim.esm|0CF874</t>
  </si>
  <si>
    <t>Casque d'ébonite d'altération accrue</t>
  </si>
  <si>
    <t>skyrim.esm|0CF876</t>
  </si>
  <si>
    <t>Casque d'ébonite d'altération extrême</t>
  </si>
  <si>
    <t>skyrim.esm|0CF875</t>
  </si>
  <si>
    <t>Casque d'ébonite d'altération majeure</t>
  </si>
  <si>
    <t>skyrim.esm|0CF886</t>
  </si>
  <si>
    <t>Casque d'ébonite d'archerie accrue</t>
  </si>
  <si>
    <t>skyrim.esm|0CF888</t>
  </si>
  <si>
    <t>Casque d'ébonite d'archerie extrême</t>
  </si>
  <si>
    <t>skyrim.esm|0CF887</t>
  </si>
  <si>
    <t>Casque d'ébonite d'archerie majeure</t>
  </si>
  <si>
    <t>skyrim.esm|0FE2F0</t>
  </si>
  <si>
    <t>Casque d'ébonite d'emplissage</t>
  </si>
  <si>
    <t>skyrim.esm|0CF880</t>
  </si>
  <si>
    <t>Casque d'ébonite d'illusion accrue</t>
  </si>
  <si>
    <t>skyrim.esm|0CF882</t>
  </si>
  <si>
    <t>Casque d'ébonite d'illusion extrême</t>
  </si>
  <si>
    <t>skyrim.esm|0CF881</t>
  </si>
  <si>
    <t>Casque d'ébonite d'illusion majeure</t>
  </si>
  <si>
    <t>skyrim.esm|0CF877</t>
  </si>
  <si>
    <t>Casque d'ébonite de conjuration accrue</t>
  </si>
  <si>
    <t>skyrim.esm|0CF879</t>
  </si>
  <si>
    <t>Casque d'ébonite de conjuration extrême</t>
  </si>
  <si>
    <t>skyrim.esm|0CF878</t>
  </si>
  <si>
    <t>Casque d'ébonite de conjuration majeure</t>
  </si>
  <si>
    <t>skyrim.esm|0CF87A</t>
  </si>
  <si>
    <t>Casque d'ébonite de destruction accrue</t>
  </si>
  <si>
    <t>skyrim.esm|0CF87C</t>
  </si>
  <si>
    <t>Casque d'ébonite de destruction extrême</t>
  </si>
  <si>
    <t>skyrim.esm|0CF87B</t>
  </si>
  <si>
    <t>Casque d'ébonite de destruction majeure</t>
  </si>
  <si>
    <t>skyrim.esm|0CF889</t>
  </si>
  <si>
    <t>Casque d'ébonite de guérison accrue</t>
  </si>
  <si>
    <t>skyrim.esm|0CF88B</t>
  </si>
  <si>
    <t>Casque d'ébonite de guérison extrême</t>
  </si>
  <si>
    <t>skyrim.esm|0CF88A</t>
  </si>
  <si>
    <t>Casque d'ébonite de guérison majeure</t>
  </si>
  <si>
    <t>skyrim.esm|0CF883</t>
  </si>
  <si>
    <t>Casque d'ébonite de magie accrue</t>
  </si>
  <si>
    <t>skyrim.esm|0CF885</t>
  </si>
  <si>
    <t>Casque d'ébonite de magie extrême</t>
  </si>
  <si>
    <t>skyrim.esm|0CF884</t>
  </si>
  <si>
    <t>Casque d'ébonite de magie majeure</t>
  </si>
  <si>
    <t>skyrim.esm|0FE2EF</t>
  </si>
  <si>
    <t>Casque d'ébonite de recharge</t>
  </si>
  <si>
    <t>skyrim.esm|0CF88C</t>
  </si>
  <si>
    <t>Casque d'ébonite de respiration aquatique</t>
  </si>
  <si>
    <t>skyrim.esm|0FE2F1</t>
  </si>
  <si>
    <t>Casque d'ébonite de résurgence</t>
  </si>
  <si>
    <t>skyrim.esm|01B3A1</t>
  </si>
  <si>
    <t>Casque d'écailles</t>
  </si>
  <si>
    <t>skyrim.esm|046CF7</t>
  </si>
  <si>
    <t>Casque d'écailles d'alchimie</t>
  </si>
  <si>
    <t>skyrim.esm|046CF6</t>
  </si>
  <si>
    <t>Casque d'écailles d'alchimie accrue</t>
  </si>
  <si>
    <t>skyrim.esm|046CF8</t>
  </si>
  <si>
    <t>Casque d'écailles d'alchimie majeure</t>
  </si>
  <si>
    <t>skyrim.esm|046D1A</t>
  </si>
  <si>
    <t>Casque d'écailles d'altération</t>
  </si>
  <si>
    <t>skyrim.esm|046D1F</t>
  </si>
  <si>
    <t>Casque d'écailles d'altération accrue</t>
  </si>
  <si>
    <t>skyrim.esm|046D20</t>
  </si>
  <si>
    <t>Casque d'écailles d'altération majeure</t>
  </si>
  <si>
    <t>skyrim.esm|046DD3</t>
  </si>
  <si>
    <t>Casque d'écailles d'archerie</t>
  </si>
  <si>
    <t>skyrim.esm|046DD9</t>
  </si>
  <si>
    <t>Casque d'écailles d'archerie accrue</t>
  </si>
  <si>
    <t>skyrim.esm|046DE2</t>
  </si>
  <si>
    <t>Casque d'écailles d'archerie majeure</t>
  </si>
  <si>
    <t>skyrim.esm|046DC2</t>
  </si>
  <si>
    <t>Casque d'écailles d'illusion</t>
  </si>
  <si>
    <t>skyrim.esm|046DC3</t>
  </si>
  <si>
    <t>Casque d'écailles d'illusion accrue</t>
  </si>
  <si>
    <t>skyrim.esm|046DC4</t>
  </si>
  <si>
    <t>Casque d'écailles d'illusion majeure</t>
  </si>
  <si>
    <t>skyrim.esm|046D21</t>
  </si>
  <si>
    <t>Casque d'écailles de conjuration</t>
  </si>
  <si>
    <t>skyrim.esm|046DB1</t>
  </si>
  <si>
    <t>Casque d'écailles de conjuration accrue</t>
  </si>
  <si>
    <t>skyrim.esm|046DB2</t>
  </si>
  <si>
    <t>Casque d'écailles de conjuration majeure</t>
  </si>
  <si>
    <t>skyrim.esm|046DB3</t>
  </si>
  <si>
    <t>Casque d'écailles de destruction</t>
  </si>
  <si>
    <t>skyrim.esm|046DB4</t>
  </si>
  <si>
    <t>Casque d'écailles de destruction accrue</t>
  </si>
  <si>
    <t>skyrim.esm|046DB5</t>
  </si>
  <si>
    <t>Casque d'écailles de destruction majeure</t>
  </si>
  <si>
    <t>skyrim.esm|046DED</t>
  </si>
  <si>
    <t>Casque d'écailles de guérison</t>
  </si>
  <si>
    <t>skyrim.esm|046DEE</t>
  </si>
  <si>
    <t>Casque d'écailles de guérison accrue</t>
  </si>
  <si>
    <t>skyrim.esm|046DEF</t>
  </si>
  <si>
    <t>Casque d'écailles de guérison majeure</t>
  </si>
  <si>
    <t>skyrim.esm|046DC7</t>
  </si>
  <si>
    <t>Casque d'écailles de magie</t>
  </si>
  <si>
    <t>skyrim.esm|046DCA</t>
  </si>
  <si>
    <t>Casque d'écailles de magie accrue</t>
  </si>
  <si>
    <t>skyrim.esm|046DCB</t>
  </si>
  <si>
    <t>Casque d'écailles de magie majeure</t>
  </si>
  <si>
    <t>skyrim.esm|046DF0</t>
  </si>
  <si>
    <t>Casque d'écailles de respiration aquatique</t>
  </si>
  <si>
    <t>skyrim.esm|086985</t>
  </si>
  <si>
    <t>Casque d'officier des Sombrages</t>
  </si>
  <si>
    <t>dragonborn.esm|01CD95</t>
  </si>
  <si>
    <t>Casque d'ostalium</t>
  </si>
  <si>
    <t>dragonborn.esm|03AB23</t>
  </si>
  <si>
    <t>Casque d'ostalium amélioré</t>
  </si>
  <si>
    <t>dragonborn.esm|0284FA</t>
  </si>
  <si>
    <t>Casque d'ostalium d'alchimie</t>
  </si>
  <si>
    <t>dragonborn.esm|0284FB</t>
  </si>
  <si>
    <t>Casque d'ostalium d'alchimie accrue</t>
  </si>
  <si>
    <t>dragonborn.esm|0284F9</t>
  </si>
  <si>
    <t>Casque d'ostalium d'alchimie minime</t>
  </si>
  <si>
    <t>dragonborn.esm|0284FD</t>
  </si>
  <si>
    <t>Casque d'ostalium d'altération</t>
  </si>
  <si>
    <t>dragonborn.esm|0284FE</t>
  </si>
  <si>
    <t>Casque d'ostalium d'altération accrue</t>
  </si>
  <si>
    <t>dragonborn.esm|0284FC</t>
  </si>
  <si>
    <t>Casque d'ostalium d'altération minime</t>
  </si>
  <si>
    <t>dragonborn.esm|028506</t>
  </si>
  <si>
    <t>Casque d'ostalium d'illusion</t>
  </si>
  <si>
    <t>dragonborn.esm|028507</t>
  </si>
  <si>
    <t>Casque d'ostalium d'illusion accrue</t>
  </si>
  <si>
    <t>dragonborn.esm|028505</t>
  </si>
  <si>
    <t>Casque d'ostalium d'illusion minime</t>
  </si>
  <si>
    <t>dragonborn.esm|028500</t>
  </si>
  <si>
    <t>Casque d'ostalium de conjuration</t>
  </si>
  <si>
    <t>dragonborn.esm|028501</t>
  </si>
  <si>
    <t>Casque d'ostalium de conjuration accrue</t>
  </si>
  <si>
    <t>dragonborn.esm|0284FF</t>
  </si>
  <si>
    <t>Casque d'ostalium de conjuration minime</t>
  </si>
  <si>
    <t>dragonborn.esm|028503</t>
  </si>
  <si>
    <t>Casque d'ostalium de destruction</t>
  </si>
  <si>
    <t>dragonborn.esm|028504</t>
  </si>
  <si>
    <t>Casque d'ostalium de destruction accrue</t>
  </si>
  <si>
    <t>dragonborn.esm|028502</t>
  </si>
  <si>
    <t>Casque d'ostalium de destruction minime</t>
  </si>
  <si>
    <t>dragonborn.esm|028509</t>
  </si>
  <si>
    <t>Casque d'ostalium de magie</t>
  </si>
  <si>
    <t>dragonborn.esm|02850A</t>
  </si>
  <si>
    <t>Casque d'ostalium de magie accrue</t>
  </si>
  <si>
    <t>dragonborn.esm|028508</t>
  </si>
  <si>
    <t>Casque d'ostalium de magie minime</t>
  </si>
  <si>
    <t>skyrim.esm|0295F3</t>
  </si>
  <si>
    <t>Casque d'Yngol</t>
  </si>
  <si>
    <t>skyrim.esm|01396D</t>
  </si>
  <si>
    <t>Casque daedra</t>
  </si>
  <si>
    <t>skyrim.esm|0D7AD4</t>
  </si>
  <si>
    <t>Casque daedra d'alchimie absolue</t>
  </si>
  <si>
    <t>skyrim.esm|0D7AD3</t>
  </si>
  <si>
    <t>Casque daedra d'alchimie extrême</t>
  </si>
  <si>
    <t>skyrim.esm|0D7AD2</t>
  </si>
  <si>
    <t>Casque daedra d'alchimie majeure</t>
  </si>
  <si>
    <t>skyrim.esm|0D7AD7</t>
  </si>
  <si>
    <t>Casque daedra d'altération absolue</t>
  </si>
  <si>
    <t>skyrim.esm|0D7AD6</t>
  </si>
  <si>
    <t>Casque daedra d'altération extrême</t>
  </si>
  <si>
    <t>skyrim.esm|0D7AD5</t>
  </si>
  <si>
    <t>Casque daedra d'altération majeure</t>
  </si>
  <si>
    <t>skyrim.esm|0D7AE9</t>
  </si>
  <si>
    <t>Casque daedra d'archerie absolue</t>
  </si>
  <si>
    <t>skyrim.esm|0D7AE8</t>
  </si>
  <si>
    <t>Casque daedra d'archerie extrême</t>
  </si>
  <si>
    <t>skyrim.esm|0D7AE7</t>
  </si>
  <si>
    <t>Casque daedra d'archerie majeure</t>
  </si>
  <si>
    <t>skyrim.esm|0FE301</t>
  </si>
  <si>
    <t>Casque daedra d'emplissage</t>
  </si>
  <si>
    <t>skyrim.esm|0D7AE3</t>
  </si>
  <si>
    <t>Casque daedra d'illusion absolue</t>
  </si>
  <si>
    <t>skyrim.esm|0D7AE2</t>
  </si>
  <si>
    <t>Casque daedra d'illusion extrême</t>
  </si>
  <si>
    <t>skyrim.esm|0D7AE1</t>
  </si>
  <si>
    <t>Casque daedra d'illusion majeure</t>
  </si>
  <si>
    <t>skyrim.esm|0D7ADA</t>
  </si>
  <si>
    <t>Casque daedra de conjuration absolue</t>
  </si>
  <si>
    <t>skyrim.esm|0D7AD9</t>
  </si>
  <si>
    <t>Casque daedra de conjuration extrême</t>
  </si>
  <si>
    <t>skyrim.esm|0D7AD8</t>
  </si>
  <si>
    <t>Casque daedra de conjuration majeure</t>
  </si>
  <si>
    <t>skyrim.esm|0D7ADD</t>
  </si>
  <si>
    <t>Casque daedra de destruction absolue</t>
  </si>
  <si>
    <t>skyrim.esm|0D7ADC</t>
  </si>
  <si>
    <t>Casque daedra de destruction extrême</t>
  </si>
  <si>
    <t>skyrim.esm|0D7ADB</t>
  </si>
  <si>
    <t>Casque daedra de destruction majeure</t>
  </si>
  <si>
    <t>skyrim.esm|0D7AEC</t>
  </si>
  <si>
    <t>Casque daedra de guérison absolue</t>
  </si>
  <si>
    <t>skyrim.esm|0D7AEB</t>
  </si>
  <si>
    <t>Casque daedra de guérison extrême</t>
  </si>
  <si>
    <t>skyrim.esm|0D7AEA</t>
  </si>
  <si>
    <t>Casque daedra de guérison majeure</t>
  </si>
  <si>
    <t>skyrim.esm|0D7AE5</t>
  </si>
  <si>
    <t>Casque daedra de magie extrême</t>
  </si>
  <si>
    <t>skyrim.esm|0D7AE6</t>
  </si>
  <si>
    <t>skyrim.esm|0D7AE4</t>
  </si>
  <si>
    <t>Casque daedra de magie majeure</t>
  </si>
  <si>
    <t>skyrim.esm|0FE303</t>
  </si>
  <si>
    <t>Casque daedra de regain</t>
  </si>
  <si>
    <t>skyrim.esm|0D7AED</t>
  </si>
  <si>
    <t>Casque daedra de respiration aquatique</t>
  </si>
  <si>
    <t>skyrim.esm|0FE302</t>
  </si>
  <si>
    <t>Casque daedra de résurgence</t>
  </si>
  <si>
    <t>dragonborn.esm|01CD89</t>
  </si>
  <si>
    <t>Casque de chitine</t>
  </si>
  <si>
    <t>dragonborn.esm|029018</t>
  </si>
  <si>
    <t>Casque de chitine d'alchimie</t>
  </si>
  <si>
    <t>dragonborn.esm|029187</t>
  </si>
  <si>
    <t>dragonborn.esm|029019</t>
  </si>
  <si>
    <t>Casque de chitine d'alchimie accrue</t>
  </si>
  <si>
    <t>dragonborn.esm|029188</t>
  </si>
  <si>
    <t>dragonborn.esm|02901A</t>
  </si>
  <si>
    <t>Casque de chitine d'alchimie majeure</t>
  </si>
  <si>
    <t>dragonborn.esm|029189</t>
  </si>
  <si>
    <t>dragonborn.esm|02901B</t>
  </si>
  <si>
    <t>Casque de chitine d'altération</t>
  </si>
  <si>
    <t>dragonborn.esm|02918A</t>
  </si>
  <si>
    <t>dragonborn.esm|02901C</t>
  </si>
  <si>
    <t>Casque de chitine d'altération accrue</t>
  </si>
  <si>
    <t>dragonborn.esm|02918B</t>
  </si>
  <si>
    <t>dragonborn.esm|02901D</t>
  </si>
  <si>
    <t>Casque de chitine d'altération majeure</t>
  </si>
  <si>
    <t>dragonborn.esm|02918C</t>
  </si>
  <si>
    <t>dragonborn.esm|02902A</t>
  </si>
  <si>
    <t>Casque de chitine d'archerie</t>
  </si>
  <si>
    <t>dragonborn.esm|029199</t>
  </si>
  <si>
    <t>dragonborn.esm|02902B</t>
  </si>
  <si>
    <t>Casque de chitine d'archerie accrue</t>
  </si>
  <si>
    <t>dragonborn.esm|02919A</t>
  </si>
  <si>
    <t>dragonborn.esm|02902C</t>
  </si>
  <si>
    <t>Casque de chitine d'archerie majeure</t>
  </si>
  <si>
    <t>dragonborn.esm|02919B</t>
  </si>
  <si>
    <t>dragonborn.esm|029023</t>
  </si>
  <si>
    <t>Casque de chitine d'illusion</t>
  </si>
  <si>
    <t>dragonborn.esm|029193</t>
  </si>
  <si>
    <t>dragonborn.esm|029025</t>
  </si>
  <si>
    <t>Casque de chitine d'illusion accrue</t>
  </si>
  <si>
    <t>dragonborn.esm|029194</t>
  </si>
  <si>
    <t>dragonborn.esm|029026</t>
  </si>
  <si>
    <t>Casque de chitine d'illusion majeure</t>
  </si>
  <si>
    <t>dragonborn.esm|029195</t>
  </si>
  <si>
    <t>dragonborn.esm|02901E</t>
  </si>
  <si>
    <t>Casque de chitine de conjuration</t>
  </si>
  <si>
    <t>dragonborn.esm|02918D</t>
  </si>
  <si>
    <t>dragonborn.esm|02901F</t>
  </si>
  <si>
    <t>Casque de chitine de conjuration accrue</t>
  </si>
  <si>
    <t>dragonborn.esm|02918E</t>
  </si>
  <si>
    <t>dragonborn.esm|029020</t>
  </si>
  <si>
    <t>Casque de chitine de conjuration majeure</t>
  </si>
  <si>
    <t>dragonborn.esm|02918F</t>
  </si>
  <si>
    <t>dragonborn.esm|029021</t>
  </si>
  <si>
    <t>Casque de chitine de destruction</t>
  </si>
  <si>
    <t>dragonborn.esm|029190</t>
  </si>
  <si>
    <t>dragonborn.esm|029022</t>
  </si>
  <si>
    <t>Casque de chitine de destruction accrue</t>
  </si>
  <si>
    <t>dragonborn.esm|029191</t>
  </si>
  <si>
    <t>dragonborn.esm|029024</t>
  </si>
  <si>
    <t>Casque de chitine de destruction majeure</t>
  </si>
  <si>
    <t>dragonborn.esm|029192</t>
  </si>
  <si>
    <t>dragonborn.esm|02902D</t>
  </si>
  <si>
    <t>Casque de chitine de guérison</t>
  </si>
  <si>
    <t>dragonborn.esm|02919C</t>
  </si>
  <si>
    <t>dragonborn.esm|02902E</t>
  </si>
  <si>
    <t>Casque de chitine de guérison accrue</t>
  </si>
  <si>
    <t>dragonborn.esm|02919D</t>
  </si>
  <si>
    <t>dragonborn.esm|02902F</t>
  </si>
  <si>
    <t>Casque de chitine de guérison majeure</t>
  </si>
  <si>
    <t>dragonborn.esm|02919E</t>
  </si>
  <si>
    <t>dragonborn.esm|029027</t>
  </si>
  <si>
    <t>Casque de chitine de magie</t>
  </si>
  <si>
    <t>dragonborn.esm|029196</t>
  </si>
  <si>
    <t>dragonborn.esm|029028</t>
  </si>
  <si>
    <t>Casque de chitine de magie accrue</t>
  </si>
  <si>
    <t>dragonborn.esm|029197</t>
  </si>
  <si>
    <t>dragonborn.esm|029029</t>
  </si>
  <si>
    <t>Casque de chitine de magie majeure</t>
  </si>
  <si>
    <t>dragonborn.esm|029198</t>
  </si>
  <si>
    <t>dragonborn.esm|02919F</t>
  </si>
  <si>
    <t>Casque de chitine de respiration aquatique</t>
  </si>
  <si>
    <t>dragonborn.esm|01CD8C</t>
  </si>
  <si>
    <t>Casque de chitine lourd</t>
  </si>
  <si>
    <t>skyrim.esm|013922</t>
  </si>
  <si>
    <t>Casque de cuir</t>
  </si>
  <si>
    <t>skyrim.esm|08B66E</t>
  </si>
  <si>
    <t>Casque de cuir d'alchimie</t>
  </si>
  <si>
    <t>skyrim.esm|08B66F</t>
  </si>
  <si>
    <t>Casque de cuir d'alchimie accrue</t>
  </si>
  <si>
    <t>skyrim.esm|08B66D</t>
  </si>
  <si>
    <t>Casque de cuir d'alchimie minime</t>
  </si>
  <si>
    <t>skyrim.esm|0B5063</t>
  </si>
  <si>
    <t>Casque de cuir d'altération</t>
  </si>
  <si>
    <t>skyrim.esm|0B5064</t>
  </si>
  <si>
    <t>Casque de cuir d'altération accrue</t>
  </si>
  <si>
    <t>skyrim.esm|0B5062</t>
  </si>
  <si>
    <t>Casque de cuir d'altération minime</t>
  </si>
  <si>
    <t>skyrim.esm|0B507E</t>
  </si>
  <si>
    <t>Casque de cuir d'archerie</t>
  </si>
  <si>
    <t>skyrim.esm|0B507F</t>
  </si>
  <si>
    <t>Casque de cuir d'archerie accrue</t>
  </si>
  <si>
    <t>skyrim.esm|0B507D</t>
  </si>
  <si>
    <t>Casque de cuir d'archerie minime</t>
  </si>
  <si>
    <t>skyrim.esm|0B5078</t>
  </si>
  <si>
    <t>Casque de cuir d'illusion</t>
  </si>
  <si>
    <t>skyrim.esm|0B5079</t>
  </si>
  <si>
    <t>Casque de cuir d'illusion accrue</t>
  </si>
  <si>
    <t>skyrim.esm|0B5077</t>
  </si>
  <si>
    <t>Casque de cuir d'illusion minime</t>
  </si>
  <si>
    <t>skyrim.esm|0B5066</t>
  </si>
  <si>
    <t>Casque de cuir de conjuration</t>
  </si>
  <si>
    <t>skyrim.esm|0B5067</t>
  </si>
  <si>
    <t>Casque de cuir de conjuration accrue</t>
  </si>
  <si>
    <t>skyrim.esm|0B5065</t>
  </si>
  <si>
    <t>Casque de cuir de conjuration minime</t>
  </si>
  <si>
    <t>skyrim.esm|0B5069</t>
  </si>
  <si>
    <t>Casque de cuir de destruction</t>
  </si>
  <si>
    <t>skyrim.esm|0B506A</t>
  </si>
  <si>
    <t>Casque de cuir de destruction accrue</t>
  </si>
  <si>
    <t>skyrim.esm|0B5068</t>
  </si>
  <si>
    <t>Casque de cuir de destruction minime</t>
  </si>
  <si>
    <t>skyrim.esm|0B506C</t>
  </si>
  <si>
    <t>Casque de cuir de guérison</t>
  </si>
  <si>
    <t>skyrim.esm|0B506D</t>
  </si>
  <si>
    <t>Casque de cuir de guérison accrue</t>
  </si>
  <si>
    <t>skyrim.esm|0B506B</t>
  </si>
  <si>
    <t>Casque de cuir de guérison minime</t>
  </si>
  <si>
    <t>skyrim.esm|0B507B</t>
  </si>
  <si>
    <t>Casque de cuir de magie</t>
  </si>
  <si>
    <t>skyrim.esm|0B507C</t>
  </si>
  <si>
    <t>Casque de cuir de magie accrue</t>
  </si>
  <si>
    <t>skyrim.esm|0B507A</t>
  </si>
  <si>
    <t>Casque de cuir de magie minime</t>
  </si>
  <si>
    <t>dawnguard.esm|012E8A</t>
  </si>
  <si>
    <t>Casque de durinsecte</t>
  </si>
  <si>
    <t>skyrim.esm|012E4D</t>
  </si>
  <si>
    <t>Casque de fer</t>
  </si>
  <si>
    <t>skyrim.esm|0B8837</t>
  </si>
  <si>
    <t>skyrim.esm|08B66B</t>
  </si>
  <si>
    <t>Casque de fer d'alchimie</t>
  </si>
  <si>
    <t>skyrim.esm|08B66C</t>
  </si>
  <si>
    <t>Casque de fer d'alchimie accrue</t>
  </si>
  <si>
    <t>skyrim.esm|08B66A</t>
  </si>
  <si>
    <t>Casque de fer d'alchimie minime</t>
  </si>
  <si>
    <t>skyrim.esm|0AD587</t>
  </si>
  <si>
    <t>Casque de fer d'altération</t>
  </si>
  <si>
    <t>skyrim.esm|0AD588</t>
  </si>
  <si>
    <t>Casque de fer d'altération accrue</t>
  </si>
  <si>
    <t>skyrim.esm|07A11C</t>
  </si>
  <si>
    <t>Casque de fer d'altération minime</t>
  </si>
  <si>
    <t>skyrim.esm|0AD593</t>
  </si>
  <si>
    <t>Casque de fer d'archerie</t>
  </si>
  <si>
    <t>skyrim.esm|0AD594</t>
  </si>
  <si>
    <t>Casque de fer d'archerie accrue</t>
  </si>
  <si>
    <t>skyrim.esm|07A12D</t>
  </si>
  <si>
    <t>Casque de fer d'archerie minime</t>
  </si>
  <si>
    <t>skyrim.esm|0AD58F</t>
  </si>
  <si>
    <t>Casque de fer d'illusion</t>
  </si>
  <si>
    <t>skyrim.esm|0AD590</t>
  </si>
  <si>
    <t>Casque de fer d'illusion accrue</t>
  </si>
  <si>
    <t>skyrim.esm|07A129</t>
  </si>
  <si>
    <t>Casque de fer d'illusion minime</t>
  </si>
  <si>
    <t>skyrim.esm|0AD589</t>
  </si>
  <si>
    <t>Casque de fer de conjuration</t>
  </si>
  <si>
    <t>skyrim.esm|0AD58A</t>
  </si>
  <si>
    <t>Casque de fer de conjuration accrue</t>
  </si>
  <si>
    <t>skyrim.esm|07A123</t>
  </si>
  <si>
    <t>Casque de fer de conjuration minime</t>
  </si>
  <si>
    <t>skyrim.esm|0AD58B</t>
  </si>
  <si>
    <t>Casque de fer de destruction</t>
  </si>
  <si>
    <t>skyrim.esm|0AD58C</t>
  </si>
  <si>
    <t>Casque de fer de destruction accrue</t>
  </si>
  <si>
    <t>skyrim.esm|07A125</t>
  </si>
  <si>
    <t>Casque de fer de destruction minime</t>
  </si>
  <si>
    <t>skyrim.esm|0AD595</t>
  </si>
  <si>
    <t>Casque de fer de guérison</t>
  </si>
  <si>
    <t>skyrim.esm|0AD597</t>
  </si>
  <si>
    <t>Casque de fer de guérison accrue</t>
  </si>
  <si>
    <t>skyrim.esm|07A131</t>
  </si>
  <si>
    <t>Casque de fer de guérison minime</t>
  </si>
  <si>
    <t>skyrim.esm|0AD591</t>
  </si>
  <si>
    <t>Casque de fer de magie</t>
  </si>
  <si>
    <t>skyrim.esm|0AD592</t>
  </si>
  <si>
    <t>Casque de fer de magie accrue</t>
  </si>
  <si>
    <t>skyrim.esm|04A1B1</t>
  </si>
  <si>
    <t>Casque de fer de magie minime</t>
  </si>
  <si>
    <t>skyrim.esm|06F39E</t>
  </si>
  <si>
    <t>Casque de fourrure</t>
  </si>
  <si>
    <t>skyrim.esm|10559D</t>
  </si>
  <si>
    <t>Casque de garde d'Estemarche</t>
  </si>
  <si>
    <t>skyrim.esm|06FE72</t>
  </si>
  <si>
    <t>Casque de Noster</t>
  </si>
  <si>
    <t>skyrim.esm|01395E</t>
  </si>
  <si>
    <t>Casque de plates</t>
  </si>
  <si>
    <t>skyrim.esm|08B670</t>
  </si>
  <si>
    <t>Casque de plates d'alchimie</t>
  </si>
  <si>
    <t>skyrim.esm|08B671</t>
  </si>
  <si>
    <t>Casque de plates d'alchimie accrue</t>
  </si>
  <si>
    <t>skyrim.esm|08B672</t>
  </si>
  <si>
    <t>Casque de plates d'alchimie majeure</t>
  </si>
  <si>
    <t>skyrim.esm|03DF79</t>
  </si>
  <si>
    <t>Casque de plates d'altération</t>
  </si>
  <si>
    <t>skyrim.esm|03DF7A</t>
  </si>
  <si>
    <t>Casque de plates d'altération accrue</t>
  </si>
  <si>
    <t>skyrim.esm|03DF7B</t>
  </si>
  <si>
    <t>Casque de plates d'altération majeure</t>
  </si>
  <si>
    <t>skyrim.esm|04102C</t>
  </si>
  <si>
    <t>Casque de plates d'archerie</t>
  </si>
  <si>
    <t>skyrim.esm|041033</t>
  </si>
  <si>
    <t>Casque de plates d'archerie accrue</t>
  </si>
  <si>
    <t>skyrim.esm|041034</t>
  </si>
  <si>
    <t>Casque de plates d'archerie majeure</t>
  </si>
  <si>
    <t>skyrim.esm|03DF85</t>
  </si>
  <si>
    <t>Casque de plates d'illusion</t>
  </si>
  <si>
    <t>skyrim.esm|04101E</t>
  </si>
  <si>
    <t>Casque de plates d'illusion accrue</t>
  </si>
  <si>
    <t>skyrim.esm|041020</t>
  </si>
  <si>
    <t>Casque de plates d'illusion majeure</t>
  </si>
  <si>
    <t>skyrim.esm|03DF7C</t>
  </si>
  <si>
    <t>Casque de plates de conjuration</t>
  </si>
  <si>
    <t>skyrim.esm|03DF7D</t>
  </si>
  <si>
    <t>Casque de plates de conjuration accrue</t>
  </si>
  <si>
    <t>skyrim.esm|03DF7E</t>
  </si>
  <si>
    <t>Casque de plates de conjuration majeure</t>
  </si>
  <si>
    <t>skyrim.esm|03DF7F</t>
  </si>
  <si>
    <t>Casque de plates de destruction</t>
  </si>
  <si>
    <t>skyrim.esm|03DF80</t>
  </si>
  <si>
    <t>Casque de plates de destruction accrue</t>
  </si>
  <si>
    <t>skyrim.esm|03DF81</t>
  </si>
  <si>
    <t>Casque de plates de destruction majeure</t>
  </si>
  <si>
    <t>skyrim.esm|041035</t>
  </si>
  <si>
    <t>Casque de plates de guérison</t>
  </si>
  <si>
    <t>skyrim.esm|041036</t>
  </si>
  <si>
    <t>Casque de plates de guérison accrue</t>
  </si>
  <si>
    <t>skyrim.esm|041037</t>
  </si>
  <si>
    <t>Casque de plates de guérison majeure</t>
  </si>
  <si>
    <t>skyrim.esm|041021</t>
  </si>
  <si>
    <t>Casque de plates de magie</t>
  </si>
  <si>
    <t>skyrim.esm|041022</t>
  </si>
  <si>
    <t>Casque de plates de magie accrue</t>
  </si>
  <si>
    <t>skyrim.esm|041027</t>
  </si>
  <si>
    <t>Casque de plates de magie majeure</t>
  </si>
  <si>
    <t>skyrim.esm|092ACA</t>
  </si>
  <si>
    <t>Casque de plates de respiration aquatique</t>
  </si>
  <si>
    <t>skyrim.esm|0A6D79</t>
  </si>
  <si>
    <t>Casque de Sombrage</t>
  </si>
  <si>
    <t>dragonborn.esm|029238</t>
  </si>
  <si>
    <t>Casque de stalhrim d'alchimie absolue</t>
  </si>
  <si>
    <t>dragonborn.esm|0290D5</t>
  </si>
  <si>
    <t>Casque de stalhrim d'alchimie accrue</t>
  </si>
  <si>
    <t>dragonborn.esm|0290D7</t>
  </si>
  <si>
    <t>Casque de stalhrim d'alchimie extrême</t>
  </si>
  <si>
    <t>dragonborn.esm|029237</t>
  </si>
  <si>
    <t>dragonborn.esm|0290D6</t>
  </si>
  <si>
    <t>Casque de stalhrim d'alchimie majeure</t>
  </si>
  <si>
    <t>dragonborn.esm|029236</t>
  </si>
  <si>
    <t>dragonborn.esm|02923B</t>
  </si>
  <si>
    <t>Casque de stalhrim d'altération absolue</t>
  </si>
  <si>
    <t>dragonborn.esm|0290D8</t>
  </si>
  <si>
    <t>Casque de stalhrim d'altération accrue</t>
  </si>
  <si>
    <t>dragonborn.esm|0290DA</t>
  </si>
  <si>
    <t>Casque de stalhrim d'altération extrême</t>
  </si>
  <si>
    <t>dragonborn.esm|02923A</t>
  </si>
  <si>
    <t>dragonborn.esm|0290D9</t>
  </si>
  <si>
    <t>Casque de stalhrim d'altération majeure</t>
  </si>
  <si>
    <t>dragonborn.esm|029239</t>
  </si>
  <si>
    <t>dragonborn.esm|02924D</t>
  </si>
  <si>
    <t>Casque de stalhrim d'archerie absolue</t>
  </si>
  <si>
    <t>dragonborn.esm|0290EA</t>
  </si>
  <si>
    <t>Casque de stalhrim d'archerie accrue</t>
  </si>
  <si>
    <t>dragonborn.esm|0290EC</t>
  </si>
  <si>
    <t>Casque de stalhrim d'archerie extrême</t>
  </si>
  <si>
    <t>dragonborn.esm|02924C</t>
  </si>
  <si>
    <t>dragonborn.esm|0290EB</t>
  </si>
  <si>
    <t>Casque de stalhrim d'archerie majeure</t>
  </si>
  <si>
    <t>dragonborn.esm|02924B</t>
  </si>
  <si>
    <t>dragonborn.esm|0290E8</t>
  </si>
  <si>
    <t>Casque de stalhrim d'emplissage</t>
  </si>
  <si>
    <t>dragonborn.esm|029248</t>
  </si>
  <si>
    <t>dragonborn.esm|029244</t>
  </si>
  <si>
    <t>Casque de stalhrim d'illusion absolue</t>
  </si>
  <si>
    <t>dragonborn.esm|0290E1</t>
  </si>
  <si>
    <t>Casque de stalhrim d'illusion accrue</t>
  </si>
  <si>
    <t>dragonborn.esm|0290E3</t>
  </si>
  <si>
    <t>Casque de stalhrim d'illusion extrême</t>
  </si>
  <si>
    <t>dragonborn.esm|029243</t>
  </si>
  <si>
    <t>dragonborn.esm|0290E2</t>
  </si>
  <si>
    <t>Casque de stalhrim d'illusion majeure</t>
  </si>
  <si>
    <t>dragonborn.esm|029242</t>
  </si>
  <si>
    <t>dragonborn.esm|02923E</t>
  </si>
  <si>
    <t>Casque de stalhrim de conjuration absolue</t>
  </si>
  <si>
    <t>dragonborn.esm|0290DB</t>
  </si>
  <si>
    <t>Casque de stalhrim de conjuration accrue</t>
  </si>
  <si>
    <t>dragonborn.esm|0290DD</t>
  </si>
  <si>
    <t>Casque de stalhrim de conjuration extrême</t>
  </si>
  <si>
    <t>dragonborn.esm|02923D</t>
  </si>
  <si>
    <t>dragonborn.esm|0290DC</t>
  </si>
  <si>
    <t>Casque de stalhrim de conjuration majeure</t>
  </si>
  <si>
    <t>dragonborn.esm|02923C</t>
  </si>
  <si>
    <t>dragonborn.esm|029241</t>
  </si>
  <si>
    <t>Casque de stalhrim de destruction absolue</t>
  </si>
  <si>
    <t>dragonborn.esm|0290DE</t>
  </si>
  <si>
    <t>Casque de stalhrim de destruction accrue</t>
  </si>
  <si>
    <t>dragonborn.esm|0290E0</t>
  </si>
  <si>
    <t>Casque de stalhrim de destruction extrême</t>
  </si>
  <si>
    <t>dragonborn.esm|029240</t>
  </si>
  <si>
    <t>dragonborn.esm|0290DF</t>
  </si>
  <si>
    <t>Casque de stalhrim de destruction majeure</t>
  </si>
  <si>
    <t>dragonborn.esm|02923F</t>
  </si>
  <si>
    <t>dragonborn.esm|029250</t>
  </si>
  <si>
    <t>Casque de stalhrim de guérison absolue</t>
  </si>
  <si>
    <t>dragonborn.esm|0290ED</t>
  </si>
  <si>
    <t>Casque de stalhrim de guérison accrue</t>
  </si>
  <si>
    <t>dragonborn.esm|0290EF</t>
  </si>
  <si>
    <t>Casque de stalhrim de guérison extrême</t>
  </si>
  <si>
    <t>dragonborn.esm|02924F</t>
  </si>
  <si>
    <t>dragonborn.esm|0290EE</t>
  </si>
  <si>
    <t>Casque de stalhrim de guérison majeure</t>
  </si>
  <si>
    <t>dragonborn.esm|02924E</t>
  </si>
  <si>
    <t>dragonborn.esm|0290E4</t>
  </si>
  <si>
    <t>Casque de stalhrim de magie accrue</t>
  </si>
  <si>
    <t>dragonborn.esm|0290E6</t>
  </si>
  <si>
    <t>Casque de stalhrim de magie extrême</t>
  </si>
  <si>
    <t>dragonborn.esm|029246</t>
  </si>
  <si>
    <t>dragonborn.esm|029247</t>
  </si>
  <si>
    <t>dragonborn.esm|0290E5</t>
  </si>
  <si>
    <t>Casque de stalhrim de magie majeure</t>
  </si>
  <si>
    <t>dragonborn.esm|029245</t>
  </si>
  <si>
    <t>dragonborn.esm|0290E7</t>
  </si>
  <si>
    <t>Casque de stalhrim de recharge</t>
  </si>
  <si>
    <t>dragonborn.esm|02924A</t>
  </si>
  <si>
    <t>Casque de stalhrim de regain</t>
  </si>
  <si>
    <t>dragonborn.esm|0290FF</t>
  </si>
  <si>
    <t>Casque de stalhrim de respiration aquatique</t>
  </si>
  <si>
    <t>dragonborn.esm|029251</t>
  </si>
  <si>
    <t>dragonborn.esm|0290E9</t>
  </si>
  <si>
    <t>Casque de stalhrim de résurgence</t>
  </si>
  <si>
    <t>dragonborn.esm|029249</t>
  </si>
  <si>
    <t>skyrim.esm|01393B</t>
  </si>
  <si>
    <t>Casque de verre</t>
  </si>
  <si>
    <t>skyrim.esm|0D53BE</t>
  </si>
  <si>
    <t>Casque de verre d'alchimie accrue</t>
  </si>
  <si>
    <t>skyrim.esm|0D53C0</t>
  </si>
  <si>
    <t>Casque de verre d'alchimie extrême</t>
  </si>
  <si>
    <t>skyrim.esm|0D53BF</t>
  </si>
  <si>
    <t>Casque de verre d'alchimie majeure</t>
  </si>
  <si>
    <t>skyrim.esm|0D53C1</t>
  </si>
  <si>
    <t>Casque de verre d'altération accrue</t>
  </si>
  <si>
    <t>skyrim.esm|0D53C3</t>
  </si>
  <si>
    <t>Casque de verre d'altération extrême</t>
  </si>
  <si>
    <t>skyrim.esm|0D53C2</t>
  </si>
  <si>
    <t>Casque de verre d'altération majeure</t>
  </si>
  <si>
    <t>skyrim.esm|0D53D3</t>
  </si>
  <si>
    <t>Casque de verre d'archerie accrue</t>
  </si>
  <si>
    <t>skyrim.esm|0D53D5</t>
  </si>
  <si>
    <t>Casque de verre d'archerie extrême</t>
  </si>
  <si>
    <t>skyrim.esm|0D53D4</t>
  </si>
  <si>
    <t>Casque de verre d'archerie majeure</t>
  </si>
  <si>
    <t>skyrim.esm|0FE2DB</t>
  </si>
  <si>
    <t>Casque de verre d'emplissage</t>
  </si>
  <si>
    <t>skyrim.esm|0D53CD</t>
  </si>
  <si>
    <t>Casque de verre d'illusion accrue</t>
  </si>
  <si>
    <t>skyrim.esm|0D53CF</t>
  </si>
  <si>
    <t>Casque de verre d'illusion extrême</t>
  </si>
  <si>
    <t>skyrim.esm|0D53CE</t>
  </si>
  <si>
    <t>Casque de verre d'illusion majeure</t>
  </si>
  <si>
    <t>skyrim.esm|0D53C4</t>
  </si>
  <si>
    <t>Casque de verre de conjuration accrue</t>
  </si>
  <si>
    <t>skyrim.esm|0D53C6</t>
  </si>
  <si>
    <t>Casque de verre de conjuration extrême</t>
  </si>
  <si>
    <t>skyrim.esm|0D53C5</t>
  </si>
  <si>
    <t>Casque de verre de conjuration majeure</t>
  </si>
  <si>
    <t>skyrim.esm|0D53C7</t>
  </si>
  <si>
    <t>Casque de verre de destruction accrue</t>
  </si>
  <si>
    <t>skyrim.esm|0D53C9</t>
  </si>
  <si>
    <t>Casque de verre de destruction extrême</t>
  </si>
  <si>
    <t>skyrim.esm|0D53C8</t>
  </si>
  <si>
    <t>Casque de verre de destruction majeure</t>
  </si>
  <si>
    <t>skyrim.esm|0D53D6</t>
  </si>
  <si>
    <t>Casque de verre de guérison accrue</t>
  </si>
  <si>
    <t>skyrim.esm|0D53D8</t>
  </si>
  <si>
    <t>Casque de verre de guérison extrême</t>
  </si>
  <si>
    <t>skyrim.esm|0D53D7</t>
  </si>
  <si>
    <t>Casque de verre de guérison majeure</t>
  </si>
  <si>
    <t>skyrim.esm|0D53D0</t>
  </si>
  <si>
    <t>Casque de verre de magie accrue</t>
  </si>
  <si>
    <t>skyrim.esm|0D53D2</t>
  </si>
  <si>
    <t>Casque de verre de magie extrême</t>
  </si>
  <si>
    <t>skyrim.esm|0D53D1</t>
  </si>
  <si>
    <t>Casque de verre de magie majeure</t>
  </si>
  <si>
    <t>skyrim.esm|0FE2DA</t>
  </si>
  <si>
    <t>Casque de verre de recharge</t>
  </si>
  <si>
    <t>skyrim.esm|0D53D9</t>
  </si>
  <si>
    <t>Casque de verre de respiration aquatique</t>
  </si>
  <si>
    <t>skyrim.esm|0FE2DF</t>
  </si>
  <si>
    <t>Casque de verre de résurgence</t>
  </si>
  <si>
    <t>skyrim.esm|0EAFD1</t>
  </si>
  <si>
    <t>Casque des Anciennes divinités</t>
  </si>
  <si>
    <t>skyrim.esm|013940</t>
  </si>
  <si>
    <t>Casque draconique</t>
  </si>
  <si>
    <t>skyrim.esm|0D79F6</t>
  </si>
  <si>
    <t>Casque draconique d'alchimie absolue</t>
  </si>
  <si>
    <t>skyrim.esm|0D79F5</t>
  </si>
  <si>
    <t>Casque draconique d'alchimie extrême</t>
  </si>
  <si>
    <t>skyrim.esm|0D79F4</t>
  </si>
  <si>
    <t>Casque draconique d'alchimie majeure</t>
  </si>
  <si>
    <t>skyrim.esm|0D79F9</t>
  </si>
  <si>
    <t>Casque draconique d'altération absolue</t>
  </si>
  <si>
    <t>skyrim.esm|0D79F8</t>
  </si>
  <si>
    <t>Casque draconique d'altération extrême</t>
  </si>
  <si>
    <t>skyrim.esm|0D79F7</t>
  </si>
  <si>
    <t>Casque draconique d'altération majeure</t>
  </si>
  <si>
    <t>skyrim.esm|0D7A0B</t>
  </si>
  <si>
    <t>Casque draconique d'archerie absolue</t>
  </si>
  <si>
    <t>skyrim.esm|0D7A0A</t>
  </si>
  <si>
    <t>Casque draconique d'archerie extrême</t>
  </si>
  <si>
    <t>skyrim.esm|0D7A09</t>
  </si>
  <si>
    <t>Casque draconique d'archerie majeure</t>
  </si>
  <si>
    <t>skyrim.esm|0FE2E6</t>
  </si>
  <si>
    <t>Casque draconique d'emplissage</t>
  </si>
  <si>
    <t>skyrim.esm|0D7A05</t>
  </si>
  <si>
    <t>Casque draconique d'illusion absolue</t>
  </si>
  <si>
    <t>skyrim.esm|0D7A04</t>
  </si>
  <si>
    <t>Casque draconique d'illusion extrême</t>
  </si>
  <si>
    <t>skyrim.esm|0D7A03</t>
  </si>
  <si>
    <t>Casque draconique d'illusion majeure</t>
  </si>
  <si>
    <t>skyrim.esm|0D79FC</t>
  </si>
  <si>
    <t>Casque draconique de conjuration absolue</t>
  </si>
  <si>
    <t>skyrim.esm|0D79FB</t>
  </si>
  <si>
    <t>Casque draconique de conjuration extrême</t>
  </si>
  <si>
    <t>skyrim.esm|0D79FA</t>
  </si>
  <si>
    <t>Casque draconique de conjuration majeure</t>
  </si>
  <si>
    <t>skyrim.esm|0D79FF</t>
  </si>
  <si>
    <t>Casque draconique de destruction absolue</t>
  </si>
  <si>
    <t>skyrim.esm|0D79FE</t>
  </si>
  <si>
    <t>Casque draconique de destruction extrême</t>
  </si>
  <si>
    <t>skyrim.esm|0D79FD</t>
  </si>
  <si>
    <t>Casque draconique de destruction majeure</t>
  </si>
  <si>
    <t>skyrim.esm|0D7A0E</t>
  </si>
  <si>
    <t>Casque draconique de guérison absolue</t>
  </si>
  <si>
    <t>skyrim.esm|0D7A0D</t>
  </si>
  <si>
    <t>Casque draconique de guérison extrême</t>
  </si>
  <si>
    <t>skyrim.esm|0D7A0C</t>
  </si>
  <si>
    <t>Casque draconique de guérison majeure</t>
  </si>
  <si>
    <t>skyrim.esm|0D7A08</t>
  </si>
  <si>
    <t>Casque draconique de magie absolue</t>
  </si>
  <si>
    <t>skyrim.esm|0D7A07</t>
  </si>
  <si>
    <t>Casque draconique de magie extrême</t>
  </si>
  <si>
    <t>skyrim.esm|0D7A06</t>
  </si>
  <si>
    <t>Casque draconique de magie majeure</t>
  </si>
  <si>
    <t>skyrim.esm|0FE2E8</t>
  </si>
  <si>
    <t>Casque draconique de regain</t>
  </si>
  <si>
    <t>skyrim.esm|0D7A0F</t>
  </si>
  <si>
    <t>Casque draconique de respiration aquatique</t>
  </si>
  <si>
    <t>skyrim.esm|0FE2E7</t>
  </si>
  <si>
    <t>Casque draconique de résurgence</t>
  </si>
  <si>
    <t>skyrim.esm|0F494E</t>
  </si>
  <si>
    <t>Casque draugr d'ininflammabilité</t>
  </si>
  <si>
    <t>dragonborn.esm|02401D</t>
  </si>
  <si>
    <t>Casque du Balafré</t>
  </si>
  <si>
    <t>skyrim.esm|01394F</t>
  </si>
  <si>
    <t>Casque dwemer</t>
  </si>
  <si>
    <t>skyrim.esm|08B65A</t>
  </si>
  <si>
    <t>Casque dwemer d'alchimie</t>
  </si>
  <si>
    <t>skyrim.esm|08B662</t>
  </si>
  <si>
    <t>Casque dwemer d'alchimie accrue</t>
  </si>
  <si>
    <t>skyrim.esm|01B76B</t>
  </si>
  <si>
    <t>Casque dwemer d'altération</t>
  </si>
  <si>
    <t>skyrim.esm|01B76C</t>
  </si>
  <si>
    <t>Casque dwemer d'altération accrue</t>
  </si>
  <si>
    <t>skyrim.esm|01B76D</t>
  </si>
  <si>
    <t>Casque dwemer d'altération majeure</t>
  </si>
  <si>
    <t>skyrim.esm|08B663</t>
  </si>
  <si>
    <t>skyrim.esm|01B9C0</t>
  </si>
  <si>
    <t>Casque dwemer d'archerie</t>
  </si>
  <si>
    <t>skyrim.esm|01B9C1</t>
  </si>
  <si>
    <t>Casque dwemer d'archerie accrue</t>
  </si>
  <si>
    <t>skyrim.esm|01B9C3</t>
  </si>
  <si>
    <t>Casque dwemer d'archerie majeure</t>
  </si>
  <si>
    <t>skyrim.esm|01B9B0</t>
  </si>
  <si>
    <t>Casque dwemer d'illusion</t>
  </si>
  <si>
    <t>skyrim.esm|01B9B7</t>
  </si>
  <si>
    <t>Casque dwemer d'illusion accrue</t>
  </si>
  <si>
    <t>skyrim.esm|01B9B8</t>
  </si>
  <si>
    <t>Casque dwemer d'illusion majeure</t>
  </si>
  <si>
    <t>skyrim.esm|01B76E</t>
  </si>
  <si>
    <t>Casque dwemer de conjuration</t>
  </si>
  <si>
    <t>skyrim.esm|01B76F</t>
  </si>
  <si>
    <t>Casque dwemer de conjuration accrue</t>
  </si>
  <si>
    <t>skyrim.esm|01B770</t>
  </si>
  <si>
    <t>Casque dwemer de conjuration majeure</t>
  </si>
  <si>
    <t>skyrim.esm|01B771</t>
  </si>
  <si>
    <t>Casque dwemer de destruction</t>
  </si>
  <si>
    <t>skyrim.esm|01B772</t>
  </si>
  <si>
    <t>Casque dwemer de destruction accrue</t>
  </si>
  <si>
    <t>skyrim.esm|01B78A</t>
  </si>
  <si>
    <t>Casque dwemer de destruction majeure</t>
  </si>
  <si>
    <t>skyrim.esm|01B9C4</t>
  </si>
  <si>
    <t>Casque dwemer de guérison</t>
  </si>
  <si>
    <t>skyrim.esm|01B9C5</t>
  </si>
  <si>
    <t>Casque dwemer de guérison accrue</t>
  </si>
  <si>
    <t>skyrim.esm|01B9C7</t>
  </si>
  <si>
    <t>Casque dwemer de guérison majeure</t>
  </si>
  <si>
    <t>skyrim.esm|01B9BB</t>
  </si>
  <si>
    <t>Casque dwemer de magie</t>
  </si>
  <si>
    <t>skyrim.esm|01B9BC</t>
  </si>
  <si>
    <t>Casque dwemer de magie accrue</t>
  </si>
  <si>
    <t>skyrim.esm|01B9BE</t>
  </si>
  <si>
    <t>Casque dwemer de magie majeure</t>
  </si>
  <si>
    <t>skyrim.esm|092A8D</t>
  </si>
  <si>
    <t>Casque dwemer de respiration aquatique</t>
  </si>
  <si>
    <t>skyrim.esm|01391D</t>
  </si>
  <si>
    <t>Casque elfique</t>
  </si>
  <si>
    <t>skyrim.esm|08B664</t>
  </si>
  <si>
    <t>Casque elfique d'alchimie</t>
  </si>
  <si>
    <t>skyrim.esm|08B665</t>
  </si>
  <si>
    <t>Casque elfique d'alchimie accrue</t>
  </si>
  <si>
    <t>skyrim.esm|08B666</t>
  </si>
  <si>
    <t>Casque elfique d'alchimie majeure</t>
  </si>
  <si>
    <t>skyrim.esm|0BDFE8</t>
  </si>
  <si>
    <t>Casque elfique d'altération</t>
  </si>
  <si>
    <t>skyrim.esm|0BDFE9</t>
  </si>
  <si>
    <t>Casque elfique d'altération accrue</t>
  </si>
  <si>
    <t>skyrim.esm|0BE04F</t>
  </si>
  <si>
    <t>Casque elfique d'altération majeure</t>
  </si>
  <si>
    <t>skyrim.esm|0BDFF4</t>
  </si>
  <si>
    <t>Casque elfique d'archerie</t>
  </si>
  <si>
    <t>skyrim.esm|0BDFF5</t>
  </si>
  <si>
    <t>Casque elfique d'archerie accrue</t>
  </si>
  <si>
    <t>skyrim.esm|0BE055</t>
  </si>
  <si>
    <t>Casque elfique d'archerie majeure</t>
  </si>
  <si>
    <t>skyrim.esm|0BDFF0</t>
  </si>
  <si>
    <t>Casque elfique d'illusion</t>
  </si>
  <si>
    <t>skyrim.esm|0BDFF1</t>
  </si>
  <si>
    <t>Casque elfique d'illusion accrue</t>
  </si>
  <si>
    <t>skyrim.esm|0BE053</t>
  </si>
  <si>
    <t>Casque elfique d'illusion majeure</t>
  </si>
  <si>
    <t>skyrim.esm|0BDFEA</t>
  </si>
  <si>
    <t>Casque elfique de conjuration</t>
  </si>
  <si>
    <t>skyrim.esm|0BDFEB</t>
  </si>
  <si>
    <t>Casque elfique de conjuration accrue</t>
  </si>
  <si>
    <t>skyrim.esm|0BE050</t>
  </si>
  <si>
    <t>Casque elfique de conjuration majeure</t>
  </si>
  <si>
    <t>skyrim.esm|0BDFEC</t>
  </si>
  <si>
    <t>Casque elfique de destruction</t>
  </si>
  <si>
    <t>skyrim.esm|0BDFED</t>
  </si>
  <si>
    <t>Casque elfique de destruction accrue</t>
  </si>
  <si>
    <t>skyrim.esm|0BE051</t>
  </si>
  <si>
    <t>Casque elfique de destruction majeure</t>
  </si>
  <si>
    <t>skyrim.esm|0BDFF6</t>
  </si>
  <si>
    <t>Casque elfique de guérison</t>
  </si>
  <si>
    <t>skyrim.esm|0BDFF7</t>
  </si>
  <si>
    <t>Casque elfique de guérison accrue</t>
  </si>
  <si>
    <t>skyrim.esm|0BE056</t>
  </si>
  <si>
    <t>Casque elfique de guérison majeure</t>
  </si>
  <si>
    <t>skyrim.esm|0BDFF2</t>
  </si>
  <si>
    <t>Casque elfique de magie</t>
  </si>
  <si>
    <t>skyrim.esm|0BDFF3</t>
  </si>
  <si>
    <t>Casque elfique de magie accrue</t>
  </si>
  <si>
    <t>skyrim.esm|0BE054</t>
  </si>
  <si>
    <t>Casque elfique de magie majeure</t>
  </si>
  <si>
    <t>skyrim.esm|013913</t>
  </si>
  <si>
    <t>Casque en peau</t>
  </si>
  <si>
    <t>skyrim.esm|08B668</t>
  </si>
  <si>
    <t>Casque en peau d'alchimie</t>
  </si>
  <si>
    <t>skyrim.esm|08B669</t>
  </si>
  <si>
    <t>Casque en peau d'alchimie accrue</t>
  </si>
  <si>
    <t>skyrim.esm|08B667</t>
  </si>
  <si>
    <t>Casque en peau d'alchimie minime</t>
  </si>
  <si>
    <t>skyrim.esm|0AD4BB</t>
  </si>
  <si>
    <t>Casque en peau d'altération</t>
  </si>
  <si>
    <t>skyrim.esm|0AD4BC</t>
  </si>
  <si>
    <t>Casque en peau d'altération accrue</t>
  </si>
  <si>
    <t>skyrim.esm|07A150</t>
  </si>
  <si>
    <t>Casque en peau d'altération minime</t>
  </si>
  <si>
    <t>skyrim.esm|0AD4C7</t>
  </si>
  <si>
    <t>Casque en peau d'archerie</t>
  </si>
  <si>
    <t>skyrim.esm|0AD4C8</t>
  </si>
  <si>
    <t>Casque en peau d'archerie accrue</t>
  </si>
  <si>
    <t>skyrim.esm|07A157</t>
  </si>
  <si>
    <t>Casque en peau d'archerie minime</t>
  </si>
  <si>
    <t>skyrim.esm|0AD4C3</t>
  </si>
  <si>
    <t>Casque en peau d'illusion</t>
  </si>
  <si>
    <t>skyrim.esm|0AD4C4</t>
  </si>
  <si>
    <t>Casque en peau d'illusion accrue</t>
  </si>
  <si>
    <t>skyrim.esm|07A154</t>
  </si>
  <si>
    <t>Casque en peau d'illusion minime</t>
  </si>
  <si>
    <t>skyrim.esm|0AD4BD</t>
  </si>
  <si>
    <t>Casque en peau de conjuration</t>
  </si>
  <si>
    <t>skyrim.esm|0AD4BE</t>
  </si>
  <si>
    <t>Casque en peau de conjuration accrue</t>
  </si>
  <si>
    <t>skyrim.esm|07A151</t>
  </si>
  <si>
    <t>Casque en peau de conjuration minime</t>
  </si>
  <si>
    <t>skyrim.esm|0AD4BF</t>
  </si>
  <si>
    <t>Casque en peau de destruction</t>
  </si>
  <si>
    <t>skyrim.esm|0AD4C0</t>
  </si>
  <si>
    <t>Casque en peau de destruction accrue</t>
  </si>
  <si>
    <t>skyrim.esm|07A152</t>
  </si>
  <si>
    <t>Casque en peau de destruction minime</t>
  </si>
  <si>
    <t>skyrim.esm|0AD4C9</t>
  </si>
  <si>
    <t>Casque en peau de guérison</t>
  </si>
  <si>
    <t>skyrim.esm|0AD4CA</t>
  </si>
  <si>
    <t>Casque en peau de guérison accrue</t>
  </si>
  <si>
    <t>skyrim.esm|07A158</t>
  </si>
  <si>
    <t>Casque en peau de guérison minime</t>
  </si>
  <si>
    <t>skyrim.esm|0AD4C5</t>
  </si>
  <si>
    <t>Casque en peau de magie</t>
  </si>
  <si>
    <t>skyrim.esm|0AD4C6</t>
  </si>
  <si>
    <t>Casque en peau de magie accrue</t>
  </si>
  <si>
    <t>skyrim.esm|07A155</t>
  </si>
  <si>
    <t>Casque en peau de magie minime</t>
  </si>
  <si>
    <t>skyrim.esm|04C3CB</t>
  </si>
  <si>
    <t>Casque falmer</t>
  </si>
  <si>
    <t>dawnguard.esm|00E8E0</t>
  </si>
  <si>
    <t>Casque falmer durci</t>
  </si>
  <si>
    <t>skyrim.esm|08B6A3</t>
  </si>
  <si>
    <t>Casque impérial d'alchimie</t>
  </si>
  <si>
    <t>skyrim.esm|08B6A4</t>
  </si>
  <si>
    <t>Casque impérial d'alchimie accrue</t>
  </si>
  <si>
    <t>skyrim.esm|08B6A2</t>
  </si>
  <si>
    <t>Casque impérial d'alchimie minime</t>
  </si>
  <si>
    <t>skyrim.esm|08B6A6</t>
  </si>
  <si>
    <t>Casque impérial d'altération</t>
  </si>
  <si>
    <t>skyrim.esm|08B6A7</t>
  </si>
  <si>
    <t>Casque impérial d'altération accrue</t>
  </si>
  <si>
    <t>skyrim.esm|08B6A5</t>
  </si>
  <si>
    <t>Casque impérial d'altération minime</t>
  </si>
  <si>
    <t>skyrim.esm|08B6B8</t>
  </si>
  <si>
    <t>Casque impérial d'archerie</t>
  </si>
  <si>
    <t>skyrim.esm|08B6B9</t>
  </si>
  <si>
    <t>Casque impérial d'archerie accrue</t>
  </si>
  <si>
    <t>skyrim.esm|08B6B7</t>
  </si>
  <si>
    <t>Casque impérial d'archerie minime</t>
  </si>
  <si>
    <t>skyrim.esm|08B6B2</t>
  </si>
  <si>
    <t>Casque impérial d'illusion</t>
  </si>
  <si>
    <t>skyrim.esm|08B6B3</t>
  </si>
  <si>
    <t>Casque impérial d'illusion accrue</t>
  </si>
  <si>
    <t>skyrim.esm|08B6B1</t>
  </si>
  <si>
    <t>Casque impérial d'illusion minime</t>
  </si>
  <si>
    <t>skyrim.esm|08B6A9</t>
  </si>
  <si>
    <t>Casque impérial de conjuration</t>
  </si>
  <si>
    <t>skyrim.esm|08B6AA</t>
  </si>
  <si>
    <t>Casque impérial de conjuration accrue</t>
  </si>
  <si>
    <t>skyrim.esm|08B6A8</t>
  </si>
  <si>
    <t>Casque impérial de conjuration minime</t>
  </si>
  <si>
    <t>skyrim.esm|08B6AC</t>
  </si>
  <si>
    <t>Casque impérial de destruction</t>
  </si>
  <si>
    <t>skyrim.esm|08B6AD</t>
  </si>
  <si>
    <t>Casque impérial de destruction accrue</t>
  </si>
  <si>
    <t>skyrim.esm|08B6AB</t>
  </si>
  <si>
    <t>Casque impérial de destruction minime</t>
  </si>
  <si>
    <t>skyrim.esm|08B6BB</t>
  </si>
  <si>
    <t>Casque impérial de guérison</t>
  </si>
  <si>
    <t>skyrim.esm|08B6BC</t>
  </si>
  <si>
    <t>Casque impérial de guérison accrue</t>
  </si>
  <si>
    <t>skyrim.esm|08B6BA</t>
  </si>
  <si>
    <t>Casque impérial de guérison minime</t>
  </si>
  <si>
    <t>skyrim.esm|08B6B5</t>
  </si>
  <si>
    <t>Casque impérial de magie</t>
  </si>
  <si>
    <t>skyrim.esm|08B6B4</t>
  </si>
  <si>
    <t>Casque impérial de magie minime</t>
  </si>
  <si>
    <t>skyrim.esm|08B6C3</t>
  </si>
  <si>
    <t>Casque impérial léger d'alchimie</t>
  </si>
  <si>
    <t>skyrim.esm|08B6BE</t>
  </si>
  <si>
    <t>Casque impérial léger d'alchimie accrue</t>
  </si>
  <si>
    <t>skyrim.esm|08B6BD</t>
  </si>
  <si>
    <t>Casque impérial léger d'alchimie minime</t>
  </si>
  <si>
    <t>skyrim.esm|08B6C0</t>
  </si>
  <si>
    <t>Casque impérial léger d'altération</t>
  </si>
  <si>
    <t>skyrim.esm|08B6C1</t>
  </si>
  <si>
    <t>Casque impérial léger d'altération accrue</t>
  </si>
  <si>
    <t>skyrim.esm|08B6BF</t>
  </si>
  <si>
    <t>Casque impérial léger d'altération minime</t>
  </si>
  <si>
    <t>skyrim.esm|08B6CD</t>
  </si>
  <si>
    <t>Casque impérial léger d'illusion</t>
  </si>
  <si>
    <t>skyrim.esm|08B6CE</t>
  </si>
  <si>
    <t>Casque impérial léger d'illusion accrue</t>
  </si>
  <si>
    <t>skyrim.esm|08B6CC</t>
  </si>
  <si>
    <t>Casque impérial léger d'illusion minime</t>
  </si>
  <si>
    <t>skyrim.esm|08B6C4</t>
  </si>
  <si>
    <t>Casque impérial léger de conjuration</t>
  </si>
  <si>
    <t>skyrim.esm|08B6C5</t>
  </si>
  <si>
    <t>Casque impérial léger de conjuration accrue</t>
  </si>
  <si>
    <t>skyrim.esm|08B6C2</t>
  </si>
  <si>
    <t>Casque impérial léger de conjuration minime</t>
  </si>
  <si>
    <t>skyrim.esm|08B6C7</t>
  </si>
  <si>
    <t>Casque impérial léger de destruction</t>
  </si>
  <si>
    <t>skyrim.esm|08B6C8</t>
  </si>
  <si>
    <t>Casque impérial léger de destruction accrue</t>
  </si>
  <si>
    <t>skyrim.esm|08B6C6</t>
  </si>
  <si>
    <t>Casque impérial léger de destruction minime</t>
  </si>
  <si>
    <t>skyrim.esm|08B6D0</t>
  </si>
  <si>
    <t>Casque impérial léger de magie</t>
  </si>
  <si>
    <t>skyrim.esm|08B6B6</t>
  </si>
  <si>
    <t>Casque impérial léger de magie accrue</t>
  </si>
  <si>
    <t>skyrim.esm|08B6CF</t>
  </si>
  <si>
    <t>Casque impérial léger de magie minime</t>
  </si>
  <si>
    <t>skyrim.esm|105F14</t>
  </si>
  <si>
    <t>Casque léger elfique</t>
  </si>
  <si>
    <t>dawnguard.esm|0023EB</t>
  </si>
  <si>
    <t>Casque lourd falmer</t>
  </si>
  <si>
    <t>dragonborn.esm|0291D4</t>
  </si>
  <si>
    <t>Casque nordique d'alchimie accrue</t>
  </si>
  <si>
    <t>dragonborn.esm|0291D6</t>
  </si>
  <si>
    <t>Casque nordique d'alchimie extrême</t>
  </si>
  <si>
    <t>dragonborn.esm|0291D5</t>
  </si>
  <si>
    <t>Casque nordique d'alchimie majeure</t>
  </si>
  <si>
    <t>dragonborn.esm|0291D7</t>
  </si>
  <si>
    <t>Casque nordique d'altération accrue</t>
  </si>
  <si>
    <t>dragonborn.esm|0291D9</t>
  </si>
  <si>
    <t>Casque nordique d'altération extrême</t>
  </si>
  <si>
    <t>dragonborn.esm|0291D8</t>
  </si>
  <si>
    <t>Casque nordique d'altération majeure</t>
  </si>
  <si>
    <t>dragonborn.esm|0291E6</t>
  </si>
  <si>
    <t>Casque nordique d'archerie accrue</t>
  </si>
  <si>
    <t>dragonborn.esm|0291E8</t>
  </si>
  <si>
    <t>Casque nordique d'archerie extrême</t>
  </si>
  <si>
    <t>dragonborn.esm|0291E7</t>
  </si>
  <si>
    <t>Casque nordique d'archerie majeure</t>
  </si>
  <si>
    <t>dragonborn.esm|0291E0</t>
  </si>
  <si>
    <t>Casque nordique d'illusion accrue</t>
  </si>
  <si>
    <t>dragonborn.esm|0291E2</t>
  </si>
  <si>
    <t>Casque nordique d'illusion extrême</t>
  </si>
  <si>
    <t>dragonborn.esm|0291E1</t>
  </si>
  <si>
    <t>Casque nordique d'illusion majeure</t>
  </si>
  <si>
    <t>dragonborn.esm|0291DA</t>
  </si>
  <si>
    <t>Casque nordique de conjuration accrue</t>
  </si>
  <si>
    <t>dragonborn.esm|0291DC</t>
  </si>
  <si>
    <t>Casque nordique de conjuration extrême</t>
  </si>
  <si>
    <t>dragonborn.esm|0291DB</t>
  </si>
  <si>
    <t>Casque nordique de conjuration majeure</t>
  </si>
  <si>
    <t>dragonborn.esm|0291DD</t>
  </si>
  <si>
    <t>Casque nordique de destruction accrue</t>
  </si>
  <si>
    <t>dragonborn.esm|0291DF</t>
  </si>
  <si>
    <t>Casque nordique de destruction extrême</t>
  </si>
  <si>
    <t>dragonborn.esm|0291DE</t>
  </si>
  <si>
    <t>Casque nordique de destruction majeure</t>
  </si>
  <si>
    <t>dragonborn.esm|0291E9</t>
  </si>
  <si>
    <t>Casque nordique de guérison accrue</t>
  </si>
  <si>
    <t>dragonborn.esm|0291EB</t>
  </si>
  <si>
    <t>Casque nordique de guérison extrême</t>
  </si>
  <si>
    <t>dragonborn.esm|0291EA</t>
  </si>
  <si>
    <t>Casque nordique de guérison majeure</t>
  </si>
  <si>
    <t>dragonborn.esm|0291E3</t>
  </si>
  <si>
    <t>Casque nordique de magie accrue</t>
  </si>
  <si>
    <t>dragonborn.esm|0291E5</t>
  </si>
  <si>
    <t>Casque nordique de magie extrême</t>
  </si>
  <si>
    <t>dragonborn.esm|0291E4</t>
  </si>
  <si>
    <t>Casque nordique de magie majeure</t>
  </si>
  <si>
    <t>dragonborn.esm|0291EC</t>
  </si>
  <si>
    <t>Casque nordique de respiration aquatique</t>
  </si>
  <si>
    <t>skyrim.esm|013959</t>
  </si>
  <si>
    <t>Casque orque</t>
  </si>
  <si>
    <t>skyrim.esm|0CF7FC</t>
  </si>
  <si>
    <t>Casque orque d'alchimie accrue</t>
  </si>
  <si>
    <t>skyrim.esm|0CF7FE</t>
  </si>
  <si>
    <t>Casque orque d'alchimie extrême</t>
  </si>
  <si>
    <t>skyrim.esm|0CF7FD</t>
  </si>
  <si>
    <t>Casque orque d'alchimie majeure</t>
  </si>
  <si>
    <t>skyrim.esm|0CF7FF</t>
  </si>
  <si>
    <t>Casque orque d'altération accrue</t>
  </si>
  <si>
    <t>skyrim.esm|0CF801</t>
  </si>
  <si>
    <t>Casque orque d'altération extrême</t>
  </si>
  <si>
    <t>skyrim.esm|0CF800</t>
  </si>
  <si>
    <t>Casque orque d'altération majeure</t>
  </si>
  <si>
    <t>skyrim.esm|0CF811</t>
  </si>
  <si>
    <t>Casque orque d'archerie accrue</t>
  </si>
  <si>
    <t>skyrim.esm|0CF813</t>
  </si>
  <si>
    <t>Casque orque d'archerie extrême</t>
  </si>
  <si>
    <t>skyrim.esm|0CF812</t>
  </si>
  <si>
    <t>Casque orque d'archerie majeure</t>
  </si>
  <si>
    <t>skyrim.esm|0CF80B</t>
  </si>
  <si>
    <t>Casque orque d'illusion accrue</t>
  </si>
  <si>
    <t>skyrim.esm|0CF80D</t>
  </si>
  <si>
    <t>Casque orque d'illusion extrême</t>
  </si>
  <si>
    <t>skyrim.esm|0CF80C</t>
  </si>
  <si>
    <t>Casque orque d'illusion majeure</t>
  </si>
  <si>
    <t>skyrim.esm|0CF802</t>
  </si>
  <si>
    <t>Casque orque de conjuration accrue</t>
  </si>
  <si>
    <t>skyrim.esm|0CF804</t>
  </si>
  <si>
    <t>Casque orque de conjuration extrême</t>
  </si>
  <si>
    <t>skyrim.esm|0CF803</t>
  </si>
  <si>
    <t>Casque orque de conjuration majeure</t>
  </si>
  <si>
    <t>skyrim.esm|0CF805</t>
  </si>
  <si>
    <t>Casque orque de destruction accrue</t>
  </si>
  <si>
    <t>skyrim.esm|0CF807</t>
  </si>
  <si>
    <t>Casque orque de destruction extrême</t>
  </si>
  <si>
    <t>skyrim.esm|0CF806</t>
  </si>
  <si>
    <t>Casque orque de destruction majeure</t>
  </si>
  <si>
    <t>skyrim.esm|0CF814</t>
  </si>
  <si>
    <t>Casque orque de guérison accrue</t>
  </si>
  <si>
    <t>skyrim.esm|0CF816</t>
  </si>
  <si>
    <t>Casque orque de guérison extrême</t>
  </si>
  <si>
    <t>skyrim.esm|0CF815</t>
  </si>
  <si>
    <t>Casque orque de guérison majeure</t>
  </si>
  <si>
    <t>skyrim.esm|0CF80E</t>
  </si>
  <si>
    <t>Casque orque de magie accrue</t>
  </si>
  <si>
    <t>skyrim.esm|0CF810</t>
  </si>
  <si>
    <t>Casque orque de magie extrême</t>
  </si>
  <si>
    <t>skyrim.esm|0CF80F</t>
  </si>
  <si>
    <t>Casque orque de magie majeure</t>
  </si>
  <si>
    <t>skyrim.esm|0CF817</t>
  </si>
  <si>
    <t>Casque orque de respiration aquatique</t>
  </si>
  <si>
    <t>skyrim.esm|013969</t>
  </si>
  <si>
    <t>Casque pendragon</t>
  </si>
  <si>
    <t>skyrim.esm|0D7A62</t>
  </si>
  <si>
    <t>Casque pendragon d'alchimie absolue</t>
  </si>
  <si>
    <t>skyrim.esm|0D7A61</t>
  </si>
  <si>
    <t>Casque pendragon d'alchimie extrême</t>
  </si>
  <si>
    <t>skyrim.esm|0D7A60</t>
  </si>
  <si>
    <t>Casque pendragon d'alchimie majeure</t>
  </si>
  <si>
    <t>skyrim.esm|0D7A65</t>
  </si>
  <si>
    <t>Casque pendragon d'altération absolue</t>
  </si>
  <si>
    <t>skyrim.esm|0D7A64</t>
  </si>
  <si>
    <t>Casque pendragon d'altération extrême</t>
  </si>
  <si>
    <t>skyrim.esm|0D7A63</t>
  </si>
  <si>
    <t>Casque pendragon d'altération majeure</t>
  </si>
  <si>
    <t>skyrim.esm|0D7A77</t>
  </si>
  <si>
    <t>Casque pendragon d'archerie absolue</t>
  </si>
  <si>
    <t>skyrim.esm|0D7A76</t>
  </si>
  <si>
    <t>Casque pendragon d'archerie extrême</t>
  </si>
  <si>
    <t>skyrim.esm|0D7A75</t>
  </si>
  <si>
    <t>Casque pendragon d'archerie majeure</t>
  </si>
  <si>
    <t>skyrim.esm|0FE2F2</t>
  </si>
  <si>
    <t>Casque pendragon d'emplissage</t>
  </si>
  <si>
    <t>skyrim.esm|0D7A71</t>
  </si>
  <si>
    <t>Casque pendragon d'illusion absolue</t>
  </si>
  <si>
    <t>skyrim.esm|0D7A70</t>
  </si>
  <si>
    <t>Casque pendragon d'illusion extrême</t>
  </si>
  <si>
    <t>skyrim.esm|0D7A6F</t>
  </si>
  <si>
    <t>Casque pendragon d'illusion majeure</t>
  </si>
  <si>
    <t>skyrim.esm|0D7A68</t>
  </si>
  <si>
    <t>Casque pendragon de conjuration absolue</t>
  </si>
  <si>
    <t>skyrim.esm|0D7A67</t>
  </si>
  <si>
    <t>Casque pendragon de conjuration extrême</t>
  </si>
  <si>
    <t>skyrim.esm|0D7A66</t>
  </si>
  <si>
    <t>Casque pendragon de conjuration majeure</t>
  </si>
  <si>
    <t>skyrim.esm|0D7A6B</t>
  </si>
  <si>
    <t>Casque pendragon de destruction absolue</t>
  </si>
  <si>
    <t>skyrim.esm|0D7A6A</t>
  </si>
  <si>
    <t>Casque pendragon de destruction extrême</t>
  </si>
  <si>
    <t>skyrim.esm|0D7A69</t>
  </si>
  <si>
    <t>Casque pendragon de destruction majeure</t>
  </si>
  <si>
    <t>skyrim.esm|0D7A7A</t>
  </si>
  <si>
    <t>Casque pendragon de guérison absolue</t>
  </si>
  <si>
    <t>skyrim.esm|0D7A79</t>
  </si>
  <si>
    <t>Casque pendragon de guérison extrême</t>
  </si>
  <si>
    <t>skyrim.esm|0D7A78</t>
  </si>
  <si>
    <t>Casque pendragon de guérison majeure</t>
  </si>
  <si>
    <t>skyrim.esm|0D7A73</t>
  </si>
  <si>
    <t>Casque pendragon de magie extrême</t>
  </si>
  <si>
    <t>skyrim.esm|0D7A74</t>
  </si>
  <si>
    <t>skyrim.esm|0D7A72</t>
  </si>
  <si>
    <t>Casque pendragon de magie majeure</t>
  </si>
  <si>
    <t>skyrim.esm|0FE2F4</t>
  </si>
  <si>
    <t>Casque pendragon de regain</t>
  </si>
  <si>
    <t>skyrim.esm|0D7A7B</t>
  </si>
  <si>
    <t>Casque pendragon de respiration aquatique</t>
  </si>
  <si>
    <t>skyrim.esm|0FE2F3</t>
  </si>
  <si>
    <t>Casque pendragon de résurgence</t>
  </si>
  <si>
    <t>skyrim.esm|0209AA</t>
  </si>
  <si>
    <t>Chapeau</t>
  </si>
  <si>
    <t>skyrim.esm|0330B3</t>
  </si>
  <si>
    <t>skyrim.esm|0330BC</t>
  </si>
  <si>
    <t>skyrim.esm|04223B</t>
  </si>
  <si>
    <t>skyrim.esm|0CEE72</t>
  </si>
  <si>
    <t>Chapeau de bouffon</t>
  </si>
  <si>
    <t>skyrim.esm|06492E</t>
  </si>
  <si>
    <t>Chapeau de Cicéron</t>
  </si>
  <si>
    <t>skyrim.esm|0646AB</t>
  </si>
  <si>
    <t>Chapeau de deuil</t>
  </si>
  <si>
    <t>dragonborn.esm|039114</t>
  </si>
  <si>
    <t>Chapeau de Skaal</t>
  </si>
  <si>
    <t>skyrim.esm|0CEE84</t>
  </si>
  <si>
    <t>Chapeau raffiné</t>
  </si>
  <si>
    <t>dragonborn.esm|03C81A</t>
  </si>
  <si>
    <t>Chaussures</t>
  </si>
  <si>
    <t>skyrim.esm|018801</t>
  </si>
  <si>
    <t>skyrim.esm|05B69E</t>
  </si>
  <si>
    <t>skyrim.esm|05B6A0</t>
  </si>
  <si>
    <t>skyrim.esm|0E80A8</t>
  </si>
  <si>
    <t>skyrim.esm|06F398</t>
  </si>
  <si>
    <t>Chaussures de fourrure</t>
  </si>
  <si>
    <t>dragonborn.esm|035677</t>
  </si>
  <si>
    <t>Chaussures de Telvanni</t>
  </si>
  <si>
    <t>skyrim.esm|08698E</t>
  </si>
  <si>
    <t>Chaussures plissées</t>
  </si>
  <si>
    <t>skyrim.esm|0CF89F</t>
  </si>
  <si>
    <t>Chaussures sibyllines</t>
  </si>
  <si>
    <t>windhelmsse.esp|0A491B</t>
  </si>
  <si>
    <t>Cheap Fur</t>
  </si>
  <si>
    <t>windhelmsse.esp|1DEF63</t>
  </si>
  <si>
    <t>Cheap Hood</t>
  </si>
  <si>
    <t>windhelmsse.esp|2214E0</t>
  </si>
  <si>
    <t>Chef's Hat</t>
  </si>
  <si>
    <t>windhelmsse.esp|2266B2</t>
  </si>
  <si>
    <t>Chef's Tunic</t>
  </si>
  <si>
    <t>skyrim.esm|024CFF</t>
  </si>
  <si>
    <t>Chevalière des Sang-d'Argent</t>
  </si>
  <si>
    <t>oarsrest.esp|0521DB</t>
  </si>
  <si>
    <t>Clam Shield</t>
  </si>
  <si>
    <t>windhelmsse.esp|14EC10</t>
  </si>
  <si>
    <t>Clothes</t>
  </si>
  <si>
    <t>windhelmsse.esp|157B17</t>
  </si>
  <si>
    <t>windhelmsse.esp|157B19</t>
  </si>
  <si>
    <t>skyrim.esm|0D8D52</t>
  </si>
  <si>
    <t>Coiffe de Parjure</t>
  </si>
  <si>
    <t>skyrim.esm|10E2CE</t>
  </si>
  <si>
    <t>College Boots</t>
  </si>
  <si>
    <t>skyrim.esm|10E2DC</t>
  </si>
  <si>
    <t>cloaks&amp;capes.esp|002DFA</t>
  </si>
  <si>
    <t>College of Winterhold Cloak</t>
  </si>
  <si>
    <t>skyrim.esm|10DF46</t>
  </si>
  <si>
    <t>Collier d'alchimie</t>
  </si>
  <si>
    <t>skyrim.esm|10DF4A</t>
  </si>
  <si>
    <t>Collier d'alchimie absolue</t>
  </si>
  <si>
    <t>skyrim.esm|10DF47</t>
  </si>
  <si>
    <t>Collier d'alchimie accrue</t>
  </si>
  <si>
    <t>skyrim.esm|10DF49</t>
  </si>
  <si>
    <t>Collier d'alchimie extrême</t>
  </si>
  <si>
    <t>skyrim.esm|10DF48</t>
  </si>
  <si>
    <t>Collier d'alchimie majeure</t>
  </si>
  <si>
    <t>skyrim.esm|10DF45</t>
  </si>
  <si>
    <t>Collier d'alchimie minime</t>
  </si>
  <si>
    <t>skyrim.esm|09171B</t>
  </si>
  <si>
    <t>Collier d'argent</t>
  </si>
  <si>
    <t>skyrim.esm|087833</t>
  </si>
  <si>
    <t>Collier d'argent et d'améthyste</t>
  </si>
  <si>
    <t>skyrim.esm|087832</t>
  </si>
  <si>
    <t>Collier d'argent et de saphir</t>
  </si>
  <si>
    <t>skyrim.esm|087834</t>
  </si>
  <si>
    <t>Collier d'argent orné</t>
  </si>
  <si>
    <t>skyrim.esm|10DF2E</t>
  </si>
  <si>
    <t>Collier d'écuyer</t>
  </si>
  <si>
    <t>skyrim.esm|0FC048</t>
  </si>
  <si>
    <t>Collier d'extinction</t>
  </si>
  <si>
    <t>skyrim.esm|10DF27</t>
  </si>
  <si>
    <t>Collier d'humble chevalier</t>
  </si>
  <si>
    <t>skyrim.esm|10DF2D</t>
  </si>
  <si>
    <t>Collier d'humble écuyer</t>
  </si>
  <si>
    <t>skyrim.esm|100E5F</t>
  </si>
  <si>
    <t>Collier d'immunité au poison</t>
  </si>
  <si>
    <t>skyrim.esm|100E65</t>
  </si>
  <si>
    <t>Collier d'immunité aux maladies</t>
  </si>
  <si>
    <t>skyrim.esm|0FC054</t>
  </si>
  <si>
    <t>Collier d'isolation</t>
  </si>
  <si>
    <t>skyrim.esm|0877D5</t>
  </si>
  <si>
    <t>Collier d'or</t>
  </si>
  <si>
    <t>skyrim.esm|0877F1</t>
  </si>
  <si>
    <t>Collier d'or et de diamant</t>
  </si>
  <si>
    <t>skyrim.esm|0877DC</t>
  </si>
  <si>
    <t>Collier d'or et de rubis</t>
  </si>
  <si>
    <t>skyrim.esm|087835</t>
  </si>
  <si>
    <t>Collier d'or orné</t>
  </si>
  <si>
    <t>skyrim.esm|0D4FF7</t>
  </si>
  <si>
    <t>Collier d'Yisra</t>
  </si>
  <si>
    <t>dragonborn.esm|02C8AD</t>
  </si>
  <si>
    <t>Collier de Bera</t>
  </si>
  <si>
    <t>skyrim.esm|10DF28</t>
  </si>
  <si>
    <t>Collier de chevalier</t>
  </si>
  <si>
    <t>skyrim.esm|10DF3A</t>
  </si>
  <si>
    <t>Collier de crochetage</t>
  </si>
  <si>
    <t>skyrim.esm|10DF3E</t>
  </si>
  <si>
    <t>Collier de crochetage absolu</t>
  </si>
  <si>
    <t>skyrim.esm|10DF3B</t>
  </si>
  <si>
    <t>Collier de crochetage accru</t>
  </si>
  <si>
    <t>skyrim.esm|10DF3D</t>
  </si>
  <si>
    <t>Collier de crochetage extrême</t>
  </si>
  <si>
    <t>skyrim.esm|10DF3C</t>
  </si>
  <si>
    <t>Collier de crochetage majeur</t>
  </si>
  <si>
    <t>skyrim.esm|10DF39</t>
  </si>
  <si>
    <t>Collier de crochetage minime</t>
  </si>
  <si>
    <t>skyrim.esm|0FC04E</t>
  </si>
  <si>
    <t>Collier de dégel</t>
  </si>
  <si>
    <t>skyrim.esm|10DF34</t>
  </si>
  <si>
    <t>Collier de dextérité</t>
  </si>
  <si>
    <t>skyrim.esm|10DF38</t>
  </si>
  <si>
    <t>Collier de dextérité absolue</t>
  </si>
  <si>
    <t>skyrim.esm|10DF35</t>
  </si>
  <si>
    <t>Collier de dextérité accrue</t>
  </si>
  <si>
    <t>skyrim.esm|10DF37</t>
  </si>
  <si>
    <t>Collier de dextérité extrême</t>
  </si>
  <si>
    <t>skyrim.esm|10DF36</t>
  </si>
  <si>
    <t>Collier de dextérité majeure</t>
  </si>
  <si>
    <t>skyrim.esm|10DF33</t>
  </si>
  <si>
    <t>Collier de dextérité minime</t>
  </si>
  <si>
    <t>skyrim.esm|0FC047</t>
  </si>
  <si>
    <t>Collier de feu anéanti</t>
  </si>
  <si>
    <t>skyrim.esm|0FC044</t>
  </si>
  <si>
    <t>Collier de feu atténué</t>
  </si>
  <si>
    <t>skyrim.esm|0FC045</t>
  </si>
  <si>
    <t>Collier de feu évanescent</t>
  </si>
  <si>
    <t>skyrim.esm|0FC046</t>
  </si>
  <si>
    <t>Collier de feu neutralisé</t>
  </si>
  <si>
    <t>skyrim.esm|10DF22</t>
  </si>
  <si>
    <t>Collier de forgeage</t>
  </si>
  <si>
    <t>skyrim.esm|10DF26</t>
  </si>
  <si>
    <t>Collier de forgeage absolu</t>
  </si>
  <si>
    <t>skyrim.esm|10DF23</t>
  </si>
  <si>
    <t>Collier de forgeage accru</t>
  </si>
  <si>
    <t>skyrim.esm|10DF25</t>
  </si>
  <si>
    <t>Collier de forgeage extrême</t>
  </si>
  <si>
    <t>skyrim.esm|10DF24</t>
  </si>
  <si>
    <t>Collier de forgeage majeur</t>
  </si>
  <si>
    <t>skyrim.esm|10DF21</t>
  </si>
  <si>
    <t>Collier de forgeage minime</t>
  </si>
  <si>
    <t>skyrim.esm|0FC053</t>
  </si>
  <si>
    <t>Collier de foudre anéantie</t>
  </si>
  <si>
    <t>skyrim.esm|0FC050</t>
  </si>
  <si>
    <t>Collier de foudre atténuée</t>
  </si>
  <si>
    <t>skyrim.esm|0FC051</t>
  </si>
  <si>
    <t>Collier de foudre évanescente</t>
  </si>
  <si>
    <t>skyrim.esm|0FC052</t>
  </si>
  <si>
    <t>Collier de foudre neutralisée</t>
  </si>
  <si>
    <t>skyrim.esm|10DF40</t>
  </si>
  <si>
    <t>Collier de furtivité</t>
  </si>
  <si>
    <t>skyrim.esm|10DF44</t>
  </si>
  <si>
    <t>Collier de furtivité absolue</t>
  </si>
  <si>
    <t>skyrim.esm|10DF41</t>
  </si>
  <si>
    <t>Collier de furtivité accrue</t>
  </si>
  <si>
    <t>skyrim.esm|10DF43</t>
  </si>
  <si>
    <t>Collier de furtivité extrême</t>
  </si>
  <si>
    <t>skyrim.esm|10DF42</t>
  </si>
  <si>
    <t>Collier de furtivité majeure</t>
  </si>
  <si>
    <t>skyrim.esm|10DF3F</t>
  </si>
  <si>
    <t>Collier de furtivité minime</t>
  </si>
  <si>
    <t>skyrim.esm|0FC04D</t>
  </si>
  <si>
    <t>Collier de glace anéantie</t>
  </si>
  <si>
    <t>skyrim.esm|0FC04A</t>
  </si>
  <si>
    <t>Collier de glace atténuée</t>
  </si>
  <si>
    <t>skyrim.esm|0FC04B</t>
  </si>
  <si>
    <t>Collier de glace évanescente</t>
  </si>
  <si>
    <t>skyrim.esm|0FC04C</t>
  </si>
  <si>
    <t>Collier de glace neutralisée</t>
  </si>
  <si>
    <t>skyrim.esm|10DF29</t>
  </si>
  <si>
    <t>Collier de grand chevalier</t>
  </si>
  <si>
    <t>skyrim.esm|10DF2F</t>
  </si>
  <si>
    <t>Collier de grand écuyer</t>
  </si>
  <si>
    <t>skyrim.esm|06BBB5</t>
  </si>
  <si>
    <t>Collier de Grosta</t>
  </si>
  <si>
    <t>skyrim.esm|10DF52</t>
  </si>
  <si>
    <t>Collier de magie</t>
  </si>
  <si>
    <t>skyrim.esm|10DF56</t>
  </si>
  <si>
    <t>Collier de magie absolue</t>
  </si>
  <si>
    <t>skyrim.esm|10DF53</t>
  </si>
  <si>
    <t>Collier de magie accrue</t>
  </si>
  <si>
    <t>skyrim.esm|0FC065</t>
  </si>
  <si>
    <t>Collier de magie anéantie</t>
  </si>
  <si>
    <t>skyrim.esm|0FC062</t>
  </si>
  <si>
    <t>Collier de magie atténuée</t>
  </si>
  <si>
    <t>skyrim.esm|0FC063</t>
  </si>
  <si>
    <t>Collier de magie évanescente</t>
  </si>
  <si>
    <t>skyrim.esm|10DF55</t>
  </si>
  <si>
    <t>Collier de magie extrême</t>
  </si>
  <si>
    <t>skyrim.esm|10DF54</t>
  </si>
  <si>
    <t>Collier de magie majeure</t>
  </si>
  <si>
    <t>skyrim.esm|10DF51</t>
  </si>
  <si>
    <t>Collier de magie minime</t>
  </si>
  <si>
    <t>skyrim.esm|0FC064</t>
  </si>
  <si>
    <t>Collier de magie neutralisée</t>
  </si>
  <si>
    <t>skyrim.esm|10DF32</t>
  </si>
  <si>
    <t>Collier de maître écuyer</t>
  </si>
  <si>
    <t>skyrim.esm|10DF11</t>
  </si>
  <si>
    <t>Collier de maniement</t>
  </si>
  <si>
    <t>skyrim.esm|10DF67</t>
  </si>
  <si>
    <t>Collier de maniement absolu</t>
  </si>
  <si>
    <t>skyrim.esm|10DF12</t>
  </si>
  <si>
    <t>Collier de maniement accru</t>
  </si>
  <si>
    <t>skyrim.esm|10DF14</t>
  </si>
  <si>
    <t>Collier de maniement extrême</t>
  </si>
  <si>
    <t>skyrim.esm|10DF13</t>
  </si>
  <si>
    <t>Collier de maniement majeur</t>
  </si>
  <si>
    <t>skyrim.esm|10DF10</t>
  </si>
  <si>
    <t>Collier de maniement minime</t>
  </si>
  <si>
    <t>skyrim.esm|10DF4C</t>
  </si>
  <si>
    <t>Collier de négociation</t>
  </si>
  <si>
    <t>skyrim.esm|10DF50</t>
  </si>
  <si>
    <t>Collier de négociation absolue</t>
  </si>
  <si>
    <t>skyrim.esm|10DF4D</t>
  </si>
  <si>
    <t>Collier de négociation accrue</t>
  </si>
  <si>
    <t>skyrim.esm|10DF4F</t>
  </si>
  <si>
    <t>Collier de négociation extrême</t>
  </si>
  <si>
    <t>skyrim.esm|10DF4E</t>
  </si>
  <si>
    <t>Collier de négociation majeure</t>
  </si>
  <si>
    <t>skyrim.esm|10DF4B</t>
  </si>
  <si>
    <t>Collier de négociation minime</t>
  </si>
  <si>
    <t>skyrim.esm|10DF2A</t>
  </si>
  <si>
    <t>Collier de noble chevalier</t>
  </si>
  <si>
    <t>skyrim.esm|10DF30</t>
  </si>
  <si>
    <t>Collier de noble écuyer</t>
  </si>
  <si>
    <t>skyrim.esm|10DF2C</t>
  </si>
  <si>
    <t>Collier de paladin</t>
  </si>
  <si>
    <t>skyrim.esm|10DF1C</t>
  </si>
  <si>
    <t>Collier de parade</t>
  </si>
  <si>
    <t>skyrim.esm|10DF20</t>
  </si>
  <si>
    <t>Collier de parade absolue</t>
  </si>
  <si>
    <t>skyrim.esm|10DF1D</t>
  </si>
  <si>
    <t>Collier de parade accrue</t>
  </si>
  <si>
    <t>skyrim.esm|10DF1F</t>
  </si>
  <si>
    <t>Collier de parade extrême</t>
  </si>
  <si>
    <t>skyrim.esm|10DF1E</t>
  </si>
  <si>
    <t>Collier de parade majeure</t>
  </si>
  <si>
    <t>skyrim.esm|10DF1B</t>
  </si>
  <si>
    <t>Collier de parade minime</t>
  </si>
  <si>
    <t>skyrim.esm|0FC043</t>
  </si>
  <si>
    <t>Collier de pare-feu</t>
  </si>
  <si>
    <t>skyrim.esm|0FC04F</t>
  </si>
  <si>
    <t>Collier de pare-foudre</t>
  </si>
  <si>
    <t>skyrim.esm|0FC049</t>
  </si>
  <si>
    <t>Collier de pare-glace</t>
  </si>
  <si>
    <t>skyrim.esm|10DF16</t>
  </si>
  <si>
    <t>Collier de poigne</t>
  </si>
  <si>
    <t>skyrim.esm|10DF1A</t>
  </si>
  <si>
    <t>Collier de poigne absolue</t>
  </si>
  <si>
    <t>skyrim.esm|10DF17</t>
  </si>
  <si>
    <t>Collier de poigne accrue</t>
  </si>
  <si>
    <t>skyrim.esm|10DF19</t>
  </si>
  <si>
    <t>Collier de poigne extrême</t>
  </si>
  <si>
    <t>skyrim.esm|10DF18</t>
  </si>
  <si>
    <t>Collier de poigne majeure</t>
  </si>
  <si>
    <t>skyrim.esm|10DF15</t>
  </si>
  <si>
    <t>Collier de poigne minime</t>
  </si>
  <si>
    <t>skyrim.esm|10DF2B</t>
  </si>
  <si>
    <t>Collier de preux chevalier</t>
  </si>
  <si>
    <t>skyrim.esm|10DF31</t>
  </si>
  <si>
    <t>Collier de preux écuyer</t>
  </si>
  <si>
    <t>skyrim.esm|10DF5B</t>
  </si>
  <si>
    <t>Collier de récupération</t>
  </si>
  <si>
    <t>skyrim.esm|10DF59</t>
  </si>
  <si>
    <t>Collier de régénération</t>
  </si>
  <si>
    <t>skyrim.esm|10DF57</t>
  </si>
  <si>
    <t>Collier de remède</t>
  </si>
  <si>
    <t>skyrim.esm|10DF5A</t>
  </si>
  <si>
    <t>Collier de renaissance</t>
  </si>
  <si>
    <t>skyrim.esm|10DF5E</t>
  </si>
  <si>
    <t>Collier de renouveau</t>
  </si>
  <si>
    <t>skyrim.esm|0FC061</t>
  </si>
  <si>
    <t>Collier de résistance à la magie</t>
  </si>
  <si>
    <t>skyrim.esm|0FC03D</t>
  </si>
  <si>
    <t>Collier de résistance au poison</t>
  </si>
  <si>
    <t>skyrim.esm|100E64</t>
  </si>
  <si>
    <t>Collier de résistance aux maladies</t>
  </si>
  <si>
    <t>skyrim.esm|0FC067</t>
  </si>
  <si>
    <t>Collier de respiration aquatique</t>
  </si>
  <si>
    <t>skyrim.esm|10DF5C</t>
  </si>
  <si>
    <t>Collier de rétablissement</t>
  </si>
  <si>
    <t>skyrim.esm|0663DA</t>
  </si>
  <si>
    <t>Collier de Reyda</t>
  </si>
  <si>
    <t>skyrim.esm|0FC038</t>
  </si>
  <si>
    <t>Collier de santé</t>
  </si>
  <si>
    <t>skyrim.esm|0FC03C</t>
  </si>
  <si>
    <t>Collier de santé absolue</t>
  </si>
  <si>
    <t>skyrim.esm|0FC039</t>
  </si>
  <si>
    <t>Collier de santé accrue</t>
  </si>
  <si>
    <t>skyrim.esm|0FC03B</t>
  </si>
  <si>
    <t>Collier de santé extrême</t>
  </si>
  <si>
    <t>skyrim.esm|0FC03A</t>
  </si>
  <si>
    <t>Collier de santé majeure</t>
  </si>
  <si>
    <t>skyrim.esm|0FC037</t>
  </si>
  <si>
    <t>Collier de santé minime</t>
  </si>
  <si>
    <t>skyrim.esm|10DF58</t>
  </si>
  <si>
    <t>Collier de soulagement</t>
  </si>
  <si>
    <t>skyrim.esm|0FC066</t>
  </si>
  <si>
    <t>Collier de suppression</t>
  </si>
  <si>
    <t>skyrim.esm|0FC056</t>
  </si>
  <si>
    <t>Collier de vigueur</t>
  </si>
  <si>
    <t>skyrim.esm|0FC05A</t>
  </si>
  <si>
    <t>Collier de vigueur absolue</t>
  </si>
  <si>
    <t>skyrim.esm|0FC057</t>
  </si>
  <si>
    <t>Collier de vigueur accrue</t>
  </si>
  <si>
    <t>skyrim.esm|0FC059</t>
  </si>
  <si>
    <t>Collier de vigueur extrême</t>
  </si>
  <si>
    <t>skyrim.esm|0FC058</t>
  </si>
  <si>
    <t>Collier de vigueur majeure</t>
  </si>
  <si>
    <t>skyrim.esm|0FC055</t>
  </si>
  <si>
    <t>Collier de vigueur minime</t>
  </si>
  <si>
    <t>skyrim.esm|10DF5D</t>
  </si>
  <si>
    <t>Collier de vivification</t>
  </si>
  <si>
    <t>skyrim.esm|0C72E8</t>
  </si>
  <si>
    <t>Collier ensorcellé</t>
  </si>
  <si>
    <t>sentinel.esp|000904</t>
  </si>
  <si>
    <t>Common Aketon</t>
  </si>
  <si>
    <t>sentinel.esp|000901</t>
  </si>
  <si>
    <t>Common Boots</t>
  </si>
  <si>
    <t>sentinel.esp|000902</t>
  </si>
  <si>
    <t>sentinel.esp|000903</t>
  </si>
  <si>
    <t>sentinel.esp|000905</t>
  </si>
  <si>
    <t>Common Brigandine</t>
  </si>
  <si>
    <t>sentinel.esp|000907</t>
  </si>
  <si>
    <t>Common Chain Mail</t>
  </si>
  <si>
    <t>commonclothes.esp|000D62</t>
  </si>
  <si>
    <t>Common Clothes 01</t>
  </si>
  <si>
    <t>commonclothes.esp|00185A</t>
  </si>
  <si>
    <t>Common Clothes 02</t>
  </si>
  <si>
    <t>commonclothes.esp|00185B</t>
  </si>
  <si>
    <t>Common Clothes 03</t>
  </si>
  <si>
    <t>commonclothes.esp|00185C</t>
  </si>
  <si>
    <t>Common Clothes 04</t>
  </si>
  <si>
    <t>commonclothes.esp|00185D</t>
  </si>
  <si>
    <t>Common Clothes 05</t>
  </si>
  <si>
    <t>commonclothes.esp|00185E</t>
  </si>
  <si>
    <t>Common Clothes 06</t>
  </si>
  <si>
    <t>commonclothes.esp|00185F</t>
  </si>
  <si>
    <t>Common Clothes 07</t>
  </si>
  <si>
    <t>commonclothes.esp|001860</t>
  </si>
  <si>
    <t>Common Clothes 08</t>
  </si>
  <si>
    <t>commonclothes.esp|001861</t>
  </si>
  <si>
    <t>Common Clothes 09</t>
  </si>
  <si>
    <t>commonclothes.esp|001862</t>
  </si>
  <si>
    <t>Common Clothes 10</t>
  </si>
  <si>
    <t>commonclothes.esp|001863</t>
  </si>
  <si>
    <t>Common Clothes 11</t>
  </si>
  <si>
    <t>commonclothes.esp|001864</t>
  </si>
  <si>
    <t>Common Clothes 12</t>
  </si>
  <si>
    <t>commonclothes.esp|001865</t>
  </si>
  <si>
    <t>Common Clothes 13</t>
  </si>
  <si>
    <t>commonclothes.esp|010F6C</t>
  </si>
  <si>
    <t>Common Clothes 14</t>
  </si>
  <si>
    <t>commonclothes.esp|010F6D</t>
  </si>
  <si>
    <t>Common Clothes 15</t>
  </si>
  <si>
    <t>commonclothes.esp|010F6E</t>
  </si>
  <si>
    <t>Common Clothes 16</t>
  </si>
  <si>
    <t>commonclothes.esp|010F6F</t>
  </si>
  <si>
    <t>Common Clothes 17</t>
  </si>
  <si>
    <t>commonclothes.esp|010F70</t>
  </si>
  <si>
    <t>Common Clothes 18</t>
  </si>
  <si>
    <t>commonclothes.esp|010F71</t>
  </si>
  <si>
    <t>Common Clothes 19</t>
  </si>
  <si>
    <t>commonclothes.esp|010F72</t>
  </si>
  <si>
    <t>Common Clothes 20</t>
  </si>
  <si>
    <t>commonclothes.esp|010F78</t>
  </si>
  <si>
    <t>Common Clothes 21</t>
  </si>
  <si>
    <t>commonclothes.esp|010F79</t>
  </si>
  <si>
    <t>Common Clothes 22</t>
  </si>
  <si>
    <t>commonclothes.esp|010F7A</t>
  </si>
  <si>
    <t>Common Clothes 23</t>
  </si>
  <si>
    <t>commonclothes.esp|010F7B</t>
  </si>
  <si>
    <t>Common Clothes 24</t>
  </si>
  <si>
    <t>commonclothes.esp|010F7C</t>
  </si>
  <si>
    <t>Common Clothes 25</t>
  </si>
  <si>
    <t>commonclothes.esp|01865C</t>
  </si>
  <si>
    <t>Common Clothes 26</t>
  </si>
  <si>
    <t>commonclothes.esp|01865D</t>
  </si>
  <si>
    <t>Common Clothes 27</t>
  </si>
  <si>
    <t>commonclothes.esp|01865E</t>
  </si>
  <si>
    <t>Common Clothes 28</t>
  </si>
  <si>
    <t>commonclothes.esp|01865F</t>
  </si>
  <si>
    <t>Common Clothes 29</t>
  </si>
  <si>
    <t>commonclothes.esp|018660</t>
  </si>
  <si>
    <t>Common Clothes 30</t>
  </si>
  <si>
    <t>commonclothes.esp|018661</t>
  </si>
  <si>
    <t>Common Clothes 31</t>
  </si>
  <si>
    <t>commonclothes.esp|018662</t>
  </si>
  <si>
    <t>Common Clothes 32</t>
  </si>
  <si>
    <t>commonclothes.esp|018663</t>
  </si>
  <si>
    <t>Common Clothes 33</t>
  </si>
  <si>
    <t>commonclothes.esp|018664</t>
  </si>
  <si>
    <t>Common Clothes 34</t>
  </si>
  <si>
    <t>commonclothes.esp|018665</t>
  </si>
  <si>
    <t>Common Clothes 35</t>
  </si>
  <si>
    <t>commonclothes.esp|018666</t>
  </si>
  <si>
    <t>Common Clothes 36</t>
  </si>
  <si>
    <t>commonclothes.esp|018667</t>
  </si>
  <si>
    <t>Common Clothes 37</t>
  </si>
  <si>
    <t>commonclothes.esp|018668</t>
  </si>
  <si>
    <t>Common Clothes 38</t>
  </si>
  <si>
    <t>commonclothes.esp|018669</t>
  </si>
  <si>
    <t>Common Clothes 39</t>
  </si>
  <si>
    <t>commonclothes.esp|01866A</t>
  </si>
  <si>
    <t>Common Clothes 40</t>
  </si>
  <si>
    <t>commonclothes.esp|01866B</t>
  </si>
  <si>
    <t>Common Clothes 41</t>
  </si>
  <si>
    <t>commonclothes.esp|01866C</t>
  </si>
  <si>
    <t>Common Clothes 42</t>
  </si>
  <si>
    <t>sentinel.esp|00090F</t>
  </si>
  <si>
    <t>Common Gauntlets</t>
  </si>
  <si>
    <t>sentinel.esp|00090E</t>
  </si>
  <si>
    <t>Common Gloves</t>
  </si>
  <si>
    <t>common clothing expanded.esp|000004</t>
  </si>
  <si>
    <t>Common Hood</t>
  </si>
  <si>
    <t>sentinel.esp|00090B</t>
  </si>
  <si>
    <t>Common Lamellar Armor</t>
  </si>
  <si>
    <t>sentinel.esp|00090A</t>
  </si>
  <si>
    <t>Common Lamellar Tunic</t>
  </si>
  <si>
    <t>sentinel.esp|000908</t>
  </si>
  <si>
    <t>Common Mail Tunic</t>
  </si>
  <si>
    <t>sentinel.esp|000909</t>
  </si>
  <si>
    <t>Common Padded Tunic</t>
  </si>
  <si>
    <t>commonclothes.esp|001DEF</t>
  </si>
  <si>
    <t>Common Robes 03</t>
  </si>
  <si>
    <t>commonclothes.esp|001DF1</t>
  </si>
  <si>
    <t>Common Robes 05</t>
  </si>
  <si>
    <t>commonclothes.esp|001DF2</t>
  </si>
  <si>
    <t>Common Robes 06</t>
  </si>
  <si>
    <t>commonclothes.esp|001DF3</t>
  </si>
  <si>
    <t>Common Robes 07</t>
  </si>
  <si>
    <t>commonclothes.esp|001DF4</t>
  </si>
  <si>
    <t>Common Robes 08</t>
  </si>
  <si>
    <t>commonclothes.esp|001DF5</t>
  </si>
  <si>
    <t>Common Robes 09</t>
  </si>
  <si>
    <t>commonclothes.esp|003382</t>
  </si>
  <si>
    <t>Common Robes 12</t>
  </si>
  <si>
    <t>commonclothes.esp|018678</t>
  </si>
  <si>
    <t>Common Robes 14</t>
  </si>
  <si>
    <t>commonclothes.esp|018679</t>
  </si>
  <si>
    <t>Common Robes 15</t>
  </si>
  <si>
    <t>commonclothes.esp|01867A</t>
  </si>
  <si>
    <t>Common Robes 16</t>
  </si>
  <si>
    <t>commonclothes.esp|01867B</t>
  </si>
  <si>
    <t>Common Robes 17</t>
  </si>
  <si>
    <t>commonclothes.esp|01867D</t>
  </si>
  <si>
    <t>Common Robes 19</t>
  </si>
  <si>
    <t>commonclothes.esp|01867E</t>
  </si>
  <si>
    <t>Common Robes 20</t>
  </si>
  <si>
    <t>commonclothes.esp|01867F</t>
  </si>
  <si>
    <t>Common Robes 21</t>
  </si>
  <si>
    <t>commonclothes.esp|018680</t>
  </si>
  <si>
    <t>Common Robes 22</t>
  </si>
  <si>
    <t>commonclothes.esp|001DED</t>
  </si>
  <si>
    <t>Common Robes Hooded 01</t>
  </si>
  <si>
    <t>commonclothes.esp|001DEE</t>
  </si>
  <si>
    <t>Common Robes Hooded 02</t>
  </si>
  <si>
    <t>commonclothes.esp|001DF0</t>
  </si>
  <si>
    <t>Common Robes Hooded 04</t>
  </si>
  <si>
    <t>commonclothes.esp|001DF6</t>
  </si>
  <si>
    <t>Common Robes Hooded 10</t>
  </si>
  <si>
    <t>commonclothes.esp|003381</t>
  </si>
  <si>
    <t>Common Robes Hooded 11</t>
  </si>
  <si>
    <t>commonclothes.esp|01866D</t>
  </si>
  <si>
    <t>Common Robes Hooded 13</t>
  </si>
  <si>
    <t>commonclothes.esp|01867C</t>
  </si>
  <si>
    <t>Common Robes Hooded 18</t>
  </si>
  <si>
    <t>sentinel.esp|0008DC</t>
  </si>
  <si>
    <t>Companion Armor</t>
  </si>
  <si>
    <t>sentinel.esp|0008DB</t>
  </si>
  <si>
    <t>Companion Boots</t>
  </si>
  <si>
    <t>sentinel.esp|0008DE</t>
  </si>
  <si>
    <t>Companion Gauntlets</t>
  </si>
  <si>
    <t>sentinel.esp|0008DF</t>
  </si>
  <si>
    <t>Companion Helmet</t>
  </si>
  <si>
    <t>sentinel.esp|0008E0</t>
  </si>
  <si>
    <t>Companion Shield</t>
  </si>
  <si>
    <t>windhelmsse.esp|10682F</t>
  </si>
  <si>
    <t>Copper Circlet</t>
  </si>
  <si>
    <t>skyrim.esm|052794</t>
  </si>
  <si>
    <t>Cotte d'ébonite</t>
  </si>
  <si>
    <t>skyrim.esm|0D2842</t>
  </si>
  <si>
    <t>Coule sibylline</t>
  </si>
  <si>
    <t>skyrim.esm|0E1F17</t>
  </si>
  <si>
    <t>Coule sibylline antique</t>
  </si>
  <si>
    <t>dawnguard.esm|00575A</t>
  </si>
  <si>
    <t>Couronne d'aethérium</t>
  </si>
  <si>
    <t>skyrim.esm|0FC001</t>
  </si>
  <si>
    <t>Couronne d'alchimie</t>
  </si>
  <si>
    <t>skyrim.esm|0FC005</t>
  </si>
  <si>
    <t>Couronne d'alchimie absolue</t>
  </si>
  <si>
    <t>skyrim.esm|0FC002</t>
  </si>
  <si>
    <t>Couronne d'alchimie accrue</t>
  </si>
  <si>
    <t>skyrim.esm|0FC004</t>
  </si>
  <si>
    <t>Couronne d'alchimie extrême</t>
  </si>
  <si>
    <t>skyrim.esm|0FC003</t>
  </si>
  <si>
    <t>Couronne d'alchimie majeure</t>
  </si>
  <si>
    <t>skyrim.esm|0FC000</t>
  </si>
  <si>
    <t>Couronne d'alchimie minime</t>
  </si>
  <si>
    <t>skyrim.esm|0FC007</t>
  </si>
  <si>
    <t>Couronne d'altération</t>
  </si>
  <si>
    <t>skyrim.esm|0FC00B</t>
  </si>
  <si>
    <t>Couronne d'altération absolue</t>
  </si>
  <si>
    <t>skyrim.esm|0FC008</t>
  </si>
  <si>
    <t>Couronne d'altération accrue</t>
  </si>
  <si>
    <t>skyrim.esm|0FC00A</t>
  </si>
  <si>
    <t>Couronne d'altération extrême</t>
  </si>
  <si>
    <t>skyrim.esm|0FC009</t>
  </si>
  <si>
    <t>Couronne d'altération majeure</t>
  </si>
  <si>
    <t>skyrim.esm|0FC006</t>
  </si>
  <si>
    <t>Couronne d'altération minime</t>
  </si>
  <si>
    <t>skyrim.esm|0FC02B</t>
  </si>
  <si>
    <t>Couronne d'archerie</t>
  </si>
  <si>
    <t>skyrim.esm|0FC02F</t>
  </si>
  <si>
    <t>Couronne d'archerie absolue</t>
  </si>
  <si>
    <t>skyrim.esm|0FC02C</t>
  </si>
  <si>
    <t>Couronne d'archerie accrue</t>
  </si>
  <si>
    <t>skyrim.esm|0FC02E</t>
  </si>
  <si>
    <t>Couronne d'archerie extrême</t>
  </si>
  <si>
    <t>skyrim.esm|0FC02D</t>
  </si>
  <si>
    <t>Couronne d'archerie majeure</t>
  </si>
  <si>
    <t>skyrim.esm|0FC02A</t>
  </si>
  <si>
    <t>Couronne d'archerie minime</t>
  </si>
  <si>
    <t>skyrim.esm|016719</t>
  </si>
  <si>
    <t>Couronne d'argent ornée d'un saphir</t>
  </si>
  <si>
    <t>skyrim.esm|0166E0</t>
  </si>
  <si>
    <t>Couronne d'argent ornée d'une pierre de lune</t>
  </si>
  <si>
    <t>skyrim.esm|0FC01F</t>
  </si>
  <si>
    <t>Couronne d'illusion</t>
  </si>
  <si>
    <t>skyrim.esm|0FC023</t>
  </si>
  <si>
    <t>Couronne d'illusion absolue</t>
  </si>
  <si>
    <t>skyrim.esm|0FC020</t>
  </si>
  <si>
    <t>Couronne d'illusion accrue</t>
  </si>
  <si>
    <t>skyrim.esm|0FC022</t>
  </si>
  <si>
    <t>Couronne d'illusion extrême</t>
  </si>
  <si>
    <t>skyrim.esm|0FC021</t>
  </si>
  <si>
    <t>Couronne d'illusion majeure</t>
  </si>
  <si>
    <t>skyrim.esm|0FC01E</t>
  </si>
  <si>
    <t>Couronne d'illusion minime</t>
  </si>
  <si>
    <t>skyrim.esm|0166FD</t>
  </si>
  <si>
    <t>Couronne d'or ornée d'un rubis</t>
  </si>
  <si>
    <t>skyrim.esm|01672F</t>
  </si>
  <si>
    <t>Couronne d'or ornée d'une émeraude</t>
  </si>
  <si>
    <t>skyrim.esm|0DA750</t>
  </si>
  <si>
    <t>Couronne d'os</t>
  </si>
  <si>
    <t>skyrim.esm|0FC00D</t>
  </si>
  <si>
    <t>Couronne de conjuration</t>
  </si>
  <si>
    <t>skyrim.esm|0FC011</t>
  </si>
  <si>
    <t>Couronne de conjuration absolue</t>
  </si>
  <si>
    <t>skyrim.esm|0FC00E</t>
  </si>
  <si>
    <t>Couronne de conjuration accrue</t>
  </si>
  <si>
    <t>skyrim.esm|0FC010</t>
  </si>
  <si>
    <t>Couronne de conjuration extrême</t>
  </si>
  <si>
    <t>skyrim.esm|0FC00F</t>
  </si>
  <si>
    <t>Couronne de conjuration majeure</t>
  </si>
  <si>
    <t>skyrim.esm|0FC00C</t>
  </si>
  <si>
    <t>Couronne de conjuration minime</t>
  </si>
  <si>
    <t>skyrim.esm|0166FF</t>
  </si>
  <si>
    <t>Couronne de cuivre ornée d'un onyx</t>
  </si>
  <si>
    <t>skyrim.esm|016731</t>
  </si>
  <si>
    <t>Couronne de cuivre ornée d'un rubis</t>
  </si>
  <si>
    <t>skyrim.esm|0166FE</t>
  </si>
  <si>
    <t>Couronne de cuivre ornée d'un saphir</t>
  </si>
  <si>
    <t>skyrim.esm|016730</t>
  </si>
  <si>
    <t>Couronne de cuivre ornée d'une pierre de lune</t>
  </si>
  <si>
    <t>skyrim.esm|0FC013</t>
  </si>
  <si>
    <t>Couronne de destruction</t>
  </si>
  <si>
    <t>skyrim.esm|0FC017</t>
  </si>
  <si>
    <t>Couronne de destruction absolue</t>
  </si>
  <si>
    <t>skyrim.esm|0FC014</t>
  </si>
  <si>
    <t>Couronne de destruction accrue</t>
  </si>
  <si>
    <t>skyrim.esm|0FC016</t>
  </si>
  <si>
    <t>Couronne de destruction extrême</t>
  </si>
  <si>
    <t>skyrim.esm|0FC015</t>
  </si>
  <si>
    <t>Couronne de destruction majeure</t>
  </si>
  <si>
    <t>skyrim.esm|0FC012</t>
  </si>
  <si>
    <t>Couronne de destruction minime</t>
  </si>
  <si>
    <t>skyrim.esm|0FC031</t>
  </si>
  <si>
    <t>Couronne de guérison</t>
  </si>
  <si>
    <t>skyrim.esm|0FC035</t>
  </si>
  <si>
    <t>Couronne de guérison absolue</t>
  </si>
  <si>
    <t>skyrim.esm|0FC032</t>
  </si>
  <si>
    <t>Couronne de guérison accrue</t>
  </si>
  <si>
    <t>skyrim.esm|0FC034</t>
  </si>
  <si>
    <t>Couronne de guérison extrême</t>
  </si>
  <si>
    <t>skyrim.esm|0FC033</t>
  </si>
  <si>
    <t>Couronne de guérison majeure</t>
  </si>
  <si>
    <t>skyrim.esm|0FC030</t>
  </si>
  <si>
    <t>Couronne de guérison minime</t>
  </si>
  <si>
    <t>skyrim.esm|01671A</t>
  </si>
  <si>
    <t>Couronne de jade ornée d'un saphir</t>
  </si>
  <si>
    <t>skyrim.esm|0166D6</t>
  </si>
  <si>
    <t>Couronne de jade ornée d'une émeraude</t>
  </si>
  <si>
    <t>skyrim.esm|0FC025</t>
  </si>
  <si>
    <t>Couronne de magie</t>
  </si>
  <si>
    <t>skyrim.esm|0FC029</t>
  </si>
  <si>
    <t>Couronne de magie absolue</t>
  </si>
  <si>
    <t>skyrim.esm|0FC026</t>
  </si>
  <si>
    <t>Couronne de magie accrue</t>
  </si>
  <si>
    <t>skyrim.esm|0FC027</t>
  </si>
  <si>
    <t>Couronne de magie extrême</t>
  </si>
  <si>
    <t>skyrim.esm|0FC028</t>
  </si>
  <si>
    <t>skyrim.esm|0FC024</t>
  </si>
  <si>
    <t>Couronne de magie minime</t>
  </si>
  <si>
    <t>skyrim.esm|08895A</t>
  </si>
  <si>
    <t>Couronne de mariée</t>
  </si>
  <si>
    <t>skyrim.esm|0FC036</t>
  </si>
  <si>
    <t>Couronne de respiration aquatique</t>
  </si>
  <si>
    <t>skyrim.esm|0F1B2C</t>
  </si>
  <si>
    <t>Couronne du mage</t>
  </si>
  <si>
    <t>skyrim.esm|0F1B2D</t>
  </si>
  <si>
    <t>skyrim.esm|0F1B2E</t>
  </si>
  <si>
    <t>skyrim.esm|0F1B2F</t>
  </si>
  <si>
    <t>skyrim.esm|0F1B30</t>
  </si>
  <si>
    <t>skyrim.esm|0F1B31</t>
  </si>
  <si>
    <t>dawnguard.esm|00C814</t>
  </si>
  <si>
    <t>Couronne falmer ancienne</t>
  </si>
  <si>
    <t>skyrim.esm|0A6D7B</t>
  </si>
  <si>
    <t>Cuirasse de Sombrage</t>
  </si>
  <si>
    <t>skyrim.esm|0AD5A0</t>
  </si>
  <si>
    <t>dawnguard.esm|00C816</t>
  </si>
  <si>
    <t>Cuirasse falmer ancienne</t>
  </si>
  <si>
    <t>dragonborn.esm|037B8C</t>
  </si>
  <si>
    <t>Cultist Gloves</t>
  </si>
  <si>
    <t>dragonborn.esm|037B88</t>
  </si>
  <si>
    <t>Cultist Mask</t>
  </si>
  <si>
    <t>keizaal.esp|E63192</t>
  </si>
  <si>
    <t>Cultist Robes</t>
  </si>
  <si>
    <t>sentinel - priests and acolytes.esp|00087D</t>
  </si>
  <si>
    <t>Daedric Robes</t>
  </si>
  <si>
    <t>sentinel.esp|0008A3</t>
  </si>
  <si>
    <t>Daedric Scaled Armor</t>
  </si>
  <si>
    <t>sentinel.esp|0008A2</t>
  </si>
  <si>
    <t>Daedric Scaled Boots</t>
  </si>
  <si>
    <t>sentinel.esp|0008A4</t>
  </si>
  <si>
    <t>Daedric Scaled Gauntlets</t>
  </si>
  <si>
    <t>sentinel.esp|0008A5</t>
  </si>
  <si>
    <t>Daedric Scaled Helmet</t>
  </si>
  <si>
    <t>skyrim.esm|0E0DD2</t>
  </si>
  <si>
    <t>Dark Alik'r Hood</t>
  </si>
  <si>
    <t>cloaks&amp;capes.esp|002DFB</t>
  </si>
  <si>
    <t>Dark Brotherhood Cloak</t>
  </si>
  <si>
    <t>windhelmsse.esp|0B8E80</t>
  </si>
  <si>
    <t>Dark Fur Cape</t>
  </si>
  <si>
    <t>skyrim.esm|0E0DD0</t>
  </si>
  <si>
    <t>Dark Hammerfell Garb</t>
  </si>
  <si>
    <t>skyrim.esm|0E0DD4</t>
  </si>
  <si>
    <t>Dark Redguard Boots</t>
  </si>
  <si>
    <t>cloaks&amp;capes.esp|002DF9</t>
  </si>
  <si>
    <t>Dawngaurd Cloak</t>
  </si>
  <si>
    <t>dawnguard.esm|00F3FB</t>
  </si>
  <si>
    <t>Dawnguard Armor</t>
  </si>
  <si>
    <t>dawnguard.esm|00F402</t>
  </si>
  <si>
    <t>dawnguard.esm|00F404</t>
  </si>
  <si>
    <t>dawnguard.esm|00F400</t>
  </si>
  <si>
    <t>Dawnguard Boots</t>
  </si>
  <si>
    <t>dawnguard.esm|0050D0</t>
  </si>
  <si>
    <t>Dawnguard Full Helmet</t>
  </si>
  <si>
    <t>dawnguard.esm|00F3FE</t>
  </si>
  <si>
    <t>Dawnguard Gauntlets</t>
  </si>
  <si>
    <t>dawnguard.esm|00F3F7</t>
  </si>
  <si>
    <t>Dawnguard Heavy Armor</t>
  </si>
  <si>
    <t>dawnguard.esm|00F3FA</t>
  </si>
  <si>
    <t>dawnguard.esm|014757</t>
  </si>
  <si>
    <t>Dawnguard Heavy Boots</t>
  </si>
  <si>
    <t>dawnguard.esm|014758</t>
  </si>
  <si>
    <t>Dawnguard Heavy Gauntlets</t>
  </si>
  <si>
    <t>dawnguard.esm|01989E</t>
  </si>
  <si>
    <t>Dawnguard Helmet</t>
  </si>
  <si>
    <t>dawnguard.esm|011BAF</t>
  </si>
  <si>
    <t>Dawnguard Rune Shield</t>
  </si>
  <si>
    <t>dawnguard.esm|0150B8</t>
  </si>
  <si>
    <t>Dawnguard Shield</t>
  </si>
  <si>
    <t>sentinel - city guards.esp|000834</t>
  </si>
  <si>
    <t>Dawnstar Cloak</t>
  </si>
  <si>
    <t>sentinel - city guards.esp|000839</t>
  </si>
  <si>
    <t>Dawnstar Shield</t>
  </si>
  <si>
    <t>windhelmsse.esp|325848</t>
  </si>
  <si>
    <t>Delmon's Bulwark</t>
  </si>
  <si>
    <t>skyrim.esm|0F9904</t>
  </si>
  <si>
    <t>Diadème du savant</t>
  </si>
  <si>
    <t>sentinel - priests and acolytes.esp|000876</t>
  </si>
  <si>
    <t>Dibella Robes</t>
  </si>
  <si>
    <t>sentinel - priests and acolytes.esp|000878</t>
  </si>
  <si>
    <t>Divines Robes</t>
  </si>
  <si>
    <t>morecraftableequipment.esp|000818</t>
  </si>
  <si>
    <t>Dragonbone Crown</t>
  </si>
  <si>
    <t>dragonborn.esm|0240FF</t>
  </si>
  <si>
    <t>Dukaan</t>
  </si>
  <si>
    <t>morecraftableequipment.esp|000836</t>
  </si>
  <si>
    <t>Dunmer Hood</t>
  </si>
  <si>
    <t>morecraftableequipment.esp|000837</t>
  </si>
  <si>
    <t>morecraftableequipment.esp|000838</t>
  </si>
  <si>
    <t>windhelmsse.esp|06C72D</t>
  </si>
  <si>
    <t>windhelmsse.esp|0D30BE</t>
  </si>
  <si>
    <t>morecraftableequipment.esp|00082C</t>
  </si>
  <si>
    <t>Dunmer Hooded Outfit</t>
  </si>
  <si>
    <t>morecraftableequipment.esp|00082D</t>
  </si>
  <si>
    <t>morecraftableequipment.esp|000831</t>
  </si>
  <si>
    <t>morecraftableequipment.esp|00082F</t>
  </si>
  <si>
    <t>Dunmer Outfit</t>
  </si>
  <si>
    <t>morecraftableequipment.esp|000830</t>
  </si>
  <si>
    <t>morecraftableequipment.esp|000832</t>
  </si>
  <si>
    <t>dragonborn.esm|03705A</t>
  </si>
  <si>
    <t>Dunmer Shoes</t>
  </si>
  <si>
    <t>windhelmsse.esp|2CEC2E</t>
  </si>
  <si>
    <t>Dunmer Wedding Band</t>
  </si>
  <si>
    <t>windhelmsse.esp|2CEC2F</t>
  </si>
  <si>
    <t>sentinel - city guards.esp|000815</t>
  </si>
  <si>
    <t>Eastmarch Guard's Armor</t>
  </si>
  <si>
    <t>sentinel - city guards.esp|00081A</t>
  </si>
  <si>
    <t>Eastmarch Guard's Closed Helmet</t>
  </si>
  <si>
    <t>sentinel - city guards.esp|000816</t>
  </si>
  <si>
    <t>Eastmarch Guard's Heavy Armor</t>
  </si>
  <si>
    <t>sentinel - city guards.esp|00081B</t>
  </si>
  <si>
    <t>Eastmarch Guard's Heavy Helmet</t>
  </si>
  <si>
    <t>sentinel - city guards.esp|000819</t>
  </si>
  <si>
    <t>Eastmarch Guard's Helmet</t>
  </si>
  <si>
    <t>dawnguard.esm|015C1C</t>
  </si>
  <si>
    <t>Elfe des neiges</t>
  </si>
  <si>
    <t>dis_heavy_legion.esp|001302</t>
  </si>
  <si>
    <t>Emperor's Boots</t>
  </si>
  <si>
    <t>dis_heavy_legion.esp|001303</t>
  </si>
  <si>
    <t>Emperor's Cuirass</t>
  </si>
  <si>
    <t>dis_heavy_legion.esp|001304</t>
  </si>
  <si>
    <t>Emperor's Gauntlets</t>
  </si>
  <si>
    <t>dis_heavy_legion.esp|001305</t>
  </si>
  <si>
    <t>Emperor's Helmet</t>
  </si>
  <si>
    <t>dis_heavy_legion.esp|001301</t>
  </si>
  <si>
    <t>Emperor's Shield</t>
  </si>
  <si>
    <t>skyrim.esm|0D2328</t>
  </si>
  <si>
    <t>Étrange amulette</t>
  </si>
  <si>
    <t>skyrim.esm|05A9DF</t>
  </si>
  <si>
    <t>Execution Hood</t>
  </si>
  <si>
    <t>skyrim.esm|05A9E3</t>
  </si>
  <si>
    <t>skyrim.esm|0CF8B0</t>
  </si>
  <si>
    <t>Executioner's Boots</t>
  </si>
  <si>
    <t>skyrim.esm|0CF8B1</t>
  </si>
  <si>
    <t>Executioner's Gloves</t>
  </si>
  <si>
    <t>skyrim.esm|0CF8B2</t>
  </si>
  <si>
    <t>Executioner's Hood</t>
  </si>
  <si>
    <t>skyrim.esm|0CF8B3</t>
  </si>
  <si>
    <t>Executioner's Robes</t>
  </si>
  <si>
    <t>evgnnsmpaccessories.esp|000828</t>
  </si>
  <si>
    <t>Exquisite Cloak</t>
  </si>
  <si>
    <t>evgnnsmpaccessories.esp|000829</t>
  </si>
  <si>
    <t>evgnnsmpaccessories.esp|00082A</t>
  </si>
  <si>
    <t>evgnnsmpaccessories.esp|00082B</t>
  </si>
  <si>
    <t>sentinel - city guards.esp|00083D</t>
  </si>
  <si>
    <t>Falkreath Cloak</t>
  </si>
  <si>
    <t>cloaks&amp;capes.esp|002DF1</t>
  </si>
  <si>
    <t>Falkreath Guard Cloak</t>
  </si>
  <si>
    <t>sentinel - city guards.esp|00083A</t>
  </si>
  <si>
    <t>Falkreath Guard's Armor</t>
  </si>
  <si>
    <t>skyrim.esm|02151E</t>
  </si>
  <si>
    <t>sentinel - city guards.esp|00083C</t>
  </si>
  <si>
    <t>Falkreath Guard's Boots</t>
  </si>
  <si>
    <t>sentinel - city guards.esp|00083E</t>
  </si>
  <si>
    <t>Falkreath Guard's Gauntlets</t>
  </si>
  <si>
    <t>sentinel - city guards.esp|00083B</t>
  </si>
  <si>
    <t>Falkreath Guard's Heavy Armor</t>
  </si>
  <si>
    <t>sentinel - city guards.esp|000840</t>
  </si>
  <si>
    <t>Falkreath Guard's Heavy Helmet</t>
  </si>
  <si>
    <t>sentinel - city guards.esp|00083F</t>
  </si>
  <si>
    <t>Falkreath Guard's Helmet</t>
  </si>
  <si>
    <t>skyrim.esm|021619</t>
  </si>
  <si>
    <t>skyrim.esm|0214ED</t>
  </si>
  <si>
    <t>Falkreath Guard's Shield</t>
  </si>
  <si>
    <t>sentinel - city guards.esp|000841</t>
  </si>
  <si>
    <t>Falkreath Light Shield</t>
  </si>
  <si>
    <t>sentinel - city guards.esp|000842</t>
  </si>
  <si>
    <t>Falkreath Shield</t>
  </si>
  <si>
    <t>evgnnsmpaccessories.esp|000E8A</t>
  </si>
  <si>
    <t>Fastened Scarf</t>
  </si>
  <si>
    <t>evgnnsmpaccessories.esp|000E8B</t>
  </si>
  <si>
    <t>evgnnsmpaccessories.esp|000E8C</t>
  </si>
  <si>
    <t>skyrim.esm|086990</t>
  </si>
  <si>
    <t>Fine Armguards</t>
  </si>
  <si>
    <t>skyrim.esm|0F8713</t>
  </si>
  <si>
    <t>Fine Clothes</t>
  </si>
  <si>
    <t>kzlonlinemods.esp|005988</t>
  </si>
  <si>
    <t>Fine Clothes Arcana</t>
  </si>
  <si>
    <t>kzlonlinemods.esp|005986</t>
  </si>
  <si>
    <t>Fine Clothes Aureate Death</t>
  </si>
  <si>
    <t>kzlonlinemods.esp|005979</t>
  </si>
  <si>
    <t>Fine Clothes Bardic</t>
  </si>
  <si>
    <t>kzlonlinemods.esp|00597B</t>
  </si>
  <si>
    <t>Fine Clothes Blood Moon</t>
  </si>
  <si>
    <t>kzlonlinemods.esp|005987</t>
  </si>
  <si>
    <t>Fine Clothes Blood Pact</t>
  </si>
  <si>
    <t>kzlonlinemods.esp|00597F</t>
  </si>
  <si>
    <t>Fine Clothes Blue Moon</t>
  </si>
  <si>
    <t>kzlonlinemods.esp|005978</t>
  </si>
  <si>
    <t>Fine Clothes Burnished</t>
  </si>
  <si>
    <t>kzlonlinemods.esp|005976</t>
  </si>
  <si>
    <t>Fine Clothes Charcoal</t>
  </si>
  <si>
    <t>kzlonlinemods.esp|005980</t>
  </si>
  <si>
    <t>Fine Clothes Darkmoon</t>
  </si>
  <si>
    <t>kzlonlinemods.esp|005984</t>
  </si>
  <si>
    <t>Fine Clothes Deepwood</t>
  </si>
  <si>
    <t>kzlonlinemods.esp|00597A</t>
  </si>
  <si>
    <t>Fine Clothes Fuscia</t>
  </si>
  <si>
    <t>kzlonlinemods.esp|005982</t>
  </si>
  <si>
    <t>Fine Clothes Ilinalta</t>
  </si>
  <si>
    <t>kzlonlinemods.esp|00597D</t>
  </si>
  <si>
    <t>Fine Clothes Poison Ivy</t>
  </si>
  <si>
    <t>kzlonlinemods.esp|00597E</t>
  </si>
  <si>
    <t>Fine Clothes Red Violet</t>
  </si>
  <si>
    <t>kzlonlinemods.esp|00597C</t>
  </si>
  <si>
    <t>Fine Clothes Seashell</t>
  </si>
  <si>
    <t>kzlonlinemods.esp|005981</t>
  </si>
  <si>
    <t>Fine Clothes Spring Pink</t>
  </si>
  <si>
    <t>kzlonlinemods.esp|005983</t>
  </si>
  <si>
    <t>Fine Clothes Ulvenwald</t>
  </si>
  <si>
    <t>kzlonlinemods.esp|005977</t>
  </si>
  <si>
    <t>Fine Clothes Violet Kiss</t>
  </si>
  <si>
    <t>kzlonlinemods.esp|005985</t>
  </si>
  <si>
    <t>Fine Clothes Wolfsbane</t>
  </si>
  <si>
    <t>windhelmsse.esp|0B8E83</t>
  </si>
  <si>
    <t>Fine Fur</t>
  </si>
  <si>
    <t>windhelmsse.esp|0B8E85</t>
  </si>
  <si>
    <t>windhelmsse.esp|1B1077</t>
  </si>
  <si>
    <t>morecraftableequipment.esp|00082B</t>
  </si>
  <si>
    <t>Focusing Gloves</t>
  </si>
  <si>
    <t>skyrim.esm|0F9649</t>
  </si>
  <si>
    <t>Forteresse d'Herebane</t>
  </si>
  <si>
    <t>skyrim.esm|02D74F</t>
  </si>
  <si>
    <t>Fragment de l'amulette de Gauldur</t>
  </si>
  <si>
    <t>skyrim.esm|02D753</t>
  </si>
  <si>
    <t>skyrim.esm|02D75A</t>
  </si>
  <si>
    <t>windhelmsse.esp|14EC1D</t>
  </si>
  <si>
    <t>Fur Bracers</t>
  </si>
  <si>
    <t>windhelmsse.esp|0B8E81</t>
  </si>
  <si>
    <t>Fur Cape</t>
  </si>
  <si>
    <t>windhelmsse.esp|1D9DB3</t>
  </si>
  <si>
    <t>cloaks&amp;capes.esp|002883</t>
  </si>
  <si>
    <t>Fur Cloak (Black)</t>
  </si>
  <si>
    <t>cloaks&amp;capes.esp|002884</t>
  </si>
  <si>
    <t>Fur Cloak (Brown)</t>
  </si>
  <si>
    <t>cloaks&amp;capes.esp|002885</t>
  </si>
  <si>
    <t>Fur Cloak (Snowy Sabre)</t>
  </si>
  <si>
    <t>cloaks&amp;capes.esp|002886</t>
  </si>
  <si>
    <t>Fur Cloak (Vale Sabre)</t>
  </si>
  <si>
    <t>cloaks&amp;capes.esp|001D8E</t>
  </si>
  <si>
    <t>Fur Cloak (White)</t>
  </si>
  <si>
    <t>sentinel.esp|000911</t>
  </si>
  <si>
    <t>Fur Collar</t>
  </si>
  <si>
    <t>windhelmsse.esp|1F353A</t>
  </si>
  <si>
    <t>Fur Leather Helmet</t>
  </si>
  <si>
    <t>windhelmsse.esp|1F3541</t>
  </si>
  <si>
    <t>Fur-Draped Blue Robes</t>
  </si>
  <si>
    <t>keizaal.esp|DDE4FB</t>
  </si>
  <si>
    <t>Gamemaster Ring</t>
  </si>
  <si>
    <t>skyrim.esm|08B692</t>
  </si>
  <si>
    <t>Gantelets d'acier d'alchimie</t>
  </si>
  <si>
    <t>skyrim.esm|08B693</t>
  </si>
  <si>
    <t>Gantelets d'acier d'alchimie accrue</t>
  </si>
  <si>
    <t>skyrim.esm|08B691</t>
  </si>
  <si>
    <t>Gantelets d'acier d'alchimie minime</t>
  </si>
  <si>
    <t>skyrim.esm|0B50CB</t>
  </si>
  <si>
    <t>Gantelets d'acier d'archerie</t>
  </si>
  <si>
    <t>skyrim.esm|0B50CC</t>
  </si>
  <si>
    <t>Gantelets d'acier d'archerie accrue</t>
  </si>
  <si>
    <t>skyrim.esm|0B50BE</t>
  </si>
  <si>
    <t>Gantelets d'acier d'archerie minime</t>
  </si>
  <si>
    <t>skyrim.esm|08B694</t>
  </si>
  <si>
    <t>Gantelets d'acier de forgeage</t>
  </si>
  <si>
    <t>skyrim.esm|08B695</t>
  </si>
  <si>
    <t>Gantelets d'acier de forgeage accru</t>
  </si>
  <si>
    <t>skyrim.esm|0B50C1</t>
  </si>
  <si>
    <t>Gantelets d'acier de forgeage minime</t>
  </si>
  <si>
    <t>skyrim.esm|0B50CD</t>
  </si>
  <si>
    <t>Gantelets d'acier de maniement</t>
  </si>
  <si>
    <t>skyrim.esm|0B50CE</t>
  </si>
  <si>
    <t>Gantelets d'acier de maniement accru</t>
  </si>
  <si>
    <t>skyrim.esm|0B50BF</t>
  </si>
  <si>
    <t>Gantelets d'acier de maniement minime</t>
  </si>
  <si>
    <t>skyrim.esm|0B50D1</t>
  </si>
  <si>
    <t>Gantelets d'acier de poigne</t>
  </si>
  <si>
    <t>skyrim.esm|0B50D2</t>
  </si>
  <si>
    <t>Gantelets d'acier de poigne accrue</t>
  </si>
  <si>
    <t>skyrim.esm|0B50C2</t>
  </si>
  <si>
    <t>Gantelets d'acier de poigne minime</t>
  </si>
  <si>
    <t>skyrim.esm|013962</t>
  </si>
  <si>
    <t>Gantelets d'ébonite</t>
  </si>
  <si>
    <t>skyrim.esm|0CF84D</t>
  </si>
  <si>
    <t>Gantelets d'ébonite d'alchimie accrue</t>
  </si>
  <si>
    <t>skyrim.esm|0CF84F</t>
  </si>
  <si>
    <t>Gantelets d'ébonite d'alchimie extrême</t>
  </si>
  <si>
    <t>skyrim.esm|0CF84E</t>
  </si>
  <si>
    <t>Gantelets d'ébonite d'alchimie majeure</t>
  </si>
  <si>
    <t>skyrim.esm|0CF862</t>
  </si>
  <si>
    <t>Gantelets d'ébonite d'archerie accrue</t>
  </si>
  <si>
    <t>skyrim.esm|0CF864</t>
  </si>
  <si>
    <t>Gantelets d'ébonite d'archerie extrême</t>
  </si>
  <si>
    <t>skyrim.esm|0CF863</t>
  </si>
  <si>
    <t>Gantelets d'ébonite d'archerie majeure</t>
  </si>
  <si>
    <t>skyrim.esm|0CF86B</t>
  </si>
  <si>
    <t>Gantelets d'ébonite de forgeage accru</t>
  </si>
  <si>
    <t>skyrim.esm|0CF86D</t>
  </si>
  <si>
    <t>Gantelets d'ébonite de forgeage extrême</t>
  </si>
  <si>
    <t>skyrim.esm|0CF86C</t>
  </si>
  <si>
    <t>Gantelets d'ébonite de forgeage majeur</t>
  </si>
  <si>
    <t>skyrim.esm|0CF865</t>
  </si>
  <si>
    <t>Gantelets d'ébonite de maniement accru</t>
  </si>
  <si>
    <t>skyrim.esm|0CF867</t>
  </si>
  <si>
    <t>Gantelets d'ébonite de maniement extrême</t>
  </si>
  <si>
    <t>skyrim.esm|0CF866</t>
  </si>
  <si>
    <t>Gantelets d'ébonite de maniement majeur</t>
  </si>
  <si>
    <t>skyrim.esm|0CF86E</t>
  </si>
  <si>
    <t>Gantelets d'ébonite de poigne accrue</t>
  </si>
  <si>
    <t>skyrim.esm|0CF870</t>
  </si>
  <si>
    <t>Gantelets d'ébonite de poigne extrême</t>
  </si>
  <si>
    <t>skyrim.esm|0CF86F</t>
  </si>
  <si>
    <t>Gantelets d'ébonite de poigne majeure</t>
  </si>
  <si>
    <t>skyrim.esm|01B3A0</t>
  </si>
  <si>
    <t>Gantelets d'écailles</t>
  </si>
  <si>
    <t>skyrim.esm|046BD0</t>
  </si>
  <si>
    <t>Gantelets d'écailles d'alchimie</t>
  </si>
  <si>
    <t>skyrim.esm|046BD1</t>
  </si>
  <si>
    <t>Gantelets d'écailles d'alchimie accrue</t>
  </si>
  <si>
    <t>skyrim.esm|046BD2</t>
  </si>
  <si>
    <t>Gantelets d'écailles d'alchimie majeure</t>
  </si>
  <si>
    <t>skyrim.esm|046BE9</t>
  </si>
  <si>
    <t>Gantelets d'écailles d'archerie</t>
  </si>
  <si>
    <t>skyrim.esm|046BEA</t>
  </si>
  <si>
    <t>Gantelets d'écailles d'archerie accrue</t>
  </si>
  <si>
    <t>skyrim.esm|046BEB</t>
  </si>
  <si>
    <t>Gantelets d'écailles d'archerie majeure</t>
  </si>
  <si>
    <t>skyrim.esm|046BE6</t>
  </si>
  <si>
    <t>Gantelets d'écailles de crochetage</t>
  </si>
  <si>
    <t>skyrim.esm|046BE7</t>
  </si>
  <si>
    <t>Gantelets d'écailles de crochetage accru</t>
  </si>
  <si>
    <t>skyrim.esm|046BE8</t>
  </si>
  <si>
    <t>Gantelets d'écailles de crochetage majeur</t>
  </si>
  <si>
    <t>skyrim.esm|046C7D</t>
  </si>
  <si>
    <t>Gantelets d'écailles de dextérité</t>
  </si>
  <si>
    <t>skyrim.esm|046C7F</t>
  </si>
  <si>
    <t>Gantelets d'écailles de dextérité accrue</t>
  </si>
  <si>
    <t>skyrim.esm|046C80</t>
  </si>
  <si>
    <t>Gantelets d'écailles de dextérité majeure</t>
  </si>
  <si>
    <t>skyrim.esm|046C9E</t>
  </si>
  <si>
    <t>Gantelets d'écailles de forgeage</t>
  </si>
  <si>
    <t>skyrim.esm|046CDA</t>
  </si>
  <si>
    <t>Gantelets d'écailles de forgeage accru</t>
  </si>
  <si>
    <t>skyrim.esm|046CEA</t>
  </si>
  <si>
    <t>Gantelets d'écailles de forgeage majeur</t>
  </si>
  <si>
    <t>skyrim.esm|046C79</t>
  </si>
  <si>
    <t>Gantelets d'écailles de maniement</t>
  </si>
  <si>
    <t>skyrim.esm|046C7A</t>
  </si>
  <si>
    <t>Gantelets d'écailles de maniement accru</t>
  </si>
  <si>
    <t>skyrim.esm|046C7C</t>
  </si>
  <si>
    <t>Gantelets d'écailles de maniement majeur</t>
  </si>
  <si>
    <t>skyrim.esm|046CF3</t>
  </si>
  <si>
    <t>Gantelets d'écailles de poigne</t>
  </si>
  <si>
    <t>skyrim.esm|046CF4</t>
  </si>
  <si>
    <t>Gantelets d'écailles de poigne accrue</t>
  </si>
  <si>
    <t>skyrim.esm|046CF5</t>
  </si>
  <si>
    <t>Gantelets d'écailles de poigne majeure</t>
  </si>
  <si>
    <t>skyrim.esm|086983</t>
  </si>
  <si>
    <t>Gantelets d'officier des Sombrages</t>
  </si>
  <si>
    <t>dragonborn.esm|01CD94</t>
  </si>
  <si>
    <t>Gantelets d'ostalium</t>
  </si>
  <si>
    <t>dragonborn.esm|03AB22</t>
  </si>
  <si>
    <t>Gantelets d'ostalium améliorés</t>
  </si>
  <si>
    <t>dragonborn.esm|0284DC</t>
  </si>
  <si>
    <t>Gantelets d'ostalium d'alchimie</t>
  </si>
  <si>
    <t>dragonborn.esm|0284DD</t>
  </si>
  <si>
    <t>Gantelets d'ostalium d'alchimie accrue</t>
  </si>
  <si>
    <t>dragonborn.esm|0284DB</t>
  </si>
  <si>
    <t>Gantelets d'ostalium d'alchimie minime</t>
  </si>
  <si>
    <t>dragonborn.esm|0284DF</t>
  </si>
  <si>
    <t>Gantelets d'ostalium d'altération</t>
  </si>
  <si>
    <t>dragonborn.esm|0284E0</t>
  </si>
  <si>
    <t>Gantelets d'ostalium d'altération accrue</t>
  </si>
  <si>
    <t>dragonborn.esm|0284DE</t>
  </si>
  <si>
    <t>Gantelets d'ostalium d'altération minime</t>
  </si>
  <si>
    <t>dragonborn.esm|0284EB</t>
  </si>
  <si>
    <t>Gantelets d'ostalium d'archerie</t>
  </si>
  <si>
    <t>dragonborn.esm|0284EC</t>
  </si>
  <si>
    <t>Gantelets d'ostalium d'archerie accrue</t>
  </si>
  <si>
    <t>dragonborn.esm|0284EA</t>
  </si>
  <si>
    <t>Gantelets d'ostalium d'archerie minime</t>
  </si>
  <si>
    <t>dragonborn.esm|0284E2</t>
  </si>
  <si>
    <t>Gantelets d'ostalium de conjuration</t>
  </si>
  <si>
    <t>dragonborn.esm|0284E3</t>
  </si>
  <si>
    <t>Gantelets d'ostalium de conjuration accrue</t>
  </si>
  <si>
    <t>dragonborn.esm|0284E1</t>
  </si>
  <si>
    <t>Gantelets d'ostalium de conjuration minime</t>
  </si>
  <si>
    <t>dragonborn.esm|0284E8</t>
  </si>
  <si>
    <t>Gantelets d'ostalium de crochetage</t>
  </si>
  <si>
    <t>dragonborn.esm|0284E9</t>
  </si>
  <si>
    <t>Gantelets d'ostalium de crochetage accru</t>
  </si>
  <si>
    <t>dragonborn.esm|0284E7</t>
  </si>
  <si>
    <t>Gantelets d'ostalium de crochetage minime</t>
  </si>
  <si>
    <t>dragonborn.esm|0284E5</t>
  </si>
  <si>
    <t>Gantelets d'ostalium de destruction</t>
  </si>
  <si>
    <t>dragonborn.esm|0284E6</t>
  </si>
  <si>
    <t>Gantelets d'ostalium de destruction accrue</t>
  </si>
  <si>
    <t>dragonborn.esm|0284E4</t>
  </si>
  <si>
    <t>Gantelets d'ostalium de destruction minime</t>
  </si>
  <si>
    <t>dragonborn.esm|0284F1</t>
  </si>
  <si>
    <t>Gantelets d'ostalium de dextérité</t>
  </si>
  <si>
    <t>dragonborn.esm|0284F2</t>
  </si>
  <si>
    <t>Gantelets d'ostalium de dextérité accrue</t>
  </si>
  <si>
    <t>dragonborn.esm|0284F0</t>
  </si>
  <si>
    <t>Gantelets d'ostalium de dextérité minime</t>
  </si>
  <si>
    <t>dragonborn.esm|0284F4</t>
  </si>
  <si>
    <t>Gantelets d'ostalium de forgeage</t>
  </si>
  <si>
    <t>dragonborn.esm|0284F5</t>
  </si>
  <si>
    <t>Gantelets d'ostalium de forgeage accru</t>
  </si>
  <si>
    <t>dragonborn.esm|0284F3</t>
  </si>
  <si>
    <t>Gantelets d'ostalium de forgeage minime</t>
  </si>
  <si>
    <t>dragonborn.esm|0284EE</t>
  </si>
  <si>
    <t>Gantelets d'ostalium de maniement</t>
  </si>
  <si>
    <t>dragonborn.esm|0284EF</t>
  </si>
  <si>
    <t>Gantelets d'ostalium de maniement accru</t>
  </si>
  <si>
    <t>dragonborn.esm|0284ED</t>
  </si>
  <si>
    <t>Gantelets d'ostalium de maniement minime</t>
  </si>
  <si>
    <t>dragonborn.esm|0284F7</t>
  </si>
  <si>
    <t>Gantelets d'ostalium de poigne</t>
  </si>
  <si>
    <t>dragonborn.esm|0284F8</t>
  </si>
  <si>
    <t>Gantelets d'ostalium de poigne accrue</t>
  </si>
  <si>
    <t>dragonborn.esm|0284F6</t>
  </si>
  <si>
    <t>Gantelets d'ostalium de poigne minime</t>
  </si>
  <si>
    <t>skyrim.esm|01396C</t>
  </si>
  <si>
    <t>Gantelets daedras</t>
  </si>
  <si>
    <t>skyrim.esm|0D7AB0</t>
  </si>
  <si>
    <t>Gantelets daedras d'alchimie absolue</t>
  </si>
  <si>
    <t>skyrim.esm|0D7AAF</t>
  </si>
  <si>
    <t>Gantelets daedras d'alchimie extrême</t>
  </si>
  <si>
    <t>skyrim.esm|0D7AAE</t>
  </si>
  <si>
    <t>Gantelets daedras d'alchimie majeure</t>
  </si>
  <si>
    <t>skyrim.esm|0D7AC5</t>
  </si>
  <si>
    <t>Gantelets daedras d'archerie absolue</t>
  </si>
  <si>
    <t>skyrim.esm|0D7AC4</t>
  </si>
  <si>
    <t>Gantelets daedras d'archerie extrême</t>
  </si>
  <si>
    <t>skyrim.esm|0D7AC3</t>
  </si>
  <si>
    <t>Gantelets daedras d'archerie majeure</t>
  </si>
  <si>
    <t>skyrim.esm|0D7ACE</t>
  </si>
  <si>
    <t>Gantelets daedras de forgeage absolu</t>
  </si>
  <si>
    <t>skyrim.esm|0D7ACD</t>
  </si>
  <si>
    <t>Gantelets daedras de forgeage extrême</t>
  </si>
  <si>
    <t>skyrim.esm|0D7ACC</t>
  </si>
  <si>
    <t>Gantelets daedras de forgeage majeur</t>
  </si>
  <si>
    <t>skyrim.esm|0D7AC8</t>
  </si>
  <si>
    <t>Gantelets daedras de maniement absolu</t>
  </si>
  <si>
    <t>skyrim.esm|0D7AC7</t>
  </si>
  <si>
    <t>Gantelets daedras de maniement extrême</t>
  </si>
  <si>
    <t>skyrim.esm|0D7AC6</t>
  </si>
  <si>
    <t>Gantelets daedras de maniement majeur</t>
  </si>
  <si>
    <t>skyrim.esm|0D7AD1</t>
  </si>
  <si>
    <t>Gantelets daedras de poigne absolue</t>
  </si>
  <si>
    <t>skyrim.esm|0D7AD0</t>
  </si>
  <si>
    <t>Gantelets daedras de poigne extrême</t>
  </si>
  <si>
    <t>skyrim.esm|0D7ACF</t>
  </si>
  <si>
    <t>Gantelets daedras de poigne majeure</t>
  </si>
  <si>
    <t>dragonborn.esm|01CD88</t>
  </si>
  <si>
    <t>Gantelets de chitine</t>
  </si>
  <si>
    <t>dragonborn.esm|029003</t>
  </si>
  <si>
    <t>Gantelets de chitine d'alchimie</t>
  </si>
  <si>
    <t>dragonborn.esm|029178</t>
  </si>
  <si>
    <t>dragonborn.esm|029004</t>
  </si>
  <si>
    <t>Gantelets de chitine d'alchimie accrue</t>
  </si>
  <si>
    <t>dragonborn.esm|029179</t>
  </si>
  <si>
    <t>dragonborn.esm|029005</t>
  </si>
  <si>
    <t>Gantelets de chitine d'alchimie majeure</t>
  </si>
  <si>
    <t>dragonborn.esm|02917A</t>
  </si>
  <si>
    <t>dragonborn.esm|029009</t>
  </si>
  <si>
    <t>Gantelets de chitine d'archerie</t>
  </si>
  <si>
    <t>dragonborn.esm|02917B</t>
  </si>
  <si>
    <t>dragonborn.esm|02900A</t>
  </si>
  <si>
    <t>Gantelets de chitine d'archerie accrue</t>
  </si>
  <si>
    <t>dragonborn.esm|02917C</t>
  </si>
  <si>
    <t>dragonborn.esm|02900B</t>
  </si>
  <si>
    <t>Gantelets de chitine d'archerie majeure</t>
  </si>
  <si>
    <t>dragonborn.esm|02917D</t>
  </si>
  <si>
    <t>dragonborn.esm|029006</t>
  </si>
  <si>
    <t>Gantelets de chitine de crochetage</t>
  </si>
  <si>
    <t>dragonborn.esm|029007</t>
  </si>
  <si>
    <t>Gantelets de chitine de crochetage accru</t>
  </si>
  <si>
    <t>dragonborn.esm|029008</t>
  </si>
  <si>
    <t>Gantelets de chitine de crochetage majeur</t>
  </si>
  <si>
    <t>dragonborn.esm|02900F</t>
  </si>
  <si>
    <t>Gantelets de chitine de dextérité</t>
  </si>
  <si>
    <t>dragonborn.esm|029010</t>
  </si>
  <si>
    <t>Gantelets de chitine de dextérité accrue</t>
  </si>
  <si>
    <t>dragonborn.esm|029011</t>
  </si>
  <si>
    <t>Gantelets de chitine de dextérité majeure</t>
  </si>
  <si>
    <t>dragonborn.esm|029012</t>
  </si>
  <si>
    <t>Gantelets de chitine de forgeage</t>
  </si>
  <si>
    <t>dragonborn.esm|029181</t>
  </si>
  <si>
    <t>dragonborn.esm|029013</t>
  </si>
  <si>
    <t>Gantelets de chitine de forgeage accru</t>
  </si>
  <si>
    <t>dragonborn.esm|029182</t>
  </si>
  <si>
    <t>dragonborn.esm|029014</t>
  </si>
  <si>
    <t>Gantelets de chitine de forgeage majeur</t>
  </si>
  <si>
    <t>dragonborn.esm|029183</t>
  </si>
  <si>
    <t>dragonborn.esm|02900C</t>
  </si>
  <si>
    <t>Gantelets de chitine de maniement</t>
  </si>
  <si>
    <t>dragonborn.esm|02917E</t>
  </si>
  <si>
    <t>dragonborn.esm|02900D</t>
  </si>
  <si>
    <t>Gantelets de chitine de maniement accru</t>
  </si>
  <si>
    <t>dragonborn.esm|02917F</t>
  </si>
  <si>
    <t>dragonborn.esm|02900E</t>
  </si>
  <si>
    <t>Gantelets de chitine de maniement majeur</t>
  </si>
  <si>
    <t>dragonborn.esm|029180</t>
  </si>
  <si>
    <t>dragonborn.esm|029015</t>
  </si>
  <si>
    <t>Gantelets de chitine de poigne</t>
  </si>
  <si>
    <t>dragonborn.esm|029184</t>
  </si>
  <si>
    <t>dragonborn.esm|029016</t>
  </si>
  <si>
    <t>Gantelets de chitine de poigne accrue</t>
  </si>
  <si>
    <t>dragonborn.esm|029185</t>
  </si>
  <si>
    <t>dragonborn.esm|029017</t>
  </si>
  <si>
    <t>Gantelets de chitine de poigne majeure</t>
  </si>
  <si>
    <t>dragonborn.esm|029186</t>
  </si>
  <si>
    <t>dragonborn.esm|01CD8B</t>
  </si>
  <si>
    <t>Gantelets de chitine lourds</t>
  </si>
  <si>
    <t>skyrim.esm|013921</t>
  </si>
  <si>
    <t>Gantelets de cuir</t>
  </si>
  <si>
    <t>skyrim.esm|08B68C</t>
  </si>
  <si>
    <t>Gantelets de cuir d'alchimie</t>
  </si>
  <si>
    <t>skyrim.esm|08B68D</t>
  </si>
  <si>
    <t>Gantelets de cuir d'alchimie accrue</t>
  </si>
  <si>
    <t>skyrim.esm|08B68B</t>
  </si>
  <si>
    <t>Gantelets de cuir d'alchimie minime</t>
  </si>
  <si>
    <t>skyrim.esm|0B5051</t>
  </si>
  <si>
    <t>Gantelets de cuir d'archerie</t>
  </si>
  <si>
    <t>skyrim.esm|0B5052</t>
  </si>
  <si>
    <t>Gantelets de cuir d'archerie accrue</t>
  </si>
  <si>
    <t>skyrim.esm|0B5050</t>
  </si>
  <si>
    <t>Gantelets de cuir d'archerie minime</t>
  </si>
  <si>
    <t>skyrim.esm|0B504E</t>
  </si>
  <si>
    <t>Gantelets de cuir de crochetage</t>
  </si>
  <si>
    <t>skyrim.esm|0B504F</t>
  </si>
  <si>
    <t>Gantelets de cuir de crochetage accru</t>
  </si>
  <si>
    <t>skyrim.esm|0B504D</t>
  </si>
  <si>
    <t>Gantelets de cuir de crochetage minime</t>
  </si>
  <si>
    <t>skyrim.esm|0B5057</t>
  </si>
  <si>
    <t>Gantelets de cuir de dextérité</t>
  </si>
  <si>
    <t>skyrim.esm|0B5058</t>
  </si>
  <si>
    <t>Gantelets de cuir de dextérité accrue</t>
  </si>
  <si>
    <t>skyrim.esm|0B5056</t>
  </si>
  <si>
    <t>Gantelets de cuir de dextérité minime</t>
  </si>
  <si>
    <t>skyrim.esm|0B505D</t>
  </si>
  <si>
    <t>Gantelets de cuir de forgeage</t>
  </si>
  <si>
    <t>skyrim.esm|0B505E</t>
  </si>
  <si>
    <t>Gantelets de cuir de forgeage accru</t>
  </si>
  <si>
    <t>skyrim.esm|0B505C</t>
  </si>
  <si>
    <t>Gantelets de cuir de forgeage minime</t>
  </si>
  <si>
    <t>skyrim.esm|0B5054</t>
  </si>
  <si>
    <t>Gantelets de cuir de maniement</t>
  </si>
  <si>
    <t>skyrim.esm|0B5055</t>
  </si>
  <si>
    <t>Gantelets de cuir de maniement accru</t>
  </si>
  <si>
    <t>skyrim.esm|0B5053</t>
  </si>
  <si>
    <t>Gantelets de cuir de maniement minime</t>
  </si>
  <si>
    <t>skyrim.esm|0B5060</t>
  </si>
  <si>
    <t>Gantelets de cuir de poigne</t>
  </si>
  <si>
    <t>skyrim.esm|0B5061</t>
  </si>
  <si>
    <t>Gantelets de cuir de poigne accrue</t>
  </si>
  <si>
    <t>skyrim.esm|0B505F</t>
  </si>
  <si>
    <t>Gantelets de cuir de poigne minime</t>
  </si>
  <si>
    <t>skyrim.esm|012E46</t>
  </si>
  <si>
    <t>Gantelets de fer</t>
  </si>
  <si>
    <t>skyrim.esm|08B689</t>
  </si>
  <si>
    <t>Gantelets de fer d'alchimie</t>
  </si>
  <si>
    <t>skyrim.esm|08B68A</t>
  </si>
  <si>
    <t>Gantelets de fer d'alchimie accrue</t>
  </si>
  <si>
    <t>skyrim.esm|08B688</t>
  </si>
  <si>
    <t>Gantelets de fer d'alchimie minime</t>
  </si>
  <si>
    <t>skyrim.esm|0AD57B</t>
  </si>
  <si>
    <t>Gantelets de fer d'archerie</t>
  </si>
  <si>
    <t>skyrim.esm|0AD57C</t>
  </si>
  <si>
    <t>Gantelets de fer d'archerie accrue</t>
  </si>
  <si>
    <t>skyrim.esm|07A12C</t>
  </si>
  <si>
    <t>Gantelets de fer d'archerie minime</t>
  </si>
  <si>
    <t>skyrim.esm|0AD583</t>
  </si>
  <si>
    <t>Gantelets de fer de forgeage</t>
  </si>
  <si>
    <t>skyrim.esm|0AD584</t>
  </si>
  <si>
    <t>Gantelets de fer de forgeage accru</t>
  </si>
  <si>
    <t>skyrim.esm|07A132</t>
  </si>
  <si>
    <t>Gantelets de fer de forgeage minime</t>
  </si>
  <si>
    <t>skyrim.esm|0AD57D</t>
  </si>
  <si>
    <t>Gantelets de fer de maniement</t>
  </si>
  <si>
    <t>skyrim.esm|07A12E</t>
  </si>
  <si>
    <t>Gantelets de fer de maniement accru</t>
  </si>
  <si>
    <t>skyrim.esm|0AD57E</t>
  </si>
  <si>
    <t>skyrim.esm|0AD585</t>
  </si>
  <si>
    <t>Gantelets de fer de poigne</t>
  </si>
  <si>
    <t>skyrim.esm|0AD586</t>
  </si>
  <si>
    <t>Gantelets de fer de poigne accrue</t>
  </si>
  <si>
    <t>skyrim.esm|07A134</t>
  </si>
  <si>
    <t>Gantelets de fer de poigne minime</t>
  </si>
  <si>
    <t>skyrim.esm|06F39B</t>
  </si>
  <si>
    <t>Gantelets de fourrure</t>
  </si>
  <si>
    <t>skyrim.esm|0A6D7D</t>
  </si>
  <si>
    <t>dawnguard.esm|0050C7</t>
  </si>
  <si>
    <t>Gantelets de la Garde de l'aube</t>
  </si>
  <si>
    <t>dragonborn.esm|0292AD</t>
  </si>
  <si>
    <t>Gantelets de Morag Tong</t>
  </si>
  <si>
    <t>skyrim.esm|0D8D55</t>
  </si>
  <si>
    <t>Gantelets de Parjure</t>
  </si>
  <si>
    <t>skyrim.esm|01395D</t>
  </si>
  <si>
    <t>Gantelets de plates</t>
  </si>
  <si>
    <t>skyrim.esm|08B699</t>
  </si>
  <si>
    <t>Gantelets de plates d'alchimie</t>
  </si>
  <si>
    <t>skyrim.esm|08B69A</t>
  </si>
  <si>
    <t>Gantelets de plates d'alchimie accrue</t>
  </si>
  <si>
    <t>skyrim.esm|08B69B</t>
  </si>
  <si>
    <t>Gantelets de plates d'alchimie majeure</t>
  </si>
  <si>
    <t>skyrim.esm|03DF2B</t>
  </si>
  <si>
    <t>Gantelets de plates d'archerie</t>
  </si>
  <si>
    <t>skyrim.esm|03DF4C</t>
  </si>
  <si>
    <t>Gantelets de plates d'archerie accrue</t>
  </si>
  <si>
    <t>skyrim.esm|03DF62</t>
  </si>
  <si>
    <t>Gantelets de plates d'archerie majeure</t>
  </si>
  <si>
    <t>skyrim.esm|03DF73</t>
  </si>
  <si>
    <t>Gantelets de plates de forgeage</t>
  </si>
  <si>
    <t>skyrim.esm|03DF74</t>
  </si>
  <si>
    <t>Gantelets de plates de forgeage accru</t>
  </si>
  <si>
    <t>skyrim.esm|03DF75</t>
  </si>
  <si>
    <t>Gantelets de plates de forgeage majeur</t>
  </si>
  <si>
    <t>skyrim.esm|03DF66</t>
  </si>
  <si>
    <t>Gantelets de plates de maniement</t>
  </si>
  <si>
    <t>skyrim.esm|03DF67</t>
  </si>
  <si>
    <t>Gantelets de plates de maniement accru</t>
  </si>
  <si>
    <t>skyrim.esm|03DF6B</t>
  </si>
  <si>
    <t>Gantelets de plates de maniement majeur</t>
  </si>
  <si>
    <t>skyrim.esm|03DF76</t>
  </si>
  <si>
    <t>Gantelets de plates de poigne</t>
  </si>
  <si>
    <t>skyrim.esm|03DF77</t>
  </si>
  <si>
    <t>Gantelets de plates de poigne accrue</t>
  </si>
  <si>
    <t>skyrim.esm|03DF78</t>
  </si>
  <si>
    <t>Gantelets de plates de poigne majeure</t>
  </si>
  <si>
    <t>dragonborn.esm|01DB99</t>
  </si>
  <si>
    <t>Gantelets de protection d'Ahzidal</t>
  </si>
  <si>
    <t>dragonborn.esm|029229</t>
  </si>
  <si>
    <t>Gantelets de stalhrim d'alchimie absolue</t>
  </si>
  <si>
    <t>dragonborn.esm|0290C0</t>
  </si>
  <si>
    <t>Gantelets de stalhrim d'alchimie accrue</t>
  </si>
  <si>
    <t>dragonborn.esm|0290C2</t>
  </si>
  <si>
    <t>Gantelets de stalhrim d'alchimie extrême</t>
  </si>
  <si>
    <t>dragonborn.esm|029228</t>
  </si>
  <si>
    <t>dragonborn.esm|0290C1</t>
  </si>
  <si>
    <t>Gantelets de stalhrim d'alchimie majeure</t>
  </si>
  <si>
    <t>dragonborn.esm|029227</t>
  </si>
  <si>
    <t>dragonborn.esm|02922C</t>
  </si>
  <si>
    <t>Gantelets de stalhrim d'archerie absolue</t>
  </si>
  <si>
    <t>dragonborn.esm|0290C6</t>
  </si>
  <si>
    <t>Gantelets de stalhrim d'archerie accrue</t>
  </si>
  <si>
    <t>dragonborn.esm|0290C8</t>
  </si>
  <si>
    <t>Gantelets de stalhrim d'archerie extrême</t>
  </si>
  <si>
    <t>dragonborn.esm|02922B</t>
  </si>
  <si>
    <t>dragonborn.esm|0290C7</t>
  </si>
  <si>
    <t>Gantelets de stalhrim d'archerie majeure</t>
  </si>
  <si>
    <t>dragonborn.esm|02922A</t>
  </si>
  <si>
    <t>dragonborn.esm|0290C3</t>
  </si>
  <si>
    <t>Gantelets de stalhrim de crochetage accru</t>
  </si>
  <si>
    <t>dragonborn.esm|0290C5</t>
  </si>
  <si>
    <t>Gantelets de stalhrim de crochetage extrême</t>
  </si>
  <si>
    <t>dragonborn.esm|0290C4</t>
  </si>
  <si>
    <t>Gantelets de stalhrim de crochetage majeur</t>
  </si>
  <si>
    <t>dragonborn.esm|0290CC</t>
  </si>
  <si>
    <t>Gantelets de stalhrim de dextérité accrue</t>
  </si>
  <si>
    <t>dragonborn.esm|0290CE</t>
  </si>
  <si>
    <t>Gantelets de stalhrim de dextérité extrême</t>
  </si>
  <si>
    <t>dragonborn.esm|0290CD</t>
  </si>
  <si>
    <t>Gantelets de stalhrim de dextérité majeure</t>
  </si>
  <si>
    <t>dragonborn.esm|029232</t>
  </si>
  <si>
    <t>Gantelets de stalhrim de forgeage absolu</t>
  </si>
  <si>
    <t>dragonborn.esm|0290CF</t>
  </si>
  <si>
    <t>Gantelets de stalhrim de forgeage accru</t>
  </si>
  <si>
    <t>dragonborn.esm|0290D1</t>
  </si>
  <si>
    <t>Gantelets de stalhrim de forgeage extrême</t>
  </si>
  <si>
    <t>dragonborn.esm|029231</t>
  </si>
  <si>
    <t>dragonborn.esm|0290D0</t>
  </si>
  <si>
    <t>Gantelets de stalhrim de forgeage majeur</t>
  </si>
  <si>
    <t>dragonborn.esm|029230</t>
  </si>
  <si>
    <t>dragonborn.esm|02922F</t>
  </si>
  <si>
    <t>Gantelets de stalhrim de maniement absolu</t>
  </si>
  <si>
    <t>dragonborn.esm|0290C9</t>
  </si>
  <si>
    <t>Gantelets de stalhrim de maniement accru</t>
  </si>
  <si>
    <t>dragonborn.esm|0290CB</t>
  </si>
  <si>
    <t>Gantelets de stalhrim de maniement extrême</t>
  </si>
  <si>
    <t>dragonborn.esm|02922E</t>
  </si>
  <si>
    <t>dragonborn.esm|0290CA</t>
  </si>
  <si>
    <t>Gantelets de stalhrim de maniement majeur</t>
  </si>
  <si>
    <t>dragonborn.esm|02922D</t>
  </si>
  <si>
    <t>dragonborn.esm|029235</t>
  </si>
  <si>
    <t>Gantelets de stalhrim de poigne absolue</t>
  </si>
  <si>
    <t>dragonborn.esm|0290D2</t>
  </si>
  <si>
    <t>Gantelets de stalhrim de poigne accrue</t>
  </si>
  <si>
    <t>dragonborn.esm|0290D4</t>
  </si>
  <si>
    <t>Gantelets de stalhrim de poigne extrême</t>
  </si>
  <si>
    <t>dragonborn.esm|029234</t>
  </si>
  <si>
    <t>dragonborn.esm|0290D3</t>
  </si>
  <si>
    <t>Gantelets de stalhrim de poigne majeure</t>
  </si>
  <si>
    <t>dragonborn.esm|029233</t>
  </si>
  <si>
    <t>dawnguard.esm|01A51F</t>
  </si>
  <si>
    <t>Gantelets de vampire</t>
  </si>
  <si>
    <t>skyrim.esm|01393A</t>
  </si>
  <si>
    <t>Gantelets de verre</t>
  </si>
  <si>
    <t>skyrim.esm|0D5397</t>
  </si>
  <si>
    <t>Gantelets de verre d'alchimie accrue</t>
  </si>
  <si>
    <t>skyrim.esm|0D5399</t>
  </si>
  <si>
    <t>Gantelets de verre d'alchimie extrême</t>
  </si>
  <si>
    <t>skyrim.esm|0D5398</t>
  </si>
  <si>
    <t>Gantelets de verre d'alchimie majeure</t>
  </si>
  <si>
    <t>skyrim.esm|0D53AC</t>
  </si>
  <si>
    <t>Gantelets de verre d'archerie accrue</t>
  </si>
  <si>
    <t>skyrim.esm|0D53AE</t>
  </si>
  <si>
    <t>Gantelets de verre d'archerie extrême</t>
  </si>
  <si>
    <t>skyrim.esm|0D53AD</t>
  </si>
  <si>
    <t>Gantelets de verre d'archerie majeure</t>
  </si>
  <si>
    <t>skyrim.esm|0FCEF1</t>
  </si>
  <si>
    <t>Gantelets de verre de crochetage accru</t>
  </si>
  <si>
    <t>skyrim.esm|0FCEF3</t>
  </si>
  <si>
    <t>Gantelets de verre de crochetage extrême</t>
  </si>
  <si>
    <t>skyrim.esm|0FCEF2</t>
  </si>
  <si>
    <t>Gantelets de verre de crochetage majeur</t>
  </si>
  <si>
    <t>skyrim.esm|0FCEF4</t>
  </si>
  <si>
    <t>Gantelets de verre de dextérité accrue</t>
  </si>
  <si>
    <t>skyrim.esm|0FCEF6</t>
  </si>
  <si>
    <t>Gantelets de verre de dextérité extrême</t>
  </si>
  <si>
    <t>skyrim.esm|0FCEF5</t>
  </si>
  <si>
    <t>Gantelets de verre de dextérité majeure</t>
  </si>
  <si>
    <t>skyrim.esm|0D53B5</t>
  </si>
  <si>
    <t>Gantelets de verre de forgeage accru</t>
  </si>
  <si>
    <t>skyrim.esm|0D53B7</t>
  </si>
  <si>
    <t>Gantelets de verre de forgeage extrême</t>
  </si>
  <si>
    <t>skyrim.esm|0D53B6</t>
  </si>
  <si>
    <t>Gantelets de verre de forgeage majeur</t>
  </si>
  <si>
    <t>skyrim.esm|0D53AF</t>
  </si>
  <si>
    <t>Gantelets de verre de maniement accru</t>
  </si>
  <si>
    <t>skyrim.esm|0D53B1</t>
  </si>
  <si>
    <t>Gantelets de verre de maniement extrême</t>
  </si>
  <si>
    <t>skyrim.esm|0D53B0</t>
  </si>
  <si>
    <t>Gantelets de verre de maniement majeur</t>
  </si>
  <si>
    <t>skyrim.esm|0D53BB</t>
  </si>
  <si>
    <t>Gantelets de verre de poigne accrue</t>
  </si>
  <si>
    <t>skyrim.esm|0D53BD</t>
  </si>
  <si>
    <t>Gantelets de verre de poigne extrême</t>
  </si>
  <si>
    <t>skyrim.esm|0D53BC</t>
  </si>
  <si>
    <t>Gantelets de verre de poigne majeure</t>
  </si>
  <si>
    <t>skyrim.esm|0EAFD2</t>
  </si>
  <si>
    <t>Gantelets des Anciennes divinités</t>
  </si>
  <si>
    <t>skyrim.esm|01393F</t>
  </si>
  <si>
    <t>Gantelets draconiques</t>
  </si>
  <si>
    <t>skyrim.esm|0D79D2</t>
  </si>
  <si>
    <t>Gantelets draconiques d'alchimie absolue</t>
  </si>
  <si>
    <t>skyrim.esm|0D79D1</t>
  </si>
  <si>
    <t>Gantelets draconiques d'alchimie extrême</t>
  </si>
  <si>
    <t>skyrim.esm|0D79D0</t>
  </si>
  <si>
    <t>Gantelets draconiques d'alchimie majeure</t>
  </si>
  <si>
    <t>skyrim.esm|0D79E7</t>
  </si>
  <si>
    <t>Gantelets draconiques d'archerie absolue</t>
  </si>
  <si>
    <t>skyrim.esm|0D79E6</t>
  </si>
  <si>
    <t>Gantelets draconiques d'archerie extrême</t>
  </si>
  <si>
    <t>skyrim.esm|0D79E5</t>
  </si>
  <si>
    <t>Gantelets draconiques d'archerie majeure</t>
  </si>
  <si>
    <t>skyrim.esm|10DF73</t>
  </si>
  <si>
    <t>Gantelets draconiques de crochetage absolu</t>
  </si>
  <si>
    <t>skyrim.esm|10DF72</t>
  </si>
  <si>
    <t>Gantelets draconiques de crochetage extrême</t>
  </si>
  <si>
    <t>skyrim.esm|10DF71</t>
  </si>
  <si>
    <t>Gantelets draconiques de crochetage majeur</t>
  </si>
  <si>
    <t>skyrim.esm|10DF70</t>
  </si>
  <si>
    <t>Gantelets draconiques de dextérité absolue</t>
  </si>
  <si>
    <t>skyrim.esm|10DF6F</t>
  </si>
  <si>
    <t>Gantelets draconiques de dextérité extrême</t>
  </si>
  <si>
    <t>skyrim.esm|10DF6E</t>
  </si>
  <si>
    <t>Gantelets draconiques de dextérité majeure</t>
  </si>
  <si>
    <t>skyrim.esm|0D79F0</t>
  </si>
  <si>
    <t>Gantelets draconiques de forgeage absolu</t>
  </si>
  <si>
    <t>skyrim.esm|0D79EF</t>
  </si>
  <si>
    <t>Gantelets draconiques de forgeage extrême</t>
  </si>
  <si>
    <t>skyrim.esm|0D79EE</t>
  </si>
  <si>
    <t>Gantelets draconiques de forgeage majeur</t>
  </si>
  <si>
    <t>skyrim.esm|0D79EA</t>
  </si>
  <si>
    <t>Gantelets draconiques de maniement absolu</t>
  </si>
  <si>
    <t>skyrim.esm|0D79E9</t>
  </si>
  <si>
    <t>Gantelets draconiques de maniement extrême</t>
  </si>
  <si>
    <t>skyrim.esm|0D79E8</t>
  </si>
  <si>
    <t>Gantelets draconiques de maniement majeur</t>
  </si>
  <si>
    <t>skyrim.esm|0D79F3</t>
  </si>
  <si>
    <t>Gantelets draconiques de poigne absolue</t>
  </si>
  <si>
    <t>skyrim.esm|0D79F2</t>
  </si>
  <si>
    <t>Gantelets draconiques de poigne extrême</t>
  </si>
  <si>
    <t>skyrim.esm|0D79F1</t>
  </si>
  <si>
    <t>Gantelets draconiques de poigne majeure</t>
  </si>
  <si>
    <t>dragonborn.esm|02401C</t>
  </si>
  <si>
    <t>Gantelets du Balafré</t>
  </si>
  <si>
    <t>skyrim.esm|01394E</t>
  </si>
  <si>
    <t>Gantelets dwemers</t>
  </si>
  <si>
    <t>skyrim.esm|08B673</t>
  </si>
  <si>
    <t>Gantelets dwemers d'alchimie</t>
  </si>
  <si>
    <t>skyrim.esm|08B674</t>
  </si>
  <si>
    <t>Gantelets dwemers d'alchimie accrue</t>
  </si>
  <si>
    <t>skyrim.esm|08B675</t>
  </si>
  <si>
    <t>Gantelets dwemers d'alchimie majeure</t>
  </si>
  <si>
    <t>skyrim.esm|01B3FB</t>
  </si>
  <si>
    <t>Gantelets dwemers d'archerie</t>
  </si>
  <si>
    <t>skyrim.esm|01B3FC</t>
  </si>
  <si>
    <t>Gantelets dwemers d'archerie accrue</t>
  </si>
  <si>
    <t>skyrim.esm|01B3FD</t>
  </si>
  <si>
    <t>Gantelets dwemers d'archerie majeure</t>
  </si>
  <si>
    <t>skyrim.esm|01B761</t>
  </si>
  <si>
    <t>Gantelets dwemers de forgeage</t>
  </si>
  <si>
    <t>skyrim.esm|01B762</t>
  </si>
  <si>
    <t>Gantelets dwemers de forgeage accru</t>
  </si>
  <si>
    <t>skyrim.esm|01B766</t>
  </si>
  <si>
    <t>Gantelets dwemers de forgeage majeur</t>
  </si>
  <si>
    <t>skyrim.esm|01B755</t>
  </si>
  <si>
    <t>Gantelets dwemers de maniement</t>
  </si>
  <si>
    <t>skyrim.esm|01B756</t>
  </si>
  <si>
    <t>Gantelets dwemers de maniement accru</t>
  </si>
  <si>
    <t>skyrim.esm|01B757</t>
  </si>
  <si>
    <t>Gantelets dwemers de maniement majeur</t>
  </si>
  <si>
    <t>skyrim.esm|01B767</t>
  </si>
  <si>
    <t>Gantelets dwemers de poigne</t>
  </si>
  <si>
    <t>skyrim.esm|01B768</t>
  </si>
  <si>
    <t>Gantelets dwemers de poigne accrue</t>
  </si>
  <si>
    <t>skyrim.esm|01B76A</t>
  </si>
  <si>
    <t>Gantelets dwemers de poigne majeure</t>
  </si>
  <si>
    <t>skyrim.esm|01391C</t>
  </si>
  <si>
    <t>Gantelets elfiques</t>
  </si>
  <si>
    <t>skyrim.esm|08B676</t>
  </si>
  <si>
    <t>Gantelets elfiques d'alchimie</t>
  </si>
  <si>
    <t>skyrim.esm|08B677</t>
  </si>
  <si>
    <t>Gantelets elfiques d'alchimie accrue</t>
  </si>
  <si>
    <t>skyrim.esm|08B678</t>
  </si>
  <si>
    <t>Gantelets elfiques d'alchimie majeure</t>
  </si>
  <si>
    <t>skyrim.esm|0BDFDC</t>
  </si>
  <si>
    <t>Gantelets elfiques d'archerie</t>
  </si>
  <si>
    <t>skyrim.esm|0BDFDD</t>
  </si>
  <si>
    <t>Gantelets elfiques d'archerie accrue</t>
  </si>
  <si>
    <t>skyrim.esm|0BE049</t>
  </si>
  <si>
    <t>Gantelets elfiques d'archerie majeure</t>
  </si>
  <si>
    <t>skyrim.esm|0BDFDA</t>
  </si>
  <si>
    <t>Gantelets elfiques de crochetage</t>
  </si>
  <si>
    <t>skyrim.esm|0BDFDB</t>
  </si>
  <si>
    <t>Gantelets elfiques de crochetage accru</t>
  </si>
  <si>
    <t>skyrim.esm|0BE048</t>
  </si>
  <si>
    <t>Gantelets elfiques de crochetage majeur</t>
  </si>
  <si>
    <t>skyrim.esm|0BDFE0</t>
  </si>
  <si>
    <t>Gantelets elfiques de dextérité</t>
  </si>
  <si>
    <t>skyrim.esm|0BDFE1</t>
  </si>
  <si>
    <t>Gantelets elfiques de dextérité accrue</t>
  </si>
  <si>
    <t>skyrim.esm|0BE04B</t>
  </si>
  <si>
    <t>Gantelets elfiques de dextérité majeure</t>
  </si>
  <si>
    <t>skyrim.esm|0BDFE4</t>
  </si>
  <si>
    <t>Gantelets elfiques de forgeage</t>
  </si>
  <si>
    <t>skyrim.esm|0BDFE5</t>
  </si>
  <si>
    <t>Gantelets elfiques de forgeage accru</t>
  </si>
  <si>
    <t>skyrim.esm|0BE04D</t>
  </si>
  <si>
    <t>Gantelets elfiques de forgeage majeur</t>
  </si>
  <si>
    <t>skyrim.esm|0BDFDE</t>
  </si>
  <si>
    <t>Gantelets elfiques de maniement</t>
  </si>
  <si>
    <t>skyrim.esm|0BDFDF</t>
  </si>
  <si>
    <t>Gantelets elfiques de maniement accru</t>
  </si>
  <si>
    <t>skyrim.esm|0BE04A</t>
  </si>
  <si>
    <t>Gantelets elfiques de maniement majeur</t>
  </si>
  <si>
    <t>skyrim.esm|0BDFE6</t>
  </si>
  <si>
    <t>Gantelets elfiques de poigne</t>
  </si>
  <si>
    <t>skyrim.esm|0BDFE7</t>
  </si>
  <si>
    <t>Gantelets elfiques de poigne accrue</t>
  </si>
  <si>
    <t>skyrim.esm|0BE04E</t>
  </si>
  <si>
    <t>Gantelets elfiques de poigne majeure</t>
  </si>
  <si>
    <t>skyrim.esm|013912</t>
  </si>
  <si>
    <t>Gantelets en peau</t>
  </si>
  <si>
    <t>skyrim.esm|08B680</t>
  </si>
  <si>
    <t>Gantelets en peau d'alchimie</t>
  </si>
  <si>
    <t>skyrim.esm|08B681</t>
  </si>
  <si>
    <t>Gantelets en peau d'alchimie accrue</t>
  </si>
  <si>
    <t>skyrim.esm|08B67F</t>
  </si>
  <si>
    <t>Gantelets en peau d'alchimie minime</t>
  </si>
  <si>
    <t>skyrim.esm|0AD4AF</t>
  </si>
  <si>
    <t>Gantelets en peau d'archerie</t>
  </si>
  <si>
    <t>skyrim.esm|0AD4B0</t>
  </si>
  <si>
    <t>Gantelets en peau d'archerie accrue</t>
  </si>
  <si>
    <t>skyrim.esm|07A14A</t>
  </si>
  <si>
    <t>Gantelets en peau d'archerie minime</t>
  </si>
  <si>
    <t>skyrim.esm|0AD4AD</t>
  </si>
  <si>
    <t>Gantelets en peau de crochetage</t>
  </si>
  <si>
    <t>skyrim.esm|0AD4AE</t>
  </si>
  <si>
    <t>Gantelets en peau de crochetage accru</t>
  </si>
  <si>
    <t>skyrim.esm|07A149</t>
  </si>
  <si>
    <t>Gantelets en peau de crochetage minime</t>
  </si>
  <si>
    <t>skyrim.esm|0AD4B3</t>
  </si>
  <si>
    <t>Gantelets en peau de dextérité</t>
  </si>
  <si>
    <t>skyrim.esm|0AD4B4</t>
  </si>
  <si>
    <t>Gantelets en peau de dextérité accrue</t>
  </si>
  <si>
    <t>skyrim.esm|07A14C</t>
  </si>
  <si>
    <t>Gantelets en peau de dextérité minime</t>
  </si>
  <si>
    <t>skyrim.esm|0AD4B7</t>
  </si>
  <si>
    <t>Gantelets en peau de forgeage</t>
  </si>
  <si>
    <t>skyrim.esm|0AD4B8</t>
  </si>
  <si>
    <t>Gantelets en peau de forgeage accru</t>
  </si>
  <si>
    <t>skyrim.esm|07A14E</t>
  </si>
  <si>
    <t>Gantelets en peau de forgeage minime</t>
  </si>
  <si>
    <t>skyrim.esm|0AD4B1</t>
  </si>
  <si>
    <t>Gantelets en peau de maniement</t>
  </si>
  <si>
    <t>skyrim.esm|0AD4B2</t>
  </si>
  <si>
    <t>Gantelets en peau de maniement accru</t>
  </si>
  <si>
    <t>skyrim.esm|0AD4B9</t>
  </si>
  <si>
    <t>Gantelets en peau de poigne</t>
  </si>
  <si>
    <t>skyrim.esm|0AD4BA</t>
  </si>
  <si>
    <t>Gantelets en peau de poigne accrue</t>
  </si>
  <si>
    <t>skyrim.esm|07A14F</t>
  </si>
  <si>
    <t>Gantelets en peau de poigne minime</t>
  </si>
  <si>
    <t>skyrim.esm|07A14B</t>
  </si>
  <si>
    <t>Gantelets en peau maniement minime</t>
  </si>
  <si>
    <t>skyrim.esm|0B83CF</t>
  </si>
  <si>
    <t>Gantelets falmers</t>
  </si>
  <si>
    <t>dawnguard.esm|00C817</t>
  </si>
  <si>
    <t>Gantelets falmers anciens</t>
  </si>
  <si>
    <t>dawnguard.esm|00E8DF</t>
  </si>
  <si>
    <t>Gantelets falmers durcis</t>
  </si>
  <si>
    <t>skyrim.esm|0F6F23</t>
  </si>
  <si>
    <t>Gantelets impériaux d'acier</t>
  </si>
  <si>
    <t>skyrim.esm|08B683</t>
  </si>
  <si>
    <t>Gantelets impériaux d'alchimie</t>
  </si>
  <si>
    <t>skyrim.esm|08B686</t>
  </si>
  <si>
    <t>skyrim.esm|08B684</t>
  </si>
  <si>
    <t>Gantelets impériaux d'alchimie accrue</t>
  </si>
  <si>
    <t>skyrim.esm|08B687</t>
  </si>
  <si>
    <t>skyrim.esm|08B682</t>
  </si>
  <si>
    <t>Gantelets impériaux d'alchimie minime</t>
  </si>
  <si>
    <t>skyrim.esm|08B685</t>
  </si>
  <si>
    <t>skyrim.esm|0AD4F5</t>
  </si>
  <si>
    <t>Gantelets impériaux d'altération</t>
  </si>
  <si>
    <t>skyrim.esm|0B972F</t>
  </si>
  <si>
    <t>skyrim.esm|0AD4F6</t>
  </si>
  <si>
    <t>Gantelets impériaux d'altération accrue</t>
  </si>
  <si>
    <t>skyrim.esm|0B9730</t>
  </si>
  <si>
    <t>skyrim.esm|0ACCC6</t>
  </si>
  <si>
    <t>Gantelets impériaux d'altération minime</t>
  </si>
  <si>
    <t>skyrim.esm|0B972E</t>
  </si>
  <si>
    <t>skyrim.esm|0AD503</t>
  </si>
  <si>
    <t>Gantelets impériaux d'archerie</t>
  </si>
  <si>
    <t>skyrim.esm|0B9744</t>
  </si>
  <si>
    <t>skyrim.esm|0AD504</t>
  </si>
  <si>
    <t>Gantelets impériaux d'archerie accrue</t>
  </si>
  <si>
    <t>skyrim.esm|0B9745</t>
  </si>
  <si>
    <t>skyrim.esm|0ACCCD</t>
  </si>
  <si>
    <t>Gantelets impériaux d'archerie minime</t>
  </si>
  <si>
    <t>skyrim.esm|0B9743</t>
  </si>
  <si>
    <t>skyrim.esm|0AD4F9</t>
  </si>
  <si>
    <t>Gantelets impériaux de conjuration</t>
  </si>
  <si>
    <t>skyrim.esm|0B9735</t>
  </si>
  <si>
    <t>skyrim.esm|0AD4FA</t>
  </si>
  <si>
    <t>Gantelets impériaux de conjuration accrue</t>
  </si>
  <si>
    <t>skyrim.esm|0B9736</t>
  </si>
  <si>
    <t>skyrim.esm|0ACCC8</t>
  </si>
  <si>
    <t>Gantelets impériaux de conjuration minime</t>
  </si>
  <si>
    <t>skyrim.esm|0B9734</t>
  </si>
  <si>
    <t>skyrim.esm|0B9741</t>
  </si>
  <si>
    <t>Gantelets impériaux de crochetage</t>
  </si>
  <si>
    <t>skyrim.esm|0B9742</t>
  </si>
  <si>
    <t>Gantelets impériaux de crochetage accru</t>
  </si>
  <si>
    <t>skyrim.esm|0B9740</t>
  </si>
  <si>
    <t>Gantelets impériaux de crochetage minime</t>
  </si>
  <si>
    <t>skyrim.esm|0AD4FB</t>
  </si>
  <si>
    <t>Gantelets impériaux de destruction</t>
  </si>
  <si>
    <t>skyrim.esm|0B9738</t>
  </si>
  <si>
    <t>skyrim.esm|0AD4FC</t>
  </si>
  <si>
    <t>Gantelets impériaux de destruction accrue</t>
  </si>
  <si>
    <t>skyrim.esm|0B9739</t>
  </si>
  <si>
    <t>skyrim.esm|0ACCC9</t>
  </si>
  <si>
    <t>Gantelets impériaux de destruction minime</t>
  </si>
  <si>
    <t>skyrim.esm|0B9737</t>
  </si>
  <si>
    <t>skyrim.esm|0B974A</t>
  </si>
  <si>
    <t>Gantelets impériaux de dextérité</t>
  </si>
  <si>
    <t>skyrim.esm|0B974B</t>
  </si>
  <si>
    <t>Gantelets impériaux de dextérité accrue</t>
  </si>
  <si>
    <t>skyrim.esm|0B9749</t>
  </si>
  <si>
    <t>Gantelets impériaux de dextérité minime</t>
  </si>
  <si>
    <t>skyrim.esm|0AD50B</t>
  </si>
  <si>
    <t>Gantelets impériaux de forgeage</t>
  </si>
  <si>
    <t>skyrim.esm|0B9750</t>
  </si>
  <si>
    <t>skyrim.esm|0AD50C</t>
  </si>
  <si>
    <t>Gantelets impériaux de forgeage accru</t>
  </si>
  <si>
    <t>skyrim.esm|0B9751</t>
  </si>
  <si>
    <t>skyrim.esm|0ACCD1</t>
  </si>
  <si>
    <t>Gantelets impériaux de forgeage minime</t>
  </si>
  <si>
    <t>skyrim.esm|0B974F</t>
  </si>
  <si>
    <t>skyrim.esm|0AD505</t>
  </si>
  <si>
    <t>Gantelets impériaux de maniement</t>
  </si>
  <si>
    <t>skyrim.esm|0B9747</t>
  </si>
  <si>
    <t>skyrim.esm|0AD506</t>
  </si>
  <si>
    <t>Gantelets impériaux de maniement accru</t>
  </si>
  <si>
    <t>skyrim.esm|0B9748</t>
  </si>
  <si>
    <t>skyrim.esm|0ACCCE</t>
  </si>
  <si>
    <t>Gantelets impériaux de maniement minime</t>
  </si>
  <si>
    <t>skyrim.esm|0B9746</t>
  </si>
  <si>
    <t>skyrim.esm|0AD50D</t>
  </si>
  <si>
    <t>Gantelets impériaux de poigne</t>
  </si>
  <si>
    <t>skyrim.esm|0B9753</t>
  </si>
  <si>
    <t>skyrim.esm|0AD50E</t>
  </si>
  <si>
    <t>Gantelets impériaux de poigne accrue</t>
  </si>
  <si>
    <t>skyrim.esm|0B9754</t>
  </si>
  <si>
    <t>skyrim.esm|0ACCD2</t>
  </si>
  <si>
    <t>Gantelets impériaux de poigne minime</t>
  </si>
  <si>
    <t>skyrim.esm|0B9752</t>
  </si>
  <si>
    <t>dawnguard.esm|0023ED</t>
  </si>
  <si>
    <t>Gantelets lourds falmer</t>
  </si>
  <si>
    <t>dragonborn.esm|0291C5</t>
  </si>
  <si>
    <t>Gantelets nordiques d'alchimie accrue</t>
  </si>
  <si>
    <t>dragonborn.esm|0291C7</t>
  </si>
  <si>
    <t>Gantelets nordiques d'alchimie extrême</t>
  </si>
  <si>
    <t>dragonborn.esm|0291C6</t>
  </si>
  <si>
    <t>Gantelets nordiques d'alchimie majeure</t>
  </si>
  <si>
    <t>dragonborn.esm|0291C8</t>
  </si>
  <si>
    <t>Gantelets nordiques d'archerie accrue</t>
  </si>
  <si>
    <t>dragonborn.esm|0291CA</t>
  </si>
  <si>
    <t>Gantelets nordiques d'archerie extrême</t>
  </si>
  <si>
    <t>dragonborn.esm|0291C9</t>
  </si>
  <si>
    <t>Gantelets nordiques d'archerie majeure</t>
  </si>
  <si>
    <t>dragonborn.esm|0291CE</t>
  </si>
  <si>
    <t>Gantelets nordiques de forgeage accru</t>
  </si>
  <si>
    <t>dragonborn.esm|0291D0</t>
  </si>
  <si>
    <t>Gantelets nordiques de forgeage extrême</t>
  </si>
  <si>
    <t>dragonborn.esm|0291CF</t>
  </si>
  <si>
    <t>Gantelets nordiques de forgeage majeur</t>
  </si>
  <si>
    <t>dragonborn.esm|0291CB</t>
  </si>
  <si>
    <t>Gantelets nordiques de maniement accru</t>
  </si>
  <si>
    <t>dragonborn.esm|0291CD</t>
  </si>
  <si>
    <t>Gantelets nordiques de maniement extrême</t>
  </si>
  <si>
    <t>dragonborn.esm|0291CC</t>
  </si>
  <si>
    <t>Gantelets nordiques de maniement majeur</t>
  </si>
  <si>
    <t>dragonborn.esm|0291D1</t>
  </si>
  <si>
    <t>Gantelets nordiques de poigne accrue</t>
  </si>
  <si>
    <t>dragonborn.esm|0291D3</t>
  </si>
  <si>
    <t>Gantelets nordiques de poigne extrême</t>
  </si>
  <si>
    <t>dragonborn.esm|0291D2</t>
  </si>
  <si>
    <t>Gantelets nordiques de poigne majeure</t>
  </si>
  <si>
    <t>skyrim.esm|013953</t>
  </si>
  <si>
    <t>Gantelets nordiques en acier</t>
  </si>
  <si>
    <t>skyrim.esm|013958</t>
  </si>
  <si>
    <t>Gantelets orques</t>
  </si>
  <si>
    <t>skyrim.esm|0CF7D8</t>
  </si>
  <si>
    <t>Gantelets orques d'alchimie accrue</t>
  </si>
  <si>
    <t>skyrim.esm|0CF7DA</t>
  </si>
  <si>
    <t>Gantelets orques d'alchimie extrême</t>
  </si>
  <si>
    <t>skyrim.esm|0CF7D9</t>
  </si>
  <si>
    <t>Gantelets orques d'alchimie majeure</t>
  </si>
  <si>
    <t>skyrim.esm|0CF7ED</t>
  </si>
  <si>
    <t>Gantelets orques d'archerie accrue</t>
  </si>
  <si>
    <t>skyrim.esm|0CF7EF</t>
  </si>
  <si>
    <t>Gantelets orques d'archerie extrême</t>
  </si>
  <si>
    <t>skyrim.esm|0CF7EE</t>
  </si>
  <si>
    <t>Gantelets orques d'archerie majeure</t>
  </si>
  <si>
    <t>skyrim.esm|0CF7F6</t>
  </si>
  <si>
    <t>Gantelets orques de forgeage accru</t>
  </si>
  <si>
    <t>skyrim.esm|0CF7F8</t>
  </si>
  <si>
    <t>Gantelets orques de forgeage extrême</t>
  </si>
  <si>
    <t>skyrim.esm|0CF7F7</t>
  </si>
  <si>
    <t>Gantelets orques de forgeage majeur</t>
  </si>
  <si>
    <t>skyrim.esm|0CF7F0</t>
  </si>
  <si>
    <t>Gantelets orques de maniement accru</t>
  </si>
  <si>
    <t>skyrim.esm|0CF7F2</t>
  </si>
  <si>
    <t>Gantelets orques de maniement extrême</t>
  </si>
  <si>
    <t>skyrim.esm|0CF7F1</t>
  </si>
  <si>
    <t>Gantelets orques de maniement majeur</t>
  </si>
  <si>
    <t>skyrim.esm|0CF7F9</t>
  </si>
  <si>
    <t>Gantelets orques de poigne accrue</t>
  </si>
  <si>
    <t>skyrim.esm|0CF7FB</t>
  </si>
  <si>
    <t>Gantelets orques de poigne extrême</t>
  </si>
  <si>
    <t>skyrim.esm|0CF7FA</t>
  </si>
  <si>
    <t>Gantelets orques de poigne majeure</t>
  </si>
  <si>
    <t>skyrim.esm|013967</t>
  </si>
  <si>
    <t>Gantelets pendragon</t>
  </si>
  <si>
    <t>skyrim.esm|0D7A3E</t>
  </si>
  <si>
    <t>Gantelets pendragon d'alchimie absolue</t>
  </si>
  <si>
    <t>skyrim.esm|0D7A3D</t>
  </si>
  <si>
    <t>Gantelets pendragon d'alchimie extrême</t>
  </si>
  <si>
    <t>skyrim.esm|0D7A3C</t>
  </si>
  <si>
    <t>Gantelets pendragon d'alchimie majeure</t>
  </si>
  <si>
    <t>skyrim.esm|0D7A53</t>
  </si>
  <si>
    <t>Gantelets pendragon d'archerie absolue</t>
  </si>
  <si>
    <t>skyrim.esm|0D7A52</t>
  </si>
  <si>
    <t>Gantelets pendragon d'archerie extrême</t>
  </si>
  <si>
    <t>skyrim.esm|0D7A51</t>
  </si>
  <si>
    <t>Gantelets pendragon d'archerie majeure</t>
  </si>
  <si>
    <t>skyrim.esm|0D7A5C</t>
  </si>
  <si>
    <t>Gantelets pendragon de forgeage absolu</t>
  </si>
  <si>
    <t>skyrim.esm|0D7A5B</t>
  </si>
  <si>
    <t>Gantelets pendragon de forgeage extrême</t>
  </si>
  <si>
    <t>skyrim.esm|0D7A5A</t>
  </si>
  <si>
    <t>Gantelets pendragon de forgeage majeur</t>
  </si>
  <si>
    <t>skyrim.esm|0D7A56</t>
  </si>
  <si>
    <t>Gantelets pendragon de maniement absolu</t>
  </si>
  <si>
    <t>skyrim.esm|0D7A55</t>
  </si>
  <si>
    <t>Gantelets pendragon de maniement extrême</t>
  </si>
  <si>
    <t>skyrim.esm|0D7A54</t>
  </si>
  <si>
    <t>Gantelets pendragon de maniement majeur</t>
  </si>
  <si>
    <t>skyrim.esm|0D7A5F</t>
  </si>
  <si>
    <t>Gantelets pendragon de poigne absolue</t>
  </si>
  <si>
    <t>skyrim.esm|0D7A5E</t>
  </si>
  <si>
    <t>Gantelets pendragon de poigne extrême</t>
  </si>
  <si>
    <t>skyrim.esm|0D7A5D</t>
  </si>
  <si>
    <t>Gantelets pendragon de poigne majeure</t>
  </si>
  <si>
    <t>skyrim.esm|0261C1</t>
  </si>
  <si>
    <t>Gants</t>
  </si>
  <si>
    <t>skyrim.esm|026C3B</t>
  </si>
  <si>
    <t>Gants d'harmonie mystique</t>
  </si>
  <si>
    <t>skyrim.esm|0CEE74</t>
  </si>
  <si>
    <t>Gants de bouffon</t>
  </si>
  <si>
    <t>skyrim.esm|06492D</t>
  </si>
  <si>
    <t>Gants de Cicéron</t>
  </si>
  <si>
    <t>skyrim.esm|092DBE</t>
  </si>
  <si>
    <t>Gants de concentration</t>
  </si>
  <si>
    <t>dragonborn.esm|02AD32</t>
  </si>
  <si>
    <t>Gants de Gardenoir</t>
  </si>
  <si>
    <t>skyrim.esm|0B145B</t>
  </si>
  <si>
    <t>Gants de l'Aube mythique</t>
  </si>
  <si>
    <t>skyrim.esm|0D3AC4</t>
  </si>
  <si>
    <t>Gants de la Guilde des voleurs</t>
  </si>
  <si>
    <t>skyrim.esm|0D3ACD</t>
  </si>
  <si>
    <t>skyrim.esm|108545</t>
  </si>
  <si>
    <t>Gants de Linwe</t>
  </si>
  <si>
    <t>skyrim.esm|0E35D8</t>
  </si>
  <si>
    <t>Gants de maître de guilde</t>
  </si>
  <si>
    <t>dragonborn.esm|02B0F9</t>
  </si>
  <si>
    <t>Gants de Miraak</t>
  </si>
  <si>
    <t>skyrim.esm|05DB87</t>
  </si>
  <si>
    <t>Gants de Rossignol</t>
  </si>
  <si>
    <t>skyrim.esm|0FCC10</t>
  </si>
  <si>
    <t>skyrim.esm|0FCC11</t>
  </si>
  <si>
    <t>dragonborn.esm|039110</t>
  </si>
  <si>
    <t>Gants de Skaal</t>
  </si>
  <si>
    <t>skyrim.esm|065BB3</t>
  </si>
  <si>
    <t>Gants de Thalmor</t>
  </si>
  <si>
    <t>dawnguard.esm|019AE3</t>
  </si>
  <si>
    <t>Gants de vampire</t>
  </si>
  <si>
    <t>skyrim.esm|0F5981</t>
  </si>
  <si>
    <t>Gants du passe-partout</t>
  </si>
  <si>
    <t>skyrim.esm|10A06A</t>
  </si>
  <si>
    <t>Gants du Pugiliste</t>
  </si>
  <si>
    <t>skyrim.esm|105F13</t>
  </si>
  <si>
    <t>Gants légers elfiques</t>
  </si>
  <si>
    <t>skyrim.esm|0D2843</t>
  </si>
  <si>
    <t>Gants sibyllins</t>
  </si>
  <si>
    <t>skyrim.esm|0E1F16</t>
  </si>
  <si>
    <t>Gants sibyllins antiques</t>
  </si>
  <si>
    <t>evgnnsmpaccessories.esp|000E4C</t>
  </si>
  <si>
    <t>Gathered Scarf</t>
  </si>
  <si>
    <t>evgnnsmpaccessories.esp|000E4D</t>
  </si>
  <si>
    <t>evgnnsmpaccessories.esp|000E50</t>
  </si>
  <si>
    <t>skyrim.esm|05CBFE</t>
  </si>
  <si>
    <t>General Tullius' Armor</t>
  </si>
  <si>
    <t>morecraftableequipment.esp|00081D</t>
  </si>
  <si>
    <t>Giant Boots</t>
  </si>
  <si>
    <t>morecraftableequipment.esp|00081E</t>
  </si>
  <si>
    <t>Giant Bracers</t>
  </si>
  <si>
    <t>morecraftableequipment.esp|00081C</t>
  </si>
  <si>
    <t>Giant Clothes</t>
  </si>
  <si>
    <t>sentinel.esp|00088F</t>
  </si>
  <si>
    <t>Gilded Ebony Armor</t>
  </si>
  <si>
    <t>sentinel.esp|00088E</t>
  </si>
  <si>
    <t>Gilded Ebony Boots</t>
  </si>
  <si>
    <t>sentinel.esp|000890</t>
  </si>
  <si>
    <t>Gilded Ebony Gauntlets</t>
  </si>
  <si>
    <t>sentinel.esp|000891</t>
  </si>
  <si>
    <t>Gilded Ebony Helmet</t>
  </si>
  <si>
    <t>sentinel.esp|000892</t>
  </si>
  <si>
    <t>Gilded Ebony Shield</t>
  </si>
  <si>
    <t>sentinel.esp|000894</t>
  </si>
  <si>
    <t>Gilded Noble Ebony Armor</t>
  </si>
  <si>
    <t>sentinel.esp|000893</t>
  </si>
  <si>
    <t>Gilded Noble Ebony Boots</t>
  </si>
  <si>
    <t>sentinel.esp|000895</t>
  </si>
  <si>
    <t>Gilded Noble Ebony Gauntlets</t>
  </si>
  <si>
    <t>sentinel.esp|000896</t>
  </si>
  <si>
    <t>Gilded Noble Ebony Helmet</t>
  </si>
  <si>
    <t>sentinel.esp|000897</t>
  </si>
  <si>
    <t>Gilded Noble Ebony Shield</t>
  </si>
  <si>
    <t>sentinel.esp|000872</t>
  </si>
  <si>
    <t>Gilded Steel Plate Armor</t>
  </si>
  <si>
    <t>sentinel.esp|000871</t>
  </si>
  <si>
    <t>Gilded Steel Plate Boots</t>
  </si>
  <si>
    <t>sentinel.esp|000873</t>
  </si>
  <si>
    <t>Gilded Steel Plate Gauntlets</t>
  </si>
  <si>
    <t>sentinel.esp|000874</t>
  </si>
  <si>
    <t>Gilded Steel Plate Helmet</t>
  </si>
  <si>
    <t>skyrim.esm|0E84C1</t>
  </si>
  <si>
    <t>Gilded Wristguards</t>
  </si>
  <si>
    <t>windhelmsse.esp|3B9485</t>
  </si>
  <si>
    <t>windhelmsse.esp|1BA09E</t>
  </si>
  <si>
    <t>Gloves</t>
  </si>
  <si>
    <t>evgnnsmpaccessories.esp|00084A</t>
  </si>
  <si>
    <t>Glowdust Gem Backpack</t>
  </si>
  <si>
    <t>evgnnsmpaccessories.esp|00084C</t>
  </si>
  <si>
    <t>evgnnsmpaccessories.esp|000853</t>
  </si>
  <si>
    <t>windhelmsse.esp|1715F0</t>
  </si>
  <si>
    <t>Gold Circlet</t>
  </si>
  <si>
    <t>skyrim.esm|0A4DCD</t>
  </si>
  <si>
    <t>Grâce du prédateur</t>
  </si>
  <si>
    <t>morecraftableequipment.esp|00083B</t>
  </si>
  <si>
    <t>Green Cowl</t>
  </si>
  <si>
    <t>windhelmsse.esp|1DEF62</t>
  </si>
  <si>
    <t>Green Hood</t>
  </si>
  <si>
    <t>morecraftableequipment.esp|00083C</t>
  </si>
  <si>
    <t>Grey Cowl</t>
  </si>
  <si>
    <t>windhelmsse.esp|15E2B3</t>
  </si>
  <si>
    <t>Grey Hood</t>
  </si>
  <si>
    <t>morecraftableequipment.esp|000824</t>
  </si>
  <si>
    <t>Greybeard's Boots</t>
  </si>
  <si>
    <t>morecraftableequipment.esp|000823</t>
  </si>
  <si>
    <t>Greybeard's Hood</t>
  </si>
  <si>
    <t>morecraftableequipment.esp|000822</t>
  </si>
  <si>
    <t>Greybeard's Robes</t>
  </si>
  <si>
    <t>skyrim.esm|036A44</t>
  </si>
  <si>
    <t>morecraftableequipment.esp|000813</t>
  </si>
  <si>
    <t>Guild Master's Armor</t>
  </si>
  <si>
    <t>morecraftableequipment.esp|000814</t>
  </si>
  <si>
    <t>Guild Master's Boots</t>
  </si>
  <si>
    <t>morecraftableequipment.esp|000815</t>
  </si>
  <si>
    <t>Guild Master's Gloves</t>
  </si>
  <si>
    <t>morecraftableequipment.esp|000816</t>
  </si>
  <si>
    <t>Guild Master's Hood</t>
  </si>
  <si>
    <t>sentinel - city guards.esp|00080B</t>
  </si>
  <si>
    <t>Haafingar Guard's Armor</t>
  </si>
  <si>
    <t>sentinel - city guards.esp|00080D</t>
  </si>
  <si>
    <t>Haafingar Guard's Boots</t>
  </si>
  <si>
    <t>sentinel - city guards.esp|000810</t>
  </si>
  <si>
    <t>Haafingar Guard's Gauntlets</t>
  </si>
  <si>
    <t>sentinel - city guards.esp|00080C</t>
  </si>
  <si>
    <t>Haafingar Guard's Heavy Armor</t>
  </si>
  <si>
    <t>sentinel - city guards.esp|00080E</t>
  </si>
  <si>
    <t>Haafingar Guard's Heavy Boots</t>
  </si>
  <si>
    <t>sentinel - city guards.esp|000811</t>
  </si>
  <si>
    <t>Haafingar Guard's Heavy Gauntlets</t>
  </si>
  <si>
    <t>sentinel - city guards.esp|000813</t>
  </si>
  <si>
    <t>Haafingar Guard's Heavy Helmet</t>
  </si>
  <si>
    <t>sentinel - city guards.esp|000812</t>
  </si>
  <si>
    <t>Haafingar Guard's Helmet</t>
  </si>
  <si>
    <t>skyrim.esm|05DB7B</t>
  </si>
  <si>
    <t>Habits de noble</t>
  </si>
  <si>
    <t>skyrim.esm|0D191F</t>
  </si>
  <si>
    <t>Habits de taverne</t>
  </si>
  <si>
    <t>sentinel.esp|0008DD</t>
  </si>
  <si>
    <t>Harbinger Armor</t>
  </si>
  <si>
    <t>windhelmsse.esp|1ABF33</t>
  </si>
  <si>
    <t>Hat</t>
  </si>
  <si>
    <t>skyrim.esm|0940D5</t>
  </si>
  <si>
    <t>Heaume de Fortdhiver</t>
  </si>
  <si>
    <t>dragonborn.esm|01DB98</t>
  </si>
  <si>
    <t>Heaume de vision d'Ahzidal</t>
  </si>
  <si>
    <t>commonclothes.esp|001DE3</t>
  </si>
  <si>
    <t>Heavy Quilted Surcoat 01</t>
  </si>
  <si>
    <t>commonclothes.esp|001DE4</t>
  </si>
  <si>
    <t>Heavy Quilted Surcoat 02</t>
  </si>
  <si>
    <t>keizaal.esp|E63195</t>
  </si>
  <si>
    <t>Helm of Yngol</t>
  </si>
  <si>
    <t>skyrim.esm|061CC1</t>
  </si>
  <si>
    <t>Hevnoraak</t>
  </si>
  <si>
    <t>cloaks&amp;capes.esp|002DF2</t>
  </si>
  <si>
    <t>Hjaalmarch Guard Cloak</t>
  </si>
  <si>
    <t>sentinel - city guards.esp|000843</t>
  </si>
  <si>
    <t>Hjaalmarch Guard's Armor</t>
  </si>
  <si>
    <t>skyrim.esm|021520</t>
  </si>
  <si>
    <t>sentinel - city guards.esp|000845</t>
  </si>
  <si>
    <t>Hjaalmarch Guard's Boots</t>
  </si>
  <si>
    <t>sentinel - city guards.esp|000847</t>
  </si>
  <si>
    <t>Hjaalmarch Guard's Gauntlets</t>
  </si>
  <si>
    <t>sentinel - city guards.esp|000844</t>
  </si>
  <si>
    <t>Hjaalmarch Guard's Heavy Armor</t>
  </si>
  <si>
    <t>sentinel - city guards.esp|000849</t>
  </si>
  <si>
    <t>Hjaalmarch Guard's Heavy Helmet</t>
  </si>
  <si>
    <t>sentinel - city guards.esp|000848</t>
  </si>
  <si>
    <t>Hjaalmarch Guard's Helmet</t>
  </si>
  <si>
    <t>skyrim.esm|02161B</t>
  </si>
  <si>
    <t>skyrim.esm|0214EF</t>
  </si>
  <si>
    <t>Hjaalmarch Guard's Shield</t>
  </si>
  <si>
    <t>morecraftableequipment.esp|000827</t>
  </si>
  <si>
    <t>Hooded Archmage's Robes</t>
  </si>
  <si>
    <t>sentinel - priests and acolytes.esp|000880</t>
  </si>
  <si>
    <t>Hooded Arkay Robes</t>
  </si>
  <si>
    <t>sentinel - priests and acolytes.esp|000866</t>
  </si>
  <si>
    <t>Hooded Azura Robes</t>
  </si>
  <si>
    <t>sentinel - priests and acolytes.esp|000875</t>
  </si>
  <si>
    <t>Hooded Dibella Robes</t>
  </si>
  <si>
    <t>sentinel - priests and acolytes.esp|000877</t>
  </si>
  <si>
    <t>Hooded Divines Robes</t>
  </si>
  <si>
    <t>sentinel - priests and acolytes.esp|0008CD</t>
  </si>
  <si>
    <t>Hooded Julianos Robes</t>
  </si>
  <si>
    <t>sentinel - priests and acolytes.esp|000879</t>
  </si>
  <si>
    <t>Hooded Kynareth Robes</t>
  </si>
  <si>
    <t>sentinel - priests and acolytes.esp|00089B</t>
  </si>
  <si>
    <t>Hooded Mara Robes</t>
  </si>
  <si>
    <t>sentinel - priests and acolytes.esp|00083E</t>
  </si>
  <si>
    <t>Hooded Monk Tunic</t>
  </si>
  <si>
    <t>sentinel - priests and acolytes.esp|00083F</t>
  </si>
  <si>
    <t>sentinel - priests and acolytes.esp|000840</t>
  </si>
  <si>
    <t>sentinel - priests and acolytes.esp|000841</t>
  </si>
  <si>
    <t>sentinel - priests and acolytes.esp|000842</t>
  </si>
  <si>
    <t>sentinel - priests and acolytes.esp|000843</t>
  </si>
  <si>
    <t>sentinel - priests and acolytes.esp|000844</t>
  </si>
  <si>
    <t>sentinel - priests and acolytes.esp|000845</t>
  </si>
  <si>
    <t>sentinel - priests and acolytes.esp|000846</t>
  </si>
  <si>
    <t>sentinel - priests and acolytes.esp|000847</t>
  </si>
  <si>
    <t>morecraftableequipment.esp|00082A</t>
  </si>
  <si>
    <t>Hooded Necromancer Robes</t>
  </si>
  <si>
    <t>sentinel - priests and acolytes.esp|00087B</t>
  </si>
  <si>
    <t>Hooded Talos Robes</t>
  </si>
  <si>
    <t>morecraftableequipment.esp|000820</t>
  </si>
  <si>
    <t>Hooded Thalmor Robes</t>
  </si>
  <si>
    <t>sentinel.esp|000807</t>
  </si>
  <si>
    <t>Hunter's Fur Boots</t>
  </si>
  <si>
    <t>sentinel.esp|000808</t>
  </si>
  <si>
    <t>Hunter's Fur Coat</t>
  </si>
  <si>
    <t>sentinel.esp|000809</t>
  </si>
  <si>
    <t>Hunter's Fur Gloves</t>
  </si>
  <si>
    <t>sentinel.esp|00080A</t>
  </si>
  <si>
    <t>Hunter's Fur Hat</t>
  </si>
  <si>
    <t>sentinel.esp|00080B</t>
  </si>
  <si>
    <t>Hunter's Fur Shield</t>
  </si>
  <si>
    <t>dragonborn.esm|01A574</t>
  </si>
  <si>
    <t>Imperial Armor</t>
  </si>
  <si>
    <t>sentinel.esp|0008D8</t>
  </si>
  <si>
    <t>Imperial Battlemage Hood</t>
  </si>
  <si>
    <t>sentinel.esp|0008D7</t>
  </si>
  <si>
    <t>Imperial Battlemage Robes</t>
  </si>
  <si>
    <t>dragonborn.esm|01A573</t>
  </si>
  <si>
    <t>Imperial Boots</t>
  </si>
  <si>
    <t>skyrim.esm|0136D6</t>
  </si>
  <si>
    <t>dis_heavy_legion.esp|005937</t>
  </si>
  <si>
    <t>Imperial Bracer</t>
  </si>
  <si>
    <t>dragonborn.esm|01A575</t>
  </si>
  <si>
    <t>Imperial Bracers</t>
  </si>
  <si>
    <t>skyrim.esm|0136D4</t>
  </si>
  <si>
    <t>skyrim.esm|0136CF</t>
  </si>
  <si>
    <t>Imperial Captain's Helmet</t>
  </si>
  <si>
    <t>skyrim.esm|013ED8</t>
  </si>
  <si>
    <t>Imperial Chainmail</t>
  </si>
  <si>
    <t>dis_heavy_legion.esp|00187C</t>
  </si>
  <si>
    <t>Imperial Cloak</t>
  </si>
  <si>
    <t>dis_heavy_legion.esp|001875</t>
  </si>
  <si>
    <t>Imperial General's  Bracers</t>
  </si>
  <si>
    <t>dis_heavy_legion.esp|001874</t>
  </si>
  <si>
    <t>Imperial General's Armor</t>
  </si>
  <si>
    <t>dis_heavy_legion.esp|001873</t>
  </si>
  <si>
    <t>Imperial General's Boots</t>
  </si>
  <si>
    <t>dis_heavy_legion.esp|001876</t>
  </si>
  <si>
    <t>Imperial General's Helmet</t>
  </si>
  <si>
    <t>dis_heavy_legion.esp|00186E</t>
  </si>
  <si>
    <t>Imperial General's Shield</t>
  </si>
  <si>
    <t>skyrim.esm|0135BA</t>
  </si>
  <si>
    <t>Imperial Heavy Shield</t>
  </si>
  <si>
    <t>dragonborn.esm|01A576</t>
  </si>
  <si>
    <t>Imperial Helmet</t>
  </si>
  <si>
    <t>skyrim.esm|013EDC</t>
  </si>
  <si>
    <t>dis_heavy_legion.esp|00593F</t>
  </si>
  <si>
    <t>Imperial Helmet Medium</t>
  </si>
  <si>
    <t>dis_heavy_legion.esp|005934</t>
  </si>
  <si>
    <t>Imperial Legate Armor</t>
  </si>
  <si>
    <t>skyrim.esm|09610D</t>
  </si>
  <si>
    <t>Imperial Legate Helmet</t>
  </si>
  <si>
    <t>skyrim.esm|013ED9</t>
  </si>
  <si>
    <t>Imperial Light Armor</t>
  </si>
  <si>
    <t>skyrim.esm|013ED7</t>
  </si>
  <si>
    <t>Imperial Light Boots</t>
  </si>
  <si>
    <t>skyrim.esm|013EDA</t>
  </si>
  <si>
    <t>Imperial Light Bracers</t>
  </si>
  <si>
    <t>skyrim.esm|013EDB</t>
  </si>
  <si>
    <t>Imperial Light Helmet</t>
  </si>
  <si>
    <t>skyrim.esm|013AB2</t>
  </si>
  <si>
    <t>Imperial Light Shield</t>
  </si>
  <si>
    <t>dis_heavy_legion.esp|00187D</t>
  </si>
  <si>
    <t>Imperial Officer's Cloak</t>
  </si>
  <si>
    <t>skyrim.esm|0136D5</t>
  </si>
  <si>
    <t>Imperial Soldier's Armor</t>
  </si>
  <si>
    <t>skyrim.esm|0F6F21</t>
  </si>
  <si>
    <t>Jambières d'acier</t>
  </si>
  <si>
    <t>sentinel.esp|000855</t>
  </si>
  <si>
    <t>Jerall Dwarven Armor</t>
  </si>
  <si>
    <t>sentinel.esp|000854</t>
  </si>
  <si>
    <t>Jerall Dwarven Boots</t>
  </si>
  <si>
    <t>sentinel.esp|000856</t>
  </si>
  <si>
    <t>Jerall Dwarven Gauntlets</t>
  </si>
  <si>
    <t>sentinel.esp|000857</t>
  </si>
  <si>
    <t>Jerall Dwarven Helmet</t>
  </si>
  <si>
    <t>sentinel.esp|000858</t>
  </si>
  <si>
    <t>Jerall Dwarven Shield</t>
  </si>
  <si>
    <t>keizaal.esp|E53DA3</t>
  </si>
  <si>
    <t>Jester's Boots</t>
  </si>
  <si>
    <t>morecraftableequipment.esp|00080B</t>
  </si>
  <si>
    <t>keizaal.esp|E53DA4</t>
  </si>
  <si>
    <t>Jester's Clothes</t>
  </si>
  <si>
    <t>morecraftableequipment.esp|00080A</t>
  </si>
  <si>
    <t>keizaal.esp|E53DA0</t>
  </si>
  <si>
    <t>Jester's Gloves</t>
  </si>
  <si>
    <t>morecraftableequipment.esp|00080C</t>
  </si>
  <si>
    <t>keizaal.esp|E53D9F</t>
  </si>
  <si>
    <t>Jester's Hat</t>
  </si>
  <si>
    <t>morecraftableequipment.esp|00080D</t>
  </si>
  <si>
    <t>sentinel - priests and acolytes.esp|0008CE</t>
  </si>
  <si>
    <t>Julianos Robes</t>
  </si>
  <si>
    <t>skyrim.esm|0E35E8</t>
  </si>
  <si>
    <t>Karliah's Armor</t>
  </si>
  <si>
    <t>skyrim.esm|0E35E7</t>
  </si>
  <si>
    <t>Karliah's Boots</t>
  </si>
  <si>
    <t>skyrim.esm|0E35E9</t>
  </si>
  <si>
    <t>Karliah's Gloves</t>
  </si>
  <si>
    <t>skyrim.esm|0E35EA</t>
  </si>
  <si>
    <t>Karliah's Hood</t>
  </si>
  <si>
    <t>skyrim.esm|061CD6</t>
  </si>
  <si>
    <t>Konahrik</t>
  </si>
  <si>
    <t>skyrim.esm|061CB9</t>
  </si>
  <si>
    <t>Krosis</t>
  </si>
  <si>
    <t>sentinel - priests and acolytes.esp|00087A</t>
  </si>
  <si>
    <t>Kynareth Robes</t>
  </si>
  <si>
    <t>sentinel.esp|000912</t>
  </si>
  <si>
    <t>Large Fur Collar</t>
  </si>
  <si>
    <t>windhelmsse.esp|1BA0A3</t>
  </si>
  <si>
    <t>Leather Armor</t>
  </si>
  <si>
    <t>windhelmsse.esp|1F3539</t>
  </si>
  <si>
    <t>cloaks&amp;capes.esp|002DEF</t>
  </si>
  <si>
    <t>Leather Cape</t>
  </si>
  <si>
    <t>commonclothes.esp|001874</t>
  </si>
  <si>
    <t>Leather Doublet</t>
  </si>
  <si>
    <t>commonclothes.esp|001875</t>
  </si>
  <si>
    <t>windhelmsse.esp|1F353B</t>
  </si>
  <si>
    <t>Leather Hat</t>
  </si>
  <si>
    <t>windhelmsse.esp|14EC11</t>
  </si>
  <si>
    <t>Leather Hood</t>
  </si>
  <si>
    <t>skyrim.esm|0C5809</t>
  </si>
  <si>
    <t>Les liens du mariage</t>
  </si>
  <si>
    <t>skyrim.esm|0C3CE6</t>
  </si>
  <si>
    <t>Les mains du forgeron</t>
  </si>
  <si>
    <t>cloaks&amp;capes.esp|002DEE</t>
  </si>
  <si>
    <t>Linen Cape (Black)</t>
  </si>
  <si>
    <t>cloaks&amp;capes.esp|002887</t>
  </si>
  <si>
    <t>Linen Cape (Blue)</t>
  </si>
  <si>
    <t>cloaks&amp;capes.esp|002888</t>
  </si>
  <si>
    <t>Linen Cape (Green)</t>
  </si>
  <si>
    <t>cloaks&amp;capes.esp|002889</t>
  </si>
  <si>
    <t>Linen Cape (Purple)</t>
  </si>
  <si>
    <t>cloaks&amp;capes.esp|0012C7</t>
  </si>
  <si>
    <t>Linen Cape (Red)</t>
  </si>
  <si>
    <t>cloaks&amp;capes.esp|002DED</t>
  </si>
  <si>
    <t>Linen Cape (White)</t>
  </si>
  <si>
    <t>cloaks&amp;capes.esp|002DEC</t>
  </si>
  <si>
    <t>Linen Cape (Yellow)</t>
  </si>
  <si>
    <t>evgnnsmpaccessories.esp|000E26</t>
  </si>
  <si>
    <t>Loose Neck Gaiter</t>
  </si>
  <si>
    <t>evgnnsmpaccessories.esp|000E2B</t>
  </si>
  <si>
    <t>evgnnsmpaccessories.esp|000E2C</t>
  </si>
  <si>
    <t>mage clothing expansion.esp|000002</t>
  </si>
  <si>
    <t>Mage Hood</t>
  </si>
  <si>
    <t>mage clothing expansion.esp|00001F</t>
  </si>
  <si>
    <t>skyrim.esm|10D6A6</t>
  </si>
  <si>
    <t>skyrim.esm|10D6A7</t>
  </si>
  <si>
    <t>mage clothing expansion.esp|000004</t>
  </si>
  <si>
    <t>Mage Robes</t>
  </si>
  <si>
    <t>mage clothing expansion.esp|00000A</t>
  </si>
  <si>
    <t>mage clothing expansion.esp|00000B</t>
  </si>
  <si>
    <t>mage clothing expansion.esp|00000C</t>
  </si>
  <si>
    <t>mage clothing expansion.esp|000010</t>
  </si>
  <si>
    <t>mage clothing expansion.esp|000D66</t>
  </si>
  <si>
    <t>mage clothing expansion.esp|000D67</t>
  </si>
  <si>
    <t>mage clothing expansion.esp|000D68</t>
  </si>
  <si>
    <t>mage clothing expansion.esp|000D69</t>
  </si>
  <si>
    <t>mage clothing expansion.esp|000D6E</t>
  </si>
  <si>
    <t>Mage Robes Variant</t>
  </si>
  <si>
    <t>mage clothing expansion.esp|000D6F</t>
  </si>
  <si>
    <t>mage clothing expansion.esp|000D70</t>
  </si>
  <si>
    <t>mage clothing expansion.esp|000D71</t>
  </si>
  <si>
    <t>commonclothes.esp|010F63</t>
  </si>
  <si>
    <t>Mail and Hide Armor</t>
  </si>
  <si>
    <t>commonclothes.esp|001873</t>
  </si>
  <si>
    <t>Mail and Jacket</t>
  </si>
  <si>
    <t>commonclothes.esp|001872</t>
  </si>
  <si>
    <t>Mail and Surcoat</t>
  </si>
  <si>
    <t>commonclothes.esp|001871</t>
  </si>
  <si>
    <t>Mail Tunic</t>
  </si>
  <si>
    <t>skyrim.esm|0E1643</t>
  </si>
  <si>
    <t>Mains de fer</t>
  </si>
  <si>
    <t>dragonborn.esm|03910E</t>
  </si>
  <si>
    <t>Manteau de Skaal</t>
  </si>
  <si>
    <t>skyrim.esm|08698C</t>
  </si>
  <si>
    <t>Manteau orné de fourrure</t>
  </si>
  <si>
    <t>sentinel - priests and acolytes.esp|00089C</t>
  </si>
  <si>
    <t>Mara Robes</t>
  </si>
  <si>
    <t>sentinel - city guards.esp|000822</t>
  </si>
  <si>
    <t>Markarth Cloak</t>
  </si>
  <si>
    <t>cloaks&amp;capes.esp|002DF3</t>
  </si>
  <si>
    <t>Markarth Guard Cloak</t>
  </si>
  <si>
    <t>skyrim.esm|021508</t>
  </si>
  <si>
    <t>Markarth Guard's Armor</t>
  </si>
  <si>
    <t>skyrim.esm|021613</t>
  </si>
  <si>
    <t>Markarth Guard's Helmet</t>
  </si>
  <si>
    <t>skyrim.esm|0214DC</t>
  </si>
  <si>
    <t>Markarth Guard's Shield</t>
  </si>
  <si>
    <t>sentinel - city guards.esp|000827</t>
  </si>
  <si>
    <t>Markarth Shield</t>
  </si>
  <si>
    <t>skyrim.esm|0D2846</t>
  </si>
  <si>
    <t>Masque du Vil Clavicus</t>
  </si>
  <si>
    <t>skyrim.esm|061CCA</t>
  </si>
  <si>
    <t>Masque en bois</t>
  </si>
  <si>
    <t>skyrim.esm|07D678</t>
  </si>
  <si>
    <t>Médaillon de Fjotli</t>
  </si>
  <si>
    <t>dawnguard.esm|018B91</t>
  </si>
  <si>
    <t>Médaillon de Saint Jiub</t>
  </si>
  <si>
    <t>skyrim.esm|10E039</t>
  </si>
  <si>
    <t>Menottes de prisonnier</t>
  </si>
  <si>
    <t>windhelmsse.esp|0A490D</t>
  </si>
  <si>
    <t>Miner's Clothes</t>
  </si>
  <si>
    <t>dragonborn.esm|029A62</t>
  </si>
  <si>
    <t>Miraak</t>
  </si>
  <si>
    <t>dragonborn.esm|039D2B</t>
  </si>
  <si>
    <t>dragonborn.esm|039D2E</t>
  </si>
  <si>
    <t>dragonborn.esm|039D2F</t>
  </si>
  <si>
    <t>dragonborn.esm|039FA1</t>
  </si>
  <si>
    <t>dragonborn.esm|039FA2</t>
  </si>
  <si>
    <t>dragonborn.esm|039FA3</t>
  </si>
  <si>
    <t>morecraftableequipment.esp|000839</t>
  </si>
  <si>
    <t>Monk Cowl</t>
  </si>
  <si>
    <t>sentinel - priests and acolytes.esp|00081F</t>
  </si>
  <si>
    <t>Monk Tunic</t>
  </si>
  <si>
    <t>sentinel - priests and acolytes.esp|000820</t>
  </si>
  <si>
    <t>sentinel - priests and acolytes.esp|000821</t>
  </si>
  <si>
    <t>sentinel - priests and acolytes.esp|000822</t>
  </si>
  <si>
    <t>sentinel - priests and acolytes.esp|000823</t>
  </si>
  <si>
    <t>sentinel - priests and acolytes.esp|000824</t>
  </si>
  <si>
    <t>sentinel - priests and acolytes.esp|000825</t>
  </si>
  <si>
    <t>sentinel - priests and acolytes.esp|000826</t>
  </si>
  <si>
    <t>sentinel - priests and acolytes.esp|000827</t>
  </si>
  <si>
    <t>sentinel - priests and acolytes.esp|000828</t>
  </si>
  <si>
    <t>kad_moonmonkrobes.esp|000804</t>
  </si>
  <si>
    <t>Moon Monk's Boots</t>
  </si>
  <si>
    <t>kad_moonmonkrobes.esp|0008E6</t>
  </si>
  <si>
    <t>kad_moonmonkrobes.esp|00086D</t>
  </si>
  <si>
    <t>Moon Monk's Boots - Dark</t>
  </si>
  <si>
    <t>kad_moonmonkrobes.esp|0008E8</t>
  </si>
  <si>
    <t>kad_moonmonkrobes.esp|00086C</t>
  </si>
  <si>
    <t>Moon Monk's Boots - Jone's Light</t>
  </si>
  <si>
    <t>kad_moonmonkrobes.esp|0008EA</t>
  </si>
  <si>
    <t>kad_moonmonkrobes.esp|000887</t>
  </si>
  <si>
    <t>Moon Monk's Boots - Pride of Alkosh</t>
  </si>
  <si>
    <t>kad_moonmonkrobes.esp|0008E9</t>
  </si>
  <si>
    <t>kad_moonmonkrobes.esp|00086B</t>
  </si>
  <si>
    <t>Moon Monk's Boots - Rajhin's Shadow</t>
  </si>
  <si>
    <t>kad_moonmonkrobes.esp|0008E7</t>
  </si>
  <si>
    <t>kad_moonmonkrobes.esp|000802</t>
  </si>
  <si>
    <t>Moon Monk's Gauntlets</t>
  </si>
  <si>
    <t>kad_moonmonkrobes.esp|0008D7</t>
  </si>
  <si>
    <t>kad_moonmonkrobes.esp|0008EB</t>
  </si>
  <si>
    <t>kad_moonmonkrobes.esp|0008F0</t>
  </si>
  <si>
    <t>kad_moonmonkrobes.esp|000865</t>
  </si>
  <si>
    <t>Moon Monk's Gauntlets - Jone's Light</t>
  </si>
  <si>
    <t>kad_moonmonkrobes.esp|0008DB</t>
  </si>
  <si>
    <t>kad_moonmonkrobes.esp|0008EF</t>
  </si>
  <si>
    <t>kad_moonmonkrobes.esp|0008F5</t>
  </si>
  <si>
    <t>kad_moonmonkrobes.esp|000886</t>
  </si>
  <si>
    <t>Moon Monk's Gauntlets - Pride of Alkosh</t>
  </si>
  <si>
    <t>kad_moonmonkrobes.esp|0008D9</t>
  </si>
  <si>
    <t>kad_moonmonkrobes.esp|0008ED</t>
  </si>
  <si>
    <t>kad_moonmonkrobes.esp|0008F2</t>
  </si>
  <si>
    <t>kad_moonmonkrobes.esp|000864</t>
  </si>
  <si>
    <t>Moon Monk's Gauntlets - Rajhin's Shadow</t>
  </si>
  <si>
    <t>kad_moonmonkrobes.esp|0008D8</t>
  </si>
  <si>
    <t>kad_moonmonkrobes.esp|0008EC</t>
  </si>
  <si>
    <t>kad_moonmonkrobes.esp|0008F1</t>
  </si>
  <si>
    <t>kad_moonmonkrobes.esp|000838</t>
  </si>
  <si>
    <t>Moon Monk's Gauntlets - Water Clan</t>
  </si>
  <si>
    <t>kad_moonmonkrobes.esp|0008DA</t>
  </si>
  <si>
    <t>kad_moonmonkrobes.esp|0008EE</t>
  </si>
  <si>
    <t>kad_moonmonkrobes.esp|0008F4</t>
  </si>
  <si>
    <t>kad_moonmonkrobes.esp|000803</t>
  </si>
  <si>
    <t>Moon Monk's Mask</t>
  </si>
  <si>
    <t>kad_moonmonkrobes.esp|0008F6</t>
  </si>
  <si>
    <t>kad_moonmonkrobes.esp|000822</t>
  </si>
  <si>
    <t>Moon Monk's Mask - Anequina Sunset</t>
  </si>
  <si>
    <t>kad_moonmonkrobes.esp|0008F7</t>
  </si>
  <si>
    <t>kad_moonmonkrobes.esp|000869</t>
  </si>
  <si>
    <t>Moon Monk's Mask - Imperial Emissary</t>
  </si>
  <si>
    <t>kad_moonmonkrobes.esp|0008FA</t>
  </si>
  <si>
    <t>kad_moonmonkrobes.esp|000867</t>
  </si>
  <si>
    <t>Moon Monk's Mask - Jone's Light</t>
  </si>
  <si>
    <t>kad_moonmonkrobes.esp|0008FF</t>
  </si>
  <si>
    <t>kad_moonmonkrobes.esp|000868</t>
  </si>
  <si>
    <t>Moon Monk's Mask - Nahfahlaar's Flame</t>
  </si>
  <si>
    <t>kad_moonmonkrobes.esp|0008FC</t>
  </si>
  <si>
    <t>kad_moonmonkrobes.esp|000885</t>
  </si>
  <si>
    <t>Moon Monk's Mask - Pride of Alkosh</t>
  </si>
  <si>
    <t>kad_moonmonkrobes.esp|0008F9</t>
  </si>
  <si>
    <t>kad_moonmonkrobes.esp|00081B</t>
  </si>
  <si>
    <t>Moon Monk's Mask - Ra'kazra's Might</t>
  </si>
  <si>
    <t>kad_moonmonkrobes.esp|0008FB</t>
  </si>
  <si>
    <t>kad_moonmonkrobes.esp|000866</t>
  </si>
  <si>
    <t>Moon Monk's Mask - Rajhin's Shadow</t>
  </si>
  <si>
    <t>kad_moonmonkrobes.esp|0008F8</t>
  </si>
  <si>
    <t>kad_moonmonkrobes.esp|000830</t>
  </si>
  <si>
    <t>Moon Monk's Mask - Regal</t>
  </si>
  <si>
    <t>kad_moonmonkrobes.esp|0008FD</t>
  </si>
  <si>
    <t>kad_moonmonkrobes.esp|000839</t>
  </si>
  <si>
    <t>Moon Monk's Mask - Water Clan</t>
  </si>
  <si>
    <t>kad_moonmonkrobes.esp|0008FE</t>
  </si>
  <si>
    <t>kad_moonmonkrobes.esp|000801</t>
  </si>
  <si>
    <t>Moon Monk's Robes</t>
  </si>
  <si>
    <t>kad_moonmonkrobes.esp|000900</t>
  </si>
  <si>
    <t>kad_moonmonkrobes.esp|000823</t>
  </si>
  <si>
    <t>Moon Monk's Robes - Anequina Sunset</t>
  </si>
  <si>
    <t>kad_moonmonkrobes.esp|000901</t>
  </si>
  <si>
    <t>kad_moonmonkrobes.esp|00088B</t>
  </si>
  <si>
    <t>Moon Monk's Robes - Assassin</t>
  </si>
  <si>
    <t>kad_moonmonkrobes.esp|000902</t>
  </si>
  <si>
    <t>kad_moonmonkrobes.esp|00086A</t>
  </si>
  <si>
    <t>Moon Monk's Robes - Imperial Emissary</t>
  </si>
  <si>
    <t>kad_moonmonkrobes.esp|000905</t>
  </si>
  <si>
    <t>kad_moonmonkrobes.esp|000870</t>
  </si>
  <si>
    <t>Moon Monk's Robes - Jone's Light</t>
  </si>
  <si>
    <t>kad_moonmonkrobes.esp|00090B</t>
  </si>
  <si>
    <t>kad_moonmonkrobes.esp|000873</t>
  </si>
  <si>
    <t>Moon Monk's Robes - Khenarthi's Breath</t>
  </si>
  <si>
    <t>kad_moonmonkrobes.esp|00090A</t>
  </si>
  <si>
    <t>kad_moonmonkrobes.esp|00086E</t>
  </si>
  <si>
    <t>Moon Monk's Robes - Nahfahlaar's Flame</t>
  </si>
  <si>
    <t>kad_moonmonkrobes.esp|000907</t>
  </si>
  <si>
    <t>kad_moonmonkrobes.esp|000884</t>
  </si>
  <si>
    <t>Moon Monk's Robes - Pride of Alkosh</t>
  </si>
  <si>
    <t>kad_moonmonkrobes.esp|000904</t>
  </si>
  <si>
    <t>kad_moonmonkrobes.esp|00081C</t>
  </si>
  <si>
    <t>Moon Monk's Robes - Ra'kazra's Might</t>
  </si>
  <si>
    <t>kad_moonmonkrobes.esp|000906</t>
  </si>
  <si>
    <t>kad_moonmonkrobes.esp|00086F</t>
  </si>
  <si>
    <t>Moon Monk's Robes - Rajhin's Shadow</t>
  </si>
  <si>
    <t>kad_moonmonkrobes.esp|000903</t>
  </si>
  <si>
    <t>kad_moonmonkrobes.esp|000831</t>
  </si>
  <si>
    <t>Moon Monk's Robes - Regal</t>
  </si>
  <si>
    <t>kad_moonmonkrobes.esp|000908</t>
  </si>
  <si>
    <t>kad_moonmonkrobes.esp|00083A</t>
  </si>
  <si>
    <t>Moon Monk's Robes - Water Clan</t>
  </si>
  <si>
    <t>kad_moonmonkrobes.esp|000909</t>
  </si>
  <si>
    <t>skyrim.esm|061C8B</t>
  </si>
  <si>
    <t>Morokei</t>
  </si>
  <si>
    <t>sentinel - city guards.esp|000846</t>
  </si>
  <si>
    <t>Morthal Cloak</t>
  </si>
  <si>
    <t>sentinel - city guards.esp|00084A</t>
  </si>
  <si>
    <t>Morthal Shield</t>
  </si>
  <si>
    <t>morecraftableequipment.esp|000842</t>
  </si>
  <si>
    <t>Mythic Dawn Hood</t>
  </si>
  <si>
    <t>morecraftableequipment.esp|000840</t>
  </si>
  <si>
    <t>Mythic Dawn Hooded Robes</t>
  </si>
  <si>
    <t>morecraftableequipment.esp|000841</t>
  </si>
  <si>
    <t>Mythic Dawn Robes</t>
  </si>
  <si>
    <t>skyrim.esm|0B144D</t>
  </si>
  <si>
    <t>skyrim.esm|061CA5</t>
  </si>
  <si>
    <t>Nahkriin</t>
  </si>
  <si>
    <t>arena - markarth side.esp|10E4B6</t>
  </si>
  <si>
    <t>Necklace of the Dead</t>
  </si>
  <si>
    <t>morecraftableequipment.esp|00083F</t>
  </si>
  <si>
    <t>Necromancer Cowl</t>
  </si>
  <si>
    <t>morecraftableequipment.esp|000829</t>
  </si>
  <si>
    <t>Necromancer Robes</t>
  </si>
  <si>
    <t>sentinel.esp|00088A</t>
  </si>
  <si>
    <t>Noble Ebony Armor</t>
  </si>
  <si>
    <t>sentinel.esp|000889</t>
  </si>
  <si>
    <t>Noble Ebony Boots</t>
  </si>
  <si>
    <t>sentinel.esp|00088B</t>
  </si>
  <si>
    <t>Noble Ebony Gauntlets</t>
  </si>
  <si>
    <t>sentinel.esp|00088C</t>
  </si>
  <si>
    <t>Noble Ebony Helmet</t>
  </si>
  <si>
    <t>sentinel.esp|00088D</t>
  </si>
  <si>
    <t>Noble Ebony Shield</t>
  </si>
  <si>
    <t>skyrim.esm|088952</t>
  </si>
  <si>
    <t>Nocturnal's Clothes</t>
  </si>
  <si>
    <t>skyrim.esm|088954</t>
  </si>
  <si>
    <t>Nocturnal's Hat</t>
  </si>
  <si>
    <t>windhelmsse.esp|0A495D</t>
  </si>
  <si>
    <t>Nord Officer Armor</t>
  </si>
  <si>
    <t>windhelmsse.esp|0A495F</t>
  </si>
  <si>
    <t>Nord Officer Helmet</t>
  </si>
  <si>
    <t>windhelmsse.esp|14D882</t>
  </si>
  <si>
    <t>windhelmsse.esp|1F3544</t>
  </si>
  <si>
    <t>Nord Robes</t>
  </si>
  <si>
    <t>windhelmsse.esp|1D9DB7</t>
  </si>
  <si>
    <t>Nord Steel Boots</t>
  </si>
  <si>
    <t>dragonborn.esm|01CD97</t>
  </si>
  <si>
    <t>Nordic Carved Armor</t>
  </si>
  <si>
    <t>sentinel.esp|00087D</t>
  </si>
  <si>
    <t>sentinel.esp|000881</t>
  </si>
  <si>
    <t>dragonborn.esm|01CD96</t>
  </si>
  <si>
    <t>Nordic Carved Boots</t>
  </si>
  <si>
    <t>sentinel.esp|00087C</t>
  </si>
  <si>
    <t>sentinel.esp|000880</t>
  </si>
  <si>
    <t>dragonborn.esm|01CD98</t>
  </si>
  <si>
    <t>Nordic Carved Gauntlets</t>
  </si>
  <si>
    <t>sentinel.esp|00087E</t>
  </si>
  <si>
    <t>sentinel.esp|000882</t>
  </si>
  <si>
    <t>dragonborn.esm|01CD99</t>
  </si>
  <si>
    <t>Nordic Carved Helmet</t>
  </si>
  <si>
    <t>commonclothes.esp|001876</t>
  </si>
  <si>
    <t>Nordic Iron Plates</t>
  </si>
  <si>
    <t>dragonborn.esm|026236</t>
  </si>
  <si>
    <t>Nordic Shield</t>
  </si>
  <si>
    <t>sentinel.esp|00087F</t>
  </si>
  <si>
    <t>sentinel.esp|000883</t>
  </si>
  <si>
    <t>sentinel.esp|000800</t>
  </si>
  <si>
    <t>Northern Fur Boots</t>
  </si>
  <si>
    <t>sentinel.esp|000801</t>
  </si>
  <si>
    <t>Northern Fur Coat</t>
  </si>
  <si>
    <t>sentinel.esp|000802</t>
  </si>
  <si>
    <t>sentinel.esp|000803</t>
  </si>
  <si>
    <t>sentinel.esp|000804</t>
  </si>
  <si>
    <t>Northern Fur Gloves</t>
  </si>
  <si>
    <t>sentinel.esp|000805</t>
  </si>
  <si>
    <t>Northern Fur Hat</t>
  </si>
  <si>
    <t>sentinel.esp|000806</t>
  </si>
  <si>
    <t>Northern Fur Shield</t>
  </si>
  <si>
    <t>sentinel.esp|00080D</t>
  </si>
  <si>
    <t>Northern Hide Armor</t>
  </si>
  <si>
    <t>sentinel.esp|00080C</t>
  </si>
  <si>
    <t>Northern Hide Boots</t>
  </si>
  <si>
    <t>sentinel.esp|00080F</t>
  </si>
  <si>
    <t>Northern Hide Gauntlets</t>
  </si>
  <si>
    <t>sentinel.esp|000810</t>
  </si>
  <si>
    <t>Northern Hide Helmet</t>
  </si>
  <si>
    <t>sentinel.esp|000817</t>
  </si>
  <si>
    <t>Northern Iron Armor</t>
  </si>
  <si>
    <t>sentinel.esp|000816</t>
  </si>
  <si>
    <t>Northern Iron Boots</t>
  </si>
  <si>
    <t>sentinel.esp|000819</t>
  </si>
  <si>
    <t>Northern Iron Gauntlets</t>
  </si>
  <si>
    <t>sentinel.esp|00081A</t>
  </si>
  <si>
    <t>Northern Iron Helmet</t>
  </si>
  <si>
    <t>sentinel.esp|00081B</t>
  </si>
  <si>
    <t>Northern Iron Shield</t>
  </si>
  <si>
    <t>sentinel.esp|000830</t>
  </si>
  <si>
    <t>Northern Leather Armor</t>
  </si>
  <si>
    <t>sentinel.esp|00082F</t>
  </si>
  <si>
    <t>Northern Leather Boots</t>
  </si>
  <si>
    <t>sentinel.esp|000831</t>
  </si>
  <si>
    <t>Northern Leather Gauntlets</t>
  </si>
  <si>
    <t>sentinel.esp|000832</t>
  </si>
  <si>
    <t>Northern Leather Helmet</t>
  </si>
  <si>
    <t>sentinel.esp|000869</t>
  </si>
  <si>
    <t>Northern Plate Armor</t>
  </si>
  <si>
    <t>sentinel.esp|000868</t>
  </si>
  <si>
    <t>Northern Plate Boots</t>
  </si>
  <si>
    <t>sentinel.esp|00086A</t>
  </si>
  <si>
    <t>Northern Plate Gauntlets</t>
  </si>
  <si>
    <t>sentinel.esp|00086B</t>
  </si>
  <si>
    <t>Northern Plate Helmet</t>
  </si>
  <si>
    <t>sentinel.esp|00086C</t>
  </si>
  <si>
    <t>Northern Plate Shield</t>
  </si>
  <si>
    <t>sentinel.esp|00085E</t>
  </si>
  <si>
    <t>Northern Scaled Armor</t>
  </si>
  <si>
    <t>sentinel.esp|00085F</t>
  </si>
  <si>
    <t>sentinel.esp|00085D</t>
  </si>
  <si>
    <t>Northern Scaled Boots</t>
  </si>
  <si>
    <t>sentinel.esp|000860</t>
  </si>
  <si>
    <t>Northern Scaled Gauntlets</t>
  </si>
  <si>
    <t>sentinel.esp|000861</t>
  </si>
  <si>
    <t>Northern Scaled Helmet</t>
  </si>
  <si>
    <t>sentinel.esp|000839</t>
  </si>
  <si>
    <t>Northern Steel Armor</t>
  </si>
  <si>
    <t>sentinel.esp|000838</t>
  </si>
  <si>
    <t>Northern Steel Boots</t>
  </si>
  <si>
    <t>sentinel.esp|00083A</t>
  </si>
  <si>
    <t>Northern Steel Gauntlets</t>
  </si>
  <si>
    <t>sentinel.esp|00083B</t>
  </si>
  <si>
    <t>Northern Steel Helmet</t>
  </si>
  <si>
    <t>sentinel.esp|00080E</t>
  </si>
  <si>
    <t>Northern Studded Armor</t>
  </si>
  <si>
    <t>commonclothes.esp|010F64</t>
  </si>
  <si>
    <t>Oiled Mail and Hide Armor</t>
  </si>
  <si>
    <t>commonclothes.esp|001878</t>
  </si>
  <si>
    <t>Oiled Mail and Jacket</t>
  </si>
  <si>
    <t>commonclothes.esp|001877</t>
  </si>
  <si>
    <t>Oiled Mail Hauberk</t>
  </si>
  <si>
    <t>dis_heavy_legion.esp|005EB4</t>
  </si>
  <si>
    <t>Old Armor</t>
  </si>
  <si>
    <t>dis_heavy_legion.esp|005EB2</t>
  </si>
  <si>
    <t>Old Boots</t>
  </si>
  <si>
    <t>dis_heavy_legion.esp|005EC2</t>
  </si>
  <si>
    <t>Old Captain Helmet</t>
  </si>
  <si>
    <t>dis_heavy_legion.esp|005EB6</t>
  </si>
  <si>
    <t>Old Gauntlets</t>
  </si>
  <si>
    <t>dis_heavy_legion.esp|005EBB</t>
  </si>
  <si>
    <t>Old Helmet</t>
  </si>
  <si>
    <t>dis_heavy_legion.esp|005EBD</t>
  </si>
  <si>
    <t>Old Shield</t>
  </si>
  <si>
    <t>mage clothing expansion.esp|000012</t>
  </si>
  <si>
    <t>Orange Mage Robes</t>
  </si>
  <si>
    <t>sentinel.esp|000878</t>
  </si>
  <si>
    <t>Orcish Hide Armor</t>
  </si>
  <si>
    <t>sentinel.esp|000877</t>
  </si>
  <si>
    <t>Orcish Hide Boots</t>
  </si>
  <si>
    <t>sentinel.esp|00087A</t>
  </si>
  <si>
    <t>Orcish Hide Gauntlets</t>
  </si>
  <si>
    <t>sentinel.esp|00087B</t>
  </si>
  <si>
    <t>Orcish Hide Helmet</t>
  </si>
  <si>
    <t>sentinel.esp|000879</t>
  </si>
  <si>
    <t>Orcish Studded Armor</t>
  </si>
  <si>
    <t>sentinel.esp|000875</t>
  </si>
  <si>
    <t>Orcish Warchief Armor</t>
  </si>
  <si>
    <t>skyrim.esm|061CC2</t>
  </si>
  <si>
    <t>Otar</t>
  </si>
  <si>
    <t>cloaks&amp;capes.esp|002DF0</t>
  </si>
  <si>
    <t>Pale Guard Cloak</t>
  </si>
  <si>
    <t>sentinel - city guards.esp|000830</t>
  </si>
  <si>
    <t>Pale Guard's Armor</t>
  </si>
  <si>
    <t>skyrim.esm|021525</t>
  </si>
  <si>
    <t>sentinel - city guards.esp|000832</t>
  </si>
  <si>
    <t>Pale Guard's Boots</t>
  </si>
  <si>
    <t>sentinel - city guards.esp|000835</t>
  </si>
  <si>
    <t>Pale Guard's Gauntlets</t>
  </si>
  <si>
    <t>sentinel - city guards.esp|000831</t>
  </si>
  <si>
    <t>Pale Guard's Heavy Armor</t>
  </si>
  <si>
    <t>sentinel - city guards.esp|000833</t>
  </si>
  <si>
    <t>Pale Guard's Heavy Boots</t>
  </si>
  <si>
    <t>sentinel - city guards.esp|000836</t>
  </si>
  <si>
    <t>Pale Guard's Heavy Gauntlets</t>
  </si>
  <si>
    <t>sentinel - city guards.esp|000838</t>
  </si>
  <si>
    <t>Pale Guard's Heavy Helmet</t>
  </si>
  <si>
    <t>sentinel - city guards.esp|000837</t>
  </si>
  <si>
    <t>Pale Guard's Helmet</t>
  </si>
  <si>
    <t>skyrim.esm|02161F</t>
  </si>
  <si>
    <t>skyrim.esm|0214F7</t>
  </si>
  <si>
    <t>Pale Guard's Shield</t>
  </si>
  <si>
    <t>dawnguard.esm|00E9EB</t>
  </si>
  <si>
    <t>Pantalon usé</t>
  </si>
  <si>
    <t>skyrim.esm|08F19A</t>
  </si>
  <si>
    <t>skyrim.esm|045F96</t>
  </si>
  <si>
    <t>Parasortis</t>
  </si>
  <si>
    <t>evgnnsmpaccessories.esp|000803</t>
  </si>
  <si>
    <t>Patchwork Satchel</t>
  </si>
  <si>
    <t>evgnnsmpaccessories.esp|00080B</t>
  </si>
  <si>
    <t>skyrim.esm|02AC61</t>
  </si>
  <si>
    <t>Peau du Sauveur</t>
  </si>
  <si>
    <t>windhelmsse.esp|2BA5F0</t>
  </si>
  <si>
    <t>Pelt of Karhu</t>
  </si>
  <si>
    <t>dragonborn.esm|024FA4</t>
  </si>
  <si>
    <t>Pendentif de l'Empire oriental</t>
  </si>
  <si>
    <t>skyrim.esm|0D3EA0</t>
  </si>
  <si>
    <t>Penitus Oculatus Armor</t>
  </si>
  <si>
    <t>skyrim.esm|0D3EA7</t>
  </si>
  <si>
    <t>Penitus Oculatus Boots</t>
  </si>
  <si>
    <t>skyrim.esm|0D3EAB</t>
  </si>
  <si>
    <t>Penitus Oculatus Bracers</t>
  </si>
  <si>
    <t>dis_heavy_legion.esp|00187E</t>
  </si>
  <si>
    <t>Penitus Oculatus Cloak</t>
  </si>
  <si>
    <t>skyrim.esm|0D3EAA</t>
  </si>
  <si>
    <t>Penitus Oculatus Helmet</t>
  </si>
  <si>
    <t>dis_heavy_legion.esp|001871</t>
  </si>
  <si>
    <t>Penitus Oculatus Shield</t>
  </si>
  <si>
    <t>mage clothing expansion.esp|000009</t>
  </si>
  <si>
    <t>Priest Robes</t>
  </si>
  <si>
    <t>sentinel - priests and acolytes.esp|000805</t>
  </si>
  <si>
    <t>Priest Sandals</t>
  </si>
  <si>
    <t>skyrim.esm|065B9B</t>
  </si>
  <si>
    <t>Psijic Boots</t>
  </si>
  <si>
    <t>skyrim.esm|065B9D</t>
  </si>
  <si>
    <t>Psijic Gloves</t>
  </si>
  <si>
    <t>skyrim.esm|065B99</t>
  </si>
  <si>
    <t>Psijic Hood</t>
  </si>
  <si>
    <t>skyrim.esm|065B94</t>
  </si>
  <si>
    <t>Psijic Robes</t>
  </si>
  <si>
    <t>commonclothes.esp|001DE1</t>
  </si>
  <si>
    <t>Quilted Surcoat 01</t>
  </si>
  <si>
    <t>commonclothes.esp|001DE2</t>
  </si>
  <si>
    <t>Quilted Surcoat 02</t>
  </si>
  <si>
    <t>commonclothes.esp|001DDE</t>
  </si>
  <si>
    <t>Quilted Tunic</t>
  </si>
  <si>
    <t>commonclothes.esp|001DDF</t>
  </si>
  <si>
    <t>Quilted Tunic and Green Robes</t>
  </si>
  <si>
    <t>commonclothes.esp|003E84</t>
  </si>
  <si>
    <t>Quilted Tunic and White Robes</t>
  </si>
  <si>
    <t>commonclothes.esp|001DE0</t>
  </si>
  <si>
    <t>Quilted Tunic with Surcoat</t>
  </si>
  <si>
    <t>kad_moonmonkrobes.esp|000890</t>
  </si>
  <si>
    <t>Ra'kazra's Boots</t>
  </si>
  <si>
    <t>kad_moonmonkrobes.esp|000891</t>
  </si>
  <si>
    <t>Ra'kazra's Gauntlets</t>
  </si>
  <si>
    <t>kad_moonmonkrobes.esp|0008F3</t>
  </si>
  <si>
    <t>kad_moonmonkrobes.esp|00088F</t>
  </si>
  <si>
    <t>Ra'kazra's Mask</t>
  </si>
  <si>
    <t>kad_moonmonkrobes.esp|00088E</t>
  </si>
  <si>
    <t>Ra'kazra's Robes</t>
  </si>
  <si>
    <t>skyrim.esm|061CC0</t>
  </si>
  <si>
    <t>Rahgot</t>
  </si>
  <si>
    <t>sentinel - city guards.esp|00081E</t>
  </si>
  <si>
    <t>Reach Guard's Armor</t>
  </si>
  <si>
    <t>sentinel - city guards.esp|000820</t>
  </si>
  <si>
    <t>Reach Guard's Boots</t>
  </si>
  <si>
    <t>sentinel - city guards.esp|000823</t>
  </si>
  <si>
    <t>Reach Guard's Gauntlets</t>
  </si>
  <si>
    <t>sentinel - city guards.esp|00081F</t>
  </si>
  <si>
    <t>Reach Guard's Heavy Armor</t>
  </si>
  <si>
    <t>sentinel - city guards.esp|000821</t>
  </si>
  <si>
    <t>Reach Guard's Heavy Boots</t>
  </si>
  <si>
    <t>sentinel - city guards.esp|000824</t>
  </si>
  <si>
    <t>Reach Guard's Heavy Gauntlets</t>
  </si>
  <si>
    <t>sentinel - city guards.esp|000826</t>
  </si>
  <si>
    <t>Reach Guard's Heavy Helmet</t>
  </si>
  <si>
    <t>sentinel - city guards.esp|000825</t>
  </si>
  <si>
    <t>Reach Guard's Helmet</t>
  </si>
  <si>
    <t>morecraftableequipment.esp|00083D</t>
  </si>
  <si>
    <t>Red Cowl</t>
  </si>
  <si>
    <t>windhelmsse.esp|052E7B</t>
  </si>
  <si>
    <t>Red Hood</t>
  </si>
  <si>
    <t>windhelmsse.esp|19B6E9</t>
  </si>
  <si>
    <t>Refined Tunic</t>
  </si>
  <si>
    <t>evgnnsmpaccessories.esp|00083A</t>
  </si>
  <si>
    <t>Reinforced Backpack</t>
  </si>
  <si>
    <t>evgnnsmpaccessories.esp|00083B</t>
  </si>
  <si>
    <t>evgnnsmpaccessories.esp|00089F</t>
  </si>
  <si>
    <t>evgnnsmpaccessories.esp|000DE7</t>
  </si>
  <si>
    <t>evgnnsmpaccessories.esp|00083E</t>
  </si>
  <si>
    <t>Reinforced Backpack &amp; Lantern</t>
  </si>
  <si>
    <t>evgnnsmpaccessories.esp|00083F</t>
  </si>
  <si>
    <t>evgnnsmpaccessories.esp|0008A0</t>
  </si>
  <si>
    <t>evgnnsmpaccessories.esp|000DE8</t>
  </si>
  <si>
    <t>evgnnsmpaccessories.esp|000835</t>
  </si>
  <si>
    <t>evgnnsmpaccessories.esp|000836</t>
  </si>
  <si>
    <t>evgnnsmpaccessories.esp|00080D</t>
  </si>
  <si>
    <t>Reinforced Satchel</t>
  </si>
  <si>
    <t>evgnnsmpaccessories.esp|000811</t>
  </si>
  <si>
    <t>sentinel - city guards.esp|000828</t>
  </si>
  <si>
    <t>Rift Guard's Armor</t>
  </si>
  <si>
    <t>sentinel - city guards.esp|000829</t>
  </si>
  <si>
    <t>Rift Guard's Heavy Armor</t>
  </si>
  <si>
    <t>sentinel - city guards.esp|00082A</t>
  </si>
  <si>
    <t>Rift Guard's Heavy Boots</t>
  </si>
  <si>
    <t>sentinel - city guards.esp|00082C</t>
  </si>
  <si>
    <t>Rift Guard's Heavy Gauntlets</t>
  </si>
  <si>
    <t>sentinel - city guards.esp|00082E</t>
  </si>
  <si>
    <t>Rift Guard's Heavy Helmet</t>
  </si>
  <si>
    <t>sentinel - city guards.esp|00082D</t>
  </si>
  <si>
    <t>Rift Guard's Helmet</t>
  </si>
  <si>
    <t>sentinel - city guards.esp|00082B</t>
  </si>
  <si>
    <t>Riften Cloak</t>
  </si>
  <si>
    <t>cloaks&amp;capes.esp|002DF4</t>
  </si>
  <si>
    <t>Riften Guard Cloak</t>
  </si>
  <si>
    <t>skyrim.esm|021507</t>
  </si>
  <si>
    <t>Riften Guard's Armor</t>
  </si>
  <si>
    <t>skyrim.esm|021622</t>
  </si>
  <si>
    <t>Riften Guard's Helmet</t>
  </si>
  <si>
    <t>skyrim.esm|0214BA</t>
  </si>
  <si>
    <t>Riften Guard's Shield</t>
  </si>
  <si>
    <t>sentinel - city guards.esp|00082F</t>
  </si>
  <si>
    <t>Riften Shield</t>
  </si>
  <si>
    <t>dawnguard.esm|00E7FE</t>
  </si>
  <si>
    <t>Ring of the Erudite</t>
  </si>
  <si>
    <t>skyrim.esm|107109</t>
  </si>
  <si>
    <t>Robe à capuche de mage</t>
  </si>
  <si>
    <t>skyrim.esm|10710B</t>
  </si>
  <si>
    <t>skyrim.esm|107106</t>
  </si>
  <si>
    <t>Robe à capuche de moine</t>
  </si>
  <si>
    <t>skyrim.esm|10710C</t>
  </si>
  <si>
    <t>Robe à capuche du Mage noir</t>
  </si>
  <si>
    <t>skyrim.esm|10710D</t>
  </si>
  <si>
    <t>Robe à capuche du Nécromancien</t>
  </si>
  <si>
    <t>skyrim.esm|0A199B</t>
  </si>
  <si>
    <t>Robe bleue</t>
  </si>
  <si>
    <t>skyrim.esm|10710A</t>
  </si>
  <si>
    <t>Robe bleue à capuche</t>
  </si>
  <si>
    <t>skyrim.esm|0D3DE9</t>
  </si>
  <si>
    <t>Robe couverte de l'Académie</t>
  </si>
  <si>
    <t>skyrim.esm|10D691</t>
  </si>
  <si>
    <t>skyrim.esm|10D6A4</t>
  </si>
  <si>
    <t>dragonborn.esm|01CDA6</t>
  </si>
  <si>
    <t>Robe d'adepte</t>
  </si>
  <si>
    <t>dragonborn.esm|037B8A</t>
  </si>
  <si>
    <t>skyrim.esm|101738</t>
  </si>
  <si>
    <t>Robe d'altération</t>
  </si>
  <si>
    <t>skyrim.esm|101778</t>
  </si>
  <si>
    <t>skyrim.esm|109009</t>
  </si>
  <si>
    <t>skyrim.esm|10904A</t>
  </si>
  <si>
    <t>skyrim.esm|10173C</t>
  </si>
  <si>
    <t>Robe d'altération absolue</t>
  </si>
  <si>
    <t>skyrim.esm|10177C</t>
  </si>
  <si>
    <t>skyrim.esm|10900D</t>
  </si>
  <si>
    <t>skyrim.esm|10904E</t>
  </si>
  <si>
    <t>skyrim.esm|101739</t>
  </si>
  <si>
    <t>Robe d'altération accrue</t>
  </si>
  <si>
    <t>skyrim.esm|101779</t>
  </si>
  <si>
    <t>skyrim.esm|10900A</t>
  </si>
  <si>
    <t>skyrim.esm|10904B</t>
  </si>
  <si>
    <t>skyrim.esm|10173B</t>
  </si>
  <si>
    <t>Robe d'altération extrême</t>
  </si>
  <si>
    <t>skyrim.esm|10177B</t>
  </si>
  <si>
    <t>skyrim.esm|10900C</t>
  </si>
  <si>
    <t>skyrim.esm|10904D</t>
  </si>
  <si>
    <t>skyrim.esm|10173A</t>
  </si>
  <si>
    <t>Robe d'altération majeure</t>
  </si>
  <si>
    <t>skyrim.esm|10177A</t>
  </si>
  <si>
    <t>skyrim.esm|10900B</t>
  </si>
  <si>
    <t>skyrim.esm|10904C</t>
  </si>
  <si>
    <t>skyrim.esm|101737</t>
  </si>
  <si>
    <t>Robe d'altération minime</t>
  </si>
  <si>
    <t>skyrim.esm|101777</t>
  </si>
  <si>
    <t>skyrim.esm|109008</t>
  </si>
  <si>
    <t>skyrim.esm|109049</t>
  </si>
  <si>
    <t>skyrim.esm|10D66C</t>
  </si>
  <si>
    <t>Robe d'altération pour apprenti</t>
  </si>
  <si>
    <t>skyrim.esm|10CEE4</t>
  </si>
  <si>
    <t>Robe d'apprenti</t>
  </si>
  <si>
    <t>skyrim.esm|10D67D</t>
  </si>
  <si>
    <t>skyrim.esm|07C932</t>
  </si>
  <si>
    <t>Robe d'archimage</t>
  </si>
  <si>
    <t>skyrim.esm|10F570</t>
  </si>
  <si>
    <t>skyrim.esm|10175C</t>
  </si>
  <si>
    <t>Robe d'emplissage</t>
  </si>
  <si>
    <t>skyrim.esm|10179E</t>
  </si>
  <si>
    <t>skyrim.esm|109046</t>
  </si>
  <si>
    <t>skyrim.esm|109081</t>
  </si>
  <si>
    <t>skyrim.esm|10D662</t>
  </si>
  <si>
    <t>Robe d'expert</t>
  </si>
  <si>
    <t>skyrim.esm|10D67F</t>
  </si>
  <si>
    <t>skyrim.esm|10D66E</t>
  </si>
  <si>
    <t>Robe d'expert d'altération</t>
  </si>
  <si>
    <t>skyrim.esm|10D67B</t>
  </si>
  <si>
    <t>Robe d'expert d'illusion</t>
  </si>
  <si>
    <t>skyrim.esm|10D674</t>
  </si>
  <si>
    <t>Robe d'expert de conjuration</t>
  </si>
  <si>
    <t>skyrim.esm|10D677</t>
  </si>
  <si>
    <t>Robe d'expert de destruction</t>
  </si>
  <si>
    <t>skyrim.esm|10D683</t>
  </si>
  <si>
    <t>Robe d'expert de guérison</t>
  </si>
  <si>
    <t>skyrim.esm|101750</t>
  </si>
  <si>
    <t>Robe d'illusion</t>
  </si>
  <si>
    <t>skyrim.esm|1017A4</t>
  </si>
  <si>
    <t>skyrim.esm|109021</t>
  </si>
  <si>
    <t>skyrim.esm|109088</t>
  </si>
  <si>
    <t>skyrim.esm|101754</t>
  </si>
  <si>
    <t>Robe d'illusion absolue</t>
  </si>
  <si>
    <t>skyrim.esm|1017A0</t>
  </si>
  <si>
    <t>skyrim.esm|109025</t>
  </si>
  <si>
    <t>skyrim.esm|109084</t>
  </si>
  <si>
    <t>skyrim.esm|101751</t>
  </si>
  <si>
    <t>Robe d'illusion accrue</t>
  </si>
  <si>
    <t>skyrim.esm|1017A3</t>
  </si>
  <si>
    <t>skyrim.esm|109022</t>
  </si>
  <si>
    <t>skyrim.esm|109087</t>
  </si>
  <si>
    <t>skyrim.esm|101753</t>
  </si>
  <si>
    <t>Robe d'illusion extrême</t>
  </si>
  <si>
    <t>skyrim.esm|1017A1</t>
  </si>
  <si>
    <t>skyrim.esm|109024</t>
  </si>
  <si>
    <t>skyrim.esm|109085</t>
  </si>
  <si>
    <t>skyrim.esm|101752</t>
  </si>
  <si>
    <t>Robe d'illusion majeure</t>
  </si>
  <si>
    <t>skyrim.esm|1017A2</t>
  </si>
  <si>
    <t>skyrim.esm|109023</t>
  </si>
  <si>
    <t>skyrim.esm|109086</t>
  </si>
  <si>
    <t>skyrim.esm|101749</t>
  </si>
  <si>
    <t>Robe d'illusion minime</t>
  </si>
  <si>
    <t>skyrim.esm|1017A5</t>
  </si>
  <si>
    <t>skyrim.esm|109020</t>
  </si>
  <si>
    <t>skyrim.esm|109089</t>
  </si>
  <si>
    <t>skyrim.esm|10D679</t>
  </si>
  <si>
    <t>Robe d'illusion pour apprenti</t>
  </si>
  <si>
    <t>skyrim.esm|10173D</t>
  </si>
  <si>
    <t>Robe de conjuration</t>
  </si>
  <si>
    <t>skyrim.esm|10173E</t>
  </si>
  <si>
    <t>skyrim.esm|1017B6</t>
  </si>
  <si>
    <t>skyrim.esm|10900F</t>
  </si>
  <si>
    <t>skyrim.esm|109050</t>
  </si>
  <si>
    <t>skyrim.esm|101742</t>
  </si>
  <si>
    <t>Robe de conjuration absolue</t>
  </si>
  <si>
    <t>skyrim.esm|1017B2</t>
  </si>
  <si>
    <t>skyrim.esm|109013</t>
  </si>
  <si>
    <t>skyrim.esm|109054</t>
  </si>
  <si>
    <t>skyrim.esm|10173F</t>
  </si>
  <si>
    <t>Robe de conjuration accrue</t>
  </si>
  <si>
    <t>skyrim.esm|1017B5</t>
  </si>
  <si>
    <t>skyrim.esm|109010</t>
  </si>
  <si>
    <t>skyrim.esm|109051</t>
  </si>
  <si>
    <t>skyrim.esm|101741</t>
  </si>
  <si>
    <t>Robe de conjuration extrême</t>
  </si>
  <si>
    <t>skyrim.esm|1017B3</t>
  </si>
  <si>
    <t>skyrim.esm|109012</t>
  </si>
  <si>
    <t>skyrim.esm|109053</t>
  </si>
  <si>
    <t>skyrim.esm|101740</t>
  </si>
  <si>
    <t>Robe de conjuration majeure</t>
  </si>
  <si>
    <t>skyrim.esm|1017B4</t>
  </si>
  <si>
    <t>skyrim.esm|109011</t>
  </si>
  <si>
    <t>skyrim.esm|109052</t>
  </si>
  <si>
    <t>skyrim.esm|10177D</t>
  </si>
  <si>
    <t>Robe de conjuration minime</t>
  </si>
  <si>
    <t>skyrim.esm|10900E</t>
  </si>
  <si>
    <t>skyrim.esm|10904F</t>
  </si>
  <si>
    <t>skyrim.esm|10D672</t>
  </si>
  <si>
    <t>Robe de conjuration pour apprenti</t>
  </si>
  <si>
    <t>skyrim.esm|10D66A</t>
  </si>
  <si>
    <t>Robe de conjuration pour mage</t>
  </si>
  <si>
    <t>skyrim.esm|101744</t>
  </si>
  <si>
    <t>Robe de destruction</t>
  </si>
  <si>
    <t>skyrim.esm|1017B0</t>
  </si>
  <si>
    <t>skyrim.esm|109015</t>
  </si>
  <si>
    <t>skyrim.esm|109056</t>
  </si>
  <si>
    <t>skyrim.esm|101748</t>
  </si>
  <si>
    <t>Robe de destruction absolue</t>
  </si>
  <si>
    <t>skyrim.esm|1017AC</t>
  </si>
  <si>
    <t>skyrim.esm|109019</t>
  </si>
  <si>
    <t>skyrim.esm|10905A</t>
  </si>
  <si>
    <t>skyrim.esm|101745</t>
  </si>
  <si>
    <t>Robe de destruction accrue</t>
  </si>
  <si>
    <t>skyrim.esm|1017AF</t>
  </si>
  <si>
    <t>skyrim.esm|109016</t>
  </si>
  <si>
    <t>skyrim.esm|109057</t>
  </si>
  <si>
    <t>skyrim.esm|101747</t>
  </si>
  <si>
    <t>Robe de destruction extrême</t>
  </si>
  <si>
    <t>skyrim.esm|1017AD</t>
  </si>
  <si>
    <t>skyrim.esm|109018</t>
  </si>
  <si>
    <t>skyrim.esm|109059</t>
  </si>
  <si>
    <t>skyrim.esm|101746</t>
  </si>
  <si>
    <t>Robe de destruction majeure</t>
  </si>
  <si>
    <t>skyrim.esm|1017AE</t>
  </si>
  <si>
    <t>skyrim.esm|109017</t>
  </si>
  <si>
    <t>skyrim.esm|109058</t>
  </si>
  <si>
    <t>skyrim.esm|101743</t>
  </si>
  <si>
    <t>Robe de destruction minime</t>
  </si>
  <si>
    <t>skyrim.esm|1017B1</t>
  </si>
  <si>
    <t>skyrim.esm|109014</t>
  </si>
  <si>
    <t>skyrim.esm|109055</t>
  </si>
  <si>
    <t>skyrim.esm|10D670</t>
  </si>
  <si>
    <t>Robe de destruction pour apprenti</t>
  </si>
  <si>
    <t>skyrim.esm|101756</t>
  </si>
  <si>
    <t>Robe de guérison</t>
  </si>
  <si>
    <t>skyrim.esm|101782</t>
  </si>
  <si>
    <t>skyrim.esm|10902A</t>
  </si>
  <si>
    <t>skyrim.esm|109065</t>
  </si>
  <si>
    <t>skyrim.esm|10175A</t>
  </si>
  <si>
    <t>Robe de guérison absolue</t>
  </si>
  <si>
    <t>skyrim.esm|10177E</t>
  </si>
  <si>
    <t>skyrim.esm|109026</t>
  </si>
  <si>
    <t>skyrim.esm|109061</t>
  </si>
  <si>
    <t>skyrim.esm|101757</t>
  </si>
  <si>
    <t>Robe de guérison accrue</t>
  </si>
  <si>
    <t>skyrim.esm|101781</t>
  </si>
  <si>
    <t>skyrim.esm|109029</t>
  </si>
  <si>
    <t>skyrim.esm|109064</t>
  </si>
  <si>
    <t>skyrim.esm|101759</t>
  </si>
  <si>
    <t>Robe de guérison extrême</t>
  </si>
  <si>
    <t>skyrim.esm|10177F</t>
  </si>
  <si>
    <t>skyrim.esm|109027</t>
  </si>
  <si>
    <t>skyrim.esm|109062</t>
  </si>
  <si>
    <t>skyrim.esm|101758</t>
  </si>
  <si>
    <t>Robe de guérison majeure</t>
  </si>
  <si>
    <t>skyrim.esm|101780</t>
  </si>
  <si>
    <t>skyrim.esm|109028</t>
  </si>
  <si>
    <t>skyrim.esm|109063</t>
  </si>
  <si>
    <t>skyrim.esm|101755</t>
  </si>
  <si>
    <t>Robe de guérison minime</t>
  </si>
  <si>
    <t>skyrim.esm|101783</t>
  </si>
  <si>
    <t>skyrim.esm|10902B</t>
  </si>
  <si>
    <t>skyrim.esm|109066</t>
  </si>
  <si>
    <t>skyrim.esm|10D681</t>
  </si>
  <si>
    <t>Robe de guérison pour apprenti</t>
  </si>
  <si>
    <t>skyrim.esm|0D3DEA</t>
  </si>
  <si>
    <t>Robe de l'Académie</t>
  </si>
  <si>
    <t>skyrim.esm|10D6A5</t>
  </si>
  <si>
    <t>skyrim.esm|109C11</t>
  </si>
  <si>
    <t>Robe de l'Aube mythique</t>
  </si>
  <si>
    <t>skyrim.esm|015516</t>
  </si>
  <si>
    <t>Robe de l'empereur</t>
  </si>
  <si>
    <t>skyrim.esm|06B46B</t>
  </si>
  <si>
    <t>Robe de mage</t>
  </si>
  <si>
    <t>skyrim.esm|07E010</t>
  </si>
  <si>
    <t>skyrim.esm|0D1F3B</t>
  </si>
  <si>
    <t>Robe de mage bleue</t>
  </si>
  <si>
    <t>skyrim.esm|0C5D11</t>
  </si>
  <si>
    <t>Robe de mage noire</t>
  </si>
  <si>
    <t>skyrim.esm|10D664</t>
  </si>
  <si>
    <t>Robe de maître</t>
  </si>
  <si>
    <t>skyrim.esm|10D680</t>
  </si>
  <si>
    <t>skyrim.esm|10D66F</t>
  </si>
  <si>
    <t>Robe de maître d'altération</t>
  </si>
  <si>
    <t>skyrim.esm|10D67C</t>
  </si>
  <si>
    <t>Robe de maître d'illusion</t>
  </si>
  <si>
    <t>skyrim.esm|10D675</t>
  </si>
  <si>
    <t>Robe de maître de conjuration</t>
  </si>
  <si>
    <t>skyrim.esm|10D678</t>
  </si>
  <si>
    <t>Robe de maître de destruction</t>
  </si>
  <si>
    <t>skyrim.esm|10D684</t>
  </si>
  <si>
    <t>Robe de maître de guérison</t>
  </si>
  <si>
    <t>skyrim.esm|088956</t>
  </si>
  <si>
    <t>Robe de mariée</t>
  </si>
  <si>
    <t>dragonborn.esm|01CDA7</t>
  </si>
  <si>
    <t>Robe de Miraak</t>
  </si>
  <si>
    <t>dragonborn.esm|02B0F7</t>
  </si>
  <si>
    <t>dragonborn.esm|039151</t>
  </si>
  <si>
    <t>dragonborn.esm|039D1E</t>
  </si>
  <si>
    <t>dragonborn.esm|039D20</t>
  </si>
  <si>
    <t>dragonborn.esm|039D22</t>
  </si>
  <si>
    <t>skyrim.esm|0BACF3</t>
  </si>
  <si>
    <t>Robe de moine</t>
  </si>
  <si>
    <t>skyrim.esm|0C36EA</t>
  </si>
  <si>
    <t>Robe de nécromancien</t>
  </si>
  <si>
    <t>skyrim.esm|10CEE5</t>
  </si>
  <si>
    <t>Robe de novice</t>
  </si>
  <si>
    <t>skyrim.esm|10D2B4</t>
  </si>
  <si>
    <t>skyrim.esm|10D667</t>
  </si>
  <si>
    <t>skyrim.esm|10D669</t>
  </si>
  <si>
    <t>Robe de novice d'altération</t>
  </si>
  <si>
    <t>skyrim.esm|10D671</t>
  </si>
  <si>
    <t>Robe de novice d'illusion</t>
  </si>
  <si>
    <t>skyrim.esm|10D668</t>
  </si>
  <si>
    <t>Robe de novice de destruction</t>
  </si>
  <si>
    <t>skyrim.esm|10D66B</t>
  </si>
  <si>
    <t>Robe de novice de guérison</t>
  </si>
  <si>
    <t>dawnguard.esm|0047D7</t>
  </si>
  <si>
    <t>Robe de prêtre de la Phalène</t>
  </si>
  <si>
    <t>dragonborn.esm|01CDAB</t>
  </si>
  <si>
    <t>Robe de prêtre du Temple</t>
  </si>
  <si>
    <t>skyrim.esm|10524F</t>
  </si>
  <si>
    <t>Robe de rapidité</t>
  </si>
  <si>
    <t>skyrim.esm|105EF0</t>
  </si>
  <si>
    <t>skyrim.esm|109048</t>
  </si>
  <si>
    <t>skyrim.esm|109083</t>
  </si>
  <si>
    <t>skyrim.esm|10175B</t>
  </si>
  <si>
    <t>Robe de recharge</t>
  </si>
  <si>
    <t>skyrim.esm|10179F</t>
  </si>
  <si>
    <t>skyrim.esm|109047</t>
  </si>
  <si>
    <t>skyrim.esm|109082</t>
  </si>
  <si>
    <t>skyrim.esm|10175D</t>
  </si>
  <si>
    <t>Robe de résurgence</t>
  </si>
  <si>
    <t>skyrim.esm|10179D</t>
  </si>
  <si>
    <t>skyrim.esm|109045</t>
  </si>
  <si>
    <t>skyrim.esm|109080</t>
  </si>
  <si>
    <t>skyrim.esm|10CEE3</t>
  </si>
  <si>
    <t>Robe de spécialiste</t>
  </si>
  <si>
    <t>skyrim.esm|10D67E</t>
  </si>
  <si>
    <t>skyrim.esm|10D66D</t>
  </si>
  <si>
    <t>Robe de spécialiste d'altération</t>
  </si>
  <si>
    <t>skyrim.esm|10D67A</t>
  </si>
  <si>
    <t>Robe de spécialiste d'illusion</t>
  </si>
  <si>
    <t>skyrim.esm|10D673</t>
  </si>
  <si>
    <t>Robe de spécialiste de conjuration</t>
  </si>
  <si>
    <t>skyrim.esm|10D676</t>
  </si>
  <si>
    <t>Robe de spécialiste de destruction</t>
  </si>
  <si>
    <t>skyrim.esm|10D682</t>
  </si>
  <si>
    <t>Robe de spécialiste de guérison</t>
  </si>
  <si>
    <t>dawnguard.esm|014C03</t>
  </si>
  <si>
    <t>Robe de Taron Dreth</t>
  </si>
  <si>
    <t>skyrim.esm|065BBF</t>
  </si>
  <si>
    <t>Robe de Thalmor</t>
  </si>
  <si>
    <t>skyrim.esm|10C698</t>
  </si>
  <si>
    <t>Robe de Thalmor à capuchon</t>
  </si>
  <si>
    <t>skyrim.esm|0E739B</t>
  </si>
  <si>
    <t>Robe de Vaermina</t>
  </si>
  <si>
    <t>dawnguard.esm|019ADF</t>
  </si>
  <si>
    <t>Robe de vampire</t>
  </si>
  <si>
    <t>dragonborn.esm|01CDA8</t>
  </si>
  <si>
    <t>Robe des Telvanni</t>
  </si>
  <si>
    <t>dragonborn.esm|0376ED</t>
  </si>
  <si>
    <t>skyrim.esm|0E84C4</t>
  </si>
  <si>
    <t>Robe embellie</t>
  </si>
  <si>
    <t>skyrim.esm|10CFF1</t>
  </si>
  <si>
    <t>Robe grise</t>
  </si>
  <si>
    <t>skyrim.esm|10CFEA</t>
  </si>
  <si>
    <t>Robe grise à capuchon</t>
  </si>
  <si>
    <t>skyrim.esm|10CFEF</t>
  </si>
  <si>
    <t>Robe marron</t>
  </si>
  <si>
    <t>skyrim.esm|10CFE4</t>
  </si>
  <si>
    <t>Robe marron à capuchon</t>
  </si>
  <si>
    <t>skyrim.esm|106661</t>
  </si>
  <si>
    <t>Robe noire</t>
  </si>
  <si>
    <t>skyrim.esm|107108</t>
  </si>
  <si>
    <t>Robe noire à capuche</t>
  </si>
  <si>
    <t>skyrim.esm|10CFF2</t>
  </si>
  <si>
    <t>Robe rouge</t>
  </si>
  <si>
    <t>skyrim.esm|10CFEB</t>
  </si>
  <si>
    <t>Robe rouge à capuchon</t>
  </si>
  <si>
    <t>skyrim.esm|0CF8A0</t>
  </si>
  <si>
    <t>Robe sibylline</t>
  </si>
  <si>
    <t>skyrim.esm|013105</t>
  </si>
  <si>
    <t>Robe usée</t>
  </si>
  <si>
    <t>skyrim.esm|10CFF0</t>
  </si>
  <si>
    <t>Robe verte</t>
  </si>
  <si>
    <t>skyrim.esm|10CFEC</t>
  </si>
  <si>
    <t>Robe verte à capuchon</t>
  </si>
  <si>
    <t>commonclothes.esp|001879</t>
  </si>
  <si>
    <t>Robed Iron Armor</t>
  </si>
  <si>
    <t>commonclothes.esp|00187A</t>
  </si>
  <si>
    <t>sentinel.esp|000866</t>
  </si>
  <si>
    <t>Robed Steel Plate Armor</t>
  </si>
  <si>
    <t>sentinel.esp|000812</t>
  </si>
  <si>
    <t>Rogue's Hide Armor</t>
  </si>
  <si>
    <t>sentinel.esp|000811</t>
  </si>
  <si>
    <t>Rogue's Hide Boots</t>
  </si>
  <si>
    <t>sentinel.esp|000813</t>
  </si>
  <si>
    <t>Rogue's Hide Gloves</t>
  </si>
  <si>
    <t>sentinel.esp|000814</t>
  </si>
  <si>
    <t>Rogue's Hood</t>
  </si>
  <si>
    <t>sentinel.esp|000815</t>
  </si>
  <si>
    <t>Rogue's Hood, Lowered</t>
  </si>
  <si>
    <t>evgnnsmpaccessories.esp|000886</t>
  </si>
  <si>
    <t>Rugged Cape</t>
  </si>
  <si>
    <t>evgnnsmpaccessories.esp|000887</t>
  </si>
  <si>
    <t>evgnnsmpaccessories.esp|000E36</t>
  </si>
  <si>
    <t>evgnnsmpaccessories.esp|000E64</t>
  </si>
  <si>
    <t>evgnnsmpaccessories.esp|000E65</t>
  </si>
  <si>
    <t>sentinel.esp|00081E</t>
  </si>
  <si>
    <t>Rugged Iron Armor</t>
  </si>
  <si>
    <t>sentinel.esp|00081D</t>
  </si>
  <si>
    <t>Rugged Iron Boots</t>
  </si>
  <si>
    <t>sentinel.esp|000820</t>
  </si>
  <si>
    <t>Rugged Iron Gauntlets</t>
  </si>
  <si>
    <t>sentinel.esp|000821</t>
  </si>
  <si>
    <t>Rugged Iron Helmet</t>
  </si>
  <si>
    <t>sentinel.esp|000822</t>
  </si>
  <si>
    <t>Rugged Iron Shield</t>
  </si>
  <si>
    <t>sentinel.esp|000834</t>
  </si>
  <si>
    <t>Rugged Leather Armor</t>
  </si>
  <si>
    <t>sentinel.esp|000833</t>
  </si>
  <si>
    <t>Rugged Leather Boots</t>
  </si>
  <si>
    <t>sentinel.esp|000835</t>
  </si>
  <si>
    <t>Rugged Leather Gauntlets</t>
  </si>
  <si>
    <t>sentinel.esp|000836</t>
  </si>
  <si>
    <t>Rugged Leather Helmet</t>
  </si>
  <si>
    <t>sentinel.esp|000837</t>
  </si>
  <si>
    <t>Rugged Leather Shield</t>
  </si>
  <si>
    <t>evgnnsmpaccessories.esp|00087B</t>
  </si>
  <si>
    <t>Rugged Mask</t>
  </si>
  <si>
    <t>evgnnsmpaccessories.esp|000880</t>
  </si>
  <si>
    <t>evgnnsmpaccessories.esp|000881</t>
  </si>
  <si>
    <t>evgnnsmpaccessories.esp|000896</t>
  </si>
  <si>
    <t>evgnnsmpaccessories.esp|000897</t>
  </si>
  <si>
    <t>sentinel.esp|00086E</t>
  </si>
  <si>
    <t>Rugged Plate Armor</t>
  </si>
  <si>
    <t>sentinel.esp|00086D</t>
  </si>
  <si>
    <t>Rugged Plate Boots</t>
  </si>
  <si>
    <t>sentinel.esp|00086F</t>
  </si>
  <si>
    <t>Rugged Plate Gauntlets</t>
  </si>
  <si>
    <t>sentinel.esp|000870</t>
  </si>
  <si>
    <t>Rugged Plate Helmet</t>
  </si>
  <si>
    <t>sentinel.esp|000863</t>
  </si>
  <si>
    <t>Rugged Scaled Armor</t>
  </si>
  <si>
    <t>sentinel.esp|000862</t>
  </si>
  <si>
    <t>Rugged Scaled Boots</t>
  </si>
  <si>
    <t>sentinel.esp|000864</t>
  </si>
  <si>
    <t>Rugged Scaled Gauntlets</t>
  </si>
  <si>
    <t>sentinel.esp|000865</t>
  </si>
  <si>
    <t>Rugged Scaled Helmet</t>
  </si>
  <si>
    <t>sentinel.esp|00083D</t>
  </si>
  <si>
    <t>Rugged Steel Armor</t>
  </si>
  <si>
    <t>sentinel.esp|00083C</t>
  </si>
  <si>
    <t>Rugged Steel Boots</t>
  </si>
  <si>
    <t>sentinel.esp|00083E</t>
  </si>
  <si>
    <t>Rugged Steel Gauntlets</t>
  </si>
  <si>
    <t>sentinel.esp|00083F</t>
  </si>
  <si>
    <t>Rugged Steel Helmet</t>
  </si>
  <si>
    <t>sentinel.esp|000840</t>
  </si>
  <si>
    <t>Rugged Steel Shield</t>
  </si>
  <si>
    <t>sentinel.esp|000825</t>
  </si>
  <si>
    <t>Runic Iron Armor</t>
  </si>
  <si>
    <t>sentinel.esp|000824</t>
  </si>
  <si>
    <t>Runic Iron Boots</t>
  </si>
  <si>
    <t>sentinel.esp|000827</t>
  </si>
  <si>
    <t>Runic Iron Gauntlets</t>
  </si>
  <si>
    <t>sentinel.esp|000828</t>
  </si>
  <si>
    <t>Runic Iron Helmet</t>
  </si>
  <si>
    <t>dis_heavy_legion.esp|005945</t>
  </si>
  <si>
    <t>Rust Armor</t>
  </si>
  <si>
    <t>dis_heavy_legion.esp|005943</t>
  </si>
  <si>
    <t>Rust Boots</t>
  </si>
  <si>
    <t>dis_heavy_legion.esp|005947</t>
  </si>
  <si>
    <t>Rust Gauntlets</t>
  </si>
  <si>
    <t>dis_heavy_legion.esp|00594C</t>
  </si>
  <si>
    <t>Rust Helmet</t>
  </si>
  <si>
    <t>dis_heavy_legion.esp|00594E</t>
  </si>
  <si>
    <t>Rust Shield</t>
  </si>
  <si>
    <t>skyrim.esm|088958</t>
  </si>
  <si>
    <t>Sandales de mariée</t>
  </si>
  <si>
    <t>dawnguard.esm|0047D9</t>
  </si>
  <si>
    <t>Sandales de prêtre de la Phalène</t>
  </si>
  <si>
    <t>keizaal.esp|E63194</t>
  </si>
  <si>
    <t>Savior's Hide</t>
  </si>
  <si>
    <t>windhelmsse.esp|3E6FC2</t>
  </si>
  <si>
    <t>Scaled Helmet</t>
  </si>
  <si>
    <t>evgnnsmpaccessories.esp|000824</t>
  </si>
  <si>
    <t>Short Cloth Cape</t>
  </si>
  <si>
    <t>evgnnsmpaccessories.esp|000825</t>
  </si>
  <si>
    <t>evgnnsmpaccessories.esp|000826</t>
  </si>
  <si>
    <t>evgnnsmpaccessories.esp|000827</t>
  </si>
  <si>
    <t>evgnnsmpaccessories.esp|000876</t>
  </si>
  <si>
    <t>Short Woven Scarf</t>
  </si>
  <si>
    <t>evgnnsmpaccessories.esp|000879</t>
  </si>
  <si>
    <t>evgnnsmpaccessories.esp|000E88</t>
  </si>
  <si>
    <t>skyrim.esm|10EB5B</t>
  </si>
  <si>
    <t>Shrouded Armor</t>
  </si>
  <si>
    <t>skyrim.esm|10EB5C</t>
  </si>
  <si>
    <t>Shrouded Boots</t>
  </si>
  <si>
    <t>skyrim.esm|10EB5D</t>
  </si>
  <si>
    <t>Shrouded Cowl</t>
  </si>
  <si>
    <t>skyrim.esm|10EB5E</t>
  </si>
  <si>
    <t>Shrouded Gloves</t>
  </si>
  <si>
    <t>keizaal.esp|E6319D</t>
  </si>
  <si>
    <t>Shrouded Hand Wraps</t>
  </si>
  <si>
    <t>morecraftableequipment.esp|000808</t>
  </si>
  <si>
    <t>keizaal.esp|E6319C</t>
  </si>
  <si>
    <t>Shrouded Hood</t>
  </si>
  <si>
    <t>morecraftableequipment.esp|000809</t>
  </si>
  <si>
    <t>morecraftableequipment.esp|000802</t>
  </si>
  <si>
    <t>Shrouded Masked Cowl</t>
  </si>
  <si>
    <t>skyrim.esm|05ABC4</t>
  </si>
  <si>
    <t>keizaal.esp|E6319A</t>
  </si>
  <si>
    <t>Shrouded Robes</t>
  </si>
  <si>
    <t>morecraftableequipment.esp|000806</t>
  </si>
  <si>
    <t>keizaal.esp|E6319B</t>
  </si>
  <si>
    <t>Shrouded Shoes</t>
  </si>
  <si>
    <t>morecraftableequipment.esp|000807</t>
  </si>
  <si>
    <t>morecraftableequipment.esp|000805</t>
  </si>
  <si>
    <t>Shrouded Short-Sleeved Armor</t>
  </si>
  <si>
    <t>sentinel.esp|0008EA</t>
  </si>
  <si>
    <t>Silver Hand Armor</t>
  </si>
  <si>
    <t>sentinel.esp|0008E4</t>
  </si>
  <si>
    <t>Silver Hand Boots</t>
  </si>
  <si>
    <t>sentinel.esp|0008ED</t>
  </si>
  <si>
    <t>Silver Hand Cuirass</t>
  </si>
  <si>
    <t>sentinel.esp|0008E5</t>
  </si>
  <si>
    <t>Silver Hand Gambeson</t>
  </si>
  <si>
    <t>sentinel.esp|0008EB</t>
  </si>
  <si>
    <t>Silver Hand Gauntlets</t>
  </si>
  <si>
    <t>sentinel.esp|0008E6</t>
  </si>
  <si>
    <t>Silver Hand Gloves</t>
  </si>
  <si>
    <t>sentinel.esp|0008EE</t>
  </si>
  <si>
    <t>Silver Hand Great Helm</t>
  </si>
  <si>
    <t>sentinel.esp|0008E9</t>
  </si>
  <si>
    <t>Silver Hand Greaves</t>
  </si>
  <si>
    <t>sentinel.esp|0008E7</t>
  </si>
  <si>
    <t>Silver Hand Helmet</t>
  </si>
  <si>
    <t>sentinel.esp|0008EC</t>
  </si>
  <si>
    <t>Silver Hand Sallet</t>
  </si>
  <si>
    <t>sentinel.esp|0008E8</t>
  </si>
  <si>
    <t>Silver Hand Shield</t>
  </si>
  <si>
    <t>sentinel.esp|0008D9</t>
  </si>
  <si>
    <t>Skyforge Steel Shield</t>
  </si>
  <si>
    <t>sentinel - city guards.esp|00080F</t>
  </si>
  <si>
    <t>Solitude Cloak</t>
  </si>
  <si>
    <t>cloaks&amp;capes.esp|002DF5</t>
  </si>
  <si>
    <t>Solitude Guard Cloak</t>
  </si>
  <si>
    <t>skyrim.esm|0C7F5B</t>
  </si>
  <si>
    <t>Solitude Guard's Armor</t>
  </si>
  <si>
    <t>skyrim.esm|0C7F5C</t>
  </si>
  <si>
    <t>Solitude Guard's Helmet</t>
  </si>
  <si>
    <t>skyrim.esm|0214F4</t>
  </si>
  <si>
    <t>Solitude Guard's Shield</t>
  </si>
  <si>
    <t>sentinel - city guards.esp|000814</t>
  </si>
  <si>
    <t>Solitude Shield</t>
  </si>
  <si>
    <t>dragonborn.esm|037563</t>
  </si>
  <si>
    <t>Spalière d'ostalium</t>
  </si>
  <si>
    <t>dragonborn.esm|01CD9F</t>
  </si>
  <si>
    <t>Stalhrim Armor</t>
  </si>
  <si>
    <t>dragonborn.esm|01CD9E</t>
  </si>
  <si>
    <t>Stalhrim Boots</t>
  </si>
  <si>
    <t>dragonborn.esm|01CDA0</t>
  </si>
  <si>
    <t>Stalhrim Gauntlets</t>
  </si>
  <si>
    <t>dragonborn.esm|01CDA1</t>
  </si>
  <si>
    <t>Stalhrim Helmet</t>
  </si>
  <si>
    <t>dragonborn.esm|01CDA2</t>
  </si>
  <si>
    <t>Stalhrim Light Armor</t>
  </si>
  <si>
    <t>dragonborn.esm|01CD7E</t>
  </si>
  <si>
    <t>Stalhrim Light Boots</t>
  </si>
  <si>
    <t>dragonborn.esm|01CDA5</t>
  </si>
  <si>
    <t>Stalhrim Light Bracers</t>
  </si>
  <si>
    <t>dragonborn.esm|01CDA3</t>
  </si>
  <si>
    <t>Stalhrim Light Helmet</t>
  </si>
  <si>
    <t>dragonborn.esm|026237</t>
  </si>
  <si>
    <t>Stalhrim Shield</t>
  </si>
  <si>
    <t>sentinel.esp|000842</t>
  </si>
  <si>
    <t>Steel Armor</t>
  </si>
  <si>
    <t>sentinel.esp|000843</t>
  </si>
  <si>
    <t>sentinel.esp|000841</t>
  </si>
  <si>
    <t>Steel Cuffed Boots</t>
  </si>
  <si>
    <t>windhelmsse.esp|188291</t>
  </si>
  <si>
    <t>Steel Helmet</t>
  </si>
  <si>
    <t>sentinel.esp|000844</t>
  </si>
  <si>
    <t>Steel Nordic Gauntlets</t>
  </si>
  <si>
    <t>windhelmsse.esp|14D887</t>
  </si>
  <si>
    <t>Steel Plate Armor</t>
  </si>
  <si>
    <t>sentinel.esp|000867</t>
  </si>
  <si>
    <t>Steel Plate Bracers</t>
  </si>
  <si>
    <t>windhelmsse.esp|14D888</t>
  </si>
  <si>
    <t>Steel Plate Helmet</t>
  </si>
  <si>
    <t>windhelmsse.esp|1B106F</t>
  </si>
  <si>
    <t>Steel Skullcap</t>
  </si>
  <si>
    <t>sentinel.esp|0008BC</t>
  </si>
  <si>
    <t>Stormcloak Braided Armor</t>
  </si>
  <si>
    <t>sentinel.esp|0008BD</t>
  </si>
  <si>
    <t>Stormcloak Chainmail Armor</t>
  </si>
  <si>
    <t>cloaks&amp;capes.esp|002DF7</t>
  </si>
  <si>
    <t>Stormcloak Cloak</t>
  </si>
  <si>
    <t>sentinel.esp|000B61</t>
  </si>
  <si>
    <t>sentinel.esp|0008C7</t>
  </si>
  <si>
    <t>Stormcloak Conical Helmet</t>
  </si>
  <si>
    <t>sentinel.esp|0008CB</t>
  </si>
  <si>
    <t>Stormcloak Heavy Iron Helmet</t>
  </si>
  <si>
    <t>sentinel.esp|0008BF</t>
  </si>
  <si>
    <t>Stormcloak Heavy Lamellar Armor</t>
  </si>
  <si>
    <t>sentinel.esp|0008B9</t>
  </si>
  <si>
    <t>Stormcloak Heavy Lamellar Boots</t>
  </si>
  <si>
    <t>sentinel.esp|0008C4</t>
  </si>
  <si>
    <t>Stormcloak Heavy Lamellar Gauntlets</t>
  </si>
  <si>
    <t>sentinel.esp|0008B7</t>
  </si>
  <si>
    <t>Stormcloak Heavy Soldier Boots</t>
  </si>
  <si>
    <t>sentinel.esp|0008C2</t>
  </si>
  <si>
    <t>Stormcloak Heavy Soldier Gauntlets</t>
  </si>
  <si>
    <t>sentinel.esp|0008C9</t>
  </si>
  <si>
    <t>Stormcloak Heavy Soldier Helmet</t>
  </si>
  <si>
    <t>sentinel.esp|0008BA</t>
  </si>
  <si>
    <t>Stormcloak Hide Armor</t>
  </si>
  <si>
    <t>sentinel.esp|0008B5</t>
  </si>
  <si>
    <t>Stormcloak Hide Boots</t>
  </si>
  <si>
    <t>sentinel.esp|0008C0</t>
  </si>
  <si>
    <t>Stormcloak Hide Gauntlets</t>
  </si>
  <si>
    <t>sentinel.esp|0008C5</t>
  </si>
  <si>
    <t>Stormcloak Hide Helmet</t>
  </si>
  <si>
    <t>sentinel.esp|0008D4</t>
  </si>
  <si>
    <t>Stormcloak Housecarl Armor</t>
  </si>
  <si>
    <t>sentinel.esp|0008D3</t>
  </si>
  <si>
    <t>Stormcloak Housecarl Boots</t>
  </si>
  <si>
    <t>sentinel.esp|0008D5</t>
  </si>
  <si>
    <t>Stormcloak Housecarl Gauntlets</t>
  </si>
  <si>
    <t>sentinel.esp|0008D6</t>
  </si>
  <si>
    <t>Stormcloak Housecarl Helmet</t>
  </si>
  <si>
    <t>sentinel.esp|0008CA</t>
  </si>
  <si>
    <t>Stormcloak Iron Helmet</t>
  </si>
  <si>
    <t>sentinel.esp|0008BE</t>
  </si>
  <si>
    <t>Stormcloak Lamellar Armor</t>
  </si>
  <si>
    <t>sentinel.esp|0008B8</t>
  </si>
  <si>
    <t>Stormcloak Lamellar Boots</t>
  </si>
  <si>
    <t>sentinel.esp|0008C3</t>
  </si>
  <si>
    <t>Stormcloak Lamellar Gauntlets</t>
  </si>
  <si>
    <t>sentinel.esp|0008C6</t>
  </si>
  <si>
    <t>Stormcloak Leather Helmet</t>
  </si>
  <si>
    <t>sentinel.esp|0008CD</t>
  </si>
  <si>
    <t>Stormcloak Light Shield</t>
  </si>
  <si>
    <t>sentinel.esp|0008CF</t>
  </si>
  <si>
    <t>Stormcloak Officer Armor</t>
  </si>
  <si>
    <t>sentinel.esp|0008CE</t>
  </si>
  <si>
    <t>Stormcloak Officer Boots</t>
  </si>
  <si>
    <t>sentinel.esp|0008D2</t>
  </si>
  <si>
    <t>Stormcloak Officer Cloak</t>
  </si>
  <si>
    <t>sentinel.esp|0008D0</t>
  </si>
  <si>
    <t>Stormcloak Officer Gauntlets</t>
  </si>
  <si>
    <t>sentinel.esp|0008D1</t>
  </si>
  <si>
    <t>Stormcloak Officer Helmet</t>
  </si>
  <si>
    <t>sentinel.esp|0008CC</t>
  </si>
  <si>
    <t>Stormcloak Shield</t>
  </si>
  <si>
    <t>sentinel.esp|0008B6</t>
  </si>
  <si>
    <t>Stormcloak Soldier Boots</t>
  </si>
  <si>
    <t>sentinel.esp|0008C1</t>
  </si>
  <si>
    <t>Stormcloak Soldier Gauntlets</t>
  </si>
  <si>
    <t>sentinel.esp|0008C8</t>
  </si>
  <si>
    <t>Stormcloak Soldier Helmet</t>
  </si>
  <si>
    <t>windhelmsse.esp|171688</t>
  </si>
  <si>
    <t>Stormcloak Thane Cuirass</t>
  </si>
  <si>
    <t>evgnnsmpaccessories.esp|000814</t>
  </si>
  <si>
    <t>Sturdy Pouch (Left)</t>
  </si>
  <si>
    <t>evgnnsmpaccessories.esp|000815</t>
  </si>
  <si>
    <t>evgnnsmpaccessories.esp|000DF3</t>
  </si>
  <si>
    <t>Sturdy Pouch (Right)</t>
  </si>
  <si>
    <t>evgnnsmpaccessories.esp|000DF4</t>
  </si>
  <si>
    <t>skyrim.esm|107E2D</t>
  </si>
  <si>
    <t>Symbole de Kyne</t>
  </si>
  <si>
    <t>skyrim.esm|05B69F</t>
  </si>
  <si>
    <t>Tablier de forgeron</t>
  </si>
  <si>
    <t>skyrim.esm|06FF37</t>
  </si>
  <si>
    <t>skyrim.esm|0C33BD</t>
  </si>
  <si>
    <t>TAKEMETempTulliusCoat</t>
  </si>
  <si>
    <t>sentinel - priests and acolytes.esp|00087C</t>
  </si>
  <si>
    <t>Talos Robes</t>
  </si>
  <si>
    <t>skyrim.esm|0FC5BF</t>
  </si>
  <si>
    <t>Targe sanguinaire</t>
  </si>
  <si>
    <t>morecraftableequipment.esp|000834</t>
  </si>
  <si>
    <t>Telvanni Robes</t>
  </si>
  <si>
    <t>morecraftableequipment.esp|0009F3</t>
  </si>
  <si>
    <t>morecraftableequipment.esp|000835</t>
  </si>
  <si>
    <t>Telvanni Shoes</t>
  </si>
  <si>
    <t>morecraftableequipment.esp|0009F0</t>
  </si>
  <si>
    <t>Temple Priest Robes</t>
  </si>
  <si>
    <t>skyrim.esm|0C7CBB</t>
  </si>
  <si>
    <t>Tenue de Shéogorath</t>
  </si>
  <si>
    <t>dragonborn.esm|01CDA9</t>
  </si>
  <si>
    <t>Tenue de Skaal</t>
  </si>
  <si>
    <t>dragonborn.esm|01CDAA</t>
  </si>
  <si>
    <t>Tenue dunmer</t>
  </si>
  <si>
    <t>dragonborn.esm|037065</t>
  </si>
  <si>
    <t>dragonborn.esm|037066</t>
  </si>
  <si>
    <t>dragonborn.esm|03706A</t>
  </si>
  <si>
    <t>dragonborn.esm|03706B</t>
  </si>
  <si>
    <t>dragonborn.esm|03706C</t>
  </si>
  <si>
    <t>sentinel.esp|0008A7</t>
  </si>
  <si>
    <t>Thalmor Armor</t>
  </si>
  <si>
    <t>sentinel.esp|0008A6</t>
  </si>
  <si>
    <t>Thalmor Boots</t>
  </si>
  <si>
    <t>sentinel.esp|0008A9</t>
  </si>
  <si>
    <t>Thalmor Gauntlets</t>
  </si>
  <si>
    <t>sentinel.esp|0008A8</t>
  </si>
  <si>
    <t>Thalmor Gilded Armor</t>
  </si>
  <si>
    <t>sentinel.esp|0008B1</t>
  </si>
  <si>
    <t>Thalmor Glass Armor</t>
  </si>
  <si>
    <t>sentinel.esp|0008B0</t>
  </si>
  <si>
    <t>Thalmor Glass Boots</t>
  </si>
  <si>
    <t>sentinel.esp|0008B2</t>
  </si>
  <si>
    <t>Thalmor Glass Gauntlets</t>
  </si>
  <si>
    <t>sentinel.esp|0008B3</t>
  </si>
  <si>
    <t>Thalmor Glass Helmet</t>
  </si>
  <si>
    <t>sentinel.esp|0008B4</t>
  </si>
  <si>
    <t>Thalmor Glass Shield</t>
  </si>
  <si>
    <t>sentinel.esp|0008AA</t>
  </si>
  <si>
    <t>Thalmor Helmet</t>
  </si>
  <si>
    <t>morecraftableequipment.esp|000821</t>
  </si>
  <si>
    <t>Thalmor Hood</t>
  </si>
  <si>
    <t>sentinel.esp|0008AD</t>
  </si>
  <si>
    <t>Thalmor Light Armor</t>
  </si>
  <si>
    <t>sentinel.esp|0008AC</t>
  </si>
  <si>
    <t>Thalmor Light Boots</t>
  </si>
  <si>
    <t>sentinel.esp|0008AE</t>
  </si>
  <si>
    <t>Thalmor Light Gauntlets</t>
  </si>
  <si>
    <t>sentinel.esp|0008AF</t>
  </si>
  <si>
    <t>Thalmor Light Helmet</t>
  </si>
  <si>
    <t>morecraftableequipment.esp|00081F</t>
  </si>
  <si>
    <t>Thalmor Robes</t>
  </si>
  <si>
    <t>sentinel.esp|0008AB</t>
  </si>
  <si>
    <t>Thalmor Shield</t>
  </si>
  <si>
    <t>morecraftableequipment.esp|00080E</t>
  </si>
  <si>
    <t>Thieves Guild Armor</t>
  </si>
  <si>
    <t>morecraftableequipment.esp|00080F</t>
  </si>
  <si>
    <t>Thieves Guild Boots</t>
  </si>
  <si>
    <t>skyrim.esm|0E35DF</t>
  </si>
  <si>
    <t>Thieves Guild Cowl</t>
  </si>
  <si>
    <t>morecraftableequipment.esp|000810</t>
  </si>
  <si>
    <t>Thieves Guild Gloves</t>
  </si>
  <si>
    <t>skyrim.esm|0E35DA</t>
  </si>
  <si>
    <t>Thieves Guild Gray Boots</t>
  </si>
  <si>
    <t>skyrim.esm|0E35DD</t>
  </si>
  <si>
    <t>Thieves Guild Gray Cowl</t>
  </si>
  <si>
    <t>skyrim.esm|0E35DC</t>
  </si>
  <si>
    <t>Thieves Guild Gray Gloves</t>
  </si>
  <si>
    <t>skyrim.esm|0E35DB</t>
  </si>
  <si>
    <t>Thieves Guild Gray Sleeveless Armor</t>
  </si>
  <si>
    <t>morecraftableequipment.esp|000811</t>
  </si>
  <si>
    <t>Thieves Guild Hood</t>
  </si>
  <si>
    <t>evgnnsmpaccessories.esp|000809</t>
  </si>
  <si>
    <t>Toothlock Satchel</t>
  </si>
  <si>
    <t>evgnnsmpaccessories.esp|00080A</t>
  </si>
  <si>
    <t>skyrim.esm|01BCA7</t>
  </si>
  <si>
    <t>Toque de cuisinier</t>
  </si>
  <si>
    <t>evgnnsmpaccessories.esp|000856</t>
  </si>
  <si>
    <t>Trader's Resource</t>
  </si>
  <si>
    <t>evgnnsmpaccessories.esp|000DC4</t>
  </si>
  <si>
    <t>evgnnsmpaccessories.esp|000DC6</t>
  </si>
  <si>
    <t>evgnnsmpaccessories.esp|000DBA</t>
  </si>
  <si>
    <t>Trader's Resource &amp; Lantern</t>
  </si>
  <si>
    <t>evgnnsmpaccessories.esp|000DC5</t>
  </si>
  <si>
    <t>evgnnsmpaccessories.esp|000DC7</t>
  </si>
  <si>
    <t>commonclothes.esp|00186C</t>
  </si>
  <si>
    <t>Traveller Robes Black</t>
  </si>
  <si>
    <t>commonclothes.esp|001867</t>
  </si>
  <si>
    <t>Traveller Robes Black Hooded</t>
  </si>
  <si>
    <t>commonclothes.esp|00186F</t>
  </si>
  <si>
    <t>Traveller Robes Brown</t>
  </si>
  <si>
    <t>commonclothes.esp|00186A</t>
  </si>
  <si>
    <t>Traveller Robes Brown Hooded</t>
  </si>
  <si>
    <t>commonclothes.esp|00186E</t>
  </si>
  <si>
    <t>Traveller Robes Grey</t>
  </si>
  <si>
    <t>commonclothes.esp|001869</t>
  </si>
  <si>
    <t>Traveller Robes Grey Hooded</t>
  </si>
  <si>
    <t>commonclothes.esp|00186D</t>
  </si>
  <si>
    <t>Traveller Robes Red</t>
  </si>
  <si>
    <t>commonclothes.esp|001868</t>
  </si>
  <si>
    <t>Traveller Robes Red Hooded</t>
  </si>
  <si>
    <t>commonclothes.esp|00186B</t>
  </si>
  <si>
    <t>Traveller Robes Tan</t>
  </si>
  <si>
    <t>commonclothes.esp|001866</t>
  </si>
  <si>
    <t>Traveller Robes Tan Hooded</t>
  </si>
  <si>
    <t>morecraftableequipment.esp|000819</t>
  </si>
  <si>
    <t>Tsun's Armor</t>
  </si>
  <si>
    <t>morecraftableequipment.esp|00081A</t>
  </si>
  <si>
    <t>Tsun's Boots</t>
  </si>
  <si>
    <t>morecraftableequipment.esp|00081B</t>
  </si>
  <si>
    <t>Tsun's Bracers</t>
  </si>
  <si>
    <t>skyrim.esm|01BE1A</t>
  </si>
  <si>
    <t>Tunique avec ceinture</t>
  </si>
  <si>
    <t>skyrim.esm|01BC82</t>
  </si>
  <si>
    <t>Tunique de cuisinier</t>
  </si>
  <si>
    <t>skyrim.esm|03C9FE</t>
  </si>
  <si>
    <t>Tunique de jute</t>
  </si>
  <si>
    <t>skyrim.esm|0E84C6</t>
  </si>
  <si>
    <t>Tunique raffinée</t>
  </si>
  <si>
    <t>skyrim.esm|06230B</t>
  </si>
  <si>
    <t>Ulfric's Armguards</t>
  </si>
  <si>
    <t>dawnguard.esm|0142C7</t>
  </si>
  <si>
    <t>Vampire Armor</t>
  </si>
  <si>
    <t>dawnguard.esm|0191F2</t>
  </si>
  <si>
    <t>dawnguard.esm|0191F3</t>
  </si>
  <si>
    <t>dawnguard.esm|00B5DB</t>
  </si>
  <si>
    <t>Vampire Royal Armor</t>
  </si>
  <si>
    <t>dawnguard.esm|0194C5</t>
  </si>
  <si>
    <t>morecraftableequipment.esp|000833</t>
  </si>
  <si>
    <t>sentinel.esp|00085A</t>
  </si>
  <si>
    <t>Velothi Dwarven Armor</t>
  </si>
  <si>
    <t>sentinel.esp|000859</t>
  </si>
  <si>
    <t>Velothi Dwarven Boots</t>
  </si>
  <si>
    <t>sentinel.esp|00085B</t>
  </si>
  <si>
    <t>Velothi Dwarven Gauntlets</t>
  </si>
  <si>
    <t>sentinel.esp|00085C</t>
  </si>
  <si>
    <t>Velothi Dwarven Helmet</t>
  </si>
  <si>
    <t>skyrim.esm|0EAD49</t>
  </si>
  <si>
    <t>Vêtement brodé</t>
  </si>
  <si>
    <t>skyrim.esm|0CEE76</t>
  </si>
  <si>
    <t>Vêtement raffiné</t>
  </si>
  <si>
    <t>skyrim.esm|017695</t>
  </si>
  <si>
    <t>Vêtements</t>
  </si>
  <si>
    <t>skyrim.esm|0209A6</t>
  </si>
  <si>
    <t>skyrim.esm|0261C0</t>
  </si>
  <si>
    <t>skyrim.esm|03452E</t>
  </si>
  <si>
    <t>skyrim.esm|04223C</t>
  </si>
  <si>
    <t>skyrim.esm|05B6A1</t>
  </si>
  <si>
    <t>skyrim.esm|06C1D8</t>
  </si>
  <si>
    <t>skyrim.esm|06C1D9</t>
  </si>
  <si>
    <t>skyrim.esm|06C1DA</t>
  </si>
  <si>
    <t>skyrim.esm|06FF38</t>
  </si>
  <si>
    <t>skyrim.esm|06FF45</t>
  </si>
  <si>
    <t>skyrim.esm|0F1229</t>
  </si>
  <si>
    <t>skyrim.esm|062303</t>
  </si>
  <si>
    <t>Vêtements d'Ulfric</t>
  </si>
  <si>
    <t>skyrim.esm|0CEE6E</t>
  </si>
  <si>
    <t>Vêtements de bouffon</t>
  </si>
  <si>
    <t>skyrim.esm|06492C</t>
  </si>
  <si>
    <t>Vêtements de Cicéron</t>
  </si>
  <si>
    <t>skyrim.esm|0646A7</t>
  </si>
  <si>
    <t>Vêtements de deuil</t>
  </si>
  <si>
    <t>skyrim.esm|06FF43</t>
  </si>
  <si>
    <t>Vêtements de mineur</t>
  </si>
  <si>
    <t>skyrim.esm|080697</t>
  </si>
  <si>
    <t>skyrim.esm|0E40DF</t>
  </si>
  <si>
    <t>Vêtements festifs</t>
  </si>
  <si>
    <t>dragonborn.esm|0376DF</t>
  </si>
  <si>
    <t>Vêtements raffinés</t>
  </si>
  <si>
    <t>skyrim.esm|086991</t>
  </si>
  <si>
    <t>skyrim.esm|0CEE80</t>
  </si>
  <si>
    <t>skyrim.esm|0F8715</t>
  </si>
  <si>
    <t>skyrim.esm|0E9EB5</t>
  </si>
  <si>
    <t>Vêtements raffinés de Friperies fantaisie</t>
  </si>
  <si>
    <t>sentinel.esp|0008F2</t>
  </si>
  <si>
    <t>Vigil Armor</t>
  </si>
  <si>
    <t>sentinel.esp|0008EF</t>
  </si>
  <si>
    <t>Vigil Boots</t>
  </si>
  <si>
    <t>sentinel.esp|0008F5</t>
  </si>
  <si>
    <t>Vigil Coif</t>
  </si>
  <si>
    <t>sentinel.esp|0008F4</t>
  </si>
  <si>
    <t>Vigil Gauntlets</t>
  </si>
  <si>
    <t>sentinel.esp|0008F7</t>
  </si>
  <si>
    <t>Vigil Great Helm</t>
  </si>
  <si>
    <t>sentinel.esp|0008F0</t>
  </si>
  <si>
    <t>Vigil Greaves</t>
  </si>
  <si>
    <t>sentinel.esp|000DF8</t>
  </si>
  <si>
    <t>Vigil Hood</t>
  </si>
  <si>
    <t>sentinel.esp|0008F3</t>
  </si>
  <si>
    <t>Vigil Keeper Armor</t>
  </si>
  <si>
    <t>sentinel.esp|0008F1</t>
  </si>
  <si>
    <t>Vigil Mail</t>
  </si>
  <si>
    <t>sentinel.esp|000DF7</t>
  </si>
  <si>
    <t>Vigil Plate Armor</t>
  </si>
  <si>
    <t>sentinel.esp|000E0E</t>
  </si>
  <si>
    <t>Vigil Plate Helmet</t>
  </si>
  <si>
    <t>sentinel.esp|000DF9</t>
  </si>
  <si>
    <t>Vigil Robes</t>
  </si>
  <si>
    <t>sentinel.esp|0008F8</t>
  </si>
  <si>
    <t>Vigil Shield</t>
  </si>
  <si>
    <t>dragonborn.esm|038ADD</t>
  </si>
  <si>
    <t>Visage de Mzund</t>
  </si>
  <si>
    <t>skyrim.esm|061CC9</t>
  </si>
  <si>
    <t>Vokun</t>
  </si>
  <si>
    <t>skyrim.esm|061CAB</t>
  </si>
  <si>
    <t>Volsung</t>
  </si>
  <si>
    <t>sentinel.esp|000885</t>
  </si>
  <si>
    <t>Vvardenfell Glass Armor</t>
  </si>
  <si>
    <t>sentinel.esp|000884</t>
  </si>
  <si>
    <t>Vvardenfell Glass Boots</t>
  </si>
  <si>
    <t>sentinel.esp|000886</t>
  </si>
  <si>
    <t>Vvardenfell Glass Gauntlets</t>
  </si>
  <si>
    <t>sentinel.esp|000887</t>
  </si>
  <si>
    <t>Vvardenfell Glass Helmet</t>
  </si>
  <si>
    <t>sentinel.esp|000888</t>
  </si>
  <si>
    <t>Vvardenfell Glass Shield</t>
  </si>
  <si>
    <t>windhelmsse.esp|0A4911</t>
  </si>
  <si>
    <t>Warm Boots</t>
  </si>
  <si>
    <t>cloaks&amp;capes.esp|002DF6</t>
  </si>
  <si>
    <t>Whiterun Guard Cloak</t>
  </si>
  <si>
    <t>skyrim.esm|02150D</t>
  </si>
  <si>
    <t>sentinel - city guards.esp|000807</t>
  </si>
  <si>
    <t>Whiterun Guard's Ceremonial Helmet</t>
  </si>
  <si>
    <t>sentinel - city guards.esp|000802</t>
  </si>
  <si>
    <t>Whiterun Guard's Heavy Boots</t>
  </si>
  <si>
    <t>skyrim.esm|021615</t>
  </si>
  <si>
    <t>skyrim.esm|0214E0</t>
  </si>
  <si>
    <t>Whiterun Guard's Shield</t>
  </si>
  <si>
    <t>sentinel.esp|000851</t>
  </si>
  <si>
    <t>Wild Hunt Armor</t>
  </si>
  <si>
    <t>sentinel.esp|000850</t>
  </si>
  <si>
    <t>Wild Hunt Boots</t>
  </si>
  <si>
    <t>sentinel.esp|000852</t>
  </si>
  <si>
    <t>Wild Hunt Gloves</t>
  </si>
  <si>
    <t>sentinel.esp|000853</t>
  </si>
  <si>
    <t>Wild Hunt Helmet</t>
  </si>
  <si>
    <t>sentinel - city guards.esp|000817</t>
  </si>
  <si>
    <t>Windhelm Cloak</t>
  </si>
  <si>
    <t>sentinel - city guards.esp|000818</t>
  </si>
  <si>
    <t>Windhelm Cloak (for Pauldrons)</t>
  </si>
  <si>
    <t>skyrim.esm|0214EB</t>
  </si>
  <si>
    <t>Windhelm Guard's Shield</t>
  </si>
  <si>
    <t>sentinel - city guards.esp|00081D</t>
  </si>
  <si>
    <t>Windhelm Light Shield</t>
  </si>
  <si>
    <t>sentinel - city guards.esp|00081C</t>
  </si>
  <si>
    <t>Windhelm Shield</t>
  </si>
  <si>
    <t>windhelmsse.esp|34E526</t>
  </si>
  <si>
    <t>Winter Boots</t>
  </si>
  <si>
    <t>sentinel - city guards.esp|00084C</t>
  </si>
  <si>
    <t>Winterhold Cloak</t>
  </si>
  <si>
    <t>cloaks&amp;capes.esp|002DF8</t>
  </si>
  <si>
    <t>Winterhold Guard Cloak</t>
  </si>
  <si>
    <t>sentinel - city guards.esp|00084B</t>
  </si>
  <si>
    <t>Winterhold Guard's Armor</t>
  </si>
  <si>
    <t>skyrim.esm|021522</t>
  </si>
  <si>
    <t>sentinel - city guards.esp|00084D</t>
  </si>
  <si>
    <t>Winterhold Guard's Helmet</t>
  </si>
  <si>
    <t>skyrim.esm|02161D</t>
  </si>
  <si>
    <t>skyrim.esm|0214F1</t>
  </si>
  <si>
    <t>Winterhold Guard's Shield</t>
  </si>
  <si>
    <t>sentinel - city guards.esp|00084E</t>
  </si>
  <si>
    <t>Winterhold Shield</t>
  </si>
  <si>
    <t>sentinel.esp|0008E2</t>
  </si>
  <si>
    <t>Wolf Armor</t>
  </si>
  <si>
    <t>skyrim.esm|0CAE15</t>
  </si>
  <si>
    <t>sentinel.esp|0008E1</t>
  </si>
  <si>
    <t>Wolf Boots</t>
  </si>
  <si>
    <t>skyrim.esm|0CEE7C</t>
  </si>
  <si>
    <t>sentinel.esp|0008E3</t>
  </si>
  <si>
    <t>Wolf Gauntlets</t>
  </si>
  <si>
    <t>skyrim.esm|0CEE7E</t>
  </si>
  <si>
    <t>skyrim.esm|04C3D0</t>
  </si>
  <si>
    <t>Wolf Helmet</t>
  </si>
  <si>
    <t>sentinel.esp|0008DA</t>
  </si>
  <si>
    <t>Wolf Shield</t>
  </si>
  <si>
    <t>sentinel.esp|00082A</t>
  </si>
  <si>
    <t>Wrought Iron Armor</t>
  </si>
  <si>
    <t>sentinel.esp|000829</t>
  </si>
  <si>
    <t>Wrought Iron Boots</t>
  </si>
  <si>
    <t>sentinel.esp|00082C</t>
  </si>
  <si>
    <t>Wrought Iron Gauntlets</t>
  </si>
  <si>
    <t>sentinel.esp|00082D</t>
  </si>
  <si>
    <t>Wrought Iron Helmet</t>
  </si>
  <si>
    <t>sentinel.esp|00082E</t>
  </si>
  <si>
    <t>Wrought Iron Shield</t>
  </si>
  <si>
    <t>dragonborn.esm|024037</t>
  </si>
  <si>
    <t>Zahkriisos</t>
  </si>
  <si>
    <t>windhelmsse.esp|19B708</t>
  </si>
  <si>
    <t>Alarik's Key</t>
  </si>
  <si>
    <t>Clé</t>
  </si>
  <si>
    <t>north keep.esp|03A980</t>
  </si>
  <si>
    <t>Aleanu Residence Key</t>
  </si>
  <si>
    <t>windhelmsse.esp|16C3FD</t>
  </si>
  <si>
    <t>Bookshop Key</t>
  </si>
  <si>
    <t>windhelmsse.esp|1ABF34</t>
  </si>
  <si>
    <t>Broder's Key</t>
  </si>
  <si>
    <t>windhelmsse.esp|04D54C</t>
  </si>
  <si>
    <t>Cheap Key</t>
  </si>
  <si>
    <t>skyrim.esm|08715F</t>
  </si>
  <si>
    <t>Clé d'Angarvunde</t>
  </si>
  <si>
    <t>skyrim.esm|093BF4</t>
  </si>
  <si>
    <t>Clé d'Ansilvund</t>
  </si>
  <si>
    <t>skyrim.esm|0835CA</t>
  </si>
  <si>
    <t>Clé d'Arondil</t>
  </si>
  <si>
    <t>skyrim.esm|0918C6</t>
  </si>
  <si>
    <t>Clé d'Arquebrumes</t>
  </si>
  <si>
    <t>skyrim.esm|06D0AD</t>
  </si>
  <si>
    <t>Clé d'Avanchnzel</t>
  </si>
  <si>
    <t>dragonborn.esm|03D23F</t>
  </si>
  <si>
    <t>Clé d'enchanteur de bâton</t>
  </si>
  <si>
    <t>dragonborn.esm|01A971</t>
  </si>
  <si>
    <t>Clé de Benkongerike</t>
  </si>
  <si>
    <t>skyrim.esm|01AB5D</t>
  </si>
  <si>
    <t>Clé de Borkul</t>
  </si>
  <si>
    <t>skyrim.esm|0E6C64</t>
  </si>
  <si>
    <t>Clé de Calixto</t>
  </si>
  <si>
    <t>skyrim.esm|0B965D</t>
  </si>
  <si>
    <t>Clé de cellule</t>
  </si>
  <si>
    <t>skyrim.esm|08683B</t>
  </si>
  <si>
    <t>Clé de cellule de la Tour brisée</t>
  </si>
  <si>
    <t>skyrim.esm|093B08</t>
  </si>
  <si>
    <t>Clé de Douce Brise</t>
  </si>
  <si>
    <t>dragonborn.esm|01F4B4</t>
  </si>
  <si>
    <t>Clé de Fort Molène</t>
  </si>
  <si>
    <t>skyrim.esm|0C13F3</t>
  </si>
  <si>
    <t>Clé de Friperies fantaisie</t>
  </si>
  <si>
    <t>skyrim.esm|044E78</t>
  </si>
  <si>
    <t>Clé de Gardepins</t>
  </si>
  <si>
    <t>skyrim.esm|021679</t>
  </si>
  <si>
    <t>Clé de Hjerim</t>
  </si>
  <si>
    <t>skyrim.esm|023A70</t>
  </si>
  <si>
    <t>Clé de Jaree</t>
  </si>
  <si>
    <t>skyrim.esm|04E0B7</t>
  </si>
  <si>
    <t>Clé de Keerava</t>
  </si>
  <si>
    <t>skyrim.esm|04700D</t>
  </si>
  <si>
    <t>Clé de Kerah</t>
  </si>
  <si>
    <t>skyrim.esm|08E5D1</t>
  </si>
  <si>
    <t>Clé de Kornalus Frey</t>
  </si>
  <si>
    <t>skyrim.esm|0C13C9</t>
  </si>
  <si>
    <t>Clé de l'Académie des bardes</t>
  </si>
  <si>
    <t>skyrim.esm|02AC70</t>
  </si>
  <si>
    <t>Clé de l'Aile Pélagius</t>
  </si>
  <si>
    <t>dragonborn.esm|01BD05</t>
  </si>
  <si>
    <t>Clé de l'apothicaire de Tel Mithryn</t>
  </si>
  <si>
    <t>dragonborn.esm|03369E</t>
  </si>
  <si>
    <t>skyrim.esm|0B7CBC</t>
  </si>
  <si>
    <t>Clé de l'Arcanex d'Irkngthand</t>
  </si>
  <si>
    <t>skyrim.esm|0C13E7</t>
  </si>
  <si>
    <t>Clé de l'archerie de Solitude</t>
  </si>
  <si>
    <t>skyrim.esm|0734C5</t>
  </si>
  <si>
    <t>Clé de l'arrière-salle de Jorrvaskr</t>
  </si>
  <si>
    <t>skyrim.esm|065670</t>
  </si>
  <si>
    <t>Clé de l'Auberge du Sang-d'Argent</t>
  </si>
  <si>
    <t>skyrim.esm|0695C7</t>
  </si>
  <si>
    <t>Clé de l'Auberge du Vieux-Hroldan</t>
  </si>
  <si>
    <t>skyrim.esm|0BECDE</t>
  </si>
  <si>
    <t>Clé de l'Auberge Montvent</t>
  </si>
  <si>
    <t>skyrim.esm|107D97</t>
  </si>
  <si>
    <t>Clé de l'Autel de Mehrunes</t>
  </si>
  <si>
    <t>skyrim.esm|063B5D</t>
  </si>
  <si>
    <t>Clé de l'écluse</t>
  </si>
  <si>
    <t>skyrim.esm|0D1843</t>
  </si>
  <si>
    <t>Clé de l'élévateur d'Alftand</t>
  </si>
  <si>
    <t>skyrim.esm|03E141</t>
  </si>
  <si>
    <t>Clé de l'élévateur de Bthardamz</t>
  </si>
  <si>
    <t>skyrim.esm|0F9924</t>
  </si>
  <si>
    <t>Clé de l'enquêteur</t>
  </si>
  <si>
    <t>skyrim.esm|03A694</t>
  </si>
  <si>
    <t>Clé de l'entrée de Forelhost</t>
  </si>
  <si>
    <t>skyrim.esm|085D45</t>
  </si>
  <si>
    <t>Clé de l'entrepôt de Faillaise</t>
  </si>
  <si>
    <t>skyrim.esm|10080E</t>
  </si>
  <si>
    <t>Clé de l'entrepôt de l'Empire oriental</t>
  </si>
  <si>
    <t>skyrim.esm|093B07</t>
  </si>
  <si>
    <t>Clé de l'épicerie Belethor</t>
  </si>
  <si>
    <t>skyrim.esm|02BAA7</t>
  </si>
  <si>
    <t>Clé de l'hydromellerie d'hydrhonning</t>
  </si>
  <si>
    <t>skyrim.esm|0FDEB9</t>
  </si>
  <si>
    <t>Clé de l'hydromellerie Roncenoir</t>
  </si>
  <si>
    <t>dragonborn.esm|0336A0</t>
  </si>
  <si>
    <t>Clé de l'intendant de Tel Mithryn</t>
  </si>
  <si>
    <t>skyrim.esm|057B66</t>
  </si>
  <si>
    <t>Clé de l'observatoire de Mzulft</t>
  </si>
  <si>
    <t>skyrim.esm|0CC59C</t>
  </si>
  <si>
    <t>Clé de la bibliothèque de Fort Néograd</t>
  </si>
  <si>
    <t>skyrim.esm|0C13A7</t>
  </si>
  <si>
    <t>Clé de la boutique Grispin</t>
  </si>
  <si>
    <t>skyrim.esm|02E3F8</t>
  </si>
  <si>
    <t>Clé de la cabane abandonnée</t>
  </si>
  <si>
    <t>dawnguard.esm|0034FB</t>
  </si>
  <si>
    <t>Clé de la cachette de la Garde de l'aube</t>
  </si>
  <si>
    <t>skyrim.esm|0B862F</t>
  </si>
  <si>
    <t>Clé de la cachette de Sibbi</t>
  </si>
  <si>
    <t>skyrim.esm|01C250</t>
  </si>
  <si>
    <t>Clé de la cage</t>
  </si>
  <si>
    <t>skyrim.esm|0506D2</t>
  </si>
  <si>
    <t>skyrim.esm|0C007B</t>
  </si>
  <si>
    <t>Clé de la cage de Faldar</t>
  </si>
  <si>
    <t>dragonborn.esm|0297DA</t>
  </si>
  <si>
    <t>Clé de la cage de Merilar</t>
  </si>
  <si>
    <t>skyrim.esm|0D509B</t>
  </si>
  <si>
    <t>Clé de la cage de Rocaxe</t>
  </si>
  <si>
    <t>skyrim.esm|034C91</t>
  </si>
  <si>
    <t>Clé de la cage du Couteau perdu</t>
  </si>
  <si>
    <t>skyrim.esm|0DB0E2</t>
  </si>
  <si>
    <t>Clé de la cage du loup-garou</t>
  </si>
  <si>
    <t>skyrim.esm|03D26B</t>
  </si>
  <si>
    <t>Clé de la cage du Perchoir du corbeau</t>
  </si>
  <si>
    <t>skyrim.esm|01E30D</t>
  </si>
  <si>
    <t>Clé de la cage du Refuge du menteur</t>
  </si>
  <si>
    <t>skyrim.esm|05E4A8</t>
  </si>
  <si>
    <t>Clé de la cage sanglante</t>
  </si>
  <si>
    <t>skyrim.esm|0DC175</t>
  </si>
  <si>
    <t>Clé de la cantine de Sabine</t>
  </si>
  <si>
    <t>skyrim.esm|05B614</t>
  </si>
  <si>
    <t>Clé de la cantine du Sload douillet</t>
  </si>
  <si>
    <t>skyrim.esm|02BAE2</t>
  </si>
  <si>
    <t>Clé de la cave</t>
  </si>
  <si>
    <t>skyrim.esm|0ED02D</t>
  </si>
  <si>
    <t>Clé de la cave de la Porte nocturne</t>
  </si>
  <si>
    <t>skyrim.esm|061AED</t>
  </si>
  <si>
    <t>Clé de la cave de Lumidor</t>
  </si>
  <si>
    <t>skyrim.esm|04811D</t>
  </si>
  <si>
    <t>Clé de la cave de Mani</t>
  </si>
  <si>
    <t>skyrim.esm|04B6D2</t>
  </si>
  <si>
    <t>Clé de la cave de Valthume</t>
  </si>
  <si>
    <t>skyrim.esm|0656E3</t>
  </si>
  <si>
    <t>Clé de la chambre d'Eltrys</t>
  </si>
  <si>
    <t>skyrim.esm|0656E1</t>
  </si>
  <si>
    <t>Clé de la chambre d'Omluag</t>
  </si>
  <si>
    <t>skyrim.esm|0656E5</t>
  </si>
  <si>
    <t>Clé de la chambre de Cosnach</t>
  </si>
  <si>
    <t>skyrim.esm|0BEC39</t>
  </si>
  <si>
    <t>Clé de la chambre de Degaine</t>
  </si>
  <si>
    <t>skyrim.esm|065780</t>
  </si>
  <si>
    <t>Clé de la chambre de Garvey</t>
  </si>
  <si>
    <t>skyrim.esm|098B7C</t>
  </si>
  <si>
    <t>Clé de la chambre de Hjorunn</t>
  </si>
  <si>
    <t>skyrim.esm|098B7B</t>
  </si>
  <si>
    <t>Clé de la chambre de Kharag</t>
  </si>
  <si>
    <t>skyrim.esm|0D3E6A</t>
  </si>
  <si>
    <t>Clé de la chambre de Margret</t>
  </si>
  <si>
    <t>skyrim.esm|04D6E2</t>
  </si>
  <si>
    <t>Clé de la chambre de Valthume</t>
  </si>
  <si>
    <t>skyrim.esm|0D66F9</t>
  </si>
  <si>
    <t>Clé de la chambre de Weylin</t>
  </si>
  <si>
    <t>skyrim.esm|066485</t>
  </si>
  <si>
    <t>Clé de la chambre forte de Casscorne</t>
  </si>
  <si>
    <t>skyrim.esm|05CDC6</t>
  </si>
  <si>
    <t>Clé de la commode de Sabjorn</t>
  </si>
  <si>
    <t>skyrim.esm|0FDEB3</t>
  </si>
  <si>
    <t>Clé de la Crevette sauteuse</t>
  </si>
  <si>
    <t>skyrim.esm|03AD48</t>
  </si>
  <si>
    <t>Clé de la crypte d'Halldir</t>
  </si>
  <si>
    <t>skyrim.esm|022896</t>
  </si>
  <si>
    <t>Clé de la crypte du Labyrinthe</t>
  </si>
  <si>
    <t>skyrim.esm|0A9F21</t>
  </si>
  <si>
    <t>Clé de la crypte du Tombeau d'Hillgrund</t>
  </si>
  <si>
    <t>dragonborn.esm|01BD06</t>
  </si>
  <si>
    <t>Clé de la cuisine de Tel Mithryn</t>
  </si>
  <si>
    <t>dragonborn.esm|03369F</t>
  </si>
  <si>
    <t>skyrim.esm|043A71</t>
  </si>
  <si>
    <t>Clé de la Dent de Faldar</t>
  </si>
  <si>
    <t>skyrim.esm|09C876</t>
  </si>
  <si>
    <t>Clé de la Ferme Brandevin</t>
  </si>
  <si>
    <t>skyrim.esm|065655</t>
  </si>
  <si>
    <t>Clé de la Ferme d'Helgen</t>
  </si>
  <si>
    <t>skyrim.esm|09E134</t>
  </si>
  <si>
    <t>Clé de la Ferme de Fourvache</t>
  </si>
  <si>
    <t>skyrim.esm|065656</t>
  </si>
  <si>
    <t>Clé de la Ferme de Jen</t>
  </si>
  <si>
    <t>skyrim.esm|098B7D</t>
  </si>
  <si>
    <t>Clé de la Ferme de Katla</t>
  </si>
  <si>
    <t>skyrim.esm|0FE2B3</t>
  </si>
  <si>
    <t>Clé de la Ferme de Pélagius</t>
  </si>
  <si>
    <t>skyrim.esm|0FE2B2</t>
  </si>
  <si>
    <t>Clé de la Ferme de Sillonfrais</t>
  </si>
  <si>
    <t>skyrim.esm|106E23</t>
  </si>
  <si>
    <t>Clé de la Ferme de Tombétoile</t>
  </si>
  <si>
    <t>skyrim.esm|09C874</t>
  </si>
  <si>
    <t>Clé de la Ferme des baies de givre</t>
  </si>
  <si>
    <t>skyrim.esm|0FE2B1</t>
  </si>
  <si>
    <t>Clé de la Ferme des Guerriers-Nés</t>
  </si>
  <si>
    <t>skyrim.esm|0C1395</t>
  </si>
  <si>
    <t>Clé de la Ferme du grand voyage</t>
  </si>
  <si>
    <t>skyrim.esm|09C875</t>
  </si>
  <si>
    <t>Clé de la Ferme Hlaalu</t>
  </si>
  <si>
    <t>dragonborn.esm|018457</t>
  </si>
  <si>
    <t>Clé de la Ferme Ienth</t>
  </si>
  <si>
    <t>skyrim.esm|065651</t>
  </si>
  <si>
    <t>Clé de la Ferme Loreius</t>
  </si>
  <si>
    <t>skyrim.esm|065661</t>
  </si>
  <si>
    <t>Clé de la Ferme Salvius</t>
  </si>
  <si>
    <t>skyrim.esm|09C872</t>
  </si>
  <si>
    <t>Clé de la Fiole blanche</t>
  </si>
  <si>
    <t>skyrim.esm|0C13CF</t>
  </si>
  <si>
    <t>Clé de la forge de Solitude</t>
  </si>
  <si>
    <t>skyrim.esm|03BB13</t>
  </si>
  <si>
    <t>Clé de la fosse du Sombreflot</t>
  </si>
  <si>
    <t>skyrim.esm|0D7772</t>
  </si>
  <si>
    <t>skyrim.esm|094391</t>
  </si>
  <si>
    <t>Clé de la Gentilhommière de Vlindrel</t>
  </si>
  <si>
    <t>dragonborn.esm|018FC7</t>
  </si>
  <si>
    <t>Clé de la grande salle des Skaals</t>
  </si>
  <si>
    <t>skyrim.esm|050341</t>
  </si>
  <si>
    <t>Clé de la Grotte de Merleau</t>
  </si>
  <si>
    <t>skyrim.esm|093B12</t>
  </si>
  <si>
    <t>Clé de la Guerrière</t>
  </si>
  <si>
    <t>dragonborn.esm|02AD3D</t>
  </si>
  <si>
    <t>Clé de la guilde de Glover</t>
  </si>
  <si>
    <t>skyrim.esm|09E2A6</t>
  </si>
  <si>
    <t>Clé de la hutte d'Argi</t>
  </si>
  <si>
    <t>skyrim.esm|09E29A</t>
  </si>
  <si>
    <t>Clé de la hutte de Lami</t>
  </si>
  <si>
    <t>skyrim.esm|09E2A4</t>
  </si>
  <si>
    <t>Clé de la longère</t>
  </si>
  <si>
    <t>skyrim.esm|06566A</t>
  </si>
  <si>
    <t>Clé de la longère de Burguk</t>
  </si>
  <si>
    <t>skyrim.esm|065669</t>
  </si>
  <si>
    <t>Clé de la longère de Larak</t>
  </si>
  <si>
    <t>skyrim.esm|0C13A9</t>
  </si>
  <si>
    <t>Clé de la longère du jarl</t>
  </si>
  <si>
    <t>skyrim.esm|065673</t>
  </si>
  <si>
    <t>Clé de la maison abandonnée</t>
  </si>
  <si>
    <t>skyrim.esm|09C86C</t>
  </si>
  <si>
    <t>Clé de la maison Brise-Bouclier</t>
  </si>
  <si>
    <t>skyrim.esm|0FDEC0</t>
  </si>
  <si>
    <t>Clé de la maison Chausseneige</t>
  </si>
  <si>
    <t>skyrim.esm|09C86A</t>
  </si>
  <si>
    <t>Clé de la maison Cruellemer</t>
  </si>
  <si>
    <t>skyrim.esm|0C13C3</t>
  </si>
  <si>
    <t>Clé de la maison d'Addvar</t>
  </si>
  <si>
    <t>skyrim.esm|06564E</t>
  </si>
  <si>
    <t>Clé de la maison d'Aeri</t>
  </si>
  <si>
    <t>skyrim.esm|0FDEB5</t>
  </si>
  <si>
    <t>Clé de la maison d'Aerin</t>
  </si>
  <si>
    <t>skyrim.esm|09E2A5</t>
  </si>
  <si>
    <t>Clé de la maison d'Aleuc</t>
  </si>
  <si>
    <t>skyrim.esm|070E80</t>
  </si>
  <si>
    <t>Clé de la maison d'Alva</t>
  </si>
  <si>
    <t>skyrim.esm|036A3D</t>
  </si>
  <si>
    <t>Clé de la maison d'Alvor</t>
  </si>
  <si>
    <t>skyrim.esm|093B06</t>
  </si>
  <si>
    <t>Clé de la maison d'Amren</t>
  </si>
  <si>
    <t>skyrim.esm|0C13A8</t>
  </si>
  <si>
    <t>Clé de la maison d'Arkay</t>
  </si>
  <si>
    <t>dragonborn.esm|018FBB</t>
  </si>
  <si>
    <t>Clé de la maison d'Edla</t>
  </si>
  <si>
    <t>skyrim.esm|065672</t>
  </si>
  <si>
    <t>Clé de la maison d'Endon</t>
  </si>
  <si>
    <t>skyrim.esm|06565E</t>
  </si>
  <si>
    <t>Clé de la maison d'Enmon</t>
  </si>
  <si>
    <t>skyrim.esm|0C13E1</t>
  </si>
  <si>
    <t>Clé de la maison d'Erikur</t>
  </si>
  <si>
    <t>skyrim.esm|0C13E4</t>
  </si>
  <si>
    <t>Clé de la maison d'Evette San</t>
  </si>
  <si>
    <t>skyrim.esm|093B0A</t>
  </si>
  <si>
    <t>Clé de la maison d'Heimskr</t>
  </si>
  <si>
    <t>skyrim.esm|0B8761</t>
  </si>
  <si>
    <t>Clé de la maison d'Horgeir</t>
  </si>
  <si>
    <t>skyrim.esm|09DA37</t>
  </si>
  <si>
    <t>Clé de la maison d'Irgnir</t>
  </si>
  <si>
    <t>skyrim.esm|106E22</t>
  </si>
  <si>
    <t>Clé de la Maison d'Odfel</t>
  </si>
  <si>
    <t>skyrim.esm|065674</t>
  </si>
  <si>
    <t>Clé de la maison d'Ogmund</t>
  </si>
  <si>
    <t>skyrim.esm|093B0E</t>
  </si>
  <si>
    <t>Clé de la maison d'Olava</t>
  </si>
  <si>
    <t>dragonborn.esm|018F9F</t>
  </si>
  <si>
    <t>Clé de la maison d'Oslaf</t>
  </si>
  <si>
    <t>skyrim.esm|093B10</t>
  </si>
  <si>
    <t>Clé de la maison d'Ulfberth</t>
  </si>
  <si>
    <t>skyrim.esm|093B11</t>
  </si>
  <si>
    <t>Clé de la maison d'Uthgerd</t>
  </si>
  <si>
    <t>skyrim.esm|093B13</t>
  </si>
  <si>
    <t>Clé de la maison d'Ysolda</t>
  </si>
  <si>
    <t>dragonborn.esm|018FB7</t>
  </si>
  <si>
    <t>Clé de la maison de Baldor</t>
  </si>
  <si>
    <t>skyrim.esm|09DA2D</t>
  </si>
  <si>
    <t>Clé de la maison de Beitild</t>
  </si>
  <si>
    <t>skyrim.esm|09C864</t>
  </si>
  <si>
    <t>Clé de la maison de Belyn Hlaalu</t>
  </si>
  <si>
    <t>skyrim.esm|0FDEB6</t>
  </si>
  <si>
    <t>Clé de la maison de Bolli</t>
  </si>
  <si>
    <t>skyrim.esm|09DA32</t>
  </si>
  <si>
    <t>Clé de la maison de Brina</t>
  </si>
  <si>
    <t>skyrim.esm|0DD744</t>
  </si>
  <si>
    <t>Clé de la maison de Brunwulf</t>
  </si>
  <si>
    <t>skyrim.esm|0C13D5</t>
  </si>
  <si>
    <t>Clé de la maison de Bryling</t>
  </si>
  <si>
    <t>skyrim.esm|093B09</t>
  </si>
  <si>
    <t>Clé de la maison de Carlotta Valentia</t>
  </si>
  <si>
    <t>skyrim.esm|065667</t>
  </si>
  <si>
    <t>Clé de la maison de Daighre</t>
  </si>
  <si>
    <t>dragonborn.esm|018FA4</t>
  </si>
  <si>
    <t>Clé de la maison de Déor</t>
  </si>
  <si>
    <t>skyrim.esm|036A42</t>
  </si>
  <si>
    <t>Clé de la maison de Faendal</t>
  </si>
  <si>
    <t>skyrim.esm|09E298</t>
  </si>
  <si>
    <t>Clé de la maison de Falion</t>
  </si>
  <si>
    <t>skyrim.esm|108BA4</t>
  </si>
  <si>
    <t>skyrim.esm|106E21</t>
  </si>
  <si>
    <t>Clé de la Maison de Filnjar</t>
  </si>
  <si>
    <t>skyrim.esm|09DA42</t>
  </si>
  <si>
    <t>Clé de la maison de Fruki</t>
  </si>
  <si>
    <t>skyrim.esm|036A40</t>
  </si>
  <si>
    <t>Clé de la maison de Gerdur</t>
  </si>
  <si>
    <t>skyrim.esm|09E2A3</t>
  </si>
  <si>
    <t>Clé de la maison de Gestur</t>
  </si>
  <si>
    <t>skyrim.esm|0F18EC</t>
  </si>
  <si>
    <t>Clé de la maison de Gilfre</t>
  </si>
  <si>
    <t>dragonborn.esm|018454</t>
  </si>
  <si>
    <t>Clé de la maison de Glover Mallory</t>
  </si>
  <si>
    <t>skyrim.esm|0C13EA</t>
  </si>
  <si>
    <t>Clé de la maison de Jala</t>
  </si>
  <si>
    <t>skyrim.esm|0B858A</t>
  </si>
  <si>
    <t>Clé de la maison de Jorgen et Lami</t>
  </si>
  <si>
    <t>skyrim.esm|106E24</t>
  </si>
  <si>
    <t>Clé de la Maison de Klimmek</t>
  </si>
  <si>
    <t>skyrim.esm|09E28E</t>
  </si>
  <si>
    <t>Clé de la maison de Kraldar</t>
  </si>
  <si>
    <t>skyrim.esm|09DA38</t>
  </si>
  <si>
    <t>Clé de la maison de Leigelf</t>
  </si>
  <si>
    <t>skyrim.esm|09E133</t>
  </si>
  <si>
    <t>Clé de la maison de Lemkil</t>
  </si>
  <si>
    <t>skyrim.esm|0C13AA</t>
  </si>
  <si>
    <t>Clé de la maison de Lod</t>
  </si>
  <si>
    <t>dragonborn.esm|018FB0</t>
  </si>
  <si>
    <t>Clé de la maison de Lupe</t>
  </si>
  <si>
    <t>skyrim.esm|0FDEBD</t>
  </si>
  <si>
    <t>Clé de la maison de Marise</t>
  </si>
  <si>
    <t>skyrim.esm|072B05</t>
  </si>
  <si>
    <t>Clé de la maison de Mercer</t>
  </si>
  <si>
    <t>skyrim.esm|0A035E</t>
  </si>
  <si>
    <t>Clé de la maison de Mithorpa</t>
  </si>
  <si>
    <t>dragonborn.esm|018FAD</t>
  </si>
  <si>
    <t>Clé de la maison de Morwen</t>
  </si>
  <si>
    <t>skyrim.esm|065676</t>
  </si>
  <si>
    <t>Clé de la maison de Nepos</t>
  </si>
  <si>
    <t>skyrim.esm|09C86E</t>
  </si>
  <si>
    <t>Clé de la maison de Niranye</t>
  </si>
  <si>
    <t>skyrim.esm|06565B</t>
  </si>
  <si>
    <t>Clé de la maison de Pavo</t>
  </si>
  <si>
    <t>skyrim.esm|0BECD8</t>
  </si>
  <si>
    <t>skyrim.esm|09E28F</t>
  </si>
  <si>
    <t>Clé de la maison de Ranmir</t>
  </si>
  <si>
    <t>skyrim.esm|0FDEBC</t>
  </si>
  <si>
    <t>Clé de la maison de Romlyn</t>
  </si>
  <si>
    <t>skyrim.esm|0F18F7</t>
  </si>
  <si>
    <t>Clé de la maison de Romlyn Dreth</t>
  </si>
  <si>
    <t>skyrim.esm|09DA39</t>
  </si>
  <si>
    <t>Clé de la maison de Rustleif</t>
  </si>
  <si>
    <t>skyrim.esm|096573</t>
  </si>
  <si>
    <t>Clé de la maison de Severio Pelagia</t>
  </si>
  <si>
    <t>skyrim.esm|065663</t>
  </si>
  <si>
    <t>Clé de la maison de Skaggi</t>
  </si>
  <si>
    <t>skyrim.esm|09E2A2</t>
  </si>
  <si>
    <t>Clé de la maison de Sorli</t>
  </si>
  <si>
    <t>skyrim.esm|0C13FC</t>
  </si>
  <si>
    <t>Clé de la maison de Styrr</t>
  </si>
  <si>
    <t>skyrim.esm|036A41</t>
  </si>
  <si>
    <t>Clé de la maison de Sven</t>
  </si>
  <si>
    <t>skyrim.esm|0F18F9</t>
  </si>
  <si>
    <t>Clé de la maison de Sylgja</t>
  </si>
  <si>
    <t>skyrim.esm|09E299</t>
  </si>
  <si>
    <t>Clé de la maison de Thonnir</t>
  </si>
  <si>
    <t>skyrim.esm|065659</t>
  </si>
  <si>
    <t>Clé de la maison de Traillus</t>
  </si>
  <si>
    <t>skyrim.esm|0FDEBB</t>
  </si>
  <si>
    <t>Clé de la maison de Valindor</t>
  </si>
  <si>
    <t>skyrim.esm|09C6FD</t>
  </si>
  <si>
    <t>Clé de la maison de Verner et Annekke</t>
  </si>
  <si>
    <t>skyrim.esm|056B90</t>
  </si>
  <si>
    <t>Clé de la maison de Viola Giordano</t>
  </si>
  <si>
    <t>skyrim.esm|0C1402</t>
  </si>
  <si>
    <t>Clé de la maison de Vittoria Vici</t>
  </si>
  <si>
    <t>dragonborn.esm|018453</t>
  </si>
  <si>
    <t>Clé de la maison des Alor</t>
  </si>
  <si>
    <t>dragonborn.esm|018455</t>
  </si>
  <si>
    <t>Clé de la maison des Cérellius</t>
  </si>
  <si>
    <t>skyrim.esm|06565A</t>
  </si>
  <si>
    <t>Clé de la maison du mineur</t>
  </si>
  <si>
    <t>skyrim.esm|0656E8</t>
  </si>
  <si>
    <t>Clé de la maison du responsable</t>
  </si>
  <si>
    <t>skyrim.esm|065653</t>
  </si>
  <si>
    <t>Clé de la maison Fathendas</t>
  </si>
  <si>
    <t>skyrim.esm|093B0B</t>
  </si>
  <si>
    <t>Clé de la maison Grisetoison</t>
  </si>
  <si>
    <t>skyrim.esm|093B0C</t>
  </si>
  <si>
    <t>Clé de la maison Guerrier-Né</t>
  </si>
  <si>
    <t>skyrim.esm|0B8764</t>
  </si>
  <si>
    <t>Clé de la maison Lylvieve</t>
  </si>
  <si>
    <t>skyrim.esm|0EF02F</t>
  </si>
  <si>
    <t>Clé de la Mine de Bilegulch</t>
  </si>
  <si>
    <t>skyrim.esm|100FA6</t>
  </si>
  <si>
    <t>Clé de la Mine de Cidhna</t>
  </si>
  <si>
    <t>dragonborn.esm|020A43</t>
  </si>
  <si>
    <t>Clé de la mine de Corberoc</t>
  </si>
  <si>
    <t>skyrim.esm|0446D8</t>
  </si>
  <si>
    <t>Clé de la Mine de Fiermartel</t>
  </si>
  <si>
    <t>skyrim.esm|0B6FE5</t>
  </si>
  <si>
    <t>Clé de la Mine de Rougebraise</t>
  </si>
  <si>
    <t>skyrim.esm|0D2947</t>
  </si>
  <si>
    <t>Clé de la Mine du Cours dormant</t>
  </si>
  <si>
    <t>skyrim.esm|07D94C</t>
  </si>
  <si>
    <t>Clé de la Nécropole de Markarth</t>
  </si>
  <si>
    <t>skyrim.esm|09DA31</t>
  </si>
  <si>
    <t>Clé de la Panacée</t>
  </si>
  <si>
    <t>skyrim.esm|0FDEBF</t>
  </si>
  <si>
    <t>Clé de la pêcherie de Faillaise</t>
  </si>
  <si>
    <t>dawnguard.esm|008E1F</t>
  </si>
  <si>
    <t>Clé de la pièce à l'arrière de la Tanière d'Eaurouge</t>
  </si>
  <si>
    <t>skyrim.esm|0D8F0C</t>
  </si>
  <si>
    <t>Clé de la porte de Blancherive</t>
  </si>
  <si>
    <t>skyrim.esm|0B6439</t>
  </si>
  <si>
    <t>Clé de la porte de Lumidor</t>
  </si>
  <si>
    <t>skyrim.esm|028D8B</t>
  </si>
  <si>
    <t>Clé de la Porte murmurante</t>
  </si>
  <si>
    <t>skyrim.esm|065658</t>
  </si>
  <si>
    <t>Clé de la Porte nocturne</t>
  </si>
  <si>
    <t>skyrim.esm|0E6705</t>
  </si>
  <si>
    <t>Clé de la porte nord de Faillaise</t>
  </si>
  <si>
    <t>skyrim.esm|0990DF</t>
  </si>
  <si>
    <t>Clé de la porte secrète de Delphine</t>
  </si>
  <si>
    <t>skyrim.esm|0E94D4</t>
  </si>
  <si>
    <t>Clé de la prison abandonnée</t>
  </si>
  <si>
    <t>skyrim.esm|030B37</t>
  </si>
  <si>
    <t>Clé de la prison d'Arquebrumes</t>
  </si>
  <si>
    <t>skyrim.esm|09DA41</t>
  </si>
  <si>
    <t>Clé de la prison d'Aubétoile</t>
  </si>
  <si>
    <t>skyrim.esm|0FB90C</t>
  </si>
  <si>
    <t>Clé de la prison d'Épervine</t>
  </si>
  <si>
    <t>dragonborn.esm|027664</t>
  </si>
  <si>
    <t>Clé de la prison de Blancherive</t>
  </si>
  <si>
    <t>skyrim.esm|05AEC4</t>
  </si>
  <si>
    <t>dragonborn.esm|034F97</t>
  </si>
  <si>
    <t>Clé de la prison de Corberoc</t>
  </si>
  <si>
    <t>skyrim.esm|0612B8</t>
  </si>
  <si>
    <t>Clé de la prison de Faillaise</t>
  </si>
  <si>
    <t>skyrim.esm|0FF787</t>
  </si>
  <si>
    <t>skyrim.esm|091F0E</t>
  </si>
  <si>
    <t>Clé de la prison de Fort Busard</t>
  </si>
  <si>
    <t>skyrim.esm|0798C1</t>
  </si>
  <si>
    <t>Clé de la prison de Fort Gardesol</t>
  </si>
  <si>
    <t>skyrim.esm|0BED2D</t>
  </si>
  <si>
    <t>Clé de la prison de Fort Kastav</t>
  </si>
  <si>
    <t>skyrim.esm|016FF1</t>
  </si>
  <si>
    <t>Clé de la prison de Fort Mauriart</t>
  </si>
  <si>
    <t>skyrim.esm|08B232</t>
  </si>
  <si>
    <t>Clé de la prison de Fort Néograd</t>
  </si>
  <si>
    <t>skyrim.esm|10480C</t>
  </si>
  <si>
    <t>Clé de la prison de Morthal</t>
  </si>
  <si>
    <t>skyrim.esm|0E9918</t>
  </si>
  <si>
    <t>Clé de la prison de Sorceroc</t>
  </si>
  <si>
    <t>skyrim.esm|0FB90D</t>
  </si>
  <si>
    <t>Clé de la prison de Vendeaume</t>
  </si>
  <si>
    <t>skyrim.esm|0F669B</t>
  </si>
  <si>
    <t>Clé de la prison du Cap de Treva</t>
  </si>
  <si>
    <t>skyrim.esm|028440</t>
  </si>
  <si>
    <t>Clé de la redoute de Noirbois</t>
  </si>
  <si>
    <t>skyrim.esm|09C795</t>
  </si>
  <si>
    <t>Clé de la résidence Aretino</t>
  </si>
  <si>
    <t>skyrim.esm|09C7DA</t>
  </si>
  <si>
    <t>Clé de la résidence Atheron</t>
  </si>
  <si>
    <t>dragonborn.esm|027663</t>
  </si>
  <si>
    <t>Clé de la salle au trésor</t>
  </si>
  <si>
    <t>skyrim.esm|0786BA</t>
  </si>
  <si>
    <t>Clé de la salle au trésor de Gardepins</t>
  </si>
  <si>
    <t>skyrim.esm|039F29</t>
  </si>
  <si>
    <t>Clé de la salle d'interrogatoire</t>
  </si>
  <si>
    <t>skyrim.esm|05CDBC</t>
  </si>
  <si>
    <t>Clé de la salle de brassage</t>
  </si>
  <si>
    <t>skyrim.esm|10BEFF</t>
  </si>
  <si>
    <t>Clé de la Salle de Maluril</t>
  </si>
  <si>
    <t>skyrim.esm|0401F4</t>
  </si>
  <si>
    <t>Clé de la salle de Mzulft</t>
  </si>
  <si>
    <t>skyrim.esm|071C08</t>
  </si>
  <si>
    <t>Clé de la salle de rituel de Clairlande</t>
  </si>
  <si>
    <t>skyrim.esm|06566C</t>
  </si>
  <si>
    <t>Clé de la Salle du trésor de Markarth</t>
  </si>
  <si>
    <t>skyrim.esm|098B7A</t>
  </si>
  <si>
    <t>Clé de la scierie d'Arbrefer</t>
  </si>
  <si>
    <t>skyrim.esm|0C13F6</t>
  </si>
  <si>
    <t>Clé de la scierie de Solitude</t>
  </si>
  <si>
    <t>skyrim.esm|0C13C0</t>
  </si>
  <si>
    <t>Clé de la scierie Mi-lune</t>
  </si>
  <si>
    <t>dawnguard.esm|008E20</t>
  </si>
  <si>
    <t>Clé de la Source d'Eaurouge</t>
  </si>
  <si>
    <t>skyrim.esm|041965</t>
  </si>
  <si>
    <t>Clé de la Tour Clair-osbcur</t>
  </si>
  <si>
    <t>skyrim.esm|09FD51</t>
  </si>
  <si>
    <t>Clé de la Tour de l'Aigle carmin</t>
  </si>
  <si>
    <t>skyrim.esm|0C13DB</t>
  </si>
  <si>
    <t>Clé de la tour de Mornefort</t>
  </si>
  <si>
    <t>skyrim.esm|0E3F98</t>
  </si>
  <si>
    <t>Clé de la trappe</t>
  </si>
  <si>
    <t>skyrim.esm|062893</t>
  </si>
  <si>
    <t>Clé de la trésorerie du roi Olaf</t>
  </si>
  <si>
    <t>skyrim.esm|0F84A5</t>
  </si>
  <si>
    <t>Clé de la vitrine de Cristalgide</t>
  </si>
  <si>
    <t>skyrim.esm|03E4F2</t>
  </si>
  <si>
    <t>Clé de Lu'ah</t>
  </si>
  <si>
    <t>skyrim.esm|0E17A8</t>
  </si>
  <si>
    <t>Clé de Madanach</t>
  </si>
  <si>
    <t>skyrim.esm|0C13D8</t>
  </si>
  <si>
    <t>Clé de Mornefort</t>
  </si>
  <si>
    <t>skyrim.esm|05DCB9</t>
  </si>
  <si>
    <t>Clé de Mzulft</t>
  </si>
  <si>
    <t>skyrim.esm|0537F8</t>
  </si>
  <si>
    <t>Clé de Nchuand-Zel</t>
  </si>
  <si>
    <t>skyrim.esm|0F232E</t>
  </si>
  <si>
    <t>Clé de Raldbthar</t>
  </si>
  <si>
    <t>skyrim.esm|0A7B36</t>
  </si>
  <si>
    <t>Clé de Rucheline</t>
  </si>
  <si>
    <t>dawnguard.esm|013833</t>
  </si>
  <si>
    <t>Clé de Ruunvald</t>
  </si>
  <si>
    <t>skyrim.esm|085D57</t>
  </si>
  <si>
    <t>Clé de Sarthis</t>
  </si>
  <si>
    <t>skyrim.esm|09D392</t>
  </si>
  <si>
    <t>Clé de Vileserre</t>
  </si>
  <si>
    <t>skyrim.esm|0648B6</t>
  </si>
  <si>
    <t>Clé des anciennes cryptes de Solitude</t>
  </si>
  <si>
    <t>skyrim.esm|065660</t>
  </si>
  <si>
    <t>Clé des baraquements de Folpertuis</t>
  </si>
  <si>
    <t>skyrim.esm|065665</t>
  </si>
  <si>
    <t>Clé des baraquements de Maingauche</t>
  </si>
  <si>
    <t>skyrim.esm|0C13C6</t>
  </si>
  <si>
    <t>Clé des Breuvages d'Angeline</t>
  </si>
  <si>
    <t>skyrim.esm|0AB6FE</t>
  </si>
  <si>
    <t>Clé des catacombes de Folgunthur</t>
  </si>
  <si>
    <t>skyrim.esm|06B705</t>
  </si>
  <si>
    <t>Clé des catacombes de Potéma</t>
  </si>
  <si>
    <t>skyrim.esm|02E3F9</t>
  </si>
  <si>
    <t>Clé des chaînes</t>
  </si>
  <si>
    <t>skyrim.esm|0C13A6</t>
  </si>
  <si>
    <t>Clé des Concoctions d'outre-tombe</t>
  </si>
  <si>
    <t>skyrim.esm|093B0F</t>
  </si>
  <si>
    <t>Clé des écuries de Blancherive</t>
  </si>
  <si>
    <t>skyrim.esm|0FDEC1</t>
  </si>
  <si>
    <t>Clé des écuries de Faillaise</t>
  </si>
  <si>
    <t>skyrim.esm|0BEB82</t>
  </si>
  <si>
    <t>Clé des écuries de Markarth</t>
  </si>
  <si>
    <t>skyrim.esm|0C13F9</t>
  </si>
  <si>
    <t>Clé des écuries de Solitude</t>
  </si>
  <si>
    <t>skyrim.esm|09C870</t>
  </si>
  <si>
    <t>Clé des écuries de Vendeaume</t>
  </si>
  <si>
    <t>skyrim.esm|0FDEBA</t>
  </si>
  <si>
    <t>Clé des Élixirs d'Elgrim</t>
  </si>
  <si>
    <t>skyrim.esm|10E7E6</t>
  </si>
  <si>
    <t>Clé des marchandises confisquées</t>
  </si>
  <si>
    <t>skyrim.esm|09C86F</t>
  </si>
  <si>
    <t>Clé des Occasions de Sadri</t>
  </si>
  <si>
    <t>skyrim.esm|0D8996</t>
  </si>
  <si>
    <t>Clé des quartiers de Fort Busard</t>
  </si>
  <si>
    <t>skyrim.esm|0C5140</t>
  </si>
  <si>
    <t>Clé des quartiers de l'archimage</t>
  </si>
  <si>
    <t>skyrim.esm|09C865</t>
  </si>
  <si>
    <t>Clé des quartiers des forgerons</t>
  </si>
  <si>
    <t>skyrim.esm|0B48FE</t>
  </si>
  <si>
    <t>Clé des serviteurs du Palais bleu</t>
  </si>
  <si>
    <t>skyrim.esm|03A691</t>
  </si>
  <si>
    <t>Clé du balcon de Forelhost</t>
  </si>
  <si>
    <t>skyrim.esm|0C13CC</t>
  </si>
  <si>
    <t>Clé du Bric-à-brac</t>
  </si>
  <si>
    <t>skyrim.esm|056AF7</t>
  </si>
  <si>
    <t>Clé du bureau de l'Empire oriental</t>
  </si>
  <si>
    <t>skyrim.esm|09C867</t>
  </si>
  <si>
    <t>Clé du bureau des Brise-Bouclier</t>
  </si>
  <si>
    <t>skyrim.esm|09AEFF</t>
  </si>
  <si>
    <t>Clé du Cairn des poussiéreux</t>
  </si>
  <si>
    <t>skyrim.esm|0F49BE</t>
  </si>
  <si>
    <t>Clé du camp de la scierie</t>
  </si>
  <si>
    <t>skyrim.esm|0CA5EB</t>
  </si>
  <si>
    <t>Clé du capitaine de Nordguet</t>
  </si>
  <si>
    <t>skyrim.esm|0C13A5</t>
  </si>
  <si>
    <t>Clé du castel de Dengeir</t>
  </si>
  <si>
    <t>skyrim.esm|03718E</t>
  </si>
  <si>
    <t>Clé du chaman</t>
  </si>
  <si>
    <t>skyrim.esm|071C07</t>
  </si>
  <si>
    <t>Clé du Château de Clairlande</t>
  </si>
  <si>
    <t>skyrim.esm|027F7A</t>
  </si>
  <si>
    <t>Clé du Château de Nordguet</t>
  </si>
  <si>
    <t>dragonborn.esm|02481A</t>
  </si>
  <si>
    <t>Clé du château Karstaag</t>
  </si>
  <si>
    <t>skyrim.esm|093B05</t>
  </si>
  <si>
    <t>Clé du Chaudron d'Arcadia</t>
  </si>
  <si>
    <t>dawnguard.esm|004BD5</t>
  </si>
  <si>
    <t>Clé du cimetière</t>
  </si>
  <si>
    <t>skyrim.esm|0C13DE</t>
  </si>
  <si>
    <t>Clé du cimetière de Solitude</t>
  </si>
  <si>
    <t>skyrim.esm|0F84CB</t>
  </si>
  <si>
    <t>Clé du coffre à tribut</t>
  </si>
  <si>
    <t>skyrim.esm|038CE2</t>
  </si>
  <si>
    <t>Clé du coffre d'Hargar</t>
  </si>
  <si>
    <t>skyrim.esm|0BC6FE</t>
  </si>
  <si>
    <t>Clé du coffre d'Hillgrund</t>
  </si>
  <si>
    <t>skyrim.esm|03C590</t>
  </si>
  <si>
    <t>Clé du coffre d'Ingun</t>
  </si>
  <si>
    <t>dragonborn.esm|024FA7</t>
  </si>
  <si>
    <t>Clé du coffre de Brand-Shei</t>
  </si>
  <si>
    <t>skyrim.esm|0E82C3</t>
  </si>
  <si>
    <t>skyrim.esm|026BC8</t>
  </si>
  <si>
    <t>Clé du coffre de Jorgen</t>
  </si>
  <si>
    <t>skyrim.esm|0E6DFE</t>
  </si>
  <si>
    <t>Clé du coffre de Lumidor</t>
  </si>
  <si>
    <t>skyrim.esm|0F4A1A</t>
  </si>
  <si>
    <t>Clé du coffre de Pondragon</t>
  </si>
  <si>
    <t>skyrim.esm|0D81F9</t>
  </si>
  <si>
    <t>Clé du coffre de Rocaxe</t>
  </si>
  <si>
    <t>skyrim.esm|03C514</t>
  </si>
  <si>
    <t>Clé du coffre de Sibi</t>
  </si>
  <si>
    <t>dragonborn.esm|0292A8</t>
  </si>
  <si>
    <t>Clé du coffre de Vendil Ulen</t>
  </si>
  <si>
    <t>dragonborn.esm|01F31E</t>
  </si>
  <si>
    <t>Clé du coffre des Séverin</t>
  </si>
  <si>
    <t>skyrim.esm|102EBA</t>
  </si>
  <si>
    <t>Clé du coffre du Vague rouge</t>
  </si>
  <si>
    <t>skyrim.esm|06566E</t>
  </si>
  <si>
    <t>Clé du comptoir d'Arnleif et fils</t>
  </si>
  <si>
    <t>skyrim.esm|0B7C00</t>
  </si>
  <si>
    <t>Clé du consortium d'Irkngthand</t>
  </si>
  <si>
    <t>skyrim.esm|0FDEB2</t>
  </si>
  <si>
    <t>Clé du Dard de l'abeille</t>
  </si>
  <si>
    <t>skyrim.esm|0B5178</t>
  </si>
  <si>
    <t>Clé du Donjon d'Helgen</t>
  </si>
  <si>
    <t>skyrim.esm|06649A</t>
  </si>
  <si>
    <t>Clé du Donjon de Gularz Khazgur</t>
  </si>
  <si>
    <t>skyrim.esm|0656EC</t>
  </si>
  <si>
    <t>Clé du Donjon de Markarth</t>
  </si>
  <si>
    <t>skyrim.esm|07E019</t>
  </si>
  <si>
    <t>Clé du donjon de Mornefort</t>
  </si>
  <si>
    <t>skyrim.esm|0FDEB4</t>
  </si>
  <si>
    <t>Clé du Dortoir d'Haelga</t>
  </si>
  <si>
    <t>skyrim.esm|09C79B</t>
  </si>
  <si>
    <t>Clé du foyer argonien</t>
  </si>
  <si>
    <t>skyrim.esm|065650</t>
  </si>
  <si>
    <t>Clé du foyer de la scierie d'Anga</t>
  </si>
  <si>
    <t>skyrim.esm|036A3E</t>
  </si>
  <si>
    <t>Clé du Géant endormi</t>
  </si>
  <si>
    <t>dragonborn.esm|027E00</t>
  </si>
  <si>
    <t>Clé du gîte abandonné</t>
  </si>
  <si>
    <t>skyrim.esm|02C474</t>
  </si>
  <si>
    <t>Clé du Gîte Roncenoir</t>
  </si>
  <si>
    <t>skyrim.esm|06565C</t>
  </si>
  <si>
    <t>Clé du Hall de Folpertuis</t>
  </si>
  <si>
    <t>skyrim.esm|055901</t>
  </si>
  <si>
    <t>Clé du laboratoire de Calcelmo</t>
  </si>
  <si>
    <t>skyrim.esm|0A7B37</t>
  </si>
  <si>
    <t>Clé du Manoir de Hauteflèche</t>
  </si>
  <si>
    <t>skyrim.esm|09E131</t>
  </si>
  <si>
    <t>Clé du manoir de Rorik</t>
  </si>
  <si>
    <t>dragonborn.esm|018450</t>
  </si>
  <si>
    <t>Clé du Manoir Morvayn</t>
  </si>
  <si>
    <t>skyrim.esm|0FDEB7</t>
  </si>
  <si>
    <t>Clé du manoir Roncenoir</t>
  </si>
  <si>
    <t>skyrim.esm|093B14</t>
  </si>
  <si>
    <t>Clé du Manoir Sablefroid</t>
  </si>
  <si>
    <t>dragonborn.esm|018456</t>
  </si>
  <si>
    <t>Clé du Manoir Séverin</t>
  </si>
  <si>
    <t>dragonborn.esm|03BD09</t>
  </si>
  <si>
    <t>skyrim.esm|093B0D</t>
  </si>
  <si>
    <t>Clé du manoir Tisse-Reine</t>
  </si>
  <si>
    <t>skyrim.esm|0B8F35</t>
  </si>
  <si>
    <t>Clé du marché de Grelka</t>
  </si>
  <si>
    <t>skyrim.esm|0B8F42</t>
  </si>
  <si>
    <t>Clé du marché de Madesi</t>
  </si>
  <si>
    <t>skyrim.esm|0B8F43</t>
  </si>
  <si>
    <t>skyrim.esm|036A3F</t>
  </si>
  <si>
    <t>Clé du Marché de Rivebois</t>
  </si>
  <si>
    <t>skyrim.esm|0FDEBE</t>
  </si>
  <si>
    <t>Clé du Marteau noirci</t>
  </si>
  <si>
    <t>skyrim.esm|0C139E</t>
  </si>
  <si>
    <t>Clé du Mort de soif</t>
  </si>
  <si>
    <t>skyrim.esm|0960F0</t>
  </si>
  <si>
    <t>Clé du musée de Silus</t>
  </si>
  <si>
    <t>skyrim.esm|094392</t>
  </si>
  <si>
    <t>Clé du musée des Dwemers</t>
  </si>
  <si>
    <t>dragonborn.esm|018452</t>
  </si>
  <si>
    <t>Clé du Netch éméché</t>
  </si>
  <si>
    <t>skyrim.esm|0C13D2</t>
  </si>
  <si>
    <t>Clé du Palais bleu</t>
  </si>
  <si>
    <t>skyrim.esm|048141</t>
  </si>
  <si>
    <t>Clé du phare d'Habd</t>
  </si>
  <si>
    <t>skyrim.esm|0C13F0</t>
  </si>
  <si>
    <t>Clé du phare de Solitude</t>
  </si>
  <si>
    <t>skyrim.esm|02E104</t>
  </si>
  <si>
    <t>Clé du placard de la Tour Clair-osbcur</t>
  </si>
  <si>
    <t>skyrim.esm|108BA5</t>
  </si>
  <si>
    <t>Clé du Poste de garde de Morthal</t>
  </si>
  <si>
    <t>skyrim.esm|09C6D7</t>
  </si>
  <si>
    <t>Clé du poste de gué</t>
  </si>
  <si>
    <t>skyrim.esm|0241B4</t>
  </si>
  <si>
    <t>Clé du puits de Forelhost</t>
  </si>
  <si>
    <t>skyrim.esm|0C1405</t>
  </si>
  <si>
    <t>Clé du Ragnard pervers</t>
  </si>
  <si>
    <t>skyrim.esm|065678</t>
  </si>
  <si>
    <t>Clé du Remède de la Vieille</t>
  </si>
  <si>
    <t>skyrim.esm|0A0D46</t>
  </si>
  <si>
    <t>Clé du Rocher de la mégère</t>
  </si>
  <si>
    <t>skyrim.esm|04C475</t>
  </si>
  <si>
    <t>Clé du Sanctuaire d'Ellipse</t>
  </si>
  <si>
    <t>skyrim.esm|01F147</t>
  </si>
  <si>
    <t>Clé du sanctuaire de Potéma</t>
  </si>
  <si>
    <t>skyrim.esm|0656EE</t>
  </si>
  <si>
    <t>Clé du sanctuaire intérieur de Dibella</t>
  </si>
  <si>
    <t>skyrim.esm|03E694</t>
  </si>
  <si>
    <t>Clé du seigneur Geirmund</t>
  </si>
  <si>
    <t>skyrim.esm|0C13ED</t>
  </si>
  <si>
    <t>Clé du siège des Justiciars</t>
  </si>
  <si>
    <t>dragonborn.esm|018451</t>
  </si>
  <si>
    <t>Clé du temple de Corberoc</t>
  </si>
  <si>
    <t>skyrim.esm|0BD79C</t>
  </si>
  <si>
    <t>Clé du Temple de Dibella</t>
  </si>
  <si>
    <t>dragonborn.esm|028930</t>
  </si>
  <si>
    <t>Clé du temple de Miraak</t>
  </si>
  <si>
    <t>skyrim.esm|0C6321</t>
  </si>
  <si>
    <t>Clé du Temple de Sorguevoix</t>
  </si>
  <si>
    <t>skyrim.esm|0C13FF</t>
  </si>
  <si>
    <t>Clé du Temple des Divins</t>
  </si>
  <si>
    <t>dragonborn.esm|018D1C</t>
  </si>
  <si>
    <t>Clé du Tertre de Gyldenhul</t>
  </si>
  <si>
    <t>skyrim.esm|06F88C</t>
  </si>
  <si>
    <t>Clé du Tertre de Voilâtre</t>
  </si>
  <si>
    <t>skyrim.esm|019CFF</t>
  </si>
  <si>
    <t>Clé du Tombeau d'Hillgrund</t>
  </si>
  <si>
    <t>dragonborn.esm|024E02</t>
  </si>
  <si>
    <t>Clé du tombeau de Corberoc</t>
  </si>
  <si>
    <t>skyrim.esm|078DC2</t>
  </si>
  <si>
    <t>Clé du Val des voleurs</t>
  </si>
  <si>
    <t>skyrim.esm|051988</t>
  </si>
  <si>
    <t>Clé du Vif de Rannveig</t>
  </si>
  <si>
    <t>skyrim.esm|04EC50</t>
  </si>
  <si>
    <t>Clé en fer</t>
  </si>
  <si>
    <t>skyrim.esm|0FDEB8</t>
  </si>
  <si>
    <t>Clé personnelle de Maven</t>
  </si>
  <si>
    <t>arena - markarth side.esp|150E6A</t>
  </si>
  <si>
    <t>Cliffside Manor Key</t>
  </si>
  <si>
    <t>aaagranitehill.esp|1C6476</t>
  </si>
  <si>
    <t>Crawlspace Key</t>
  </si>
  <si>
    <t>aaagranitehill.esp|129339</t>
  </si>
  <si>
    <t>Crossway Cottage Key</t>
  </si>
  <si>
    <t>windhelmsse.esp|18D628</t>
  </si>
  <si>
    <t>Crude Key</t>
  </si>
  <si>
    <t>skyrim.esm|0C62A1</t>
  </si>
  <si>
    <t>Doesn't Exist</t>
  </si>
  <si>
    <t>anotheroakwood.esp|037A19</t>
  </si>
  <si>
    <t>Ereni Residence Key</t>
  </si>
  <si>
    <t>north keep.esp|03A984</t>
  </si>
  <si>
    <t>Falcrost Residence Key</t>
  </si>
  <si>
    <t>windhelmsse.esp|17162E</t>
  </si>
  <si>
    <t>Fine Key</t>
  </si>
  <si>
    <t>oarsrest.esp|02483C</t>
  </si>
  <si>
    <t>Fisherman's Shack Key</t>
  </si>
  <si>
    <t>windhelmsse.esp|10154C</t>
  </si>
  <si>
    <t>Gilded Key</t>
  </si>
  <si>
    <t>windhelmsse.esp|2C4961</t>
  </si>
  <si>
    <t>Graystone Key</t>
  </si>
  <si>
    <t>windhelmsse.esp|367F8A</t>
  </si>
  <si>
    <t>Hall of Talos Key</t>
  </si>
  <si>
    <t>oarsrest.esp|0521E1</t>
  </si>
  <si>
    <t>Happy Horker Basement Key</t>
  </si>
  <si>
    <t>anotheroakwood.esp|005D82</t>
  </si>
  <si>
    <t>House of Clan Green-Blade Key</t>
  </si>
  <si>
    <t>windhelmsse.esp|153D95</t>
  </si>
  <si>
    <t>Iron Halls Lodging Key</t>
  </si>
  <si>
    <t>windhelmsse.esp|16342E</t>
  </si>
  <si>
    <t>windhelmsse.esp|1ABF2D</t>
  </si>
  <si>
    <t>Jorn's Key</t>
  </si>
  <si>
    <t>the great city of solitude.esp|008C54</t>
  </si>
  <si>
    <t>Key to Aksel's House</t>
  </si>
  <si>
    <t>anotheroakwood.esp|0051EE</t>
  </si>
  <si>
    <t>Key to Alber and Bibi's House</t>
  </si>
  <si>
    <t>windhelmsse.esp|14EC6F</t>
  </si>
  <si>
    <t>Key to Angmund's Axes</t>
  </si>
  <si>
    <t>the great cities - minor cities and towns.esp|00254D</t>
  </si>
  <si>
    <t>Key to Bjorn's House</t>
  </si>
  <si>
    <t>anotheroakwood.esp|0051FD</t>
  </si>
  <si>
    <t>Key to Burgunde's House</t>
  </si>
  <si>
    <t>anotheroakwood.esp|041CD1</t>
  </si>
  <si>
    <t>Key to Clebus and Jetta's House</t>
  </si>
  <si>
    <t>arena - markarth side.esp|05C6C9</t>
  </si>
  <si>
    <t>Key to Clothing Shop</t>
  </si>
  <si>
    <t>arena - markarth side.esp|109804</t>
  </si>
  <si>
    <t>the great city of solitude.esp|00DB19</t>
  </si>
  <si>
    <t>Key to Digitus Quintus' House</t>
  </si>
  <si>
    <t>anotheroakwood.esp|0051FE</t>
  </si>
  <si>
    <t>Key to Dragolf's Finest Sundries</t>
  </si>
  <si>
    <t>the great cities - minor cities and towns.esp|0041F5</t>
  </si>
  <si>
    <t>Key to Erika's House</t>
  </si>
  <si>
    <t>the great city of solitude.esp|01B3C8</t>
  </si>
  <si>
    <t>Key to Frederik's Farm</t>
  </si>
  <si>
    <t>the great city of solitude.esp|01C196</t>
  </si>
  <si>
    <t>Key to Freyja's House</t>
  </si>
  <si>
    <t>aaagranitehill.esp|021610</t>
  </si>
  <si>
    <t>Key to General Goods</t>
  </si>
  <si>
    <t>arena - markarth side.esp|136EEE</t>
  </si>
  <si>
    <t>Key to Healers and Dealers</t>
  </si>
  <si>
    <t>the great city of solitude.esp|00E1E0</t>
  </si>
  <si>
    <t>Key to Hjoldan's House</t>
  </si>
  <si>
    <t>arena - markarth side.esp|13BFF8</t>
  </si>
  <si>
    <t>Key to Iron Maidens</t>
  </si>
  <si>
    <t>the great city of solitude.esp|01B25F</t>
  </si>
  <si>
    <t>Key to Jakob's Farm</t>
  </si>
  <si>
    <t>aaagranitehill.esp|03FCD0</t>
  </si>
  <si>
    <t>Key to Jen and John's House</t>
  </si>
  <si>
    <t>arena - markarth side.esp|080330</t>
  </si>
  <si>
    <t>Key to Magic Shop</t>
  </si>
  <si>
    <t>the great cities - minor cities and towns.esp|00FB8C</t>
  </si>
  <si>
    <t>Key to Magnar's House</t>
  </si>
  <si>
    <t>aaagranitehill.esp|00898B</t>
  </si>
  <si>
    <t>Key to Potent Potables</t>
  </si>
  <si>
    <t>aaagranitehill.esp|005D4A</t>
  </si>
  <si>
    <t>Key to Privious' House</t>
  </si>
  <si>
    <t>the great city of solitude.esp|010299</t>
  </si>
  <si>
    <t>Key to Solitude Brewery</t>
  </si>
  <si>
    <t>the great city of solitude.esp|010296</t>
  </si>
  <si>
    <t>Key to Swampside Apothecary</t>
  </si>
  <si>
    <t>the great city of solitude.esp|00E486</t>
  </si>
  <si>
    <t>Key to Tahlen-Ra's House</t>
  </si>
  <si>
    <t>the great city of solitude.esp|00801A</t>
  </si>
  <si>
    <t>Key to the Empire Trader</t>
  </si>
  <si>
    <t>aaagranitehill.esp|00906D</t>
  </si>
  <si>
    <t>Key to Tolvier's House</t>
  </si>
  <si>
    <t>the great city of solitude.esp|00E324</t>
  </si>
  <si>
    <t>Key to Torbec's House</t>
  </si>
  <si>
    <t>the great cities - minor cities and towns.esp|02321D</t>
  </si>
  <si>
    <t>Key to Ulrik's House</t>
  </si>
  <si>
    <t>anotheroakwood.esp|005D80</t>
  </si>
  <si>
    <t>Key to Woodland Remedies</t>
  </si>
  <si>
    <t>windhelmsse.esp|36D1E3</t>
  </si>
  <si>
    <t>Kushishi's Key</t>
  </si>
  <si>
    <t>skyrim.esm|02E5FB</t>
  </si>
  <si>
    <t>La clé de la Folie de Japhet</t>
  </si>
  <si>
    <t>arena - markarth side.esp|06B8B5</t>
  </si>
  <si>
    <t>Morvunskar Crypts Key</t>
  </si>
  <si>
    <t>arena - markarth side.esp|07AD16</t>
  </si>
  <si>
    <t>arena - markarth side.esp|08A031</t>
  </si>
  <si>
    <t>Morvunskar Crypts Key Shard</t>
  </si>
  <si>
    <t>anotheroakwood.esp|037A1A</t>
  </si>
  <si>
    <t>Ninnia's House Key</t>
  </si>
  <si>
    <t>north keep.esp|03A982</t>
  </si>
  <si>
    <t>Northkeep Workers Barracks Key</t>
  </si>
  <si>
    <t>anotheroakwood.esp|005D81</t>
  </si>
  <si>
    <t>Oakwood Fishery Key</t>
  </si>
  <si>
    <t>skyrim.esm|0BBB7F</t>
  </si>
  <si>
    <t>Passe-partout du Katariah</t>
  </si>
  <si>
    <t>windhelmsse.esp|1C0631</t>
  </si>
  <si>
    <t>Reliquary Key</t>
  </si>
  <si>
    <t>north keep.esp|03A981</t>
  </si>
  <si>
    <t>Sergillom Stocks Key</t>
  </si>
  <si>
    <t>windhelmsse.esp|04D54B</t>
  </si>
  <si>
    <t>Small Key</t>
  </si>
  <si>
    <t>anotheroakwood.esp|037A1C</t>
  </si>
  <si>
    <t>Storm's Tale Dormitory Key</t>
  </si>
  <si>
    <t>anotheroakwood.esp|037A1D</t>
  </si>
  <si>
    <t>Storm's Tale Temple Key</t>
  </si>
  <si>
    <t>anotheroakwood.esp|037A1B</t>
  </si>
  <si>
    <t>Storm's Tale Tower Key</t>
  </si>
  <si>
    <t>windhelmsse.esp|101519</t>
  </si>
  <si>
    <t>Sturdy Key</t>
  </si>
  <si>
    <t>windhelmsse.esp|158F63</t>
  </si>
  <si>
    <t>Sulen's Key</t>
  </si>
  <si>
    <t>windhelmsse.esp|052E7D</t>
  </si>
  <si>
    <t>Suspicious Key</t>
  </si>
  <si>
    <t>oarsrest.esp|02483D</t>
  </si>
  <si>
    <t>The Old Trunk Key</t>
  </si>
  <si>
    <t>windhelmsse.esp|2214E7</t>
  </si>
  <si>
    <t>Valand Key</t>
  </si>
  <si>
    <t>north keep.esp|03A983</t>
  </si>
  <si>
    <t>Valgador Residence Key</t>
  </si>
  <si>
    <t>windhelmsse.esp|158F62</t>
  </si>
  <si>
    <t>Varasa's Key</t>
  </si>
  <si>
    <t>windhelmsse.esp|04D54A</t>
  </si>
  <si>
    <t>Wilhelm's Key</t>
  </si>
  <si>
    <t>keizaal.esp|015BE7</t>
  </si>
  <si>
    <t>Windhelm Bloodworks Key</t>
  </si>
  <si>
    <t>skyrim.esm|063B27</t>
  </si>
  <si>
    <t>Étoile d'Azura</t>
  </si>
  <si>
    <t>Gemme spirituelle</t>
  </si>
  <si>
    <t>skyrim.esm|094E40</t>
  </si>
  <si>
    <t>Gemme spirituelle amplifiée</t>
  </si>
  <si>
    <t>skyrim.esm|043E26</t>
  </si>
  <si>
    <t>Gemme spirituelle de Wylandriah</t>
  </si>
  <si>
    <t>skyrim.esm|02E4E4</t>
  </si>
  <si>
    <t>Gemme spirituelle inférieure</t>
  </si>
  <si>
    <t>skyrim.esm|02E4E5</t>
  </si>
  <si>
    <t>skyrim.esm|02E4E2</t>
  </si>
  <si>
    <t>Gemme spirituelle insignifiante</t>
  </si>
  <si>
    <t>skyrim.esm|02E4E3</t>
  </si>
  <si>
    <t>skyrim.esm|02E4FC</t>
  </si>
  <si>
    <t>Gemme spirituelle magistrale</t>
  </si>
  <si>
    <t>skyrim.esm|02E4FF</t>
  </si>
  <si>
    <t>skyrim.esm|02E500</t>
  </si>
  <si>
    <t>Gemme spirituelle noire</t>
  </si>
  <si>
    <t>skyrim.esm|02E504</t>
  </si>
  <si>
    <t>skyrim.esm|02E4E6</t>
  </si>
  <si>
    <t>Gemme spirituelle ordinaire</t>
  </si>
  <si>
    <t>skyrim.esm|02E4F3</t>
  </si>
  <si>
    <t>skyrim.esm|02E4F4</t>
  </si>
  <si>
    <t>Gemme spirituelle supérieure</t>
  </si>
  <si>
    <t>skyrim.esm|02E4FB</t>
  </si>
  <si>
    <t>skyrim.esm|063B29</t>
  </si>
  <si>
    <t>l'Étoile noire</t>
  </si>
  <si>
    <t>aaagranitehill.esp|3BC2A4</t>
  </si>
  <si>
    <t>Talyndril's Soul Gem</t>
  </si>
  <si>
    <t>skyrim.esm|106E1B</t>
  </si>
  <si>
    <t>Abécéen à longue nageoire</t>
  </si>
  <si>
    <t>Ingrédient</t>
  </si>
  <si>
    <t>skyrim.esm|0A9195</t>
  </si>
  <si>
    <t>Abeille</t>
  </si>
  <si>
    <t>skyrim.esm|034D22</t>
  </si>
  <si>
    <t>Ail</t>
  </si>
  <si>
    <t>skyrim.esm|0E4F0C</t>
  </si>
  <si>
    <t>Aile de fléchette bleue</t>
  </si>
  <si>
    <t>skyrim.esm|0BB956</t>
  </si>
  <si>
    <t>Aile de fléchette orange</t>
  </si>
  <si>
    <t>skyrim.esm|0727DF</t>
  </si>
  <si>
    <t>Aile de noctuelle</t>
  </si>
  <si>
    <t>dawnguard.esm|0059BA</t>
  </si>
  <si>
    <t>Aile de noctuelle ancestrale</t>
  </si>
  <si>
    <t>skyrim.esm|0727E0</t>
  </si>
  <si>
    <t>Aile de papillon</t>
  </si>
  <si>
    <t>skyrim.esm|0727DE</t>
  </si>
  <si>
    <t>Aile de papillon bleu</t>
  </si>
  <si>
    <t>keizaal.esp|0000D0</t>
  </si>
  <si>
    <t>Aloe Vera Leaves</t>
  </si>
  <si>
    <t>windhelmsse.esp|28C43D</t>
  </si>
  <si>
    <t>Altmer Ear</t>
  </si>
  <si>
    <t>skyrim.esm|04DA00</t>
  </si>
  <si>
    <t>Amanite tue-mouches</t>
  </si>
  <si>
    <t>dawnguard.esm|0183B7</t>
  </si>
  <si>
    <t>Antennes de chasseur chaurus</t>
  </si>
  <si>
    <t>skyrim.esm|0E7EBC</t>
  </si>
  <si>
    <t>Bec de faucon</t>
  </si>
  <si>
    <t>skyrim.esm|07EDF5</t>
  </si>
  <si>
    <t>Bernache nordique</t>
  </si>
  <si>
    <t>skyrim.esm|04B0BA</t>
  </si>
  <si>
    <t>Blé</t>
  </si>
  <si>
    <t>dragonborn.esm|01CD6E</t>
  </si>
  <si>
    <t>Bois de spriggan brûlé</t>
  </si>
  <si>
    <t>dawnguard.esm|00B097</t>
  </si>
  <si>
    <t>Brillefleur</t>
  </si>
  <si>
    <t>skyrim.esm|106E18</t>
  </si>
  <si>
    <t>Carpe du Hist</t>
  </si>
  <si>
    <t>dragonborn.esm|01CD6D</t>
  </si>
  <si>
    <t>Cendres d'engeance</t>
  </si>
  <si>
    <t>skyrim.esm|0705B7</t>
  </si>
  <si>
    <t>Cendres de Berit</t>
  </si>
  <si>
    <t>skyrim.esm|1016B3</t>
  </si>
  <si>
    <t>Chair humaine</t>
  </si>
  <si>
    <t>skyrim.esm|07EE01</t>
  </si>
  <si>
    <t>Champignon luisant</t>
  </si>
  <si>
    <t>skyrim.esm|04DA22</t>
  </si>
  <si>
    <t>Chapeau-blanc</t>
  </si>
  <si>
    <t>skyrim.esm|06BC00</t>
  </si>
  <si>
    <t>Chitine de vasard</t>
  </si>
  <si>
    <t>dragonborn.esm|017E97</t>
  </si>
  <si>
    <t>Choucard</t>
  </si>
  <si>
    <t>skyrim.esm|04DA25</t>
  </si>
  <si>
    <t>Cloquerille</t>
  </si>
  <si>
    <t>skyrim.esm|03AD5B</t>
  </si>
  <si>
    <t>Coeur de Daedra</t>
  </si>
  <si>
    <t>skyrim.esm|03AD61</t>
  </si>
  <si>
    <t>Coeur de ronces</t>
  </si>
  <si>
    <t>skyrim.esm|0B18CD</t>
  </si>
  <si>
    <t>Coeur humain</t>
  </si>
  <si>
    <t>skyrim.esm|083E64</t>
  </si>
  <si>
    <t>Cosse</t>
  </si>
  <si>
    <t>dragonborn.esm|016E26</t>
  </si>
  <si>
    <t>Cosse cendrée</t>
  </si>
  <si>
    <t>skyrim.esm|03F7F8</t>
  </si>
  <si>
    <t>Coton sauvage</t>
  </si>
  <si>
    <t>skyrim.esm|04DA20</t>
  </si>
  <si>
    <t>Couronne sanglante</t>
  </si>
  <si>
    <t>update.esm|00306F</t>
  </si>
  <si>
    <t>Crochet spinescent</t>
  </si>
  <si>
    <t>skyrim.esm|06BC10</t>
  </si>
  <si>
    <t>Défense de mammouth en poudre</t>
  </si>
  <si>
    <t>dragonborn.esm|01CD6F</t>
  </si>
  <si>
    <t>Défense de sanglier</t>
  </si>
  <si>
    <t>skyrim.esm|06BC04</t>
  </si>
  <si>
    <t>Dent de smilodon</t>
  </si>
  <si>
    <t>skyrim.esm|03AD6A</t>
  </si>
  <si>
    <t>Dent de spectre de glace</t>
  </si>
  <si>
    <t>update.esm|00306D</t>
  </si>
  <si>
    <t>Écaille putride</t>
  </si>
  <si>
    <t>skyrim.esm|03AD70</t>
  </si>
  <si>
    <t>Écailles de poisson carnassier</t>
  </si>
  <si>
    <t>skyrim.esm|03AD63</t>
  </si>
  <si>
    <t>Ectoplasme</t>
  </si>
  <si>
    <t>skyrim.esm|034CDD</t>
  </si>
  <si>
    <t>Farine d'os</t>
  </si>
  <si>
    <t>dawnguard.esm|0185FB</t>
  </si>
  <si>
    <t>Floraison empoisonnée</t>
  </si>
  <si>
    <t>dragonborn.esm|01CD72</t>
  </si>
  <si>
    <t>Gelée de netch</t>
  </si>
  <si>
    <t>dragonborn.esm|01CD71</t>
  </si>
  <si>
    <t>Gelée de sautecendres</t>
  </si>
  <si>
    <t>skyrim.esm|05076E</t>
  </si>
  <si>
    <t>Genièvres</t>
  </si>
  <si>
    <t>skyrim.esm|01B3BD</t>
  </si>
  <si>
    <t>Givreboises</t>
  </si>
  <si>
    <t>skyrim.esm|03AD72</t>
  </si>
  <si>
    <t>Graisse de troll</t>
  </si>
  <si>
    <t>skyrim.esm|06BC0A</t>
  </si>
  <si>
    <t>Grande ramure</t>
  </si>
  <si>
    <t>skyrim.esm|0516C8</t>
  </si>
  <si>
    <t>Grelot-de-la-mort</t>
  </si>
  <si>
    <t>skyrim.esm|06BC02</t>
  </si>
  <si>
    <t>Griffes d'ours</t>
  </si>
  <si>
    <t>update.esm|00306E</t>
  </si>
  <si>
    <t>Gueule hurlante</t>
  </si>
  <si>
    <t>skyrim.esm|034D32</t>
  </si>
  <si>
    <t>Hivernelle</t>
  </si>
  <si>
    <t>skyrim.esm|0F11C0</t>
  </si>
  <si>
    <t>Huile dwemer</t>
  </si>
  <si>
    <t>skyrim.esm|0889A2</t>
  </si>
  <si>
    <t>Langue de dragon</t>
  </si>
  <si>
    <t>skyrim.esm|045C28</t>
  </si>
  <si>
    <t>Lavande</t>
  </si>
  <si>
    <t>skyrim.esm|07E8C1</t>
  </si>
  <si>
    <t>Lichen géant</t>
  </si>
  <si>
    <t>skyrim.esm|077E1C</t>
  </si>
  <si>
    <t>Lys des cimes bleu</t>
  </si>
  <si>
    <t>dawnguard.esm|002A78</t>
  </si>
  <si>
    <t>Lys des cimes jaune</t>
  </si>
  <si>
    <t>skyrim.esm|077E1D</t>
  </si>
  <si>
    <t>Lys des cimes rouge</t>
  </si>
  <si>
    <t>skyrim.esm|077E1E</t>
  </si>
  <si>
    <t>Lys des cimes violet</t>
  </si>
  <si>
    <t>skyrim.esm|0EC870</t>
  </si>
  <si>
    <t>Mora Tapinella</t>
  </si>
  <si>
    <t>skyrim.esm|057F91</t>
  </si>
  <si>
    <t>Mousse barbue</t>
  </si>
  <si>
    <t>dragonborn.esm|01FF75</t>
  </si>
  <si>
    <t>Mousse-parasol</t>
  </si>
  <si>
    <t>skyrim.esm|07E8B7</t>
  </si>
  <si>
    <t>Mycène des marais</t>
  </si>
  <si>
    <t>skyrim.esm|059B86</t>
  </si>
  <si>
    <t>Nirnroot</t>
  </si>
  <si>
    <t>skyrim.esm|0B701A</t>
  </si>
  <si>
    <t>Nirnroot cramoisie</t>
  </si>
  <si>
    <t>skyrim.esm|02F44C</t>
  </si>
  <si>
    <t>Obscurcine</t>
  </si>
  <si>
    <t>skyrim.esm|06BC07</t>
  </si>
  <si>
    <t>Oeil de smilodon</t>
  </si>
  <si>
    <t>skyrim.esm|09151B</t>
  </si>
  <si>
    <t>Oeuf d'araignée</t>
  </si>
  <si>
    <t>skyrim.esm|07E8C8</t>
  </si>
  <si>
    <t>Oeuf de fauvette</t>
  </si>
  <si>
    <t>skyrim.esm|023D6F</t>
  </si>
  <si>
    <t>Oeuf de grive</t>
  </si>
  <si>
    <t>skyrim.esm|07E8C5</t>
  </si>
  <si>
    <t>Oeuf de poisson carnassier</t>
  </si>
  <si>
    <t>skyrim.esm|023D77</t>
  </si>
  <si>
    <t>Oeuf de poule</t>
  </si>
  <si>
    <t>hearthfires.esm|00F1CC</t>
  </si>
  <si>
    <t>Oeuf du faucon</t>
  </si>
  <si>
    <t>skyrim.esm|03AD56</t>
  </si>
  <si>
    <t>Oeufs de chaurus</t>
  </si>
  <si>
    <t>hearthfires.esm|003545</t>
  </si>
  <si>
    <t>Oeufs de saumon</t>
  </si>
  <si>
    <t>skyrim.esm|034D31</t>
  </si>
  <si>
    <t>Oreille d'Elfe</t>
  </si>
  <si>
    <t>skyrim.esm|03AD5D</t>
  </si>
  <si>
    <t>Oreille de Falmer</t>
  </si>
  <si>
    <t>skyrim.esm|03AD64</t>
  </si>
  <si>
    <t>Orteil de géant</t>
  </si>
  <si>
    <t>skyrim.esm|052695</t>
  </si>
  <si>
    <t>Peau de ragnard carbonisé</t>
  </si>
  <si>
    <t>skyrim.esm|106E1C</t>
  </si>
  <si>
    <t>Perche argentée</t>
  </si>
  <si>
    <t>skyrim.esm|0854FE</t>
  </si>
  <si>
    <t>Perle</t>
  </si>
  <si>
    <t>skyrim.esm|085500</t>
  </si>
  <si>
    <t>Petite perle</t>
  </si>
  <si>
    <t>skyrim.esm|06BC0B</t>
  </si>
  <si>
    <t>Petite ramure</t>
  </si>
  <si>
    <t>skyrim.esm|06F950</t>
  </si>
  <si>
    <t>Pholiote à écailles</t>
  </si>
  <si>
    <t>skyrim.esm|04DA23</t>
  </si>
  <si>
    <t>Pied-de-lutin</t>
  </si>
  <si>
    <t>skyrim.esm|0B2183</t>
  </si>
  <si>
    <t>Plantes grimpantes</t>
  </si>
  <si>
    <t>skyrim.esm|03AD66</t>
  </si>
  <si>
    <t>Plumes d'harfreuse</t>
  </si>
  <si>
    <t>skyrim.esm|0E7ED0</t>
  </si>
  <si>
    <t>Plumes de faucon</t>
  </si>
  <si>
    <t>dragonborn.esm|03CD8E</t>
  </si>
  <si>
    <t>Plumes de sterne de Felsaad</t>
  </si>
  <si>
    <t>skyrim.esm|106E1A</t>
  </si>
  <si>
    <t>Poisson de rivière</t>
  </si>
  <si>
    <t>skyrim.esm|106E19</t>
  </si>
  <si>
    <t>Poisson-combattant de Cyrodiil</t>
  </si>
  <si>
    <t>skyrim.esm|03AD76</t>
  </si>
  <si>
    <t>Poussière de vampire</t>
  </si>
  <si>
    <t>skyrim.esm|03AD73</t>
  </si>
  <si>
    <t>Poussière luisante</t>
  </si>
  <si>
    <t>skyrim.esm|03AD6F</t>
  </si>
  <si>
    <t>Queue de ragnard</t>
  </si>
  <si>
    <t>skyrim.esm|06ABCB</t>
  </si>
  <si>
    <t>Racine de canis</t>
  </si>
  <si>
    <t>dragonborn.esm|01CD74</t>
  </si>
  <si>
    <t>Racine de cendres</t>
  </si>
  <si>
    <t>skyrim.esm|01BCBC</t>
  </si>
  <si>
    <t>Racine de jarrin</t>
  </si>
  <si>
    <t>dragonborn.esm|017008</t>
  </si>
  <si>
    <t>Racine de trama</t>
  </si>
  <si>
    <t>skyrim.esm|03AD71</t>
  </si>
  <si>
    <t>Racine noueuse</t>
  </si>
  <si>
    <t>skyrim.esm|06AC4A</t>
  </si>
  <si>
    <t>Raisin jazbay</t>
  </si>
  <si>
    <t>skyrim.esm|0B08C5</t>
  </si>
  <si>
    <t>Rayons de miel</t>
  </si>
  <si>
    <t>skyrim.esm|0A9191</t>
  </si>
  <si>
    <t>Ruche vide</t>
  </si>
  <si>
    <t>skyrim.esm|03AD5E</t>
  </si>
  <si>
    <t>Sels de feu</t>
  </si>
  <si>
    <t>skyrim.esm|03AD5F</t>
  </si>
  <si>
    <t>Sels de givre</t>
  </si>
  <si>
    <t>skyrim.esm|03AD60</t>
  </si>
  <si>
    <t>Sels du Néant</t>
  </si>
  <si>
    <t>skyrim.esm|06B689</t>
  </si>
  <si>
    <t>Serre d'harfreuse</t>
  </si>
  <si>
    <t>skyrim.esm|063B5F</t>
  </si>
  <si>
    <t>Sève de spriggan</t>
  </si>
  <si>
    <t>skyrim.esm|0D8E3F</t>
  </si>
  <si>
    <t>Sucrelune</t>
  </si>
  <si>
    <t>skyrim.esm|034CDF</t>
  </si>
  <si>
    <t>Tas de sel</t>
  </si>
  <si>
    <t>skyrim.esm|074A19</t>
  </si>
  <si>
    <t>skyrim.esm|04DA73</t>
  </si>
  <si>
    <t>Thorax de Flammouche</t>
  </si>
  <si>
    <t>skyrim.esm|0134AA</t>
  </si>
  <si>
    <t>Tige de chardon</t>
  </si>
  <si>
    <t>skyrim.esm|04DA24</t>
  </si>
  <si>
    <t>Truffe de Namira</t>
  </si>
  <si>
    <t>skyrim.esm|06BC0E</t>
  </si>
  <si>
    <t>Voiles éthérés</t>
  </si>
  <si>
    <t>hearthfires.esm|003F78</t>
  </si>
  <si>
    <t>&lt;Alias=Home&gt; Meubles</t>
  </si>
  <si>
    <t>Livre / sort</t>
  </si>
  <si>
    <t>skyrim.esm|0B7736</t>
  </si>
  <si>
    <t>123 Abc Def Ghijklmnop Qrstu VWXYZ 123456789</t>
  </si>
  <si>
    <t>skyrim.esm|01AFE9</t>
  </si>
  <si>
    <t>2920, âtrefeu, vol. 9</t>
  </si>
  <si>
    <t>skyrim.esm|01B010</t>
  </si>
  <si>
    <t>2920, clairciel, vol. 2</t>
  </si>
  <si>
    <t>skyrim.esm|01B00C</t>
  </si>
  <si>
    <t>2920, hautzénith, vol. 7</t>
  </si>
  <si>
    <t>skyrim.esm|01AFF7</t>
  </si>
  <si>
    <t>2920, mi-l'an, vol. 6</t>
  </si>
  <si>
    <t>skyrim.esm|01B017</t>
  </si>
  <si>
    <t>2920, ondepluie, vol. 4</t>
  </si>
  <si>
    <t>skyrim.esm|01B025</t>
  </si>
  <si>
    <t>2920, plantaisons, vol. 5</t>
  </si>
  <si>
    <t>skyrim.esm|01AFD9</t>
  </si>
  <si>
    <t>2920, primétoile, vol. 1</t>
  </si>
  <si>
    <t>skyrim.esm|01ACE5</t>
  </si>
  <si>
    <t>2920, semailles, vol. 3</t>
  </si>
  <si>
    <t>skyrim.esm|01ACE4</t>
  </si>
  <si>
    <t>2920, soirétoile, vol. 12</t>
  </si>
  <si>
    <t>skyrim.esm|01ACE3</t>
  </si>
  <si>
    <t>2920, sombreciel, vol. 11</t>
  </si>
  <si>
    <t>skyrim.esm|01AFEA</t>
  </si>
  <si>
    <t>2920, soufflegivre, vol. 10</t>
  </si>
  <si>
    <t>skyrim.esm|01B01F</t>
  </si>
  <si>
    <t>2920, vifazur, vol. 8</t>
  </si>
  <si>
    <t>skyrim.esm|0ED08F</t>
  </si>
  <si>
    <t>à â é è ê ë ù û ü î ï ô ç</t>
  </si>
  <si>
    <t>skyrim.esm|0ED090</t>
  </si>
  <si>
    <t>à é è è ì ó ò ù É È Ì Ó Ò Á Ù</t>
  </si>
  <si>
    <t>skyrim.esm|0ED092</t>
  </si>
  <si>
    <t>á é í ó ú ñ ü ç ¿ ¡ ª º Á É Í Ó Ú Ñ Ü Ç</t>
  </si>
  <si>
    <t>skyrim.esm|0F689F</t>
  </si>
  <si>
    <t>À faire</t>
  </si>
  <si>
    <t>skyrim.esm|01B01D</t>
  </si>
  <si>
    <t>À filou, filou et demi</t>
  </si>
  <si>
    <t>skyrim.esm|0F6896</t>
  </si>
  <si>
    <t>À la Confrérie</t>
  </si>
  <si>
    <t>dawnguard.esm|0192F0</t>
  </si>
  <si>
    <t>À la découverte de Ruunvald, vol. I</t>
  </si>
  <si>
    <t>dawnguard.esm|019578</t>
  </si>
  <si>
    <t>À la découverte de Ruunvald, vol. II</t>
  </si>
  <si>
    <t>dawnguard.esm|01957A</t>
  </si>
  <si>
    <t>À la découverte de Ruunvald, vol. III</t>
  </si>
  <si>
    <t>dawnguard.esm|01957C</t>
  </si>
  <si>
    <t>À la découverte de Ruunvald, vol. IV</t>
  </si>
  <si>
    <t>skyrim.esm|0F689D</t>
  </si>
  <si>
    <t>À la prochaine fois</t>
  </si>
  <si>
    <t>skyrim.esm|0F68A1</t>
  </si>
  <si>
    <t>À lire immédiatement !</t>
  </si>
  <si>
    <t>windhelmsse.esp|0903D9</t>
  </si>
  <si>
    <t>A note</t>
  </si>
  <si>
    <t>windhelmsse.esp|0903DA</t>
  </si>
  <si>
    <t>windhelmsse.esp|0903DB</t>
  </si>
  <si>
    <t>skyrim.esm|0ED091</t>
  </si>
  <si>
    <t>ä ö ü ß Ä Ö Ü</t>
  </si>
  <si>
    <t>windhelmsse.esp|0903D8</t>
  </si>
  <si>
    <t>A potential job</t>
  </si>
  <si>
    <t>windhelmsse.esp|0903D6</t>
  </si>
  <si>
    <t>A Request</t>
  </si>
  <si>
    <t>keizaal.esp|E53D81</t>
  </si>
  <si>
    <t>A Sermon of Mara</t>
  </si>
  <si>
    <t>skyrim.esm|0F68A0</t>
  </si>
  <si>
    <t>À tous les employés !</t>
  </si>
  <si>
    <t>skyrim.esm|0F68A5</t>
  </si>
  <si>
    <t>À un citoyen inquiet</t>
  </si>
  <si>
    <t>windhelmsse.esp|1BF1D1</t>
  </si>
  <si>
    <t>A Vampire's Diary</t>
  </si>
  <si>
    <t>skyrim.esm|0F68AA</t>
  </si>
  <si>
    <t>À votre demande</t>
  </si>
  <si>
    <t>skyrim.esm|04C6C8</t>
  </si>
  <si>
    <t>Acte de vente de Lumidor</t>
  </si>
  <si>
    <t>skyrim.esm|07A508</t>
  </si>
  <si>
    <t>skyrim.esm|0D2B09</t>
  </si>
  <si>
    <t>Adieux de Tova</t>
  </si>
  <si>
    <t>skyrim.esm|01B22C</t>
  </si>
  <si>
    <t>Aedra et Daedra</t>
  </si>
  <si>
    <t>skyrim.esm|01ACE6</t>
  </si>
  <si>
    <t>Aevar Chante-Pierre</t>
  </si>
  <si>
    <t>skyrim.esm|01AFF3</t>
  </si>
  <si>
    <t>Ahzirr Traajijazeri</t>
  </si>
  <si>
    <t>windhelmsse.esp|26DBE5</t>
  </si>
  <si>
    <t>Alarik's verse</t>
  </si>
  <si>
    <t>skyrim.esm|0EA5B0</t>
  </si>
  <si>
    <t>Alduin existe</t>
  </si>
  <si>
    <t>skyrim.esm|01AD0C</t>
  </si>
  <si>
    <t>Âmes noires et blanches</t>
  </si>
  <si>
    <t>skyrim.esm|01B01B</t>
  </si>
  <si>
    <t>Anatomie d'un verrou</t>
  </si>
  <si>
    <t>skyrim.esm|0ED041</t>
  </si>
  <si>
    <t>Anatomie des loups-garous</t>
  </si>
  <si>
    <t>skyrim.esm|0ED441</t>
  </si>
  <si>
    <t>Ancien édit</t>
  </si>
  <si>
    <t>skyrim.esm|08F741</t>
  </si>
  <si>
    <t>Ancien tome</t>
  </si>
  <si>
    <t>windhelmsse.esp|11AF85</t>
  </si>
  <si>
    <t>Ancient Excerpt</t>
  </si>
  <si>
    <t>skyrim.esm|03636A</t>
  </si>
  <si>
    <t>Annales des Gardes-dragons</t>
  </si>
  <si>
    <t>skyrim.esm|01B22F</t>
  </si>
  <si>
    <t>Antécédents de la loi dwemer</t>
  </si>
  <si>
    <t>dragonborn.esm|03A361</t>
  </si>
  <si>
    <t>Apocrypha : Lames dévorantes</t>
  </si>
  <si>
    <t>dragonborn.esm|03A35F</t>
  </si>
  <si>
    <t>Apocrypha : Membres constricteurs</t>
  </si>
  <si>
    <t>dragonborn.esm|03A362</t>
  </si>
  <si>
    <t>Apocrypha : Orbes fureteurs</t>
  </si>
  <si>
    <t>dragonborn.esm|03A360</t>
  </si>
  <si>
    <t>Apocrypha : Tenailles tranchantes</t>
  </si>
  <si>
    <t>keizaal.esp|DE8776</t>
  </si>
  <si>
    <t>Ashfire Mead Recipe</t>
  </si>
  <si>
    <t>skyrim.esm|0FF227</t>
  </si>
  <si>
    <t>Atlas des dragons</t>
  </si>
  <si>
    <t>skyrim.esm|0ED604</t>
  </si>
  <si>
    <t>Attaques de horqueurs</t>
  </si>
  <si>
    <t>skyrim.esm|0F6899</t>
  </si>
  <si>
    <t>Au propriétaire</t>
  </si>
  <si>
    <t>skyrim.esm|0F6897</t>
  </si>
  <si>
    <t>Au sujet de votre perte</t>
  </si>
  <si>
    <t>windhelmsse.esp|26DBF9</t>
  </si>
  <si>
    <t>Audmund's Verse</t>
  </si>
  <si>
    <t>skyrim.esm|0ED061</t>
  </si>
  <si>
    <t>Aux quatre coins du monde, vol. XI</t>
  </si>
  <si>
    <t>skyrim.esm|01B012</t>
  </si>
  <si>
    <t>Avant l'ère des hommes</t>
  </si>
  <si>
    <t>skyrim.esm|078561</t>
  </si>
  <si>
    <t>Avertissement</t>
  </si>
  <si>
    <t>skyrim.esm|0F6928</t>
  </si>
  <si>
    <t>skyrim.esm|0F6843</t>
  </si>
  <si>
    <t>Avertissement contre l'ébonite</t>
  </si>
  <si>
    <t>skyrim.esm|068253</t>
  </si>
  <si>
    <t>Avertissement officiel</t>
  </si>
  <si>
    <t>skyrim.esm|0EF579</t>
  </si>
  <si>
    <t>Aveux de Gulum-Ei</t>
  </si>
  <si>
    <t>dragonborn.esm|03A4B3</t>
  </si>
  <si>
    <t>Avis</t>
  </si>
  <si>
    <t>skyrim.esm|08ACCC</t>
  </si>
  <si>
    <t>skyrim.esm|0F68A2</t>
  </si>
  <si>
    <t>Avis à tous les employés !</t>
  </si>
  <si>
    <t>skyrim.esm|0F68A6</t>
  </si>
  <si>
    <t>Avis d'augmentation</t>
  </si>
  <si>
    <t>windhelmsse.esp|39ACE7</t>
  </si>
  <si>
    <t>Away</t>
  </si>
  <si>
    <t>skyrim.esm|01ACE9</t>
  </si>
  <si>
    <t>Azura et la boîte</t>
  </si>
  <si>
    <t>skyrim.esm|01ACD6</t>
  </si>
  <si>
    <t>Barenziah, la véritable histoire, vol. 1</t>
  </si>
  <si>
    <t>skyrim.esm|01ACD7</t>
  </si>
  <si>
    <t>Barenziah, la véritable histoire, vol. 2</t>
  </si>
  <si>
    <t>skyrim.esm|01ACD8</t>
  </si>
  <si>
    <t>Barenziah, la véritable histoire, vol. 3</t>
  </si>
  <si>
    <t>skyrim.esm|01ACD9</t>
  </si>
  <si>
    <t>Barenziah, la véritable histoire, vol. 4</t>
  </si>
  <si>
    <t>skyrim.esm|01ACDA</t>
  </si>
  <si>
    <t>Barenziah, la véritable histoire, vol. 5</t>
  </si>
  <si>
    <t>oarsrest.esp|04D077</t>
  </si>
  <si>
    <t>Bashir's Treasure Hunt</t>
  </si>
  <si>
    <t>skyrim.esm|0F6931</t>
  </si>
  <si>
    <t>Besoin de Cynric</t>
  </si>
  <si>
    <t>skyrim.esm|0F6933</t>
  </si>
  <si>
    <t>skyrim.esm|0ED60C</t>
  </si>
  <si>
    <t>Bestiaire d'Herbane : automates</t>
  </si>
  <si>
    <t>skyrim.esm|0ED60B</t>
  </si>
  <si>
    <t>Bestiaire d'Herbane : harfreuses</t>
  </si>
  <si>
    <t>skyrim.esm|0D6F0B</t>
  </si>
  <si>
    <t>Bestiaire d'Herbane : spectres de glace</t>
  </si>
  <si>
    <t>skyrim.esm|0813B6</t>
  </si>
  <si>
    <t>Billet à ordre</t>
  </si>
  <si>
    <t>skyrim.esm|01ACB5</t>
  </si>
  <si>
    <t>Biographie de Barenziah, vol. 1</t>
  </si>
  <si>
    <t>skyrim.esm|01ACB6</t>
  </si>
  <si>
    <t>Biographie de Barenziah, vol. 2</t>
  </si>
  <si>
    <t>skyrim.esm|01ACB7</t>
  </si>
  <si>
    <t>Biographie de Barenziah, vol. 3</t>
  </si>
  <si>
    <t>skyrim.esm|01B023</t>
  </si>
  <si>
    <t>Biographie de la Reine-louve</t>
  </si>
  <si>
    <t>keizaal.esp|03DD4A</t>
  </si>
  <si>
    <t>Black Briar Mead Recipe</t>
  </si>
  <si>
    <t>skyrim.esm|0ED02E</t>
  </si>
  <si>
    <t>Blancherive : le guide du gentilhomme</t>
  </si>
  <si>
    <t>keizaal.esp|DBF8C1</t>
  </si>
  <si>
    <t>Blank Spellbook</t>
  </si>
  <si>
    <t>skyrim.esm|083B38</t>
  </si>
  <si>
    <t>Bordeciel : le guide de l'explorateur</t>
  </si>
  <si>
    <t>skyrim.esm|01AFC8</t>
  </si>
  <si>
    <t>Bordeciel : le guide de l'herboriste</t>
  </si>
  <si>
    <t>skyrim.esm|01ACB9</t>
  </si>
  <si>
    <t>Brève histoire de l'Empire, vol. 1</t>
  </si>
  <si>
    <t>skyrim.esm|01ACBA</t>
  </si>
  <si>
    <t>Brève histoire de l'Empire, vol. 2</t>
  </si>
  <si>
    <t>skyrim.esm|01ACBB</t>
  </si>
  <si>
    <t>Brève histoire de l'Empire, vol. 3</t>
  </si>
  <si>
    <t>skyrim.esm|01ACBC</t>
  </si>
  <si>
    <t>Brève histoire de l'Empire, vol. 4</t>
  </si>
  <si>
    <t>skyrim.esm|01B22B</t>
  </si>
  <si>
    <t>Brève histoire de Morrowind</t>
  </si>
  <si>
    <t>windhelmsse.esp|307060</t>
  </si>
  <si>
    <t>Brief History of Windhelm</t>
  </si>
  <si>
    <t>skyrim.esm|094D8B</t>
  </si>
  <si>
    <t>Brochure du musée</t>
  </si>
  <si>
    <t>dawnguard.esm|006BB3</t>
  </si>
  <si>
    <t>Butin dwemer</t>
  </si>
  <si>
    <t>skyrim.esm|0F0424</t>
  </si>
  <si>
    <t>Calepin abîmé</t>
  </si>
  <si>
    <t>skyrim.esm|0F692B</t>
  </si>
  <si>
    <t>Cargaison arrivée</t>
  </si>
  <si>
    <t>skyrim.esm|065BDA</t>
  </si>
  <si>
    <t>Cargaison prête</t>
  </si>
  <si>
    <t>skyrim.esm|0F33D2</t>
  </si>
  <si>
    <t>Carte au trésor de Fort Néograd</t>
  </si>
  <si>
    <t>skyrim.esm|0DDEFB</t>
  </si>
  <si>
    <t>Carte au trésor de Velehk Sain</t>
  </si>
  <si>
    <t>skyrim.esm|0EF07A</t>
  </si>
  <si>
    <t>Carte au trésor I</t>
  </si>
  <si>
    <t>skyrim.esm|0F33CE</t>
  </si>
  <si>
    <t>Carte au trésor II</t>
  </si>
  <si>
    <t>skyrim.esm|0F33CF</t>
  </si>
  <si>
    <t>Carte au trésor III</t>
  </si>
  <si>
    <t>skyrim.esm|0F33D1</t>
  </si>
  <si>
    <t>Carte au trésor IV</t>
  </si>
  <si>
    <t>skyrim.esm|0F33CD</t>
  </si>
  <si>
    <t>Carte au trésor IX</t>
  </si>
  <si>
    <t>skyrim.esm|0F33D4</t>
  </si>
  <si>
    <t>Carte au trésor V</t>
  </si>
  <si>
    <t>skyrim.esm|0F33D0</t>
  </si>
  <si>
    <t>Carte au trésor VI</t>
  </si>
  <si>
    <t>skyrim.esm|0F33D5</t>
  </si>
  <si>
    <t>Carte au trésor VII</t>
  </si>
  <si>
    <t>skyrim.esm|0F33D3</t>
  </si>
  <si>
    <t>Carte au trésor VIII</t>
  </si>
  <si>
    <t>skyrim.esm|0F33E0</t>
  </si>
  <si>
    <t>Carte au trésor X</t>
  </si>
  <si>
    <t>dragonborn.esm|01CAF2</t>
  </si>
  <si>
    <t>Carte de la source de stalhrim</t>
  </si>
  <si>
    <t>windhelmsse.esp|1ABF53</t>
  </si>
  <si>
    <t>Castus' Notes</t>
  </si>
  <si>
    <t>skyrim.esm|02F83A</t>
  </si>
  <si>
    <t>Catalogue des enchantements d'armes</t>
  </si>
  <si>
    <t>skyrim.esm|02F83B</t>
  </si>
  <si>
    <t>Catalogue des enchantements d'armure</t>
  </si>
  <si>
    <t>skyrim.esm|0F68A8</t>
  </si>
  <si>
    <t>Cérémonie argonienne</t>
  </si>
  <si>
    <t>skyrim.esm|01AFDB</t>
  </si>
  <si>
    <t>Chanson de Hrormir</t>
  </si>
  <si>
    <t>skyrim.esm|0E7F37</t>
  </si>
  <si>
    <t>Chant des hommes d'Askelde</t>
  </si>
  <si>
    <t>skyrim.esm|0ED062</t>
  </si>
  <si>
    <t>Chants de Bordeciel</t>
  </si>
  <si>
    <t>skyrim.esm|0F11D5</t>
  </si>
  <si>
    <t>Chants de Bordeciel révisés</t>
  </si>
  <si>
    <t>skyrim.esm|0ED03D</t>
  </si>
  <si>
    <t>Chants du retour, vol. 19</t>
  </si>
  <si>
    <t>skyrim.esm|0ED046</t>
  </si>
  <si>
    <t>Chants du retour, vol. 2</t>
  </si>
  <si>
    <t>skyrim.esm|0ED048</t>
  </si>
  <si>
    <t>Chants du retour, vol. 24</t>
  </si>
  <si>
    <t>skyrim.esm|0ED044</t>
  </si>
  <si>
    <t>Chants du retour, vol. 56</t>
  </si>
  <si>
    <t>skyrim.esm|0ED045</t>
  </si>
  <si>
    <t>Chants du retour, vol. 7</t>
  </si>
  <si>
    <t>hearthfires.esm|0157A0</t>
  </si>
  <si>
    <t>Charte du Manoir Bourduvent</t>
  </si>
  <si>
    <t>hearthfires.esm|0157A1</t>
  </si>
  <si>
    <t>Charte du Manoir d'Heljarchen</t>
  </si>
  <si>
    <t>hearthfires.esm|01579F</t>
  </si>
  <si>
    <t>Charte du Manoir du lac</t>
  </si>
  <si>
    <t>skyrim.esm|01AFF8</t>
  </si>
  <si>
    <t>Chimarvamidium</t>
  </si>
  <si>
    <t>skyrim.esm|01B22E</t>
  </si>
  <si>
    <t>skyrim.esm|0ED04F</t>
  </si>
  <si>
    <t>Chronologie de la Troisième Ère</t>
  </si>
  <si>
    <t>skyrim.esm|01ACF7</t>
  </si>
  <si>
    <t>Chute du Prince des neiges</t>
  </si>
  <si>
    <t>dragonborn.esm|028267</t>
  </si>
  <si>
    <t>Cinq étoiles lointaines</t>
  </si>
  <si>
    <t>keizaal.esp|0068F8</t>
  </si>
  <si>
    <t>Circlet Schematics</t>
  </si>
  <si>
    <t>windhelmsse.esp|11AF29</t>
  </si>
  <si>
    <t>Clans of Skyrim: Stormfist</t>
  </si>
  <si>
    <t>skyrim.esm|0F6930</t>
  </si>
  <si>
    <t>Coffres d'entraînement</t>
  </si>
  <si>
    <t>skyrim.esm|01ACD1</t>
  </si>
  <si>
    <t>Combats à l'aide d'unités différentes</t>
  </si>
  <si>
    <t>skyrim.esm|0ED606</t>
  </si>
  <si>
    <t>Comment tuer un troll</t>
  </si>
  <si>
    <t>skyrim.esm|086EF8</t>
  </si>
  <si>
    <t>Commentaires de l'Aube mythique 1</t>
  </si>
  <si>
    <t>skyrim.esm|086EF9</t>
  </si>
  <si>
    <t>Commentaires de l'Aube mythique 2</t>
  </si>
  <si>
    <t>skyrim.esm|086EFA</t>
  </si>
  <si>
    <t>Commentaires de l'Aube mythique 3</t>
  </si>
  <si>
    <t>skyrim.esm|086EFB</t>
  </si>
  <si>
    <t>Commentaires de l'Aube mythique 4</t>
  </si>
  <si>
    <t>skyrim.esm|0F692D</t>
  </si>
  <si>
    <t>Concurrents potentiels</t>
  </si>
  <si>
    <t>skyrim.esm|09020C</t>
  </si>
  <si>
    <t>Condoléances impériales</t>
  </si>
  <si>
    <t>dragonborn.esm|028264</t>
  </si>
  <si>
    <t>Confessions d'un Dunmer amateur de skooma</t>
  </si>
  <si>
    <t>dawnguard.esm|016692</t>
  </si>
  <si>
    <t>Confessions d'un marchand de fourrures khajiit</t>
  </si>
  <si>
    <t>skyrim.esm|0F6932</t>
  </si>
  <si>
    <t>Contact de l'Empire oriental</t>
  </si>
  <si>
    <t>skyrim.esm|035B65</t>
  </si>
  <si>
    <t>Contrat</t>
  </si>
  <si>
    <t>skyrim.esm|04EF00</t>
  </si>
  <si>
    <t>skyrim.esm|0557EC</t>
  </si>
  <si>
    <t>Convention d'achat</t>
  </si>
  <si>
    <t>skyrim.esm|085D4E</t>
  </si>
  <si>
    <t>kad_moonmonkrobes.esp|00088D</t>
  </si>
  <si>
    <t>Crafting Style: Moon Monk's Robes</t>
  </si>
  <si>
    <t>aaagranitehill.esp|00E0A8</t>
  </si>
  <si>
    <t>Crawl Space Note</t>
  </si>
  <si>
    <t>skyrim.esm|01AFE4</t>
  </si>
  <si>
    <t>Crépuscule sur Sentinelle</t>
  </si>
  <si>
    <t>keizaal.esp|DDE4DA</t>
  </si>
  <si>
    <t>Crossbow Schematics</t>
  </si>
  <si>
    <t>windhelmsse.esp|11AF2A</t>
  </si>
  <si>
    <t>Crown of Freydis</t>
  </si>
  <si>
    <t>skyrim.esm|0ED035</t>
  </si>
  <si>
    <t>Dagues croisées</t>
  </si>
  <si>
    <t>skyrim.esm|01AFC7</t>
  </si>
  <si>
    <t>De Rerum Dirennis</t>
  </si>
  <si>
    <t>skyrim.esm|0ED033</t>
  </si>
  <si>
    <t>Déchéance</t>
  </si>
  <si>
    <t>dragonborn.esm|01BFE5</t>
  </si>
  <si>
    <t>Déclaration de guerre</t>
  </si>
  <si>
    <t>skyrim.esm|0D55D9</t>
  </si>
  <si>
    <t>Décret du monument</t>
  </si>
  <si>
    <t>windhelmsse.esp|2C4962</t>
  </si>
  <si>
    <t>Deed to Graystone</t>
  </si>
  <si>
    <t>keizaal.esp|E44984</t>
  </si>
  <si>
    <t>Delivery Instructions</t>
  </si>
  <si>
    <t>skyrim.esm|0F689C</t>
  </si>
  <si>
    <t>Demande d'aide !</t>
  </si>
  <si>
    <t>hearthfires.esm|0008AE</t>
  </si>
  <si>
    <t>Demande de rançon</t>
  </si>
  <si>
    <t>skyrim.esm|04811F</t>
  </si>
  <si>
    <t>Dernière lettre d'Habd</t>
  </si>
  <si>
    <t>skyrim.esm|0F0425</t>
  </si>
  <si>
    <t>Derniers mots du voleur</t>
  </si>
  <si>
    <t>skyrim.esm|01AD18</t>
  </si>
  <si>
    <t>Des Elfes sauvages</t>
  </si>
  <si>
    <t>skyrim.esm|02F839</t>
  </si>
  <si>
    <t>Deux secrets</t>
  </si>
  <si>
    <t>dragonborn.esm|03A2A1</t>
  </si>
  <si>
    <t>Deuxième lettre de la CEO</t>
  </si>
  <si>
    <t>skyrim.esm|07D67D</t>
  </si>
  <si>
    <t>Deuxième lettre de Linwe</t>
  </si>
  <si>
    <t>skyrim.esm|0ED04B</t>
  </si>
  <si>
    <t>Dichotomie entre Alduin et Akatosh</t>
  </si>
  <si>
    <t>skyrim.esm|01ACD5</t>
  </si>
  <si>
    <t>Dieux et cultes</t>
  </si>
  <si>
    <t>keizaal.esp|025A4A</t>
  </si>
  <si>
    <t>Diplomatic Writ</t>
  </si>
  <si>
    <t>windhelmsse.esp|11AF2C</t>
  </si>
  <si>
    <t>Divines and the Nords</t>
  </si>
  <si>
    <t>skyrim.esm|0F6845</t>
  </si>
  <si>
    <t>Dossier du Thalmor : Delphine</t>
  </si>
  <si>
    <t>skyrim.esm|03AF29</t>
  </si>
  <si>
    <t>Dossier du Thalmor : Esbern</t>
  </si>
  <si>
    <t>skyrim.esm|0F6846</t>
  </si>
  <si>
    <t>Dossier du Thalmor : Ulfric Sombrage</t>
  </si>
  <si>
    <t>skyrim.esm|0E2FC5</t>
  </si>
  <si>
    <t>Dunmer de Bordeciel</t>
  </si>
  <si>
    <t>skyrim.esm|03010B</t>
  </si>
  <si>
    <t>Effets des Parchemins des Anciens</t>
  </si>
  <si>
    <t>skyrim.esm|015475</t>
  </si>
  <si>
    <t>Emploi du temps de Gaius Maro</t>
  </si>
  <si>
    <t>skyrim.esm|039F2A</t>
  </si>
  <si>
    <t>Enquête sur les dragons : état actuel</t>
  </si>
  <si>
    <t>skyrim.esm|0E7A33</t>
  </si>
  <si>
    <t>Épitaphe de Geirmund</t>
  </si>
  <si>
    <t>skyrim.esm|01B25A</t>
  </si>
  <si>
    <t>Esprit de Nirn</t>
  </si>
  <si>
    <t>skyrim.esm|01AD15</t>
  </si>
  <si>
    <t>Esprit des Daedras</t>
  </si>
  <si>
    <t>skyrim.esm|0E7F31</t>
  </si>
  <si>
    <t>Étude des Dwemers, vol. 1</t>
  </si>
  <si>
    <t>skyrim.esm|0E7F33</t>
  </si>
  <si>
    <t>Étude des Dwemers, vol. 2</t>
  </si>
  <si>
    <t>skyrim.esm|0E7F34</t>
  </si>
  <si>
    <t>Étude des Dwemers, vol. 3</t>
  </si>
  <si>
    <t>skyrim.esm|0E0D68</t>
  </si>
  <si>
    <t>Étude des Falmers</t>
  </si>
  <si>
    <t>windhelmsse.esp|12F12C</t>
  </si>
  <si>
    <t>Excavation Notes</t>
  </si>
  <si>
    <t>skyrim.esm|0F68A4</t>
  </si>
  <si>
    <t>Excuses</t>
  </si>
  <si>
    <t>skyrim.esm|0ED031</t>
  </si>
  <si>
    <t>Fantômes dans la tempête</t>
  </si>
  <si>
    <t>windhelmsse.esp|06C6D0</t>
  </si>
  <si>
    <t>Farewell Note</t>
  </si>
  <si>
    <t>skyrim.esm|05C846</t>
  </si>
  <si>
    <t>Fausse lettre de Faendal</t>
  </si>
  <si>
    <t>skyrim.esm|05C847</t>
  </si>
  <si>
    <t>Fausse lettre de Sven</t>
  </si>
  <si>
    <t>skyrim.esm|0ED605</t>
  </si>
  <si>
    <t>Félins de Bordeciel</t>
  </si>
  <si>
    <t>skyrim.esm|01AFDA</t>
  </si>
  <si>
    <t>Feu et ténèbres</t>
  </si>
  <si>
    <t>skyrim.esm|01ACEB</t>
  </si>
  <si>
    <t>Feyfolken I</t>
  </si>
  <si>
    <t>skyrim.esm|01ACEC</t>
  </si>
  <si>
    <t>Feyfolken II</t>
  </si>
  <si>
    <t>skyrim.esm|01ACED</t>
  </si>
  <si>
    <t>Feyfolken III</t>
  </si>
  <si>
    <t>skyrim.esm|01AFC9</t>
  </si>
  <si>
    <t>Fille de la Niben</t>
  </si>
  <si>
    <t>keizaal.esp|0521B3</t>
  </si>
  <si>
    <t>Firebrand Wine Recipe</t>
  </si>
  <si>
    <t>skyrim.esm|0B64B1</t>
  </si>
  <si>
    <t>Fjori et Holgeir</t>
  </si>
  <si>
    <t>windhelmsse.esp|04D534</t>
  </si>
  <si>
    <t>Flyer</t>
  </si>
  <si>
    <t>windhelmsse.esp|04D536</t>
  </si>
  <si>
    <t>windhelmsse.esp|04D54F</t>
  </si>
  <si>
    <t>dragonborn.esm|02BAC7</t>
  </si>
  <si>
    <t>Folio de La Femme de chambre argonienne</t>
  </si>
  <si>
    <t>windhelmsse.esp|1B62F1</t>
  </si>
  <si>
    <t>For Sale</t>
  </si>
  <si>
    <t>skyrim.esm|01AFD0</t>
  </si>
  <si>
    <t>Forge d'armure légère</t>
  </si>
  <si>
    <t>skyrim.esm|0E3E69</t>
  </si>
  <si>
    <t>Forge, marteau et enclume</t>
  </si>
  <si>
    <t>skyrim.esm|01AFD2</t>
  </si>
  <si>
    <t>Forgeage d'armure lourde</t>
  </si>
  <si>
    <t>skyrim.esm|0F1C17</t>
  </si>
  <si>
    <t>Formule d'emprisonnement</t>
  </si>
  <si>
    <t>skyrim.esm|0F1C18</t>
  </si>
  <si>
    <t>skyrim.esm|0F1C19</t>
  </si>
  <si>
    <t>dragonborn.esm|02AD3C</t>
  </si>
  <si>
    <t>Formule d'ostalium</t>
  </si>
  <si>
    <t>skyrim.esm|01AD06</t>
  </si>
  <si>
    <t>Fragment : Artaeum</t>
  </si>
  <si>
    <t>skyrim.esm|072841</t>
  </si>
  <si>
    <t>dawnguard.esm|0188C8</t>
  </si>
  <si>
    <t>Fragment de journal</t>
  </si>
  <si>
    <t>windhelmsse.esp|26DBF5</t>
  </si>
  <si>
    <t>Fragmented text</t>
  </si>
  <si>
    <t>windhelmsse.esp|26DBF6</t>
  </si>
  <si>
    <t>windhelmsse.esp|26DBF7</t>
  </si>
  <si>
    <t>skyrim.esm|01ACFF</t>
  </si>
  <si>
    <t>Frères des ténèbres</t>
  </si>
  <si>
    <t>windhelmsse.esp|26DC01</t>
  </si>
  <si>
    <t>Frida's Verse</t>
  </si>
  <si>
    <t>windhelmsse.esp|1BF1F4</t>
  </si>
  <si>
    <t>From Hoki and Higil</t>
  </si>
  <si>
    <t>windhelmsse.esp|1BF1D3</t>
  </si>
  <si>
    <t>From Nora</t>
  </si>
  <si>
    <t>windhelmsse.esp|1BF1D2</t>
  </si>
  <si>
    <t>From Skjorta</t>
  </si>
  <si>
    <t>skyrim.esm|01ACCB</t>
  </si>
  <si>
    <t>Frontière, conquête</t>
  </si>
  <si>
    <t>skyrim.esm|01ACCD</t>
  </si>
  <si>
    <t>Galérion le Mystique</t>
  </si>
  <si>
    <t>skyrim.esm|021683</t>
  </si>
  <si>
    <t>Gare au Boucher !</t>
  </si>
  <si>
    <t>hearthfires.esm|015D59</t>
  </si>
  <si>
    <t>Gérer une propriété - Guide du débutant</t>
  </si>
  <si>
    <t>skyrim.esm|01B001</t>
  </si>
  <si>
    <t>Glace et chitine</t>
  </si>
  <si>
    <t>skyrim.esm|01AD07</t>
  </si>
  <si>
    <t>Gloire et pleurs</t>
  </si>
  <si>
    <t>windhelmsse.esp|11AF31</t>
  </si>
  <si>
    <t>Goddess of Storm, Mother of Nords</t>
  </si>
  <si>
    <t>skyrim.esm|0ED04C</t>
  </si>
  <si>
    <t>Gouvernement de Bordeciel</t>
  </si>
  <si>
    <t>skyrim.esm|0ED047</t>
  </si>
  <si>
    <t>Grands hérauts</t>
  </si>
  <si>
    <t>dragonborn.esm|027A21</t>
  </si>
  <si>
    <t>Griffonnages d'un fou</t>
  </si>
  <si>
    <t>skyrim.esm|028ADC</t>
  </si>
  <si>
    <t>Grimoire de Malyn Varen</t>
  </si>
  <si>
    <t>skyrim.esm|01AFE0</t>
  </si>
  <si>
    <t>skyrim.esm|0ED63F</t>
  </si>
  <si>
    <t>Guetteur de pierres</t>
  </si>
  <si>
    <t>skyrim.esm|0EDA8F</t>
  </si>
  <si>
    <t>Guide de l'apprenti</t>
  </si>
  <si>
    <t>skyrim.esm|0F11B6</t>
  </si>
  <si>
    <t>Guide du bel intérieur de Blancherive</t>
  </si>
  <si>
    <t>skyrim.esm|0F11B7</t>
  </si>
  <si>
    <t>Guide du bel intérieur de Faillaise</t>
  </si>
  <si>
    <t>skyrim.esm|0F1445</t>
  </si>
  <si>
    <t>Guide du bel intérieur de Markarth</t>
  </si>
  <si>
    <t>skyrim.esm|0F1447</t>
  </si>
  <si>
    <t>Guide du bel intérieur de Solitude</t>
  </si>
  <si>
    <t>skyrim.esm|0F1446</t>
  </si>
  <si>
    <t>Guide du bel intérieur de Vendeaume</t>
  </si>
  <si>
    <t>windhelmsse.esp|26DBF3</t>
  </si>
  <si>
    <t>Hellte's Verse</t>
  </si>
  <si>
    <t>windhelmsse.esp|0FC24F</t>
  </si>
  <si>
    <t>Here's the key</t>
  </si>
  <si>
    <t>dragonborn.esm|03AF1B</t>
  </si>
  <si>
    <t>Histoire de Corberoc, vol. I</t>
  </si>
  <si>
    <t>dragonborn.esm|03AF1C</t>
  </si>
  <si>
    <t>Histoire de Corberoc, vol. II</t>
  </si>
  <si>
    <t>dragonborn.esm|03AF1D</t>
  </si>
  <si>
    <t>Histoire de Corberoc, vol. III</t>
  </si>
  <si>
    <t>dragonborn.esm|03B3A5</t>
  </si>
  <si>
    <t>Histoire de Thirsk, revue et corrigée</t>
  </si>
  <si>
    <t>skyrim.esm|0ED5F8</t>
  </si>
  <si>
    <t>Histoire des dragons</t>
  </si>
  <si>
    <t>skyrim.esm|01ACEA</t>
  </si>
  <si>
    <t>Histoire et culture dwemers</t>
  </si>
  <si>
    <t>windhelmsse.esp|26DC02</t>
  </si>
  <si>
    <t>Hjarrandi's Verse</t>
  </si>
  <si>
    <t>windhelmsse.esp|2CEC3A</t>
  </si>
  <si>
    <t>keizaal.esp|03DD49</t>
  </si>
  <si>
    <t>Honningbrew Mead Recipe</t>
  </si>
  <si>
    <t>windhelmsse.esp|202974</t>
  </si>
  <si>
    <t>Hverung's Manifesto</t>
  </si>
  <si>
    <t>windhelmsse.esp|2F28AB</t>
  </si>
  <si>
    <t>Hverung's Note</t>
  </si>
  <si>
    <t>skyrim.esm|01B00F</t>
  </si>
  <si>
    <t>Incident à Necrom</t>
  </si>
  <si>
    <t>skyrim.esm|0ED03A</t>
  </si>
  <si>
    <t>Indexation des Parchemins</t>
  </si>
  <si>
    <t>skyrim.esm|042396</t>
  </si>
  <si>
    <t>Invitation à la réception d'Elenwen</t>
  </si>
  <si>
    <t>skyrim.esm|01B245</t>
  </si>
  <si>
    <t>Invocation d'Azura</t>
  </si>
  <si>
    <t>skyrim.esm|077536</t>
  </si>
  <si>
    <t>Journal</t>
  </si>
  <si>
    <t>skyrim.esm|08E5DF</t>
  </si>
  <si>
    <t>skyrim.esm|0DC198</t>
  </si>
  <si>
    <t>skyrim.esm|0B6D60</t>
  </si>
  <si>
    <t>Journal abîmé</t>
  </si>
  <si>
    <t>skyrim.esm|0F0422</t>
  </si>
  <si>
    <t>skyrim.esm|0F0423</t>
  </si>
  <si>
    <t>skyrim.esm|0CEDA6</t>
  </si>
  <si>
    <t>Journal codé de Gallus</t>
  </si>
  <si>
    <t>skyrim.esm|083AE8</t>
  </si>
  <si>
    <t>Journal d'Agrius</t>
  </si>
  <si>
    <t>skyrim.esm|065C35</t>
  </si>
  <si>
    <t>Journal d'Aicantar</t>
  </si>
  <si>
    <t>skyrim.esm|02A96D</t>
  </si>
  <si>
    <t>Journal d'Alva</t>
  </si>
  <si>
    <t>skyrim.esm|080D63</t>
  </si>
  <si>
    <t>Journal d'Arondil, 1ère partie</t>
  </si>
  <si>
    <t>skyrim.esm|080D64</t>
  </si>
  <si>
    <t>Journal d'Arondil, 2e partie</t>
  </si>
  <si>
    <t>skyrim.esm|080D65</t>
  </si>
  <si>
    <t>Journal d'Arondil, 3e partie</t>
  </si>
  <si>
    <t>skyrim.esm|080D66</t>
  </si>
  <si>
    <t>Journal d'Arondil, 4e partie</t>
  </si>
  <si>
    <t>skyrim.esm|039654</t>
  </si>
  <si>
    <t>Journal d'Arvel</t>
  </si>
  <si>
    <t>skyrim.esm|0D0BF6</t>
  </si>
  <si>
    <t>Journal d'Eisa</t>
  </si>
  <si>
    <t>skyrim.esm|08ACD0</t>
  </si>
  <si>
    <t>Journal d'Endrast</t>
  </si>
  <si>
    <t>dragonborn.esm|03B53E</t>
  </si>
  <si>
    <t>Journal d'Eydis</t>
  </si>
  <si>
    <t>skyrim.esm|048160</t>
  </si>
  <si>
    <t>Journal d'Habd</t>
  </si>
  <si>
    <t>skyrim.esm|0E1647</t>
  </si>
  <si>
    <t>Journal d'Hajvarr</t>
  </si>
  <si>
    <t>skyrim.esm|10B2CD</t>
  </si>
  <si>
    <t>Journal d'Hamelyn</t>
  </si>
  <si>
    <t>skyrim.esm|0BABB4</t>
  </si>
  <si>
    <t>Journal d'Hargar</t>
  </si>
  <si>
    <t>dragonborn.esm|026AE7</t>
  </si>
  <si>
    <t>Journal d'Ildari</t>
  </si>
  <si>
    <t>dragonborn.esm|027E4D</t>
  </si>
  <si>
    <t>Journal d'Ildari, vol. I</t>
  </si>
  <si>
    <t>dragonborn.esm|027E4E</t>
  </si>
  <si>
    <t>Journal d'Ildari, vol. II</t>
  </si>
  <si>
    <t>dragonborn.esm|027E4F</t>
  </si>
  <si>
    <t>Journal d'Ildari, vol. III</t>
  </si>
  <si>
    <t>dragonborn.esm|032CD5</t>
  </si>
  <si>
    <t>Journal d'Ulyn</t>
  </si>
  <si>
    <t>skyrim.esm|0F0417</t>
  </si>
  <si>
    <t>Journal d'Umana</t>
  </si>
  <si>
    <t>dragonborn.esm|027A13</t>
  </si>
  <si>
    <t>Journal d'un fou</t>
  </si>
  <si>
    <t>skyrim.esm|019514</t>
  </si>
  <si>
    <t>Journal de Cicéron - Dernier volume</t>
  </si>
  <si>
    <t>skyrim.esm|09DABE</t>
  </si>
  <si>
    <t>Journal de Cicéron - Volume 1</t>
  </si>
  <si>
    <t>skyrim.esm|09DAC1</t>
  </si>
  <si>
    <t>Journal de Cicéron - Volume 2</t>
  </si>
  <si>
    <t>skyrim.esm|09DAC4</t>
  </si>
  <si>
    <t>Journal de Cicéron - Volume 3</t>
  </si>
  <si>
    <t>skyrim.esm|09DAC5</t>
  </si>
  <si>
    <t>Journal de Cicéron - Volume 4</t>
  </si>
  <si>
    <t>skyrim.esm|085FE2</t>
  </si>
  <si>
    <t>Journal de Daynas Valen</t>
  </si>
  <si>
    <t>skyrim.esm|026D85</t>
  </si>
  <si>
    <t>Journal de Drokt</t>
  </si>
  <si>
    <t>dawnguard.esm|01A3E7</t>
  </si>
  <si>
    <t>Journal de Faire Agarwen</t>
  </si>
  <si>
    <t>skyrim.esm|01BB6D</t>
  </si>
  <si>
    <t>Journal de Gallus</t>
  </si>
  <si>
    <t>dragonborn.esm|020A2F</t>
  </si>
  <si>
    <t>Journal de Gratian</t>
  </si>
  <si>
    <t>dragonborn.esm|028FAF</t>
  </si>
  <si>
    <t>Journal de Hrodulf</t>
  </si>
  <si>
    <t>skyrim.esm|0F03E5</t>
  </si>
  <si>
    <t>Journal de J'zhar</t>
  </si>
  <si>
    <t>skyrim.esm|0F6844</t>
  </si>
  <si>
    <t>Journal de Japhet</t>
  </si>
  <si>
    <t>skyrim.esm|03A06F</t>
  </si>
  <si>
    <t>Journal de Karan</t>
  </si>
  <si>
    <t>dawnguard.esm|0146DB</t>
  </si>
  <si>
    <t>Journal de Katria</t>
  </si>
  <si>
    <t>skyrim.esm|0F6841</t>
  </si>
  <si>
    <t>Journal de Kodlak</t>
  </si>
  <si>
    <t>dragonborn.esm|01BEF1</t>
  </si>
  <si>
    <t>Journal de Krag</t>
  </si>
  <si>
    <t>skyrim.esm|0C36EF</t>
  </si>
  <si>
    <t>skyrim.esm|0D0E4E</t>
  </si>
  <si>
    <t>Journal de Kyr</t>
  </si>
  <si>
    <t>skyrim.esm|03A523</t>
  </si>
  <si>
    <t>Journal de l'alchimiste</t>
  </si>
  <si>
    <t>skyrim.esm|0CE5BD</t>
  </si>
  <si>
    <t>skyrim.esm|0D95E3</t>
  </si>
  <si>
    <t>Journal de l'aventurier</t>
  </si>
  <si>
    <t>skyrim.esm|090213</t>
  </si>
  <si>
    <t>Journal de Lu-ah</t>
  </si>
  <si>
    <t>skyrim.esm|0E82BE</t>
  </si>
  <si>
    <t>Journal de Lymdrenn Tenvanni</t>
  </si>
  <si>
    <t>skyrim.esm|06BE25</t>
  </si>
  <si>
    <t>Journal de Maluril</t>
  </si>
  <si>
    <t>skyrim.esm|0D3E6B</t>
  </si>
  <si>
    <t>Journal de Margret</t>
  </si>
  <si>
    <t>dragonborn.esm|0280C2</t>
  </si>
  <si>
    <t>Journal de Merilar</t>
  </si>
  <si>
    <t>dawnguard.esm|01A3E6</t>
  </si>
  <si>
    <t>Journal de Mirtil Angoth</t>
  </si>
  <si>
    <t>skyrim.esm|0D672B</t>
  </si>
  <si>
    <t>Journal de Nepos</t>
  </si>
  <si>
    <t>skyrim.esm|0FF207</t>
  </si>
  <si>
    <t>Journal de Nystrom</t>
  </si>
  <si>
    <t>skyrim.esm|0D3973</t>
  </si>
  <si>
    <t>Journal de Ramati</t>
  </si>
  <si>
    <t>skyrim.esm|034CBC</t>
  </si>
  <si>
    <t>Journal de recherches</t>
  </si>
  <si>
    <t>skyrim.esm|0705C3</t>
  </si>
  <si>
    <t>Journal de Runil</t>
  </si>
  <si>
    <t>dragonborn.esm|02649C</t>
  </si>
  <si>
    <t>Journal de Saden</t>
  </si>
  <si>
    <t>dragonborn.esm|0280C1</t>
  </si>
  <si>
    <t>Journal de Servos</t>
  </si>
  <si>
    <t>skyrim.esm|0AD430</t>
  </si>
  <si>
    <t>Journal de Sild</t>
  </si>
  <si>
    <t>skyrim.esm|0E4D6F</t>
  </si>
  <si>
    <t>Journal de Sinderion</t>
  </si>
  <si>
    <t>skyrim.esm|07E5B8</t>
  </si>
  <si>
    <t>Journal de Skorm Marcheneige</t>
  </si>
  <si>
    <t>skyrim.esm|08E8FC</t>
  </si>
  <si>
    <t>Journal de Staubin</t>
  </si>
  <si>
    <t>skyrim.esm|093846</t>
  </si>
  <si>
    <t>Journal de Stromm</t>
  </si>
  <si>
    <t>skyrim.esm|0D0969</t>
  </si>
  <si>
    <t>Journal de Sudi</t>
  </si>
  <si>
    <t>skyrim.esm|08ACD2</t>
  </si>
  <si>
    <t>Journal de Sulla</t>
  </si>
  <si>
    <t>skyrim.esm|01DBFE</t>
  </si>
  <si>
    <t>Journal de Suvaris Atheron</t>
  </si>
  <si>
    <t>skyrim.esm|0D674A</t>
  </si>
  <si>
    <t>Journal de Thonar</t>
  </si>
  <si>
    <t>dawnguard.esm|003C4B</t>
  </si>
  <si>
    <t>Journal de Valerica</t>
  </si>
  <si>
    <t>dawnguard.esm|0149A2</t>
  </si>
  <si>
    <t>Journal de Venarus Vulpin</t>
  </si>
  <si>
    <t>dawnguard.esm|0135CB</t>
  </si>
  <si>
    <t>Journal de Volk</t>
  </si>
  <si>
    <t>skyrim.esm|0D9B6B</t>
  </si>
  <si>
    <t>Journal de Wyndelius</t>
  </si>
  <si>
    <t>skyrim.esm|083AFB</t>
  </si>
  <si>
    <t>Journal du bandit</t>
  </si>
  <si>
    <t>skyrim.esm|083B01</t>
  </si>
  <si>
    <t>skyrim.esm|024763</t>
  </si>
  <si>
    <t>Journal du boucher</t>
  </si>
  <si>
    <t>skyrim.esm|024737</t>
  </si>
  <si>
    <t>Journal du boucher 1</t>
  </si>
  <si>
    <t>skyrim.esm|066182</t>
  </si>
  <si>
    <t>Journal du boucher 2</t>
  </si>
  <si>
    <t>skyrim.esm|0993FC</t>
  </si>
  <si>
    <t>Journal du chasseur</t>
  </si>
  <si>
    <t>skyrim.esm|0F54D4</t>
  </si>
  <si>
    <t>skyrim.esm|078DD2</t>
  </si>
  <si>
    <t>Journal du chef des bandits</t>
  </si>
  <si>
    <t>skyrim.esm|0DC3AF</t>
  </si>
  <si>
    <t>Journal du contrebandier</t>
  </si>
  <si>
    <t>skyrim.esm|0951AE</t>
  </si>
  <si>
    <t>Journal du cuisinier</t>
  </si>
  <si>
    <t>skyrim.esm|0DD125</t>
  </si>
  <si>
    <t>Journal du marchand</t>
  </si>
  <si>
    <t>skyrim.esm|055549</t>
  </si>
  <si>
    <t>Journal du mineur</t>
  </si>
  <si>
    <t>skyrim.esm|07F667</t>
  </si>
  <si>
    <t>Journal du pêcheur</t>
  </si>
  <si>
    <t>skyrim.esm|088FE2</t>
  </si>
  <si>
    <t>windhelmsse.esp|12A412</t>
  </si>
  <si>
    <t>Journn Skald-King</t>
  </si>
  <si>
    <t>windhelmsse.esp|29178D</t>
  </si>
  <si>
    <t>Justiciar's Notes</t>
  </si>
  <si>
    <t>keizaal.esp|E6D873</t>
  </si>
  <si>
    <t>Kha'Jay Recipe</t>
  </si>
  <si>
    <t>skyrim.esm|0EF53E</t>
  </si>
  <si>
    <t>Kolb et le dragon</t>
  </si>
  <si>
    <t>kzlonlinemods.esp|00FBE0</t>
  </si>
  <si>
    <t>KzlCollegeRecipeBook</t>
  </si>
  <si>
    <t>kzlonlinemods.esp|00593E</t>
  </si>
  <si>
    <t>KzlCompanionsRecipeBook</t>
  </si>
  <si>
    <t>kzlonlinemods.esp|005947</t>
  </si>
  <si>
    <t>KzlCultistRecipeBook</t>
  </si>
  <si>
    <t>kzlonlinemods.esp|005944</t>
  </si>
  <si>
    <t>KzlDarkBrotherRecipeBook</t>
  </si>
  <si>
    <t>kzlonlinemods.esp|00593B</t>
  </si>
  <si>
    <t>KzlDawnguardRecipeBook</t>
  </si>
  <si>
    <t>kzlonlinemods.esp|005941</t>
  </si>
  <si>
    <t>KzlEmpireRecipeBook</t>
  </si>
  <si>
    <t>kzlonlinemods.esp|005946</t>
  </si>
  <si>
    <t>KzlMorrowindRecipeBook</t>
  </si>
  <si>
    <t>kzlonlinemods.esp|005948</t>
  </si>
  <si>
    <t>KzlPenitusRecipeBook</t>
  </si>
  <si>
    <t>kzlonlinemods.esp|005945</t>
  </si>
  <si>
    <t>KzlPriestsRecipeBook</t>
  </si>
  <si>
    <t>kzlonlinemods.esp|00593D</t>
  </si>
  <si>
    <t>KzlSilverhandRecipeBook</t>
  </si>
  <si>
    <t>kzlonlinemods.esp|014D1C</t>
  </si>
  <si>
    <t>KzlSilverSwords</t>
  </si>
  <si>
    <t>kzlonlinemods.esp|005940</t>
  </si>
  <si>
    <t>KzlStormcloaksRecipeBook</t>
  </si>
  <si>
    <t>kzlonlinemods.esp|005942</t>
  </si>
  <si>
    <t>KzlThalmorRecipeBook</t>
  </si>
  <si>
    <t>kzlonlinemods.esp|005943</t>
  </si>
  <si>
    <t>KzlThievesRecipeBook</t>
  </si>
  <si>
    <t>kzlonlinemods.esp|00593F</t>
  </si>
  <si>
    <t>KzlVampiresRecipeBook</t>
  </si>
  <si>
    <t>kzlonlinemods.esp|00593C</t>
  </si>
  <si>
    <t>KzlVigilantRecipeBook</t>
  </si>
  <si>
    <t>skyrim.esm|01AF94</t>
  </si>
  <si>
    <t>L'Adabal-a</t>
  </si>
  <si>
    <t>dragonborn.esm|01F31B</t>
  </si>
  <si>
    <t>L'affaire des Ulen</t>
  </si>
  <si>
    <t>skyrim.esm|01ACE1</t>
  </si>
  <si>
    <t>L'amulette des rois</t>
  </si>
  <si>
    <t>dragonborn.esm|03B063</t>
  </si>
  <si>
    <t>L'Année écarlate, vol. I</t>
  </si>
  <si>
    <t>dragonborn.esm|03B064</t>
  </si>
  <si>
    <t>L'Année écarlate, vol. II</t>
  </si>
  <si>
    <t>skyrim.esm|01AD12</t>
  </si>
  <si>
    <t>L'annonce de la chasse</t>
  </si>
  <si>
    <t>skyrim.esm|01ACDF</t>
  </si>
  <si>
    <t>L'Anuade commenté</t>
  </si>
  <si>
    <t>skyrim.esm|01B000</t>
  </si>
  <si>
    <t>L'arrière-garde</t>
  </si>
  <si>
    <t>skyrim.esm|01AFEF</t>
  </si>
  <si>
    <t>L'art de la magie de guerre</t>
  </si>
  <si>
    <t>skyrim.esm|01B014</t>
  </si>
  <si>
    <t>L'envers de l'endroit</t>
  </si>
  <si>
    <t>skyrim.esm|032E72</t>
  </si>
  <si>
    <t>L'épreuve de Boéthia</t>
  </si>
  <si>
    <t>skyrim.esm|01B26A</t>
  </si>
  <si>
    <t>L'espoir des Redoran</t>
  </si>
  <si>
    <t>skyrim.esm|01B016</t>
  </si>
  <si>
    <t>L'exode</t>
  </si>
  <si>
    <t>skyrim.esm|01B25E</t>
  </si>
  <si>
    <t>L'Hérésie arcturienne</t>
  </si>
  <si>
    <t>skyrim.esm|0F03E3</t>
  </si>
  <si>
    <t>L'histoire de Dro'Zira</t>
  </si>
  <si>
    <t>update.esm|0030D2</t>
  </si>
  <si>
    <t>L'Histoire de Tamriel révisée</t>
  </si>
  <si>
    <t>dragonborn.esm|02826D</t>
  </si>
  <si>
    <t>L'homme à la hache</t>
  </si>
  <si>
    <t>skyrim.esm|01AFEC</t>
  </si>
  <si>
    <t>L'horreur du Château de Xyr</t>
  </si>
  <si>
    <t>skyrim.esm|01AFE3</t>
  </si>
  <si>
    <t>L'importance de l'endroit</t>
  </si>
  <si>
    <t>skyrim.esm|07EB9E</t>
  </si>
  <si>
    <t>L'Ours de Markarth</t>
  </si>
  <si>
    <t>skyrim.esm|01AFDC</t>
  </si>
  <si>
    <t>La bataille de Sancre Tor</t>
  </si>
  <si>
    <t>skyrim.esm|02F83C</t>
  </si>
  <si>
    <t>La bataille du Mont écarlate</t>
  </si>
  <si>
    <t>skyrim.esm|0EF638</t>
  </si>
  <si>
    <t>La cabane dans les bois</t>
  </si>
  <si>
    <t>skyrim.esm|01AFCA</t>
  </si>
  <si>
    <t>La Cassure du dragon</t>
  </si>
  <si>
    <t>skyrim.esm|053347</t>
  </si>
  <si>
    <t>La chaleur de Mara</t>
  </si>
  <si>
    <t>skyrim.esm|01B019</t>
  </si>
  <si>
    <t>La chambre close</t>
  </si>
  <si>
    <t>skyrim.esm|01AFC6</t>
  </si>
  <si>
    <t>La chanson de l'alchimiste</t>
  </si>
  <si>
    <t>skyrim.esm|01AFEB</t>
  </si>
  <si>
    <t>La charge du guerrier</t>
  </si>
  <si>
    <t>skyrim.esm|037DEA</t>
  </si>
  <si>
    <t>La crise d'Oblivion</t>
  </si>
  <si>
    <t>skyrim.esm|01AFC0</t>
  </si>
  <si>
    <t>La danse du feu, vol. 1</t>
  </si>
  <si>
    <t>skyrim.esm|01AFDF</t>
  </si>
  <si>
    <t>La danse du feu, vol. 2</t>
  </si>
  <si>
    <t>skyrim.esm|01AFD4</t>
  </si>
  <si>
    <t>La danse du feu, vol. 3</t>
  </si>
  <si>
    <t>skyrim.esm|01AFC1</t>
  </si>
  <si>
    <t>La danse du feu, vol. 4</t>
  </si>
  <si>
    <t>skyrim.esm|01B006</t>
  </si>
  <si>
    <t>La danse du feu, vol. 5</t>
  </si>
  <si>
    <t>skyrim.esm|01B00D</t>
  </si>
  <si>
    <t>La danse du feu, vol. 6</t>
  </si>
  <si>
    <t>skyrim.esm|01B00E</t>
  </si>
  <si>
    <t>La danse du feu, vol. 7</t>
  </si>
  <si>
    <t>skyrim.esm|01B002</t>
  </si>
  <si>
    <t>La dernière danse de Jornibret</t>
  </si>
  <si>
    <t>skyrim.esm|01B267</t>
  </si>
  <si>
    <t>La dernière leçon</t>
  </si>
  <si>
    <t>skyrim.esm|072B13</t>
  </si>
  <si>
    <t>La dette de Vald</t>
  </si>
  <si>
    <t>skyrim.esm|01ACF2</t>
  </si>
  <si>
    <t>La dot</t>
  </si>
  <si>
    <t>skyrim.esm|01B273</t>
  </si>
  <si>
    <t>La dot du spectre</t>
  </si>
  <si>
    <t>skyrim.esm|01ACEF</t>
  </si>
  <si>
    <t>La femme de chambre argonienne , vol. I</t>
  </si>
  <si>
    <t>skyrim.esm|0F699D</t>
  </si>
  <si>
    <t>La femme de chambre argonienne, vol. 2</t>
  </si>
  <si>
    <t>skyrim.esm|0ED601</t>
  </si>
  <si>
    <t>La femme du bûcheron</t>
  </si>
  <si>
    <t>skyrim.esm|01AFC2</t>
  </si>
  <si>
    <t>La flèche noire, vol. 1</t>
  </si>
  <si>
    <t>skyrim.esm|01B009</t>
  </si>
  <si>
    <t>La flèche noire, vol. 2</t>
  </si>
  <si>
    <t>skyrim.esm|01B237</t>
  </si>
  <si>
    <t>La folie de Chance</t>
  </si>
  <si>
    <t>skyrim.esm|01ACF0</t>
  </si>
  <si>
    <t>La folie de Pélagius</t>
  </si>
  <si>
    <t>skyrim.esm|01B233</t>
  </si>
  <si>
    <t>La gloire de Boéthia</t>
  </si>
  <si>
    <t>skyrim.esm|01ACFA</t>
  </si>
  <si>
    <t>La graine</t>
  </si>
  <si>
    <t>skyrim.esm|0F456D</t>
  </si>
  <si>
    <t>La Grande guerre</t>
  </si>
  <si>
    <t>skyrim.esm|0EDDD5</t>
  </si>
  <si>
    <t>La Guerre draconique</t>
  </si>
  <si>
    <t>skyrim.esm|01B272</t>
  </si>
  <si>
    <t>La guerre du Premier Conseil</t>
  </si>
  <si>
    <t>skyrim.esm|01B26D</t>
  </si>
  <si>
    <t>La leçon de tir</t>
  </si>
  <si>
    <t>skyrim.esm|0C1771</t>
  </si>
  <si>
    <t>La légende de l'Aigle carmin</t>
  </si>
  <si>
    <t>skyrim.esm|01B021</t>
  </si>
  <si>
    <t>La légende de la maison Krately</t>
  </si>
  <si>
    <t>skyrim.esm|083B3B</t>
  </si>
  <si>
    <t>La Lucereine</t>
  </si>
  <si>
    <t>skyrim.esm|01ACF1</t>
  </si>
  <si>
    <t>La magie venue du ciel</t>
  </si>
  <si>
    <t>dragonborn.esm|028268</t>
  </si>
  <si>
    <t>La Maison des Troubles</t>
  </si>
  <si>
    <t>skyrim.esm|09DE3D</t>
  </si>
  <si>
    <t>La Marche onirique</t>
  </si>
  <si>
    <t>skyrim.esm|0F4530</t>
  </si>
  <si>
    <t>La naissance et le déclin des Lames</t>
  </si>
  <si>
    <t>skyrim.esm|04D249</t>
  </si>
  <si>
    <t>La Nuit des larmes</t>
  </si>
  <si>
    <t>skyrim.esm|01AD04</t>
  </si>
  <si>
    <t>La purification du temple</t>
  </si>
  <si>
    <t>skyrim.esm|01AFD3</t>
  </si>
  <si>
    <t>La rançon de Zarek</t>
  </si>
  <si>
    <t>skyrim.esm|01B01A</t>
  </si>
  <si>
    <t>La Reine-louve, vol. 1</t>
  </si>
  <si>
    <t>skyrim.esm|01AFF2</t>
  </si>
  <si>
    <t>La Reine-louve, vol. 2</t>
  </si>
  <si>
    <t>skyrim.esm|01AFFB</t>
  </si>
  <si>
    <t>La Reine-louve, vol. 3</t>
  </si>
  <si>
    <t>skyrim.esm|01B00B</t>
  </si>
  <si>
    <t>La Reine-louve, vol. 4</t>
  </si>
  <si>
    <t>skyrim.esm|01B024</t>
  </si>
  <si>
    <t>La Reine-louve, vol. 5</t>
  </si>
  <si>
    <t>skyrim.esm|01B01E</t>
  </si>
  <si>
    <t>La Reine-louve, vol. 6</t>
  </si>
  <si>
    <t>skyrim.esm|01B026</t>
  </si>
  <si>
    <t>La Reine-louve, vol. 7</t>
  </si>
  <si>
    <t>skyrim.esm|01ACFD</t>
  </si>
  <si>
    <t>La Reine-louve, vol. 8</t>
  </si>
  <si>
    <t>skyrim.esm|01ACD3</t>
  </si>
  <si>
    <t>La révolte de Primeterre</t>
  </si>
  <si>
    <t>skyrim.esm|01ACFB</t>
  </si>
  <si>
    <t>La troisième porte</t>
  </si>
  <si>
    <t>skyrim.esm|01AD16</t>
  </si>
  <si>
    <t>La véritable nature des Orques</t>
  </si>
  <si>
    <t>skyrim.esm|0E0D67</t>
  </si>
  <si>
    <t>La vérité de la Mère de la nuit</t>
  </si>
  <si>
    <t>skyrim.esm|01ACDC</t>
  </si>
  <si>
    <t>La vie d'Uriel Septim VII</t>
  </si>
  <si>
    <t>dragonborn.esm|028269</t>
  </si>
  <si>
    <t>La vie des saints</t>
  </si>
  <si>
    <t>skyrim.esm|07EBC2</t>
  </si>
  <si>
    <t>La ville de pierre</t>
  </si>
  <si>
    <t>skyrim.esm|01ACD2</t>
  </si>
  <si>
    <t>La voûte céleste</t>
  </si>
  <si>
    <t>skyrim.esm|0F692A</t>
  </si>
  <si>
    <t>Laissez-moi une chance</t>
  </si>
  <si>
    <t>skyrim.esm|03BEB6</t>
  </si>
  <si>
    <t>Laissez-passer du Gourmet</t>
  </si>
  <si>
    <t>skyrim.esm|0EF2C0</t>
  </si>
  <si>
    <t>Langue draconique : une réalité</t>
  </si>
  <si>
    <t>dragonborn.esm|03661A</t>
  </si>
  <si>
    <t>Le Balafré</t>
  </si>
  <si>
    <t>dawnguard.esm|006925</t>
  </si>
  <si>
    <t>Le barde argonien frivole, vol. I</t>
  </si>
  <si>
    <t>skyrim.esm|01AF8A</t>
  </si>
  <si>
    <t>Le chant de Pelinal, vol. 1</t>
  </si>
  <si>
    <t>skyrim.esm|01AF8B</t>
  </si>
  <si>
    <t>Le chant de Pelinal, vol. 2</t>
  </si>
  <si>
    <t>skyrim.esm|01AF8C</t>
  </si>
  <si>
    <t>Le chant de Pelinal, vol. 3</t>
  </si>
  <si>
    <t>skyrim.esm|01AF8D</t>
  </si>
  <si>
    <t>Le chant de Pelinal, vol. 4</t>
  </si>
  <si>
    <t>skyrim.esm|01AF8E</t>
  </si>
  <si>
    <t>Le chant de Pelinal, vol. 5</t>
  </si>
  <si>
    <t>skyrim.esm|01AF8F</t>
  </si>
  <si>
    <t>Le chant de Pelinal, vol. 6</t>
  </si>
  <si>
    <t>skyrim.esm|01AF90</t>
  </si>
  <si>
    <t>Le chant de Pelinal, vol. 7</t>
  </si>
  <si>
    <t>skyrim.esm|01AF91</t>
  </si>
  <si>
    <t>Le chant de Pelinal, vol. 8</t>
  </si>
  <si>
    <t>dragonborn.esm|02826E</t>
  </si>
  <si>
    <t>Le chant du poison, Livre I</t>
  </si>
  <si>
    <t>dragonborn.esm|02826F</t>
  </si>
  <si>
    <t>Le chant du poison, Livre II</t>
  </si>
  <si>
    <t>dragonborn.esm|028270</t>
  </si>
  <si>
    <t>Le chant du poison, Livre III</t>
  </si>
  <si>
    <t>dragonborn.esm|028271</t>
  </si>
  <si>
    <t>Le chant du poison, Livre IV</t>
  </si>
  <si>
    <t>dragonborn.esm|028272</t>
  </si>
  <si>
    <t>Le chant du poison, Livre V</t>
  </si>
  <si>
    <t>dragonborn.esm|028273</t>
  </si>
  <si>
    <t>Le chant du poison, Livre VI</t>
  </si>
  <si>
    <t>dragonborn.esm|028274</t>
  </si>
  <si>
    <t>Le chant du poison, Livre VII</t>
  </si>
  <si>
    <t>dragonborn.esm|028275</t>
  </si>
  <si>
    <t>Le code de la noblesse</t>
  </si>
  <si>
    <t>skyrim.esm|07EBC9</t>
  </si>
  <si>
    <t>Le Code de Malacath</t>
  </si>
  <si>
    <t>skyrim.esm|01AFD1</t>
  </si>
  <si>
    <t>Le Coeur de Cherim</t>
  </si>
  <si>
    <t>skyrim.esm|01AFDD</t>
  </si>
  <si>
    <t>Le coup de grâce d'Abernanit</t>
  </si>
  <si>
    <t>dragonborn.esm|033BD8</t>
  </si>
  <si>
    <t>Le déclin d'Ahzidal</t>
  </si>
  <si>
    <t>skyrim.esm|01AFCE</t>
  </si>
  <si>
    <t>Le défi de l'armurier</t>
  </si>
  <si>
    <t>skyrim.esm|01AFCF</t>
  </si>
  <si>
    <t>Le dernier fourreau d'Akrash</t>
  </si>
  <si>
    <t>skyrim.esm|01AD09</t>
  </si>
  <si>
    <t>Le dernier roi des Ayleids</t>
  </si>
  <si>
    <t>skyrim.esm|072840</t>
  </si>
  <si>
    <t>dragonborn.esm|02826A</t>
  </si>
  <si>
    <t>Le Feu et la Foi de Nchunak</t>
  </si>
  <si>
    <t>skyrim.esm|0ED03B</t>
  </si>
  <si>
    <t>Le fléau du Quartier gris</t>
  </si>
  <si>
    <t>skyrim.esm|01AD0A</t>
  </si>
  <si>
    <t>Le fléau légendaire</t>
  </si>
  <si>
    <t>dragonborn.esm|03ABCD</t>
  </si>
  <si>
    <t>Le Gardien et le Traître</t>
  </si>
  <si>
    <t>skyrim.esm|01B262</t>
  </si>
  <si>
    <t>Le gâteau et le diamant</t>
  </si>
  <si>
    <t>skyrim.esm|0EDA8E</t>
  </si>
  <si>
    <t>Le Grand Ravage</t>
  </si>
  <si>
    <t>skyrim.esm|02F836</t>
  </si>
  <si>
    <t>Le guide du voleur</t>
  </si>
  <si>
    <t>skyrim.esm|01B00A</t>
  </si>
  <si>
    <t>Le jeu de la vente</t>
  </si>
  <si>
    <t>dragonborn.esm|018108</t>
  </si>
  <si>
    <t>Le journal de Ralis Sedarys - Vol. 19</t>
  </si>
  <si>
    <t>dragonborn.esm|01810F</t>
  </si>
  <si>
    <t>Le journal de Ralis Sedarys - Vol. 20</t>
  </si>
  <si>
    <t>dragonborn.esm|018110</t>
  </si>
  <si>
    <t>Le journal de Ralis Sedarys - Vol. 21</t>
  </si>
  <si>
    <t>dragonborn.esm|018111</t>
  </si>
  <si>
    <t>Le journal de Ralis Sedarys - Vol. 22</t>
  </si>
  <si>
    <t>dragonborn.esm|0181CB</t>
  </si>
  <si>
    <t>Le journal de Ralis Sedarys - Vol. 23</t>
  </si>
  <si>
    <t>skyrim.esm|01AFD5</t>
  </si>
  <si>
    <t>Le lecteur de la cuisine rouge</t>
  </si>
  <si>
    <t>skyrim.esm|0F86FE</t>
  </si>
  <si>
    <t>Le livre de l'Enfant de dragon</t>
  </si>
  <si>
    <t>skyrim.esm|01ACC8</t>
  </si>
  <si>
    <t>Le livre des Daedras</t>
  </si>
  <si>
    <t>skyrim.esm|01B274</t>
  </si>
  <si>
    <t>Le livre jaune des devinettes</t>
  </si>
  <si>
    <t>skyrim.esm|01AD13</t>
  </si>
  <si>
    <t>Le livre rouge des devinettes</t>
  </si>
  <si>
    <t>skyrim.esm|01AFCD</t>
  </si>
  <si>
    <t>Le Lorkhan lunaire</t>
  </si>
  <si>
    <t>skyrim.esm|01AFDE</t>
  </si>
  <si>
    <t>Le miroir</t>
  </si>
  <si>
    <t>skyrim.esm|01B26E</t>
  </si>
  <si>
    <t>Le Monomythe</t>
  </si>
  <si>
    <t>skyrim.esm|01AFC3</t>
  </si>
  <si>
    <t>Le mystère de Talara, vol. 1</t>
  </si>
  <si>
    <t>skyrim.esm|01B018</t>
  </si>
  <si>
    <t>Le mystère de Talara, vol. 2</t>
  </si>
  <si>
    <t>skyrim.esm|01AFF0</t>
  </si>
  <si>
    <t>Le mystère de Talara, vol. 3</t>
  </si>
  <si>
    <t>skyrim.esm|01B013</t>
  </si>
  <si>
    <t>Le mystère de Talara, vol. 4</t>
  </si>
  <si>
    <t>skyrim.esm|01ACF5</t>
  </si>
  <si>
    <t>Le mystère de Talara, vol. 5</t>
  </si>
  <si>
    <t>skyrim.esm|01ACC7</t>
  </si>
  <si>
    <t>Le prince des mendiants</t>
  </si>
  <si>
    <t>skyrim.esm|01B011</t>
  </si>
  <si>
    <t>Le procès des arts noirs</t>
  </si>
  <si>
    <t>skyrim.esm|01AFD7</t>
  </si>
  <si>
    <t>Le récit argonien, livre 1</t>
  </si>
  <si>
    <t>skyrim.esm|01ACE7</t>
  </si>
  <si>
    <t>Le récit argonien, livre 2</t>
  </si>
  <si>
    <t>skyrim.esm|01AFFC</t>
  </si>
  <si>
    <t>Le récit argonien, livre 3</t>
  </si>
  <si>
    <t>skyrim.esm|01ACE8</t>
  </si>
  <si>
    <t>Le récit argonien, livre 4</t>
  </si>
  <si>
    <t>skyrim.esm|01AFF6</t>
  </si>
  <si>
    <t>Le récit d'Hallgerd</t>
  </si>
  <si>
    <t>skyrim.esm|0E7EF0</t>
  </si>
  <si>
    <t>Le roi de l'Abécéen</t>
  </si>
  <si>
    <t>skyrim.esm|01B005</t>
  </si>
  <si>
    <t>Le ruban d'or du mérite</t>
  </si>
  <si>
    <t>skyrim.esm|0ED04E</t>
  </si>
  <si>
    <t>Le Thalmor aux trousses</t>
  </si>
  <si>
    <t>skyrim.esm|01ACDD</t>
  </si>
  <si>
    <t>Le voleur de vertu</t>
  </si>
  <si>
    <t>skyrim.esm|01AFE2</t>
  </si>
  <si>
    <t>Légendaire Sancre Tor</t>
  </si>
  <si>
    <t>skyrim.esm|0ED042</t>
  </si>
  <si>
    <t>Légendes lycanthropes de Bordeciel</t>
  </si>
  <si>
    <t>skyrim.esm|0ED608</t>
  </si>
  <si>
    <t>Légendes perdues</t>
  </si>
  <si>
    <t>skyrim.esm|07EB03</t>
  </si>
  <si>
    <t>Les "Fous" de la Crevasse</t>
  </si>
  <si>
    <t>dragonborn.esm|02826C</t>
  </si>
  <si>
    <t>Les Anticipations</t>
  </si>
  <si>
    <t>dragonborn.esm|03B052</t>
  </si>
  <si>
    <t>Les Cathartes</t>
  </si>
  <si>
    <t>skyrim.esm|0ED030</t>
  </si>
  <si>
    <t>Les châtelleries de Bordeciel</t>
  </si>
  <si>
    <t>skyrim.esm|01AFFA</t>
  </si>
  <si>
    <t>Les chevaliers des Neuf</t>
  </si>
  <si>
    <t>skyrim.esm|01B23C</t>
  </si>
  <si>
    <t>Les chroniques de Nchuleft</t>
  </si>
  <si>
    <t>skyrim.esm|01AD05</t>
  </si>
  <si>
    <t>Les cinq chants du roi Wulfharth</t>
  </si>
  <si>
    <t>dragonborn.esm|028276</t>
  </si>
  <si>
    <t>Les diverses religions de l'Empire</t>
  </si>
  <si>
    <t>skyrim.esm|01B22D</t>
  </si>
  <si>
    <t>Les Dunmers et leurs ancêtres</t>
  </si>
  <si>
    <t>skyrim.esm|01AD17</t>
  </si>
  <si>
    <t>Les eaux d'Oblivion</t>
  </si>
  <si>
    <t>skyrim.esm|01AD03</t>
  </si>
  <si>
    <t>Les enfants du ciel</t>
  </si>
  <si>
    <t>dragonborn.esm|03ABCC</t>
  </si>
  <si>
    <t>Les enfants du Créateur</t>
  </si>
  <si>
    <t>skyrim.esm|01ACE2</t>
  </si>
  <si>
    <t>Les épreuves de Sainte Alessia</t>
  </si>
  <si>
    <t>dragonborn.esm|028263</t>
  </si>
  <si>
    <t>Les Êtres changés</t>
  </si>
  <si>
    <t>skyrim.esm|0973AC</t>
  </si>
  <si>
    <t>Les gardiens de la Dague</t>
  </si>
  <si>
    <t>dawnguard.esm|004D5B</t>
  </si>
  <si>
    <t>Les guerres de l'aethérium</t>
  </si>
  <si>
    <t>skyrim.esm|01AD08</t>
  </si>
  <si>
    <t>Les jardins suspendus</t>
  </si>
  <si>
    <t>skyrim.esm|0ED03C</t>
  </si>
  <si>
    <t>Les lettres de Vendeaume</t>
  </si>
  <si>
    <t>dragonborn.esm|028277</t>
  </si>
  <si>
    <t>Les Murmures du Vent</t>
  </si>
  <si>
    <t>skyrim.esm|01ACC9</t>
  </si>
  <si>
    <t>Les plus sombres ténèbres</t>
  </si>
  <si>
    <t>skyrim.esm|01AFE7</t>
  </si>
  <si>
    <t>Les portes d'Oblivion</t>
  </si>
  <si>
    <t>dragonborn.esm|028265</t>
  </si>
  <si>
    <t>Les portes des esprits</t>
  </si>
  <si>
    <t>skyrim.esm|068B5A</t>
  </si>
  <si>
    <t>Les quatre totems de Volskygge</t>
  </si>
  <si>
    <t>skyrim.esm|0C1E77</t>
  </si>
  <si>
    <t>Les réflexions de Shalidor</t>
  </si>
  <si>
    <t>skyrim.esm|0C1E78</t>
  </si>
  <si>
    <t>skyrim.esm|0C1E79</t>
  </si>
  <si>
    <t>skyrim.esm|0C1E7A</t>
  </si>
  <si>
    <t>skyrim.esm|0F6275</t>
  </si>
  <si>
    <t>skyrim.esm|0F6276</t>
  </si>
  <si>
    <t>skyrim.esm|0F6277</t>
  </si>
  <si>
    <t>skyrim.esm|0F6278</t>
  </si>
  <si>
    <t>skyrim.esm|01B003</t>
  </si>
  <si>
    <t>Les réfugiés</t>
  </si>
  <si>
    <t>skyrim.esm|0ED039</t>
  </si>
  <si>
    <t>Les Rossignols : mythe ou réalité ?</t>
  </si>
  <si>
    <t>skyrim.esm|0F68AC</t>
  </si>
  <si>
    <t>Les Rossignols, vol. 1</t>
  </si>
  <si>
    <t>skyrim.esm|0F68AD</t>
  </si>
  <si>
    <t>Les Rossignols, vol. 2</t>
  </si>
  <si>
    <t>skyrim.esm|0DB0C7</t>
  </si>
  <si>
    <t>Les secrets de Ragnvald</t>
  </si>
  <si>
    <t>skyrim.esm|01AFB3</t>
  </si>
  <si>
    <t>Les seize accords de la folie, vol. IX</t>
  </si>
  <si>
    <t>skyrim.esm|01AFB2</t>
  </si>
  <si>
    <t>Les seize accords de la folie, vol. VI</t>
  </si>
  <si>
    <t>skyrim.esm|01AFB1</t>
  </si>
  <si>
    <t>Les seize accords de la folie, vol. XII</t>
  </si>
  <si>
    <t>skyrim.esm|0F683F</t>
  </si>
  <si>
    <t>Les Totems d'Hircine</t>
  </si>
  <si>
    <t>skyrim.esm|0F6840</t>
  </si>
  <si>
    <t>dawnguard.esm|01A3E5</t>
  </si>
  <si>
    <t>Les Trahis</t>
  </si>
  <si>
    <t>skyrim.esm|01ACFC</t>
  </si>
  <si>
    <t>Les variétés de Daedras</t>
  </si>
  <si>
    <t>skyrim.esm|01AD0F</t>
  </si>
  <si>
    <t>Les vieilles traditions</t>
  </si>
  <si>
    <t>aaagranitehill.esp|1C6475</t>
  </si>
  <si>
    <t>Letter from Granite Hill</t>
  </si>
  <si>
    <t>aaagranitehill.esp|030A78</t>
  </si>
  <si>
    <t>Letter from Jarl Siddgeir</t>
  </si>
  <si>
    <t>windhelmsse.esp|101501</t>
  </si>
  <si>
    <t>Letter of Assurance</t>
  </si>
  <si>
    <t>dragonborn.esm|02B23B</t>
  </si>
  <si>
    <t>Lettre</t>
  </si>
  <si>
    <t>skyrim.esm|08ACCD</t>
  </si>
  <si>
    <t>skyrim.esm|0E7F3C</t>
  </si>
  <si>
    <t>Lettre à Beem-Ja</t>
  </si>
  <si>
    <t>skyrim.esm|019FEA</t>
  </si>
  <si>
    <t>Lettre à Golldir</t>
  </si>
  <si>
    <t>dragonborn.esm|026AE8</t>
  </si>
  <si>
    <t>Lettre à la Cité impériale</t>
  </si>
  <si>
    <t>skyrim.esm|0E7F3B</t>
  </si>
  <si>
    <t>Lettre à Salma</t>
  </si>
  <si>
    <t>dragonborn.esm|030C9A</t>
  </si>
  <si>
    <t>Lettre à Selina I</t>
  </si>
  <si>
    <t>dragonborn.esm|030C9B</t>
  </si>
  <si>
    <t>Lettre à Selina II</t>
  </si>
  <si>
    <t>dragonborn.esm|030C9C</t>
  </si>
  <si>
    <t>Lettre à Selina III</t>
  </si>
  <si>
    <t>dragonborn.esm|030C9D</t>
  </si>
  <si>
    <t>Lettre à Selina IV</t>
  </si>
  <si>
    <t>dragonborn.esm|03537C</t>
  </si>
  <si>
    <t>Lettre à Usha</t>
  </si>
  <si>
    <t>skyrim.esm|019FEB</t>
  </si>
  <si>
    <t>Lettre à Vals Veran</t>
  </si>
  <si>
    <t>skyrim.esm|0504EE</t>
  </si>
  <si>
    <t>Lettre anonyme</t>
  </si>
  <si>
    <t>skyrim.esm|0504EF</t>
  </si>
  <si>
    <t>skyrim.esm|05BF2E</t>
  </si>
  <si>
    <t>Lettre cachetée d'Amaund Motierre</t>
  </si>
  <si>
    <t>dawnguard.esm|0050CA</t>
  </si>
  <si>
    <t>Lettre compromettante</t>
  </si>
  <si>
    <t>skyrim.esm|050502</t>
  </si>
  <si>
    <t>skyrim.esm|0749B5</t>
  </si>
  <si>
    <t>skyrim.esm|0E0BA1</t>
  </si>
  <si>
    <t>skyrim.esm|0D9399</t>
  </si>
  <si>
    <t>Lettre confidentielle</t>
  </si>
  <si>
    <t>dragonborn.esm|02B23A</t>
  </si>
  <si>
    <t>Lettre couverte de sang</t>
  </si>
  <si>
    <t>skyrim.esm|0DDFB6</t>
  </si>
  <si>
    <t>Lettre d'Anise</t>
  </si>
  <si>
    <t>dawnguard.esm|0126C5</t>
  </si>
  <si>
    <t>Lettre d'Harkon</t>
  </si>
  <si>
    <t>skyrim.esm|01BFF5</t>
  </si>
  <si>
    <t>Lettre d'héritage</t>
  </si>
  <si>
    <t>skyrim.esm|0E7F39</t>
  </si>
  <si>
    <t>Lettre d'Infecté non envoyée</t>
  </si>
  <si>
    <t>skyrim.esm|064EB2</t>
  </si>
  <si>
    <t>Lettre d'Isabelle</t>
  </si>
  <si>
    <t>skyrim.esm|027F73</t>
  </si>
  <si>
    <t>Lettre d'Olfina</t>
  </si>
  <si>
    <t>skyrim.esm|023EE5</t>
  </si>
  <si>
    <t>Lettre d'un ami</t>
  </si>
  <si>
    <t>skyrim.esm|071442</t>
  </si>
  <si>
    <t>Lettre de &lt;Alias=Enemy&gt;</t>
  </si>
  <si>
    <t>skyrim.esm|071443</t>
  </si>
  <si>
    <t>skyrim.esm|0A0F46</t>
  </si>
  <si>
    <t>Lettre de Calcelmo</t>
  </si>
  <si>
    <t>skyrim.esm|0F6893</t>
  </si>
  <si>
    <t>Lettre de Christophe</t>
  </si>
  <si>
    <t>skyrim.esm|05B49E</t>
  </si>
  <si>
    <t>Lettre de crédit</t>
  </si>
  <si>
    <t>skyrim.esm|08AA46</t>
  </si>
  <si>
    <t>Lettre de doléances</t>
  </si>
  <si>
    <t>skyrim.esm|026EFE</t>
  </si>
  <si>
    <t>Lettre de Faleen à Calcelmo</t>
  </si>
  <si>
    <t>skyrim.esm|0D91D1</t>
  </si>
  <si>
    <t>Lettre de Falk Barbebraise</t>
  </si>
  <si>
    <t>dragonborn.esm|02AD41</t>
  </si>
  <si>
    <t>Lettre de Glover</t>
  </si>
  <si>
    <t>skyrim.esm|0AD8DE</t>
  </si>
  <si>
    <t>Lettre de Gorm</t>
  </si>
  <si>
    <t>dragonborn.esm|020A44</t>
  </si>
  <si>
    <t>Lettre de Gratian</t>
  </si>
  <si>
    <t>skyrim.esm|027F74</t>
  </si>
  <si>
    <t>Lettre de Jon</t>
  </si>
  <si>
    <t>skyrim.esm|083AEF</t>
  </si>
  <si>
    <t>Lettre de la tour de guet</t>
  </si>
  <si>
    <t>skyrim.esm|0D0968</t>
  </si>
  <si>
    <t>Lettre de Mani</t>
  </si>
  <si>
    <t>skyrim.esm|0F6894</t>
  </si>
  <si>
    <t>Lettre de Maven</t>
  </si>
  <si>
    <t>dragonborn.esm|0277F1</t>
  </si>
  <si>
    <t>Lettre de Mireli à sa mère</t>
  </si>
  <si>
    <t>skyrim.esm|0249AF</t>
  </si>
  <si>
    <t>Lettre de Quintus Navale</t>
  </si>
  <si>
    <t>dragonborn.esm|0365FF</t>
  </si>
  <si>
    <t>Lettre de Ralis Sedarys</t>
  </si>
  <si>
    <t>dragonborn.esm|036600</t>
  </si>
  <si>
    <t>Lettre de Ralis Sedarys 2</t>
  </si>
  <si>
    <t>dragonborn.esm|036601</t>
  </si>
  <si>
    <t>Lettre de Ralis Sedarys 3</t>
  </si>
  <si>
    <t>dragonborn.esm|036602</t>
  </si>
  <si>
    <t>Lettre de Ralis Sedarys 4</t>
  </si>
  <si>
    <t>skyrim.esm|037F87</t>
  </si>
  <si>
    <t>Lettre de Rigel</t>
  </si>
  <si>
    <t>skyrim.esm|0931C2</t>
  </si>
  <si>
    <t>Lettre de Rogatus</t>
  </si>
  <si>
    <t>skyrim.esm|037F8A</t>
  </si>
  <si>
    <t>Lettre de Roras</t>
  </si>
  <si>
    <t>skyrim.esm|0F6895</t>
  </si>
  <si>
    <t>Lettre de Sabjorn</t>
  </si>
  <si>
    <t>skyrim.esm|0F6842</t>
  </si>
  <si>
    <t>Lettre de Septimus Signus</t>
  </si>
  <si>
    <t>skyrim.esm|07D02F</t>
  </si>
  <si>
    <t>Lettre de Solitude</t>
  </si>
  <si>
    <t>dragonborn.esm|026562</t>
  </si>
  <si>
    <t>Lettre de Torkild à Lupe</t>
  </si>
  <si>
    <t>skyrim.esm|0CADEC</t>
  </si>
  <si>
    <t>Lettre du chambellan</t>
  </si>
  <si>
    <t>hearthfires.esm|0030A1</t>
  </si>
  <si>
    <t>Lettre du chambellan de &lt;Alias=HoldCity&gt;</t>
  </si>
  <si>
    <t>hearthfires.esm|010BEF</t>
  </si>
  <si>
    <t>Lettre du jarl &lt;Alias=Jarl&gt;</t>
  </si>
  <si>
    <t>hearthfires.esm|016130</t>
  </si>
  <si>
    <t>Lettre du jarl &lt;Alias=Jarl&gt; de &lt;Alias=HoldCity&gt;</t>
  </si>
  <si>
    <t>skyrim.esm|1065F5</t>
  </si>
  <si>
    <t>Lettre du messager</t>
  </si>
  <si>
    <t>skyrim.esm|083B08</t>
  </si>
  <si>
    <t>Lettre du nécromancien</t>
  </si>
  <si>
    <t>skyrim.esm|0CC86A</t>
  </si>
  <si>
    <t>Lettre du père</t>
  </si>
  <si>
    <t>dawnguard.esm|006956</t>
  </si>
  <si>
    <t>Lettre du vampire</t>
  </si>
  <si>
    <t>skyrim.esm|083AED</t>
  </si>
  <si>
    <t>Lettre impériale</t>
  </si>
  <si>
    <t>skyrim.esm|01B238</t>
  </si>
  <si>
    <t>Lettres de Charwich et Koniinge, vol. 1</t>
  </si>
  <si>
    <t>skyrim.esm|01B239</t>
  </si>
  <si>
    <t>Lettres de Charwich et Koniinge, vol. 2</t>
  </si>
  <si>
    <t>skyrim.esm|01B23A</t>
  </si>
  <si>
    <t>Lettres de Charwich et Koniinge, vol. 3</t>
  </si>
  <si>
    <t>skyrim.esm|01B23B</t>
  </si>
  <si>
    <t>Lettres de Charwich et Koniinge, vol. 4</t>
  </si>
  <si>
    <t>skyrim.esm|0F689A</t>
  </si>
  <si>
    <t>Liste de courses</t>
  </si>
  <si>
    <t>skyrim.esm|0403AF</t>
  </si>
  <si>
    <t>Livre d'Adonato</t>
  </si>
  <si>
    <t>skyrim.esm|0E1640</t>
  </si>
  <si>
    <t>Livre d'Ulfr</t>
  </si>
  <si>
    <t>skyrim.esm|09E2AA</t>
  </si>
  <si>
    <t>Livre de sort - Allié d'outre-tombe</t>
  </si>
  <si>
    <t>skyrim.esm|0A271B</t>
  </si>
  <si>
    <t>Livre de sort - Appel aux armes</t>
  </si>
  <si>
    <t>skyrim.esm|0A26F1</t>
  </si>
  <si>
    <t>Livre de sort - Arc lié</t>
  </si>
  <si>
    <t>skyrim.esm|0A26EC</t>
  </si>
  <si>
    <t>Livre de sort - Atronach de feu</t>
  </si>
  <si>
    <t>skyrim.esm|0A26F0</t>
  </si>
  <si>
    <t>Livre de sort - Atronach de foudre</t>
  </si>
  <si>
    <t>skyrim.esm|0A26EF</t>
  </si>
  <si>
    <t>Livre de sort - Atronach de glace</t>
  </si>
  <si>
    <t>dragonborn.esm|0177AD</t>
  </si>
  <si>
    <t>Livre de sort - Aura d'impulsivité</t>
  </si>
  <si>
    <t>dawnguard.esm|003F4E</t>
  </si>
  <si>
    <t>Livre de sort - Aura de Stendarr</t>
  </si>
  <si>
    <t>skyrim.esm|0A2703</t>
  </si>
  <si>
    <t>Livre de sort - Aura enflammée</t>
  </si>
  <si>
    <t>skyrim.esm|0A2705</t>
  </si>
  <si>
    <t>Livre de sort - Aura foudroyante</t>
  </si>
  <si>
    <t>skyrim.esm|0A2704</t>
  </si>
  <si>
    <t>Livre de sort - Aura glaciale</t>
  </si>
  <si>
    <t>skyrim.esm|0A26EE</t>
  </si>
  <si>
    <t>Livre de sort - Bannissement de Daedra</t>
  </si>
  <si>
    <t>skyrim.esm|0A270D</t>
  </si>
  <si>
    <t>Livre de sort - Blizzard</t>
  </si>
  <si>
    <t>skyrim.esm|0A2706</t>
  </si>
  <si>
    <t>Livre de sort - Boule de feu</t>
  </si>
  <si>
    <t>skyrim.esm|0DD647</t>
  </si>
  <si>
    <t>Livre de sort - Calamité des morts-vivants</t>
  </si>
  <si>
    <t>dawnguard.esm|003F4D</t>
  </si>
  <si>
    <t>Livre de sort - Calamité du vampire</t>
  </si>
  <si>
    <t>skyrim.esm|0A2711</t>
  </si>
  <si>
    <t>Livre de sort - Calme</t>
  </si>
  <si>
    <t>skyrim.esm|09CD54</t>
  </si>
  <si>
    <t>Livre de sort - Capture d'âme</t>
  </si>
  <si>
    <t>dragonborn.esm|0177AC</t>
  </si>
  <si>
    <t>Livre de sort - Carapace de cendres</t>
  </si>
  <si>
    <t>skyrim.esm|0A2728</t>
  </si>
  <si>
    <t>Livre de sort - Cercle de protection</t>
  </si>
  <si>
    <t>skyrim.esm|0FDE7B</t>
  </si>
  <si>
    <t>Livre de sort - Cercle gardien</t>
  </si>
  <si>
    <t>skyrim.esm|10F64D</t>
  </si>
  <si>
    <t>Livre de sort - Cicatrisation</t>
  </si>
  <si>
    <t>skyrim.esm|0FF7D1</t>
  </si>
  <si>
    <t>Livre de sort - Clairvoyance</t>
  </si>
  <si>
    <t>dragonborn.esm|01E2B1</t>
  </si>
  <si>
    <t>Livre de sort - Conjuration d'engeance des cendres</t>
  </si>
  <si>
    <t>dawnguard.esm|0045B0</t>
  </si>
  <si>
    <t>Livre de sort - Conjuration d'osseux</t>
  </si>
  <si>
    <t>dawnguard.esm|0045B1</t>
  </si>
  <si>
    <t>Livre de sort - Conjuration de brumeux</t>
  </si>
  <si>
    <t>dawnguard.esm|0045B2</t>
  </si>
  <si>
    <t>Livre de sort - Conjuration de coléreux</t>
  </si>
  <si>
    <t>skyrim.esm|0B45F7</t>
  </si>
  <si>
    <t>Livre de sort - Conjuration de familier de feu</t>
  </si>
  <si>
    <t>dragonborn.esm|01AABA</t>
  </si>
  <si>
    <t>Livre de sort - Conjuration de Gardien des cendres</t>
  </si>
  <si>
    <t>dragonborn.esm|033C67</t>
  </si>
  <si>
    <t>Livre de sort - Conjuration de quêteur</t>
  </si>
  <si>
    <t>skyrim.esm|10FD60</t>
  </si>
  <si>
    <t>Livre de sort - Conjuration de seigneur drémora</t>
  </si>
  <si>
    <t>skyrim.esm|0A26E9</t>
  </si>
  <si>
    <t>Livre de sort - Corps d'ébonite</t>
  </si>
  <si>
    <t>skyrim.esm|09E2A8</t>
  </si>
  <si>
    <t>Livre de sort - Corps de chêne</t>
  </si>
  <si>
    <t>skyrim.esm|0A26E4</t>
  </si>
  <si>
    <t>Livre de sort - Corps de fer</t>
  </si>
  <si>
    <t>skyrim.esm|0A26E3</t>
  </si>
  <si>
    <t>Livre de sort - Corps de pierre</t>
  </si>
  <si>
    <t>skyrim.esm|09E2AD</t>
  </si>
  <si>
    <t>Livre de sort - Courage</t>
  </si>
  <si>
    <t>skyrim.esm|0D2B4E</t>
  </si>
  <si>
    <t>Livre de sort - Cuirasse draconique</t>
  </si>
  <si>
    <t>dragonborn.esm|01CE07</t>
  </si>
  <si>
    <t>Livre de sort - Dague liée</t>
  </si>
  <si>
    <t>skyrim.esm|0A2718</t>
  </si>
  <si>
    <t>Livre de sort - Déroute</t>
  </si>
  <si>
    <t>skyrim.esm|0A26EA</t>
  </si>
  <si>
    <t>Livre de sort - Détection des morts</t>
  </si>
  <si>
    <t>skyrim.esm|0A26E7</t>
  </si>
  <si>
    <t>Livre de sort - Détection des vivants</t>
  </si>
  <si>
    <t>skyrim.esm|0A2719</t>
  </si>
  <si>
    <t>Livre de sort - Discorde</t>
  </si>
  <si>
    <t>skyrim.esm|0A26FD</t>
  </si>
  <si>
    <t>Livre de sort - Éclair enflammé</t>
  </si>
  <si>
    <t>skyrim.esm|0A26FF</t>
  </si>
  <si>
    <t>Livre de sort - Éclair foudroyant</t>
  </si>
  <si>
    <t>skyrim.esm|0A2708</t>
  </si>
  <si>
    <t>Livre de sort - Éclairs multiples</t>
  </si>
  <si>
    <t>skyrim.esm|09E2A9</t>
  </si>
  <si>
    <t>Livre de sort - Épée liée</t>
  </si>
  <si>
    <t>skyrim.esm|0F4997</t>
  </si>
  <si>
    <t>Livre de sort - Équilibre</t>
  </si>
  <si>
    <t>skyrim.esm|09CD53</t>
  </si>
  <si>
    <t>Livre de sort - Étincelles</t>
  </si>
  <si>
    <t>skyrim.esm|0A26F8</t>
  </si>
  <si>
    <t>Livre de sort - Expulsion de Daedra</t>
  </si>
  <si>
    <t>skyrim.esm|09E2AB</t>
  </si>
  <si>
    <t>Livre de sort - Familier</t>
  </si>
  <si>
    <t>dawnguard.esm|003F51</t>
  </si>
  <si>
    <t>Livre de sort - Feu solaire</t>
  </si>
  <si>
    <t>skyrim.esm|09CD51</t>
  </si>
  <si>
    <t>Livre de sort - Flammes</t>
  </si>
  <si>
    <t>skyrim.esm|0A2726</t>
  </si>
  <si>
    <t>Livre de sort - Fléau des morts</t>
  </si>
  <si>
    <t>skyrim.esm|0B3165</t>
  </si>
  <si>
    <t>Livre de sort - Flèche spectrale</t>
  </si>
  <si>
    <t>skyrim.esm|0A2714</t>
  </si>
  <si>
    <t>Livre de sort - Frénésie</t>
  </si>
  <si>
    <t>skyrim.esm|09CD52</t>
  </si>
  <si>
    <t>Livre de sort - Froid mordant</t>
  </si>
  <si>
    <t>skyrim.esm|09E2AC</t>
  </si>
  <si>
    <t>Livre de sort - Furie</t>
  </si>
  <si>
    <t>skyrim.esm|0A26FA</t>
  </si>
  <si>
    <t>Livre de sort - Golem de feu</t>
  </si>
  <si>
    <t>skyrim.esm|0A26FC</t>
  </si>
  <si>
    <t>Livre de sort - Golem de foudre</t>
  </si>
  <si>
    <t>skyrim.esm|0A26FB</t>
  </si>
  <si>
    <t>Livre de sort - Golem de glace</t>
  </si>
  <si>
    <t>skyrim.esm|0A26F9</t>
  </si>
  <si>
    <t>Livre de sort - Golem zombie</t>
  </si>
  <si>
    <t>skyrim.esm|0A2729</t>
  </si>
  <si>
    <t>Livre de sort - Grand péril des morts</t>
  </si>
  <si>
    <t>skyrim.esm|0A2722</t>
  </si>
  <si>
    <t>Livre de sort - Grande barrière</t>
  </si>
  <si>
    <t>dawnguard.esm|00E8D6</t>
  </si>
  <si>
    <t>Livre de sort - Guérison des morts-vivants</t>
  </si>
  <si>
    <t>dawnguard.esm|00E8D5</t>
  </si>
  <si>
    <t>Livre de sort - Guérison nécromantique</t>
  </si>
  <si>
    <t>skyrim.esm|0A26ED</t>
  </si>
  <si>
    <t>Livre de sort - Hache d'armes liée</t>
  </si>
  <si>
    <t>skyrim.esm|0A271A</t>
  </si>
  <si>
    <t>Livre de sort - Harmonie</t>
  </si>
  <si>
    <t>skyrim.esm|0A271C</t>
  </si>
  <si>
    <t>Livre de sort - Hystérie</t>
  </si>
  <si>
    <t>skyrim.esm|09E2A7</t>
  </si>
  <si>
    <t>Livre de sort - Illumination</t>
  </si>
  <si>
    <t>skyrim.esm|10F7F4</t>
  </si>
  <si>
    <t>Livre de sort - Incinération</t>
  </si>
  <si>
    <t>skyrim.esm|0A2713</t>
  </si>
  <si>
    <t>Livre de sort - Inspiration</t>
  </si>
  <si>
    <t>skyrim.esm|0A2715</t>
  </si>
  <si>
    <t>Livre de sort - Invisibilité</t>
  </si>
  <si>
    <t>skyrim.esm|10F7F3</t>
  </si>
  <si>
    <t>Livre de sort - Lance gelée</t>
  </si>
  <si>
    <t>skyrim.esm|0A26F6</t>
  </si>
  <si>
    <t>Livre de sort - Manipulation de Daedra</t>
  </si>
  <si>
    <t>skyrim.esm|09E2AE</t>
  </si>
  <si>
    <t>Livre de sort - Moindre barrière</t>
  </si>
  <si>
    <t>skyrim.esm|0A2725</t>
  </si>
  <si>
    <t>Livre de sort - Moindre fléau des morts</t>
  </si>
  <si>
    <t>skyrim.esm|0A271F</t>
  </si>
  <si>
    <t>Livre de sort - Moindre péril des morts</t>
  </si>
  <si>
    <t>skyrim.esm|0A2720</t>
  </si>
  <si>
    <t>Livre de sort - Moyenne barrière</t>
  </si>
  <si>
    <t>skyrim.esm|0A2709</t>
  </si>
  <si>
    <t>Livre de sort - Mur de feu</t>
  </si>
  <si>
    <t>skyrim.esm|0A270B</t>
  </si>
  <si>
    <t>Livre de sort - Mur de foudre</t>
  </si>
  <si>
    <t>skyrim.esm|0A270A</t>
  </si>
  <si>
    <t>Livre de sort - Mur de glace</t>
  </si>
  <si>
    <t>skyrim.esm|0A2717</t>
  </si>
  <si>
    <t>Livre de sort - Pacification</t>
  </si>
  <si>
    <t>skyrim.esm|0A26E8</t>
  </si>
  <si>
    <t>Livre de sort - Paralysie</t>
  </si>
  <si>
    <t>skyrim.esm|0DD646</t>
  </si>
  <si>
    <t>Livre de sort - Paralysie générale</t>
  </si>
  <si>
    <t>skyrim.esm|0A2721</t>
  </si>
  <si>
    <t>Livre de sort - Péril des morts</t>
  </si>
  <si>
    <t>skyrim.esm|0A2712</t>
  </si>
  <si>
    <t>Livre de sort - Peur</t>
  </si>
  <si>
    <t>skyrim.esm|0A26E2</t>
  </si>
  <si>
    <t>Livre de sort - Rayonnement</t>
  </si>
  <si>
    <t>skyrim.esm|0A26EB</t>
  </si>
  <si>
    <t>Livre de sort - Réanimation</t>
  </si>
  <si>
    <t>skyrim.esm|0A26E6</t>
  </si>
  <si>
    <t>Livre de sort - Respiration aquatique</t>
  </si>
  <si>
    <t>skyrim.esm|0A26F2</t>
  </si>
  <si>
    <t>Livre de sort - Revenant</t>
  </si>
  <si>
    <t>dragonborn.esm|0177B5</t>
  </si>
  <si>
    <t>Livre de sort - Rune de cendres</t>
  </si>
  <si>
    <t>skyrim.esm|0A2700</t>
  </si>
  <si>
    <t>Livre de sort - Rune de feu</t>
  </si>
  <si>
    <t>skyrim.esm|0A2702</t>
  </si>
  <si>
    <t>Livre de sort - Rune de foudre</t>
  </si>
  <si>
    <t>dragonborn.esm|0177BD</t>
  </si>
  <si>
    <t>Livre de sort - Rune de frénésie</t>
  </si>
  <si>
    <t>skyrim.esm|0A2701</t>
  </si>
  <si>
    <t>Livre de sort - Rune de glace</t>
  </si>
  <si>
    <t>dragonborn.esm|020685</t>
  </si>
  <si>
    <t>Livre de sort - Rune de poison</t>
  </si>
  <si>
    <t>skyrim.esm|0A270F</t>
  </si>
  <si>
    <t>Livre de sort - Silence</t>
  </si>
  <si>
    <t>skyrim.esm|09E2AF</t>
  </si>
  <si>
    <t>Livre de sort - Soin</t>
  </si>
  <si>
    <t>skyrim.esm|0DD643</t>
  </si>
  <si>
    <t>Livre de sort - Soin magistral</t>
  </si>
  <si>
    <t>skyrim.esm|0A271D</t>
  </si>
  <si>
    <t>Livre de sort - Soin rapide</t>
  </si>
  <si>
    <t>skyrim.esm|0A2727</t>
  </si>
  <si>
    <t>Livre de sort - Soulagement</t>
  </si>
  <si>
    <t>skyrim.esm|0A26FE</t>
  </si>
  <si>
    <t>Livre de sort - Stalactite</t>
  </si>
  <si>
    <t>skyrim.esm|0A26F7</t>
  </si>
  <si>
    <t>Livre de sort - Surzombie</t>
  </si>
  <si>
    <t>skyrim.esm|0A26E5</t>
  </si>
  <si>
    <t>Livre de sort - Télékinésie</t>
  </si>
  <si>
    <t>skyrim.esm|0A270C</t>
  </si>
  <si>
    <t>Livre de sort - Tempête de feu</t>
  </si>
  <si>
    <t>skyrim.esm|0A270E</t>
  </si>
  <si>
    <t>Livre de sort - Tempête de foudre</t>
  </si>
  <si>
    <t>skyrim.esm|0A2707</t>
  </si>
  <si>
    <t>Livre de sort - Tempête de glace</t>
  </si>
  <si>
    <t>skyrim.esm|0A271E</t>
  </si>
  <si>
    <t>Livre de sort - Toucher apaisant</t>
  </si>
  <si>
    <t>skyrim.esm|10F7F5</t>
  </si>
  <si>
    <t>Livre de sort - Trait de foudre</t>
  </si>
  <si>
    <t>skyrim.esm|109112</t>
  </si>
  <si>
    <t>Livre de sort - Transmuter le minerai</t>
  </si>
  <si>
    <t>skyrim.esm|026700</t>
  </si>
  <si>
    <t>Livre de Tolfdir</t>
  </si>
  <si>
    <t>dawnguard.esm|00FAC2</t>
  </si>
  <si>
    <t>Livre de vie et de servitude</t>
  </si>
  <si>
    <t>skyrim.esm|105A52</t>
  </si>
  <si>
    <t>Livre du destin</t>
  </si>
  <si>
    <t>dawnguard.esm|01A3E0</t>
  </si>
  <si>
    <t>Livre inconnu, vol. I</t>
  </si>
  <si>
    <t>dawnguard.esm|01A3E1</t>
  </si>
  <si>
    <t>Livre inconnu, vol. II</t>
  </si>
  <si>
    <t>dawnguard.esm|01A3E2</t>
  </si>
  <si>
    <t>Livre inconnu, vol. III</t>
  </si>
  <si>
    <t>dawnguard.esm|01A3E3</t>
  </si>
  <si>
    <t>Livre inconnu, vol. IV</t>
  </si>
  <si>
    <t>dragonborn.esm|032198</t>
  </si>
  <si>
    <t>Livre noir</t>
  </si>
  <si>
    <t>dragonborn.esm|01E99E</t>
  </si>
  <si>
    <t>Livre noir - Filament et filigrane</t>
  </si>
  <si>
    <t>dragonborn.esm|01E99C</t>
  </si>
  <si>
    <t>Livre noir - L'heure du changement</t>
  </si>
  <si>
    <t>dragonborn.esm|01E99F</t>
  </si>
  <si>
    <t>Livre noir - Le crépuscule caché</t>
  </si>
  <si>
    <t>dragonborn.esm|01E99D</t>
  </si>
  <si>
    <t>Livre noir - Le régent au teint jaune</t>
  </si>
  <si>
    <t>dragonborn.esm|016E2D</t>
  </si>
  <si>
    <t>Livre noir - Les légendes inconnues</t>
  </si>
  <si>
    <t>dragonborn.esm|016E2C</t>
  </si>
  <si>
    <t>Livre noir - Réflexions épistolaires</t>
  </si>
  <si>
    <t>dragonborn.esm|016E22</t>
  </si>
  <si>
    <t>Livre noir - Rêveries</t>
  </si>
  <si>
    <t>skyrim.esm|0F692E</t>
  </si>
  <si>
    <t>Lumidor</t>
  </si>
  <si>
    <t>dragonborn.esm|027E9F</t>
  </si>
  <si>
    <t>Mandat d'exécution : &lt;alias=player&gt;</t>
  </si>
  <si>
    <t>skyrim.esm|01AFE6</t>
  </si>
  <si>
    <t>Maniement des masses</t>
  </si>
  <si>
    <t>skyrim.esm|08ACD1</t>
  </si>
  <si>
    <t>Manifeste d'expédition</t>
  </si>
  <si>
    <t>skyrim.esm|01AFC5</t>
  </si>
  <si>
    <t>Mannimarco, roi des vers</t>
  </si>
  <si>
    <t>skyrim.esm|06CE1C</t>
  </si>
  <si>
    <t>Manuel d'atromancie</t>
  </si>
  <si>
    <t>skyrim.esm|0F68A7</t>
  </si>
  <si>
    <t>Mara vous sourit !</t>
  </si>
  <si>
    <t>skyrim.esm|0F84A1</t>
  </si>
  <si>
    <t>Marques noires</t>
  </si>
  <si>
    <t>skyrim.esm|0F798C</t>
  </si>
  <si>
    <t>Matériel de réparation</t>
  </si>
  <si>
    <t>skyrim.esm|01AFD6</t>
  </si>
  <si>
    <t>Mendiant</t>
  </si>
  <si>
    <t>skyrim.esm|0F689B</t>
  </si>
  <si>
    <t>Merci beaucoup</t>
  </si>
  <si>
    <t>skyrim.esm|0FF223</t>
  </si>
  <si>
    <t>Message d'Anders</t>
  </si>
  <si>
    <t>skyrim.esm|0E1A9F</t>
  </si>
  <si>
    <t>Message d'Ysolda</t>
  </si>
  <si>
    <t>dawnguard.esm|01957E</t>
  </si>
  <si>
    <t>Minorne</t>
  </si>
  <si>
    <t>keizaal.esp|04D06F</t>
  </si>
  <si>
    <t>Mintmaster's Writ</t>
  </si>
  <si>
    <t>skyrim.esm|0A4CE2</t>
  </si>
  <si>
    <t>Missive de Parjure</t>
  </si>
  <si>
    <t>skyrim.esm|083AFF</t>
  </si>
  <si>
    <t>Missive des Sombrages</t>
  </si>
  <si>
    <t>skyrim.esm|083B04</t>
  </si>
  <si>
    <t>skyrim.esm|037F89</t>
  </si>
  <si>
    <t>Missive du père</t>
  </si>
  <si>
    <t>skyrim.esm|0F98B4</t>
  </si>
  <si>
    <t>Missive du voyou</t>
  </si>
  <si>
    <t>skyrim.esm|039C8E</t>
  </si>
  <si>
    <t>Missive impériale</t>
  </si>
  <si>
    <t>skyrim.esm|083AFD</t>
  </si>
  <si>
    <t>skyrim.esm|10BEDF</t>
  </si>
  <si>
    <t>Missive sur les nirnroots</t>
  </si>
  <si>
    <t>dawnguard.esm|01A436</t>
  </si>
  <si>
    <t>Morceau de papier</t>
  </si>
  <si>
    <t>skyrim.esm|0ED040</t>
  </si>
  <si>
    <t>Mort d'un vagabond</t>
  </si>
  <si>
    <t>keizaal.esp|DE8775</t>
  </si>
  <si>
    <t>Mulled Wine Recipe</t>
  </si>
  <si>
    <t>skyrim.esm|01ACD4</t>
  </si>
  <si>
    <t>Mystérieux Akavir</t>
  </si>
  <si>
    <t>oarsrest.esp|04D074</t>
  </si>
  <si>
    <t>Mysterious Note</t>
  </si>
  <si>
    <t>skyrim.esm|01ACB8</t>
  </si>
  <si>
    <t>Mythes de Shéogorath</t>
  </si>
  <si>
    <t>skyrim.esm|01AD0E</t>
  </si>
  <si>
    <t>N'Gasta ! Kvata ! Kvakis !</t>
  </si>
  <si>
    <t>skyrim.esm|083168</t>
  </si>
  <si>
    <t>Nains, vol. 1</t>
  </si>
  <si>
    <t>skyrim.esm|083169</t>
  </si>
  <si>
    <t>Nains, vol. 2</t>
  </si>
  <si>
    <t>skyrim.esm|08316A</t>
  </si>
  <si>
    <t>Nains, vol. 3</t>
  </si>
  <si>
    <t>skyrim.esm|01AD0D</t>
  </si>
  <si>
    <t>Nérévar Astre-Lune</t>
  </si>
  <si>
    <t>dragonborn.esm|02826B</t>
  </si>
  <si>
    <t>Nérévar au Mont écarlate</t>
  </si>
  <si>
    <t>skyrim.esm|0E0D66</t>
  </si>
  <si>
    <t>Nordiques de Bordeciel</t>
  </si>
  <si>
    <t>skyrim.esm|0ED161</t>
  </si>
  <si>
    <t>Nordiques, levez-vous !</t>
  </si>
  <si>
    <t>windhelmsse.esp|0622EB</t>
  </si>
  <si>
    <t>Nords Need Nord Gods</t>
  </si>
  <si>
    <t>dawnguard.esm|015D88</t>
  </si>
  <si>
    <t>Note</t>
  </si>
  <si>
    <t>dragonborn.esm|033C7D</t>
  </si>
  <si>
    <t>keizaal.esp|DFD182</t>
  </si>
  <si>
    <t>skyrim.esm|06DFAF</t>
  </si>
  <si>
    <t>skyrim.esm|06F63C</t>
  </si>
  <si>
    <t>skyrim.esm|08B471</t>
  </si>
  <si>
    <t>skyrim.esm|0C0136</t>
  </si>
  <si>
    <t>skyrim.esm|0C2BE4</t>
  </si>
  <si>
    <t>skyrim.esm|0D120C</t>
  </si>
  <si>
    <t>skyrim.esm|0D1246</t>
  </si>
  <si>
    <t>skyrim.esm|078621</t>
  </si>
  <si>
    <t>Note à Rhorlak</t>
  </si>
  <si>
    <t>skyrim.esm|0E163F</t>
  </si>
  <si>
    <t>Note à Rodulf</t>
  </si>
  <si>
    <t>skyrim.esm|0C3B1A</t>
  </si>
  <si>
    <t>Note à Thomas</t>
  </si>
  <si>
    <t>skyrim.esm|09793A</t>
  </si>
  <si>
    <t>Note aux autorités</t>
  </si>
  <si>
    <t>skyrim.esm|090E52</t>
  </si>
  <si>
    <t>Note d'Aeri</t>
  </si>
  <si>
    <t>skyrim.esm|0BC6FD</t>
  </si>
  <si>
    <t>Note d'Agna</t>
  </si>
  <si>
    <t>skyrim.esm|0D1955</t>
  </si>
  <si>
    <t>Note d'Eltrys</t>
  </si>
  <si>
    <t>skyrim.esm|0940DD</t>
  </si>
  <si>
    <t>Note d'Idgrod</t>
  </si>
  <si>
    <t>skyrim.esm|03D29D</t>
  </si>
  <si>
    <t>Note d'Urag</t>
  </si>
  <si>
    <t>skyrim.esm|083AF6</t>
  </si>
  <si>
    <t>Note de Bolar</t>
  </si>
  <si>
    <t>skyrim.esm|0D672A</t>
  </si>
  <si>
    <t>Note de Dryston</t>
  </si>
  <si>
    <t>skyrim.esm|06DEB6</t>
  </si>
  <si>
    <t>Note de Gissur</t>
  </si>
  <si>
    <t>skyrim.esm|05437D</t>
  </si>
  <si>
    <t>Note de J'datharr</t>
  </si>
  <si>
    <t>skyrim.esm|0F23E0</t>
  </si>
  <si>
    <t>Note de Jaree-Ra</t>
  </si>
  <si>
    <t>skyrim.esm|06DF90</t>
  </si>
  <si>
    <t>Note de l'alchimiste</t>
  </si>
  <si>
    <t>skyrim.esm|045F94</t>
  </si>
  <si>
    <t>Note de l'Infecté</t>
  </si>
  <si>
    <t>dawnguard.esm|00A83B</t>
  </si>
  <si>
    <t>Note de la grotte de Sombrechute</t>
  </si>
  <si>
    <t>skyrim.esm|0E2513</t>
  </si>
  <si>
    <t>Note de Madanach</t>
  </si>
  <si>
    <t>skyrim.esm|0F68A3</t>
  </si>
  <si>
    <t>Note de Maven</t>
  </si>
  <si>
    <t>dragonborn.esm|01FF2A</t>
  </si>
  <si>
    <t>Note de Mogrul</t>
  </si>
  <si>
    <t>skyrim.esm|083AE3</t>
  </si>
  <si>
    <t>Note de Parjure</t>
  </si>
  <si>
    <t>skyrim.esm|083B0B</t>
  </si>
  <si>
    <t>skyrim.esm|0D0032</t>
  </si>
  <si>
    <t>Note de Ra'jirr</t>
  </si>
  <si>
    <t>skyrim.esm|03DD30</t>
  </si>
  <si>
    <t>Note de Sergius</t>
  </si>
  <si>
    <t>skyrim.esm|06DEB5</t>
  </si>
  <si>
    <t>Note de Shavari</t>
  </si>
  <si>
    <t>skyrim.esm|069007</t>
  </si>
  <si>
    <t>Note de Sondas</t>
  </si>
  <si>
    <t>dawnguard.esm|006E58</t>
  </si>
  <si>
    <t>Note de vampire</t>
  </si>
  <si>
    <t>skyrim.esm|0D670F</t>
  </si>
  <si>
    <t>Note de Weylin</t>
  </si>
  <si>
    <t>dragonborn.esm|03780A</t>
  </si>
  <si>
    <t>Note déchirée</t>
  </si>
  <si>
    <t>skyrim.esm|074ADF</t>
  </si>
  <si>
    <t>skyrim.esm|108160</t>
  </si>
  <si>
    <t>skyrim.esm|0BA300</t>
  </si>
  <si>
    <t>Note du cadavre</t>
  </si>
  <si>
    <t>skyrim.esm|0A17B0</t>
  </si>
  <si>
    <t>Note du chasseur de trésor</t>
  </si>
  <si>
    <t>skyrim.esm|083B05</t>
  </si>
  <si>
    <t>Note du commandant</t>
  </si>
  <si>
    <t>skyrim.esm|0DD998</t>
  </si>
  <si>
    <t>Note du contrebandier</t>
  </si>
  <si>
    <t>skyrim.esm|0DB0D7</t>
  </si>
  <si>
    <t>Note du garde de Mzinchaleft</t>
  </si>
  <si>
    <t>dawnguard.esm|01860D</t>
  </si>
  <si>
    <t>Note du Passage de Sombrechute I</t>
  </si>
  <si>
    <t>dawnguard.esm|018645</t>
  </si>
  <si>
    <t>Note du Passage de Sombrechute II</t>
  </si>
  <si>
    <t>skyrim.esm|0D397A</t>
  </si>
  <si>
    <t>Note ensanglantée</t>
  </si>
  <si>
    <t>oarsrest.esp|0521DE</t>
  </si>
  <si>
    <t>Note from Bashir</t>
  </si>
  <si>
    <t>skyrim.esm|05B9C9</t>
  </si>
  <si>
    <t>Note gribouillée</t>
  </si>
  <si>
    <t>dragonborn.esm|031CC8</t>
  </si>
  <si>
    <t>Note griffonnée</t>
  </si>
  <si>
    <t>skyrim.esm|0B1260</t>
  </si>
  <si>
    <t>skyrim.esm|0F23BA</t>
  </si>
  <si>
    <t>Note griffonnée à la hâte</t>
  </si>
  <si>
    <t>dragonborn.esm|033154</t>
  </si>
  <si>
    <t>Note manuscrite</t>
  </si>
  <si>
    <t>dragonborn.esm|017215</t>
  </si>
  <si>
    <t>Note mystérieuse</t>
  </si>
  <si>
    <t>dragonborn.esm|017276</t>
  </si>
  <si>
    <t>dragonborn.esm|017381</t>
  </si>
  <si>
    <t>dragonborn.esm|01AD50</t>
  </si>
  <si>
    <t>skyrim.esm|03031F</t>
  </si>
  <si>
    <t>skyrim.esm|05224A</t>
  </si>
  <si>
    <t>skyrim.esm|0DC176</t>
  </si>
  <si>
    <t>Note sur le bleu de Balmora</t>
  </si>
  <si>
    <t>skyrim.esm|0C370E</t>
  </si>
  <si>
    <t>Notes d'Alethius</t>
  </si>
  <si>
    <t>skyrim.esm|0C084B</t>
  </si>
  <si>
    <t>Notes d'Erj</t>
  </si>
  <si>
    <t>skyrim.esm|08AD99</t>
  </si>
  <si>
    <t>Notes d'Heddic sur Volunruud</t>
  </si>
  <si>
    <t>skyrim.esm|10596A</t>
  </si>
  <si>
    <t>Notes d'un assassin de la Confrérie noire</t>
  </si>
  <si>
    <t>skyrim.esm|085FE3</t>
  </si>
  <si>
    <t>Notes de Daynas Valen</t>
  </si>
  <si>
    <t>skyrim.esm|05D2EA</t>
  </si>
  <si>
    <t>Notes de Faralda</t>
  </si>
  <si>
    <t>skyrim.esm|0B716A</t>
  </si>
  <si>
    <t>Notes de Medresi</t>
  </si>
  <si>
    <t>dragonborn.esm|0374D6</t>
  </si>
  <si>
    <t>Notes de Raleth Eldri sur Kagrumez</t>
  </si>
  <si>
    <t>skyrim.esm|06A80D</t>
  </si>
  <si>
    <t>Notes de recherches</t>
  </si>
  <si>
    <t>dawnguard.esm|00D070</t>
  </si>
  <si>
    <t>Notes sur la Crypte de Sombreval, vol. III</t>
  </si>
  <si>
    <t>skyrim.esm|063A0F</t>
  </si>
  <si>
    <t>Notes sur la Forge lunaire</t>
  </si>
  <si>
    <t>skyrim.esm|0B6426</t>
  </si>
  <si>
    <t>Notes sur le Tertre d'Yngol</t>
  </si>
  <si>
    <t>skyrim.esm|0ED5F4</t>
  </si>
  <si>
    <t>Nouvelle menace, vol. I</t>
  </si>
  <si>
    <t>skyrim.esm|0ED5F5</t>
  </si>
  <si>
    <t>Nouvelle menace, vol. II</t>
  </si>
  <si>
    <t>skyrim.esm|0ED5F6</t>
  </si>
  <si>
    <t>Nouvelle menace, vol. III</t>
  </si>
  <si>
    <t>skyrim.esm|0ED5F7</t>
  </si>
  <si>
    <t>Nouvelle menace, vol. IV</t>
  </si>
  <si>
    <t>keizaal.esp|DBF8BA</t>
  </si>
  <si>
    <t>Novice Spellmaking</t>
  </si>
  <si>
    <t>windhelmsse.esp|11AF2E</t>
  </si>
  <si>
    <t>Oath of Light</t>
  </si>
  <si>
    <t>skyrim.esm|01ACF3</t>
  </si>
  <si>
    <t>Oblivion</t>
  </si>
  <si>
    <t>skyrim.esm|0ED607</t>
  </si>
  <si>
    <t>Ode aux colosses des plaines</t>
  </si>
  <si>
    <t>skyrim.esm|0F692F</t>
  </si>
  <si>
    <t>Oeil ouvert</t>
  </si>
  <si>
    <t>windhelmsse.esp|1C431C</t>
  </si>
  <si>
    <t>Oengul's Notes</t>
  </si>
  <si>
    <t>windhelmsse.esp|1BF20A</t>
  </si>
  <si>
    <t>Officer's Notes</t>
  </si>
  <si>
    <t>windhelmsse.esp|26392D</t>
  </si>
  <si>
    <t>Official Message</t>
  </si>
  <si>
    <t>skyrim.esm|01A332</t>
  </si>
  <si>
    <t>Oghma Infinium</t>
  </si>
  <si>
    <t>skyrim.esm|0EB090</t>
  </si>
  <si>
    <t>Olaf et le dragon</t>
  </si>
  <si>
    <t>skyrim.esm|01B022</t>
  </si>
  <si>
    <t>Ombres dérobées</t>
  </si>
  <si>
    <t>windhelmsse.esp|11AF30</t>
  </si>
  <si>
    <t>On the Nords' Lack of a Creation Myth</t>
  </si>
  <si>
    <t>windhelmsse.esp|1F35B8</t>
  </si>
  <si>
    <t>Open Hours</t>
  </si>
  <si>
    <t>dawnguard.esm|014010</t>
  </si>
  <si>
    <t>Opus de Jiub (page 1)</t>
  </si>
  <si>
    <t>dawnguard.esm|014019</t>
  </si>
  <si>
    <t>Opus de Jiub (page 10)</t>
  </si>
  <si>
    <t>dawnguard.esm|014011</t>
  </si>
  <si>
    <t>Opus de Jiub (page 2)</t>
  </si>
  <si>
    <t>dawnguard.esm|014012</t>
  </si>
  <si>
    <t>Opus de Jiub (page 3)</t>
  </si>
  <si>
    <t>dawnguard.esm|014013</t>
  </si>
  <si>
    <t>Opus de Jiub (page 4)</t>
  </si>
  <si>
    <t>dawnguard.esm|014014</t>
  </si>
  <si>
    <t>Opus de Jiub (page 5)</t>
  </si>
  <si>
    <t>dawnguard.esm|014015</t>
  </si>
  <si>
    <t>Opus de Jiub (page 6)</t>
  </si>
  <si>
    <t>dawnguard.esm|014016</t>
  </si>
  <si>
    <t>Opus de Jiub (page 7)</t>
  </si>
  <si>
    <t>dawnguard.esm|014017</t>
  </si>
  <si>
    <t>Opus de Jiub (page 8)</t>
  </si>
  <si>
    <t>dawnguard.esm|014018</t>
  </si>
  <si>
    <t>Opus de Jiub (page 9)</t>
  </si>
  <si>
    <t>dawnguard.esm|003F79</t>
  </si>
  <si>
    <t>Opus de Saint Jiub</t>
  </si>
  <si>
    <t>skyrim.esm|01AF40</t>
  </si>
  <si>
    <t>Opusculus Lamae Bal</t>
  </si>
  <si>
    <t>dawnguard.esm|01AA22</t>
  </si>
  <si>
    <t>Ordre d'assassinat</t>
  </si>
  <si>
    <t>skyrim.esm|0BA0BE</t>
  </si>
  <si>
    <t>Ordre d'exécution</t>
  </si>
  <si>
    <t>dawnguard.esm|0034DC</t>
  </si>
  <si>
    <t>Ordre de l'aube</t>
  </si>
  <si>
    <t>skyrim.esm|088FE8</t>
  </si>
  <si>
    <t>Ordre de travail de Mzinchaleft</t>
  </si>
  <si>
    <t>skyrim.esm|0C58A6</t>
  </si>
  <si>
    <t>Ordre des Horqueurs sanguinaires</t>
  </si>
  <si>
    <t>skyrim.esm|0524DA</t>
  </si>
  <si>
    <t>Ordre impérial</t>
  </si>
  <si>
    <t>dawnguard.esm|007ECB</t>
  </si>
  <si>
    <t>Ordres</t>
  </si>
  <si>
    <t>skyrim.esm|06DFAC</t>
  </si>
  <si>
    <t>dawnguard.esm|003517</t>
  </si>
  <si>
    <t>Ordres de la Garde de l'aube - Hakar</t>
  </si>
  <si>
    <t>dawnguard.esm|003521</t>
  </si>
  <si>
    <t>Ordres de la Garde de l'aube - Lynoit</t>
  </si>
  <si>
    <t>dawnguard.esm|00350B</t>
  </si>
  <si>
    <t>Ordres de la Garde de l'aube - Saliah</t>
  </si>
  <si>
    <t>skyrim.esm|0DD99C</t>
  </si>
  <si>
    <t>Ordres de Lorcalin</t>
  </si>
  <si>
    <t>dragonborn.esm|037251</t>
  </si>
  <si>
    <t>Ordres de Mogrul</t>
  </si>
  <si>
    <t>skyrim.esm|093CF6</t>
  </si>
  <si>
    <t>Ordres de Valmir</t>
  </si>
  <si>
    <t>dragonborn.esm|0331C2</t>
  </si>
  <si>
    <t>Ordres des adeptes</t>
  </si>
  <si>
    <t>skyrim.esm|0E94DF</t>
  </si>
  <si>
    <t>Ordres du garde</t>
  </si>
  <si>
    <t>skyrim.esm|097803</t>
  </si>
  <si>
    <t>Ordres du Thalmor</t>
  </si>
  <si>
    <t>skyrim.esm|01AFF9</t>
  </si>
  <si>
    <t>Orsinium et les Orques</t>
  </si>
  <si>
    <t>dragonborn.esm|028262</t>
  </si>
  <si>
    <t>Ossements, deuxième partie</t>
  </si>
  <si>
    <t>dragonborn.esm|028261</t>
  </si>
  <si>
    <t>Ossements, première partie</t>
  </si>
  <si>
    <t>dragonborn.esm|028266</t>
  </si>
  <si>
    <t>Où étiez-vous quand le Dragon s'est brisé ?</t>
  </si>
  <si>
    <t>skyrim.esm|0D3979</t>
  </si>
  <si>
    <t>Page griffonnée</t>
  </si>
  <si>
    <t>skyrim.esm|01AFFE</t>
  </si>
  <si>
    <t>Palla, vol. 1</t>
  </si>
  <si>
    <t>skyrim.esm|01ACF4</t>
  </si>
  <si>
    <t>Palla, vol. 2</t>
  </si>
  <si>
    <t>dawnguard.esm|0126DC</t>
  </si>
  <si>
    <t>Parchemin des Anciens (Dragon)</t>
  </si>
  <si>
    <t>skyrim.esm|02D513</t>
  </si>
  <si>
    <t>skyrim.esm|048782</t>
  </si>
  <si>
    <t>dawnguard.esm|0118F9</t>
  </si>
  <si>
    <t>Parchemin des Anciens (Sang)</t>
  </si>
  <si>
    <t>dawnguard.esm|011A13</t>
  </si>
  <si>
    <t>Parchemin des Anciens (Soleil)</t>
  </si>
  <si>
    <t>skyrim.esm|0ED03F</t>
  </si>
  <si>
    <t>Parmi les draugr</t>
  </si>
  <si>
    <t>skyrim.esm|01B27D</t>
  </si>
  <si>
    <t>Paroles d'Ahnissi</t>
  </si>
  <si>
    <t>skyrim.esm|01AFD8</t>
  </si>
  <si>
    <t>Paroles et philosophie</t>
  </si>
  <si>
    <t>skyrim.esm|01AFE8</t>
  </si>
  <si>
    <t>Passerelles liminales</t>
  </si>
  <si>
    <t>skyrim.esm|0E8BDB</t>
  </si>
  <si>
    <t>Pedigree de Glacier</t>
  </si>
  <si>
    <t>skyrim.esm|03010A</t>
  </si>
  <si>
    <t>Pensée de la Phalène ancestrale</t>
  </si>
  <si>
    <t>north keep.esp|077FE8</t>
  </si>
  <si>
    <t>Per Your Requests</t>
  </si>
  <si>
    <t>skyrim.esm|01B008</t>
  </si>
  <si>
    <t>Père de la Niben</t>
  </si>
  <si>
    <t>skyrim.esm|0F1AB3</t>
  </si>
  <si>
    <t>Petit dédale</t>
  </si>
  <si>
    <t>skyrim.esm|0F5BC0</t>
  </si>
  <si>
    <t>Petite note</t>
  </si>
  <si>
    <t>skyrim.esm|01B015</t>
  </si>
  <si>
    <t>Phylogénie raciale</t>
  </si>
  <si>
    <t>dragonborn.esm|029102</t>
  </si>
  <si>
    <t>Piège</t>
  </si>
  <si>
    <t>windhelmsse.esp|1F66FE</t>
  </si>
  <si>
    <t>Pit Fighter's Oath</t>
  </si>
  <si>
    <t>skyrim.esm|0E94F1</t>
  </si>
  <si>
    <t>Plan du prisonnier</t>
  </si>
  <si>
    <t>skyrim.esm|0211D7</t>
  </si>
  <si>
    <t>Poème d'amour</t>
  </si>
  <si>
    <t>dragonborn.esm|03A4B4</t>
  </si>
  <si>
    <t>Pour Milore, de la part de Nilara</t>
  </si>
  <si>
    <t>skyrim.esm|0BB3D3</t>
  </si>
  <si>
    <t>Pour Shelly</t>
  </si>
  <si>
    <t>skyrim.esm|09C8C0</t>
  </si>
  <si>
    <t>Pouvoir des éléments</t>
  </si>
  <si>
    <t>skyrim.esm|09C8C1</t>
  </si>
  <si>
    <t>skyrim.esm|09C8C2</t>
  </si>
  <si>
    <t>skyrim.esm|09C8C6</t>
  </si>
  <si>
    <t>skyrim.esm|0F37D0</t>
  </si>
  <si>
    <t>skyrim.esm|02F837</t>
  </si>
  <si>
    <t>Précis d'enchantement</t>
  </si>
  <si>
    <t>dragonborn.esm|03A2A0</t>
  </si>
  <si>
    <t>Première lettre de la CEO</t>
  </si>
  <si>
    <t>skyrim.esm|0D7773</t>
  </si>
  <si>
    <t>Première lettre de Linwe</t>
  </si>
  <si>
    <t>skyrim.esm|095129</t>
  </si>
  <si>
    <t>Prime</t>
  </si>
  <si>
    <t>skyrim.esm|0BC0A2</t>
  </si>
  <si>
    <t>skyrim.esm|0BD780</t>
  </si>
  <si>
    <t>skyrim.esm|0BD791</t>
  </si>
  <si>
    <t>skyrim.esm|0CBA9B</t>
  </si>
  <si>
    <t>skyrim.esm|0D07B2</t>
  </si>
  <si>
    <t>Prime de Kyr</t>
  </si>
  <si>
    <t>skyrim.esm|01B01C</t>
  </si>
  <si>
    <t>Progrès du crochetage</t>
  </si>
  <si>
    <t>skyrim.esm|0F6929</t>
  </si>
  <si>
    <t>Proposition opportune</t>
  </si>
  <si>
    <t>skyrim.esm|0FBA57</t>
  </si>
  <si>
    <t>Propriétés du jarl Gjalund</t>
  </si>
  <si>
    <t>skyrim.esm|01ACC6</t>
  </si>
  <si>
    <t>Rapport : le désastre de Ionith</t>
  </si>
  <si>
    <t>dragonborn.esm|017072</t>
  </si>
  <si>
    <t>Rapport d'expériences sur les araignées</t>
  </si>
  <si>
    <t>skyrim.esm|0F6898</t>
  </si>
  <si>
    <t>Rapport demandé</t>
  </si>
  <si>
    <t>skyrim.esm|0EDA90</t>
  </si>
  <si>
    <t>Rapport impérial sur Saarthal</t>
  </si>
  <si>
    <t>skyrim.esm|0D30C8</t>
  </si>
  <si>
    <t>Rapport sur l'incident de l'Hyposcole</t>
  </si>
  <si>
    <t>skyrim.esm|0F689E</t>
  </si>
  <si>
    <t>Ravi</t>
  </si>
  <si>
    <t>skyrim.esm|01AFCC</t>
  </si>
  <si>
    <t>Réalité et autres mensonges</t>
  </si>
  <si>
    <t>dragonborn.esm|01DA0F</t>
  </si>
  <si>
    <t>Recette - Araignée de feu explosive</t>
  </si>
  <si>
    <t>dragonborn.esm|01DA10</t>
  </si>
  <si>
    <t>Recette - Araignée de feu explosive x2</t>
  </si>
  <si>
    <t>dragonborn.esm|01DA13</t>
  </si>
  <si>
    <t>Recette - Araignée de feu sauteuse</t>
  </si>
  <si>
    <t>dragonborn.esm|01DA14</t>
  </si>
  <si>
    <t>Recette - Araignée de feu sauteuse x2</t>
  </si>
  <si>
    <t>dragonborn.esm|026D55</t>
  </si>
  <si>
    <t>Recette - Araignée de foudre explosive</t>
  </si>
  <si>
    <t>dragonborn.esm|026D56</t>
  </si>
  <si>
    <t>Recette - Araignée de foudre explosive x2</t>
  </si>
  <si>
    <t>dragonborn.esm|026D59</t>
  </si>
  <si>
    <t>Recette - Araignée de foudre sauteuse</t>
  </si>
  <si>
    <t>dragonborn.esm|026D5A</t>
  </si>
  <si>
    <t>Recette - Araignée de foudre sauteuse x2</t>
  </si>
  <si>
    <t>dragonborn.esm|026D3F</t>
  </si>
  <si>
    <t>Recette - Araignée de glace explosive</t>
  </si>
  <si>
    <t>dragonborn.esm|026D40</t>
  </si>
  <si>
    <t>Recette - Araignée de glace explosive x2</t>
  </si>
  <si>
    <t>dragonborn.esm|026D43</t>
  </si>
  <si>
    <t>Recette - Araignée de glace sauteuse</t>
  </si>
  <si>
    <t>dragonborn.esm|026D44</t>
  </si>
  <si>
    <t>Recette - Araignée de glace sauteuse x2</t>
  </si>
  <si>
    <t>dragonborn.esm|01DA11</t>
  </si>
  <si>
    <t>Recette - Araignée enflammée</t>
  </si>
  <si>
    <t>dragonborn.esm|01DA12</t>
  </si>
  <si>
    <t>Recette - Araignée enflammée x2</t>
  </si>
  <si>
    <t>dragonborn.esm|01DA19</t>
  </si>
  <si>
    <t>Recette - Araignée envenimée</t>
  </si>
  <si>
    <t>dragonborn.esm|01DA1A</t>
  </si>
  <si>
    <t>Recette - Araignée envenimée x2</t>
  </si>
  <si>
    <t>dragonborn.esm|026D57</t>
  </si>
  <si>
    <t>Recette - Araignée foudroyante</t>
  </si>
  <si>
    <t>dragonborn.esm|026D58</t>
  </si>
  <si>
    <t>Recette - Araignée foudroyante x2</t>
  </si>
  <si>
    <t>dragonborn.esm|026D41</t>
  </si>
  <si>
    <t>Recette - Araignée glaciale</t>
  </si>
  <si>
    <t>dragonborn.esm|026D42</t>
  </si>
  <si>
    <t>Recette - Araignée glaciale x2</t>
  </si>
  <si>
    <t>dragonborn.esm|027498</t>
  </si>
  <si>
    <t>Recette - Araignée huileuse</t>
  </si>
  <si>
    <t>dragonborn.esm|027496</t>
  </si>
  <si>
    <t>Recette - Araignée luisante</t>
  </si>
  <si>
    <t>dragonborn.esm|0274A1</t>
  </si>
  <si>
    <t>Recette - Araignée porteuse</t>
  </si>
  <si>
    <t>dragonborn.esm|01DA1C</t>
  </si>
  <si>
    <t>Recette - Araignée télépathe</t>
  </si>
  <si>
    <t>dragonborn.esm|01DA15</t>
  </si>
  <si>
    <t>Recette - Araignée venimeuse explosive</t>
  </si>
  <si>
    <t>dragonborn.esm|01DA16</t>
  </si>
  <si>
    <t>Recette - Araignée venimeuse explosive x2</t>
  </si>
  <si>
    <t>dragonborn.esm|01DA17</t>
  </si>
  <si>
    <t>Recette - Araignée venimeuse sauteuse</t>
  </si>
  <si>
    <t>dragonborn.esm|01DA18</t>
  </si>
  <si>
    <t>Recette - Araignée venimeuse sauteuse x2</t>
  </si>
  <si>
    <t>dawnguard.esm|00F39C</t>
  </si>
  <si>
    <t>Recette - Poison de frénésie</t>
  </si>
  <si>
    <t>skyrim.esm|0F5CB5</t>
  </si>
  <si>
    <t>Recette - Poison de pénalité de santé</t>
  </si>
  <si>
    <t>skyrim.esm|0F5CB6</t>
  </si>
  <si>
    <t>skyrim.esm|0F5CB7</t>
  </si>
  <si>
    <t>skyrim.esm|0F5CC1</t>
  </si>
  <si>
    <t>Recette - Poison de peur</t>
  </si>
  <si>
    <t>skyrim.esm|0F5CC2</t>
  </si>
  <si>
    <t>skyrim.esm|0F5CB1</t>
  </si>
  <si>
    <t>Recette - Poison paralysant</t>
  </si>
  <si>
    <t>skyrim.esm|0F5CB2</t>
  </si>
  <si>
    <t>skyrim.esm|0F5CB3</t>
  </si>
  <si>
    <t>Recette - Potion d'invisibilité</t>
  </si>
  <si>
    <t>skyrim.esm|0F5CB4</t>
  </si>
  <si>
    <t>skyrim.esm|0F5CC6</t>
  </si>
  <si>
    <t>Recette - Potion de renfort de portage</t>
  </si>
  <si>
    <t>skyrim.esm|0F5CC7</t>
  </si>
  <si>
    <t>skyrim.esm|0F5CC3</t>
  </si>
  <si>
    <t>Recette - Potion de résistance à la foudre</t>
  </si>
  <si>
    <t>skyrim.esm|0F5CC4</t>
  </si>
  <si>
    <t>skyrim.esm|0F5CBE</t>
  </si>
  <si>
    <t>Recette - Potion de résistance à la glace</t>
  </si>
  <si>
    <t>skyrim.esm|0F5CBF</t>
  </si>
  <si>
    <t>skyrim.esm|0F5CBD</t>
  </si>
  <si>
    <t>Recette - Potion de résistance au feu</t>
  </si>
  <si>
    <t>skyrim.esm|0F5CC0</t>
  </si>
  <si>
    <t>skyrim.esm|0F5CC5</t>
  </si>
  <si>
    <t>Recette - Potion de résistance au poison</t>
  </si>
  <si>
    <t>skyrim.esm|0F5CBA</t>
  </si>
  <si>
    <t>Recette - Potion de restauration de magie</t>
  </si>
  <si>
    <t>skyrim.esm|0F5CBB</t>
  </si>
  <si>
    <t>skyrim.esm|0F5CBC</t>
  </si>
  <si>
    <t>skyrim.esm|0F5CAC</t>
  </si>
  <si>
    <t>Recette - Potion de restauration de santé</t>
  </si>
  <si>
    <t>skyrim.esm|0F5CAD</t>
  </si>
  <si>
    <t>skyrim.esm|0F5CAE</t>
  </si>
  <si>
    <t>skyrim.esm|0F5CAF</t>
  </si>
  <si>
    <t>skyrim.esm|0F5CB8</t>
  </si>
  <si>
    <t>Recette - Potion médicinale</t>
  </si>
  <si>
    <t>skyrim.esm|0F5CB9</t>
  </si>
  <si>
    <t>skyrim.esm|10F766</t>
  </si>
  <si>
    <t>Recette de créateur d'Atronach</t>
  </si>
  <si>
    <t>skyrim.esm|10F769</t>
  </si>
  <si>
    <t>skyrim.esm|10F76A</t>
  </si>
  <si>
    <t>skyrim.esm|10F76B</t>
  </si>
  <si>
    <t>skyrim.esm|10F76C</t>
  </si>
  <si>
    <t>skyrim.esm|10F76D</t>
  </si>
  <si>
    <t>skyrim.esm|10F76E</t>
  </si>
  <si>
    <t>skyrim.esm|10F76F</t>
  </si>
  <si>
    <t>skyrim.esm|10F770</t>
  </si>
  <si>
    <t>skyrim.esm|10F771</t>
  </si>
  <si>
    <t>skyrim.esm|10F772</t>
  </si>
  <si>
    <t>skyrim.esm|10F773</t>
  </si>
  <si>
    <t>skyrim.esm|10F774</t>
  </si>
  <si>
    <t>skyrim.esm|10F775</t>
  </si>
  <si>
    <t>skyrim.esm|10F776</t>
  </si>
  <si>
    <t>skyrim.esm|10F777</t>
  </si>
  <si>
    <t>skyrim.esm|10F778</t>
  </si>
  <si>
    <t>skyrim.esm|10F779</t>
  </si>
  <si>
    <t>skyrim.esm|10F77A</t>
  </si>
  <si>
    <t>skyrim.esm|10F77B</t>
  </si>
  <si>
    <t>skyrim.esm|10F77C</t>
  </si>
  <si>
    <t>skyrim.esm|10F77D</t>
  </si>
  <si>
    <t>skyrim.esm|10F77E</t>
  </si>
  <si>
    <t>skyrim.esm|10F77F</t>
  </si>
  <si>
    <t>skyrim.esm|10F780</t>
  </si>
  <si>
    <t>skyrim.esm|10F781</t>
  </si>
  <si>
    <t>skyrim.esm|10F782</t>
  </si>
  <si>
    <t>skyrim.esm|10F783</t>
  </si>
  <si>
    <t>skyrim.esm|10F784</t>
  </si>
  <si>
    <t>skyrim.esm|10F785</t>
  </si>
  <si>
    <t>skyrim.esm|10F786</t>
  </si>
  <si>
    <t>skyrim.esm|0ED032</t>
  </si>
  <si>
    <t>Recette de la tourte au chaurus</t>
  </si>
  <si>
    <t>dawnguard.esm|0149A3</t>
  </si>
  <si>
    <t>Recherches de Venarus Vulpin</t>
  </si>
  <si>
    <t>skyrim.esm|0ED603</t>
  </si>
  <si>
    <t>Récolte de venin de givrépeire</t>
  </si>
  <si>
    <t>hearthfires.esm|003F7C</t>
  </si>
  <si>
    <t>Réfléchir à l'adoption</t>
  </si>
  <si>
    <t>skyrim.esm|032785</t>
  </si>
  <si>
    <t>Réflexions sur les Parchemins des Anciens</t>
  </si>
  <si>
    <t>skyrim.esm|01AD11</t>
  </si>
  <si>
    <t>Rejetons des Porcs</t>
  </si>
  <si>
    <t>skyrim.esm|01AD14</t>
  </si>
  <si>
    <t>Remanada</t>
  </si>
  <si>
    <t>skyrim.esm|01AFED</t>
  </si>
  <si>
    <t>Réponse au discours de Béro</t>
  </si>
  <si>
    <t>dragonborn.esm|03A4DC</t>
  </si>
  <si>
    <t>Réponse de la Maison Redoran</t>
  </si>
  <si>
    <t>skyrim.esm|06DF94</t>
  </si>
  <si>
    <t>Réponse de Rahgot</t>
  </si>
  <si>
    <t>windhelmsse.esp|1BF212</t>
  </si>
  <si>
    <t>Report: Attack on the Camp</t>
  </si>
  <si>
    <t>skyrim.esm|08AA45</t>
  </si>
  <si>
    <t>Requête d'un soldat</t>
  </si>
  <si>
    <t>skyrim.esm|039FC3</t>
  </si>
  <si>
    <t>Requête de</t>
  </si>
  <si>
    <t>skyrim.esm|01B236</t>
  </si>
  <si>
    <t>Respirer sous l'eau</t>
  </si>
  <si>
    <t>skyrim.esm|01ACFE</t>
  </si>
  <si>
    <t>Restitution arcane</t>
  </si>
  <si>
    <t>dragonborn.esm|03A4DD</t>
  </si>
  <si>
    <t>Résultats des recherches d'Adril</t>
  </si>
  <si>
    <t>skyrim.esm|01B004</t>
  </si>
  <si>
    <t>Rislav le Juste</t>
  </si>
  <si>
    <t>skyrim.esm|0C2987</t>
  </si>
  <si>
    <t>Rite de l'Aigle carmin</t>
  </si>
  <si>
    <t>skyrim.esm|01AFE5</t>
  </si>
  <si>
    <t>Roi</t>
  </si>
  <si>
    <t>skyrim.esm|01ACDB</t>
  </si>
  <si>
    <t>Ruines de Kemel-Ze</t>
  </si>
  <si>
    <t>skyrim.esm|01AFF1</t>
  </si>
  <si>
    <t>Sang immortel</t>
  </si>
  <si>
    <t>skyrim.esm|09F267</t>
  </si>
  <si>
    <t>Saveurs incongrues</t>
  </si>
  <si>
    <t>skyrim.esm|06851B</t>
  </si>
  <si>
    <t>Saveurs incongrues - Dédicacé</t>
  </si>
  <si>
    <t>windhelmsse.esp|26DBE6</t>
  </si>
  <si>
    <t>Scarred-Skald's Verse</t>
  </si>
  <si>
    <t>skyrim.esm|01AF93</t>
  </si>
  <si>
    <t>Shezarr et les Divins</t>
  </si>
  <si>
    <t>windhelmsse.esp|11AF2F</t>
  </si>
  <si>
    <t>Shor Son of Shor</t>
  </si>
  <si>
    <t>skyrim.esm|0F68AB</t>
  </si>
  <si>
    <t>Sibbi Roncenoir</t>
  </si>
  <si>
    <t>skyrim.esm|0F68A9</t>
  </si>
  <si>
    <t>Signalement d'une perturbation</t>
  </si>
  <si>
    <t>skyrim.esm|01AFCB</t>
  </si>
  <si>
    <t>Sithis</t>
  </si>
  <si>
    <t>keizaal.esp|025A4C</t>
  </si>
  <si>
    <t>Skyforge Steel Recipe</t>
  </si>
  <si>
    <t>keizaal.esp|025A4D</t>
  </si>
  <si>
    <t>keizaal.esp|E682E4</t>
  </si>
  <si>
    <t>Skyguard's Forge Manual</t>
  </si>
  <si>
    <t>skyrim.esm|02F838</t>
  </si>
  <si>
    <t>Sombre tragédie</t>
  </si>
  <si>
    <t>windhelmsse.esp|11AF87</t>
  </si>
  <si>
    <t>Songs of the Return, vol 27</t>
  </si>
  <si>
    <t>windhelmsse.esp|11AF92</t>
  </si>
  <si>
    <t>Songs of the Return, vol 49</t>
  </si>
  <si>
    <t>windhelmsse.esp|11AF86</t>
  </si>
  <si>
    <t>Songs of the Return, vol 5</t>
  </si>
  <si>
    <t>skyrim.esm|0AE324</t>
  </si>
  <si>
    <t>Sonnet du roi Olaf</t>
  </si>
  <si>
    <t>skyrim.esm|0E2FC6</t>
  </si>
  <si>
    <t>Sovngarde, une nouvelle étude</t>
  </si>
  <si>
    <t>keizaal.esp|DFD183</t>
  </si>
  <si>
    <t>Special Elixir Recipes</t>
  </si>
  <si>
    <t>keizaal.esp|07A338</t>
  </si>
  <si>
    <t>Spell Tome: Bardic Knowledge</t>
  </si>
  <si>
    <t>keizaal.esp|E729AE</t>
  </si>
  <si>
    <t>keizaal.esp|05219C</t>
  </si>
  <si>
    <t>Stros M'kai Rum Recipe</t>
  </si>
  <si>
    <t>the great cities - minor cities and towns.esp|0019AA</t>
  </si>
  <si>
    <t>Student Journal</t>
  </si>
  <si>
    <t>windhelmsse.esp|048476</t>
  </si>
  <si>
    <t>Sulvar's Notes</t>
  </si>
  <si>
    <t>windhelmsse.esp|26DC00</t>
  </si>
  <si>
    <t>Sulvar's Verse</t>
  </si>
  <si>
    <t>skyrim.esm|0ED037</t>
  </si>
  <si>
    <t>Survivre aux ruines nordiques</t>
  </si>
  <si>
    <t>skyrim.esm|0ED04D</t>
  </si>
  <si>
    <t>Talos : notre erreur</t>
  </si>
  <si>
    <t>skyrim.esm|01B020</t>
  </si>
  <si>
    <t>Témoin sacré</t>
  </si>
  <si>
    <t>windhelmsse.esp|28C440</t>
  </si>
  <si>
    <t>Thalmor Dossier</t>
  </si>
  <si>
    <t>windhelmsse.esp|12A485</t>
  </si>
  <si>
    <t>The Big Old Tome</t>
  </si>
  <si>
    <t>keizaal.esp|DBF8BB</t>
  </si>
  <si>
    <t>The God King Sorcerer</t>
  </si>
  <si>
    <t>windhelmsse.esp|11AF34</t>
  </si>
  <si>
    <t>The Road to Sovngarde</t>
  </si>
  <si>
    <t>windhelmsse.esp|291AD2</t>
  </si>
  <si>
    <t>The Song of Return: Skyrim, a Preamble</t>
  </si>
  <si>
    <t>windhelmsse.esp|11AF33</t>
  </si>
  <si>
    <t>The Ternion Monks</t>
  </si>
  <si>
    <t>aaagranitehill.esp|0778B1</t>
  </si>
  <si>
    <t>The Traveler's Guide to Granite Hill</t>
  </si>
  <si>
    <t>windhelmsse.esp|1B10B0</t>
  </si>
  <si>
    <t>To you two Brothers</t>
  </si>
  <si>
    <t>windhelmsse.esp|26DBFE</t>
  </si>
  <si>
    <t>Tormund's Verse</t>
  </si>
  <si>
    <t>windhelmsse.esp|085D86</t>
  </si>
  <si>
    <t>Torn page</t>
  </si>
  <si>
    <t>dawnguard.esm|01A3E8</t>
  </si>
  <si>
    <t>Toucher le ciel</t>
  </si>
  <si>
    <t>skyrim.esm|0F692C</t>
  </si>
  <si>
    <t>Toujours rien</t>
  </si>
  <si>
    <t>skyrim.esm|0B3236</t>
  </si>
  <si>
    <t>Traité d'illusion</t>
  </si>
  <si>
    <t>skyrim.esm|0B3237</t>
  </si>
  <si>
    <t>skyrim.esm|0B3238</t>
  </si>
  <si>
    <t>skyrim.esm|0B3239</t>
  </si>
  <si>
    <t>skyrim.esm|01ADB4</t>
  </si>
  <si>
    <t>Traité sur les villes ayleids</t>
  </si>
  <si>
    <t>dragonborn.esm|03A4B2</t>
  </si>
  <si>
    <t>Très chère Dreyla</t>
  </si>
  <si>
    <t>skyrim.esm|01B276</t>
  </si>
  <si>
    <t>Trois voleurs</t>
  </si>
  <si>
    <t>dragonborn.esm|03A2A2</t>
  </si>
  <si>
    <t>Troisième lettre de la CEO</t>
  </si>
  <si>
    <t>skyrim.esm|0EDD35</t>
  </si>
  <si>
    <t>Tuer - Avant d'être tué</t>
  </si>
  <si>
    <t>skyrim.esm|0A0322</t>
  </si>
  <si>
    <t>Un baiser, chère mère</t>
  </si>
  <si>
    <t>skyrim.esm|01AFC4</t>
  </si>
  <si>
    <t>Un jeu au dîner</t>
  </si>
  <si>
    <t>skyrim.esm|01AFEE</t>
  </si>
  <si>
    <t>Une trahison hypothétique</t>
  </si>
  <si>
    <t>windhelmsse.esp|0903D7</t>
  </si>
  <si>
    <t>Unsent letter</t>
  </si>
  <si>
    <t>dragonborn.esm|01D8D0</t>
  </si>
  <si>
    <t>Vent et sable</t>
  </si>
  <si>
    <t>skyrim.esm|01B007</t>
  </si>
  <si>
    <t>Vernaccus et Bourlor</t>
  </si>
  <si>
    <t>skyrim.esm|01B27A</t>
  </si>
  <si>
    <t>skyrim.esm|0ED02F</t>
  </si>
  <si>
    <t>Vision de Sovngarde</t>
  </si>
  <si>
    <t>skyrim.esm|01AFBF</t>
  </si>
  <si>
    <t>Voleur</t>
  </si>
  <si>
    <t>windhelmsse.esp|1DEEEF</t>
  </si>
  <si>
    <t>Vrage the Gifted</t>
  </si>
  <si>
    <t>skyrim.esm|01AFBA</t>
  </si>
  <si>
    <t>windhelmsse.esp|11AF32</t>
  </si>
  <si>
    <t>War Weather</t>
  </si>
  <si>
    <t>keizaal.esp|E07408</t>
  </si>
  <si>
    <t>We Ride at Dawn</t>
  </si>
  <si>
    <t>windhelmsse.esp|320712</t>
  </si>
  <si>
    <t>Wilhelm's Instructions</t>
  </si>
  <si>
    <t>keizaal.esp|025A49</t>
  </si>
  <si>
    <t>Writ of Safe Passage</t>
  </si>
  <si>
    <t>windhelmsse.esp|26DBE4</t>
  </si>
  <si>
    <t>Writers of Windhelm</t>
  </si>
  <si>
    <t>skyrim.esm|02A563</t>
  </si>
  <si>
    <t>Yngol et les esprits marins</t>
  </si>
  <si>
    <t>windhelmsse.esp|11AF2D</t>
  </si>
  <si>
    <t>Ysmir the Forefather, Volume IV</t>
  </si>
  <si>
    <t>skyrim.esm|01D4EC</t>
  </si>
  <si>
    <t>Torche</t>
  </si>
  <si>
    <t>Lumière / torche</t>
  </si>
  <si>
    <t>skyrim.esm|036343</t>
  </si>
  <si>
    <t>skyrim.esm|0C82C7</t>
  </si>
  <si>
    <t>dawnguard.esm|015374</t>
  </si>
  <si>
    <t>Torche lumineuse</t>
  </si>
  <si>
    <t>dawnguard.esm|000BB3</t>
  </si>
  <si>
    <t>Carreau d'acier</t>
  </si>
  <si>
    <t>Munition</t>
  </si>
  <si>
    <t>dawnguard.esm|00F1A0</t>
  </si>
  <si>
    <t>Carreau d'acier explosif de flambée</t>
  </si>
  <si>
    <t>dawnguard.esm|00F1BC</t>
  </si>
  <si>
    <t>Carreau d'acier explosif de foudre</t>
  </si>
  <si>
    <t>dawnguard.esm|00F1BB</t>
  </si>
  <si>
    <t>Carreau d'acier explosif de glace</t>
  </si>
  <si>
    <t>dawnguard.esm|00590C</t>
  </si>
  <si>
    <t>Carreau d'essai</t>
  </si>
  <si>
    <t>dawnguard.esm|00D099</t>
  </si>
  <si>
    <t>Carreau dwemer</t>
  </si>
  <si>
    <t>dawnguard.esm|00F1B1</t>
  </si>
  <si>
    <t>Carreau dwemer explosif de flambée</t>
  </si>
  <si>
    <t>dawnguard.esm|00F1B9</t>
  </si>
  <si>
    <t>Carreau dwemer explosif de foudre</t>
  </si>
  <si>
    <t>dawnguard.esm|00F1B7</t>
  </si>
  <si>
    <t>Carreau dwemer explosif de givre</t>
  </si>
  <si>
    <t>skyrim.esm|01397F</t>
  </si>
  <si>
    <t>Flèche d'acier</t>
  </si>
  <si>
    <t>skyrim.esm|105EE7</t>
  </si>
  <si>
    <t>skyrim.esm|0139BF</t>
  </si>
  <si>
    <t>Flèche d'ébonite</t>
  </si>
  <si>
    <t>skyrim.esm|0CAB52</t>
  </si>
  <si>
    <t>Flèche d'entraînement</t>
  </si>
  <si>
    <t>dawnguard.esm|0176F4</t>
  </si>
  <si>
    <t>Flèche d'os de dragon</t>
  </si>
  <si>
    <t>skyrim.esm|0139C0</t>
  </si>
  <si>
    <t>Flèche daedra</t>
  </si>
  <si>
    <t>skyrim.esm|01397D</t>
  </si>
  <si>
    <t>Flèche de fer</t>
  </si>
  <si>
    <t>skyrim.esm|0CEE9E</t>
  </si>
  <si>
    <t>Flèche de Parjure</t>
  </si>
  <si>
    <t>dragonborn.esm|026239</t>
  </si>
  <si>
    <t>Flèche de stalhrim</t>
  </si>
  <si>
    <t>skyrim.esm|0139BE</t>
  </si>
  <si>
    <t>Flèche de verre</t>
  </si>
  <si>
    <t>skyrim.esm|0EAFDF</t>
  </si>
  <si>
    <t>Flèche du héros</t>
  </si>
  <si>
    <t>skyrim.esm|0139BC</t>
  </si>
  <si>
    <t>Flèche dwemer</t>
  </si>
  <si>
    <t>skyrim.esm|0139BD</t>
  </si>
  <si>
    <t>Flèche elfique</t>
  </si>
  <si>
    <t>dawnguard.esm|0098A0</t>
  </si>
  <si>
    <t>Flèche elfique de sang maudit</t>
  </si>
  <si>
    <t>dawnguard.esm|0098A1</t>
  </si>
  <si>
    <t>Flèche elfique solaire</t>
  </si>
  <si>
    <t>skyrim.esm|038341</t>
  </si>
  <si>
    <t>Flèche falmer</t>
  </si>
  <si>
    <t>skyrim.esm|10B0A7</t>
  </si>
  <si>
    <t>Flèche liée</t>
  </si>
  <si>
    <t>dragonborn.esm|02623B</t>
  </si>
  <si>
    <t>Flèche nordique</t>
  </si>
  <si>
    <t>skyrim.esm|034182</t>
  </si>
  <si>
    <t>Flèche nordique antique</t>
  </si>
  <si>
    <t>skyrim.esm|0139BB</t>
  </si>
  <si>
    <t>Flèche orque</t>
  </si>
  <si>
    <t>skyrim.esm|0E738A</t>
  </si>
  <si>
    <t>Flèche rouillée</t>
  </si>
  <si>
    <t>dis_heavy_legion.esp|0012FA</t>
  </si>
  <si>
    <t>Imperial Arrow</t>
  </si>
  <si>
    <t>dragonborn.esm|017720</t>
  </si>
  <si>
    <t>Lance de riekelin</t>
  </si>
  <si>
    <t>dragonborn.esm|017719</t>
  </si>
  <si>
    <t>Abdomen d'araignée albinos</t>
  </si>
  <si>
    <t>Objet divers</t>
  </si>
  <si>
    <t>dragonborn.esm|01771F</t>
  </si>
  <si>
    <t>Abdomen d'araignée albinos endommagé</t>
  </si>
  <si>
    <t>hearthfires.esm|003035</t>
  </si>
  <si>
    <t>Accessoires en acier</t>
  </si>
  <si>
    <t>skyrim.esm|026C31</t>
  </si>
  <si>
    <t>Alambic de Tolfdir</t>
  </si>
  <si>
    <t>skyrim.esm|01CB34</t>
  </si>
  <si>
    <t>Alliance</t>
  </si>
  <si>
    <t>skyrim.esm|063B46</t>
  </si>
  <si>
    <t>Améthyste</t>
  </si>
  <si>
    <t>skyrim.esm|06851E</t>
  </si>
  <si>
    <t>Améthyste parfaite</t>
  </si>
  <si>
    <t>skyrim.esm|035073</t>
  </si>
  <si>
    <t>skyrim.esm|0DA735</t>
  </si>
  <si>
    <t>Anneau de Balwen</t>
  </si>
  <si>
    <t>skyrim.esm|0DA733</t>
  </si>
  <si>
    <t>Anneau de Katarina</t>
  </si>
  <si>
    <t>skyrim.esm|0DA734</t>
  </si>
  <si>
    <t>Anneau de Pithi</t>
  </si>
  <si>
    <t>skyrim.esm|0DA732</t>
  </si>
  <si>
    <t>Anneau de Treoy</t>
  </si>
  <si>
    <t>hearthfires.esm|003043</t>
  </si>
  <si>
    <t>Argile</t>
  </si>
  <si>
    <t>update.esm|0030C9</t>
  </si>
  <si>
    <t>Armure de destrier d'acier</t>
  </si>
  <si>
    <t>update.esm|0030CA</t>
  </si>
  <si>
    <t>Armure de destrier elfique</t>
  </si>
  <si>
    <t>skyrim.esm|098624</t>
  </si>
  <si>
    <t>Assiette</t>
  </si>
  <si>
    <t>skyrim.esm|0B9BD0</t>
  </si>
  <si>
    <t>skyrim.esm|0E2617</t>
  </si>
  <si>
    <t>skyrim.esm|0E2618</t>
  </si>
  <si>
    <t>skyrim.esm|0F08F5</t>
  </si>
  <si>
    <t>skyrim.esm|027F15</t>
  </si>
  <si>
    <t>Assiette dwemer</t>
  </si>
  <si>
    <t>skyrim.esm|031941</t>
  </si>
  <si>
    <t>Assiette en bois</t>
  </si>
  <si>
    <t>skyrim.esm|06717F</t>
  </si>
  <si>
    <t>Balai</t>
  </si>
  <si>
    <t>skyrim.esm|0800E4</t>
  </si>
  <si>
    <t>Bandes de cuir</t>
  </si>
  <si>
    <t>keizaal.esp|000113</t>
  </si>
  <si>
    <t>Basket</t>
  </si>
  <si>
    <t>keizaal.esp|000115</t>
  </si>
  <si>
    <t>keizaal.esp|000116</t>
  </si>
  <si>
    <t>keizaal.esp|000117</t>
  </si>
  <si>
    <t>keizaal.esp|000114</t>
  </si>
  <si>
    <t>Basket Lid</t>
  </si>
  <si>
    <t>skyrim.esm|0B08C7</t>
  </si>
  <si>
    <t>Bocal à abeille</t>
  </si>
  <si>
    <t>skyrim.esm|0FBC3B</t>
  </si>
  <si>
    <t>Bocal à libellule</t>
  </si>
  <si>
    <t>skyrim.esm|0FBC3A</t>
  </si>
  <si>
    <t>Bocal à luciole</t>
  </si>
  <si>
    <t>skyrim.esm|0FBC3C</t>
  </si>
  <si>
    <t>Bocal à papillon</t>
  </si>
  <si>
    <t>skyrim.esm|0FBC3D</t>
  </si>
  <si>
    <t>Bocal à papillon de nuit</t>
  </si>
  <si>
    <t>skyrim.esm|098626</t>
  </si>
  <si>
    <t>Bol</t>
  </si>
  <si>
    <t>skyrim.esm|098627</t>
  </si>
  <si>
    <t>skyrim.esm|0B9BCC</t>
  </si>
  <si>
    <t>skyrim.esm|0B9BD8</t>
  </si>
  <si>
    <t>skyrim.esm|0F08FA</t>
  </si>
  <si>
    <t>skyrim.esm|0F08FB</t>
  </si>
  <si>
    <t>skyrim.esm|025C13</t>
  </si>
  <si>
    <t>Bol dwemer</t>
  </si>
  <si>
    <t>skyrim.esm|025C68</t>
  </si>
  <si>
    <t>skyrim.esm|0E1FC3</t>
  </si>
  <si>
    <t>skyrim.esm|03199A</t>
  </si>
  <si>
    <t>Bol en bois</t>
  </si>
  <si>
    <t>skyrim.esm|0E42DF</t>
  </si>
  <si>
    <t>Bougie</t>
  </si>
  <si>
    <t>skyrim.esm|0E42E0</t>
  </si>
  <si>
    <t>skyrim.esm|0E42E1</t>
  </si>
  <si>
    <t>skyrim.esm|0AA03E</t>
  </si>
  <si>
    <t>Bougie argentée</t>
  </si>
  <si>
    <t>skyrim.esm|044E6A</t>
  </si>
  <si>
    <t>Bougie ornée</t>
  </si>
  <si>
    <t>skyrim.esm|012FE6</t>
  </si>
  <si>
    <t>Bouilloire</t>
  </si>
  <si>
    <t>skyrim.esm|09DA9C</t>
  </si>
  <si>
    <t>Bourse</t>
  </si>
  <si>
    <t>skyrim.esm|09DA9D</t>
  </si>
  <si>
    <t>skyrim.esm|09DA9E</t>
  </si>
  <si>
    <t>skyrim.esm|0F03F8</t>
  </si>
  <si>
    <t>Bouteille de skooma vide</t>
  </si>
  <si>
    <t>dawnguard.esm|0093F5</t>
  </si>
  <si>
    <t>Bouteille de vin vide</t>
  </si>
  <si>
    <t>dawnguard.esm|0093F6</t>
  </si>
  <si>
    <t>skyrim.esm|0F2012</t>
  </si>
  <si>
    <t>skyrim.esm|0F2013</t>
  </si>
  <si>
    <t>skyrim.esm|0F2014</t>
  </si>
  <si>
    <t>skyrim.esm|0F2015</t>
  </si>
  <si>
    <t>skyrim.esm|0FED17</t>
  </si>
  <si>
    <t>keizaal.esp|060CD6</t>
  </si>
  <si>
    <t>Bragii's Lute</t>
  </si>
  <si>
    <t>dawnguard.esm|005706</t>
  </si>
  <si>
    <t>Bras de vampire ancien</t>
  </si>
  <si>
    <t>skyrim.esm|019954</t>
  </si>
  <si>
    <t>Buste du Renard gris</t>
  </si>
  <si>
    <t>dawnguard.esm|005707</t>
  </si>
  <si>
    <t>Cage thoracique de vampire ancien</t>
  </si>
  <si>
    <t>skyrim.esm|03EC95</t>
  </si>
  <si>
    <t>Caisse de vin-de-feu</t>
  </si>
  <si>
    <t>dawnguard.esm|008426</t>
  </si>
  <si>
    <t>Calice de Pierresang</t>
  </si>
  <si>
    <t>dawnguard.esm|0088EB</t>
  </si>
  <si>
    <t>skyrim.esm|019952</t>
  </si>
  <si>
    <t>Carafe d'hydrhonning</t>
  </si>
  <si>
    <t>skyrim.esm|060CC2</t>
  </si>
  <si>
    <t>Carte de l'Empire oriental</t>
  </si>
  <si>
    <t>skyrim.esm|0BBCD5</t>
  </si>
  <si>
    <t>Carte des cimetières de dragons</t>
  </si>
  <si>
    <t>dragonborn.esm|02BAAE</t>
  </si>
  <si>
    <t>Carte du trésor du Balafré</t>
  </si>
  <si>
    <t>skyrim.esm|033760</t>
  </si>
  <si>
    <t>Charbon de bois</t>
  </si>
  <si>
    <t>skyrim.esm|0BFB09</t>
  </si>
  <si>
    <t>keizaal.esp|015482</t>
  </si>
  <si>
    <t>Charcoal</t>
  </si>
  <si>
    <t>keizaal.esp|015484</t>
  </si>
  <si>
    <t>Charcoal Briquette</t>
  </si>
  <si>
    <t>skyrim.esm|03AD57</t>
  </si>
  <si>
    <t>Chitine de chaurus</t>
  </si>
  <si>
    <t>dawnguard.esm|0195AA</t>
  </si>
  <si>
    <t>Chitine de durinsecte</t>
  </si>
  <si>
    <t>skyrim.esm|0319E3</t>
  </si>
  <si>
    <t>Chope</t>
  </si>
  <si>
    <t>dawnguard.esm|008E4A</t>
  </si>
  <si>
    <t>Chope sanglante</t>
  </si>
  <si>
    <t>oarsrest.esp|04D084</t>
  </si>
  <si>
    <t>Clam</t>
  </si>
  <si>
    <t>skyrim.esm|0AADB6</t>
  </si>
  <si>
    <t>Clé au crâne de Saerek</t>
  </si>
  <si>
    <t>skyrim.esm|0AADB7</t>
  </si>
  <si>
    <t>Clé au crâne de Torsten</t>
  </si>
  <si>
    <t>skyrim.esm|03A070</t>
  </si>
  <si>
    <t>Clé squelette</t>
  </si>
  <si>
    <t>hearthfires.esm|00300F</t>
  </si>
  <si>
    <t>Clous</t>
  </si>
  <si>
    <t>skyrim.esm|04FDB0</t>
  </si>
  <si>
    <t>Coeur d'hiver</t>
  </si>
  <si>
    <t>dragonborn.esm|017749</t>
  </si>
  <si>
    <t>Coeur de pierre</t>
  </si>
  <si>
    <t>dragonborn.esm|0195A9</t>
  </si>
  <si>
    <t>skyrim.esm|02C260</t>
  </si>
  <si>
    <t>keizaal.esp|015485</t>
  </si>
  <si>
    <t>Coke</t>
  </si>
  <si>
    <t>dawnguard.esm|00F709</t>
  </si>
  <si>
    <t>Collier de chien de la mort</t>
  </si>
  <si>
    <t>skyrim.esm|03E4AD</t>
  </si>
  <si>
    <t>Colovian Brandy TEMP</t>
  </si>
  <si>
    <t>dawnguard.esm|003D7D</t>
  </si>
  <si>
    <t>Concentration tellurique</t>
  </si>
  <si>
    <t>skyrim.esm|033764</t>
  </si>
  <si>
    <t>Copie de la Pierre de Calcelmo</t>
  </si>
  <si>
    <t>skyrim.esm|05ACDB</t>
  </si>
  <si>
    <t>Corindon brut</t>
  </si>
  <si>
    <t>skyrim.esm|05AD93</t>
  </si>
  <si>
    <t>Corindon raffiné</t>
  </si>
  <si>
    <t>skyrim.esm|0E77BB</t>
  </si>
  <si>
    <t>Corne de guerre de Torygg</t>
  </si>
  <si>
    <t>skyrim.esm|0200BA</t>
  </si>
  <si>
    <t>Corne de guerre impériale</t>
  </si>
  <si>
    <t>skyrim.esm|0200B6</t>
  </si>
  <si>
    <t>Corne de guerre nordique</t>
  </si>
  <si>
    <t>skyrim.esm|03292F</t>
  </si>
  <si>
    <t>Corne de Jurgen Parlevent</t>
  </si>
  <si>
    <t>skyrim.esm|044E65</t>
  </si>
  <si>
    <t>Corne ornée</t>
  </si>
  <si>
    <t>hearthfires.esm|00303F</t>
  </si>
  <si>
    <t>Cornes de chèvre</t>
  </si>
  <si>
    <t>skyrim.esm|027F07</t>
  </si>
  <si>
    <t>Coupe dwemer</t>
  </si>
  <si>
    <t>skyrim.esm|027F08</t>
  </si>
  <si>
    <t>skyrim.esm|027F09</t>
  </si>
  <si>
    <t>skyrim.esm|09DFF5</t>
  </si>
  <si>
    <t>Couronne de Barenziah</t>
  </si>
  <si>
    <t>skyrim.esm|0DA74D</t>
  </si>
  <si>
    <t>skyrim.esm|0AEBF7</t>
  </si>
  <si>
    <t>dawnguard.esm|007A2B</t>
  </si>
  <si>
    <t>Couteau à deux manches</t>
  </si>
  <si>
    <t>dragonborn.esm|020DCF</t>
  </si>
  <si>
    <t>Crâne</t>
  </si>
  <si>
    <t>skyrim.esm|0AF5FD</t>
  </si>
  <si>
    <t>dawnguard.esm|002993</t>
  </si>
  <si>
    <t>Crâne d'aigle osseux</t>
  </si>
  <si>
    <t>dawnguard.esm|002B29</t>
  </si>
  <si>
    <t>Crâne d'Arvak</t>
  </si>
  <si>
    <t>dawnguard.esm|0191CB</t>
  </si>
  <si>
    <t>dragonborn.esm|0247F9</t>
  </si>
  <si>
    <t>Crâne de Karstaag</t>
  </si>
  <si>
    <t>skyrim.esm|09E01F</t>
  </si>
  <si>
    <t>Crâne de Potéma</t>
  </si>
  <si>
    <t>skyrim.esm|0319E4</t>
  </si>
  <si>
    <t>Crâne de troll</t>
  </si>
  <si>
    <t>skyrim.esm|04E4E6</t>
  </si>
  <si>
    <t>Cristal de Méridia</t>
  </si>
  <si>
    <t>skyrim.esm|06F3AA</t>
  </si>
  <si>
    <t>Cristal étrange</t>
  </si>
  <si>
    <t>skyrim.esm|09F7A6</t>
  </si>
  <si>
    <t>Cristal focalisant</t>
  </si>
  <si>
    <t>skyrim.esm|00000A</t>
  </si>
  <si>
    <t>Crochet</t>
  </si>
  <si>
    <t>skyrim.esm|044E70</t>
  </si>
  <si>
    <t>Cruche</t>
  </si>
  <si>
    <t>skyrim.esm|0F257D</t>
  </si>
  <si>
    <t>Cruche de Michaela</t>
  </si>
  <si>
    <t>skyrim.esm|044E67</t>
  </si>
  <si>
    <t>Cruche ornée</t>
  </si>
  <si>
    <t>skyrim.esm|044E6E</t>
  </si>
  <si>
    <t>dragonborn.esm|0173BB</t>
  </si>
  <si>
    <t>Cube de commande</t>
  </si>
  <si>
    <t>skyrim.esm|05598C</t>
  </si>
  <si>
    <t>Cube dwemer</t>
  </si>
  <si>
    <t>skyrim.esm|0AEBF4</t>
  </si>
  <si>
    <t>Cuillère</t>
  </si>
  <si>
    <t>skyrim.esm|105A4E</t>
  </si>
  <si>
    <t>Cuillère à soupe d'Ysgramor</t>
  </si>
  <si>
    <t>skyrim.esm|043E28</t>
  </si>
  <si>
    <t>Cuillère de Wylandriah</t>
  </si>
  <si>
    <t>dragonborn.esm|01CD7C</t>
  </si>
  <si>
    <t>Cuir de netch</t>
  </si>
  <si>
    <t>skyrim.esm|05E52A</t>
  </si>
  <si>
    <t>Cuisse de boeuf rôtie</t>
  </si>
  <si>
    <t>dawnguard.esm|01A87F</t>
  </si>
  <si>
    <t>Cuisse de cheval squelettique</t>
  </si>
  <si>
    <t>skyrim.esm|03AD68</t>
  </si>
  <si>
    <t>Défense de horqueur</t>
  </si>
  <si>
    <t>skyrim.esm|03AD6C</t>
  </si>
  <si>
    <t>Défense de mammouth</t>
  </si>
  <si>
    <t>skyrim.esm|02C25E</t>
  </si>
  <si>
    <t>skyrim.esm|075868</t>
  </si>
  <si>
    <t>Dépouille d'Habd</t>
  </si>
  <si>
    <t>skyrim.esm|063B47</t>
  </si>
  <si>
    <t>Diamant</t>
  </si>
  <si>
    <t>skyrim.esm|06851F</t>
  </si>
  <si>
    <t>Diamant parfait</t>
  </si>
  <si>
    <t>skyrim.esm|0C7316</t>
  </si>
  <si>
    <t>Do Not Delete</t>
  </si>
  <si>
    <t>skyrim.esm|0EA5C5</t>
  </si>
  <si>
    <t>skyrim.esm|103370</t>
  </si>
  <si>
    <t>skyrim.esm|10C762</t>
  </si>
  <si>
    <t>skyrim.esm|0DC52E</t>
  </si>
  <si>
    <t>Documents des Sombrages</t>
  </si>
  <si>
    <t>skyrim.esm|0DC530</t>
  </si>
  <si>
    <t>Documents impériaux</t>
  </si>
  <si>
    <t>skyrim.esm|070BC3</t>
  </si>
  <si>
    <t>Drapeau</t>
  </si>
  <si>
    <t>skyrim.esm|070BC4</t>
  </si>
  <si>
    <t>skyrim.esm|05ACDC</t>
  </si>
  <si>
    <t>Ébonite brute</t>
  </si>
  <si>
    <t>skyrim.esm|05AD9D</t>
  </si>
  <si>
    <t>Ébonite raffinée</t>
  </si>
  <si>
    <t>skyrim.esm|0D0756</t>
  </si>
  <si>
    <t>Écailles de coeur de dragon</t>
  </si>
  <si>
    <t>skyrim.esm|03ADA3</t>
  </si>
  <si>
    <t>Écailles de dragon</t>
  </si>
  <si>
    <t>dragonborn.esm|01B65C</t>
  </si>
  <si>
    <t>Échantillon d'engeance des cendres</t>
  </si>
  <si>
    <t>dawnguard.esm|0191B7</t>
  </si>
  <si>
    <t>Écorce d'arbre du cantique</t>
  </si>
  <si>
    <t>dawnguard.esm|01932B</t>
  </si>
  <si>
    <t>skyrim.esm|063B43</t>
  </si>
  <si>
    <t>Émeraude</t>
  </si>
  <si>
    <t>dawnguard.esm|019ABC</t>
  </si>
  <si>
    <t>Émeraude parangon</t>
  </si>
  <si>
    <t>skyrim.esm|068520</t>
  </si>
  <si>
    <t>Émeraude parfaite</t>
  </si>
  <si>
    <t>skyrim.esm|04C3C6</t>
  </si>
  <si>
    <t>Encrier</t>
  </si>
  <si>
    <t>skyrim.esm|0C8861</t>
  </si>
  <si>
    <t>Engrenage dwemer</t>
  </si>
  <si>
    <t>skyrim.esm|0AEBF1</t>
  </si>
  <si>
    <t>Engrenages dwemer</t>
  </si>
  <si>
    <t>skyrim.esm|0C8872</t>
  </si>
  <si>
    <t>Étai dwemer</t>
  </si>
  <si>
    <t>skyrim.esm|0C8878</t>
  </si>
  <si>
    <t>Étai dwemer décoratif</t>
  </si>
  <si>
    <t>skyrim.esm|028AD7</t>
  </si>
  <si>
    <t>Étoile d'Azura brisée</t>
  </si>
  <si>
    <t>skyrim.esm|044E12</t>
  </si>
  <si>
    <t>Étrange moule en argent</t>
  </si>
  <si>
    <t>skyrim.esm|01A31C</t>
  </si>
  <si>
    <t>Extracteur d'essence</t>
  </si>
  <si>
    <t>dragonborn.esm|01CDF4</t>
  </si>
  <si>
    <t>Extracteur de cendres</t>
  </si>
  <si>
    <t>oarsrest.esp|04D079</t>
  </si>
  <si>
    <t>Fake Dwemer Coin</t>
  </si>
  <si>
    <t>dawnguard.esm|00D3ED</t>
  </si>
  <si>
    <t>Farine d'os moulue finement</t>
  </si>
  <si>
    <t>skyrim.esm|067180</t>
  </si>
  <si>
    <t>Fer à repasser</t>
  </si>
  <si>
    <t>skyrim.esm|0C886A</t>
  </si>
  <si>
    <t>Ferraille dwemer</t>
  </si>
  <si>
    <t>skyrim.esm|0C886C</t>
  </si>
  <si>
    <t>Ferraille dwemer tordue</t>
  </si>
  <si>
    <t>skyrim.esm|02C25A</t>
  </si>
  <si>
    <t>Fiole blanche (vide)</t>
  </si>
  <si>
    <t>skyrim.esm|02C259</t>
  </si>
  <si>
    <t>Fiole blanche fêlée</t>
  </si>
  <si>
    <t>skyrim.esm|0DABA7</t>
  </si>
  <si>
    <t>Flûte</t>
  </si>
  <si>
    <t>skyrim.esm|105177</t>
  </si>
  <si>
    <t>skyrim.esm|0F5D07</t>
  </si>
  <si>
    <t>Fourche</t>
  </si>
  <si>
    <t>skyrim.esm|0F5D08</t>
  </si>
  <si>
    <t>skyrim.esm|0AEBF3</t>
  </si>
  <si>
    <t>skyrim.esm|1058AA</t>
  </si>
  <si>
    <t>Fourchette de Balbus</t>
  </si>
  <si>
    <t>skyrim.esm|0240D6</t>
  </si>
  <si>
    <t>Fourreau de la Dague de Mehrunes</t>
  </si>
  <si>
    <t>skyrim.esm|0EAFD7</t>
  </si>
  <si>
    <t>dawnguard.esm|00575C</t>
  </si>
  <si>
    <t>Fragment de cristal luisant</t>
  </si>
  <si>
    <t>dawnguard.esm|01433C</t>
  </si>
  <si>
    <t>dawnguard.esm|01433D</t>
  </si>
  <si>
    <t>dawnguard.esm|01433E</t>
  </si>
  <si>
    <t>dawnguard.esm|0066F3</t>
  </si>
  <si>
    <t>Fragment de gemme de faucheur</t>
  </si>
  <si>
    <t>dawnguard.esm|0066F5</t>
  </si>
  <si>
    <t>dawnguard.esm|0066F6</t>
  </si>
  <si>
    <t>skyrim.esm|067181</t>
  </si>
  <si>
    <t>Fragment de gemme spirituelle</t>
  </si>
  <si>
    <t>skyrim.esm|067182</t>
  </si>
  <si>
    <t>skyrim.esm|067183</t>
  </si>
  <si>
    <t>skyrim.esm|067184</t>
  </si>
  <si>
    <t>skyrim.esm|067185</t>
  </si>
  <si>
    <t>skyrim.esm|064283</t>
  </si>
  <si>
    <t>Fragment de Wuuthrad</t>
  </si>
  <si>
    <t>skyrim.esm|064285</t>
  </si>
  <si>
    <t>skyrim.esm|064287</t>
  </si>
  <si>
    <t>skyrim.esm|064289</t>
  </si>
  <si>
    <t>skyrim.esm|06428B</t>
  </si>
  <si>
    <t>skyrim.esm|06428E</t>
  </si>
  <si>
    <t>skyrim.esm|064290</t>
  </si>
  <si>
    <t>skyrim.esm|064292</t>
  </si>
  <si>
    <t>skyrim.esm|064294</t>
  </si>
  <si>
    <t>skyrim.esm|064296</t>
  </si>
  <si>
    <t>skyrim.esm|064298</t>
  </si>
  <si>
    <t>skyrim.esm|06E806</t>
  </si>
  <si>
    <t>skyrim.esm|0240D5</t>
  </si>
  <si>
    <t>Fragments de la Dague de Mehrunes</t>
  </si>
  <si>
    <t>dawnguard.esm|00D3EF</t>
  </si>
  <si>
    <t>Fragments de pierre spirituelle</t>
  </si>
  <si>
    <t>skyrim.esm|0DB351</t>
  </si>
  <si>
    <t>Fragments de Wuuthrad</t>
  </si>
  <si>
    <t>dawnguard.esm|00EA6A</t>
  </si>
  <si>
    <t>Gemme d'essence spirituelle (pleine)</t>
  </si>
  <si>
    <t>skyrim.esm|059654</t>
  </si>
  <si>
    <t>Gemme d'Olava</t>
  </si>
  <si>
    <t>dragonborn.esm|02145A</t>
  </si>
  <si>
    <t>Gemme de résonance de Kagrumez</t>
  </si>
  <si>
    <t>dragonborn.esm|03166F</t>
  </si>
  <si>
    <t>dragonborn.esm|031670</t>
  </si>
  <si>
    <t>dragonborn.esm|031671</t>
  </si>
  <si>
    <t>dragonborn.esm|031672</t>
  </si>
  <si>
    <t>skyrim.esm|09DFBB</t>
  </si>
  <si>
    <t>Gemme étrange</t>
  </si>
  <si>
    <t>skyrim.esm|04055F</t>
  </si>
  <si>
    <t>Gemme mystérieuse</t>
  </si>
  <si>
    <t>skyrim.esm|01FE9B</t>
  </si>
  <si>
    <t>skyrim.esm|028AD9</t>
  </si>
  <si>
    <t>Gemme spirituelle noire de Malyn</t>
  </si>
  <si>
    <t>skyrim.esm|06A106</t>
  </si>
  <si>
    <t>Gemme spirituelle pervertie</t>
  </si>
  <si>
    <t>skyrim.esm|06A107</t>
  </si>
  <si>
    <t>skyrim.esm|06A108</t>
  </si>
  <si>
    <t>skyrim.esm|06A109</t>
  </si>
  <si>
    <t>skyrim.esm|06A10A</t>
  </si>
  <si>
    <t>skyrim.esm|10E44B</t>
  </si>
  <si>
    <t>morecraftableequipment.esp|00088B</t>
  </si>
  <si>
    <t>Giant Bracers (Unfitted)</t>
  </si>
  <si>
    <t>morecraftableequipment.esp|000889</t>
  </si>
  <si>
    <t>Giant Clothes (Unfitted)</t>
  </si>
  <si>
    <t>morecraftableequipment.esp|00088A</t>
  </si>
  <si>
    <t>Giant Legwraps (Unfitted)</t>
  </si>
  <si>
    <t>skyrim.esm|098620</t>
  </si>
  <si>
    <t>Gobelet</t>
  </si>
  <si>
    <t>skyrim.esm|098621</t>
  </si>
  <si>
    <t>skyrim.esm|0B9BDA</t>
  </si>
  <si>
    <t>skyrim.esm|0F08F9</t>
  </si>
  <si>
    <t>dawnguard.esm|011DB2</t>
  </si>
  <si>
    <t>Gobelet d'argent</t>
  </si>
  <si>
    <t>dawnguard.esm|011DB3</t>
  </si>
  <si>
    <t>skyrim.esm|044E6C</t>
  </si>
  <si>
    <t>Gobelet orné</t>
  </si>
  <si>
    <t>hearthfires.esm|003011</t>
  </si>
  <si>
    <t>Gond</t>
  </si>
  <si>
    <t>skyrim.esm|0C8864</t>
  </si>
  <si>
    <t>Grande plaque dwemer</t>
  </si>
  <si>
    <t>skyrim.esm|063B45</t>
  </si>
  <si>
    <t>Grenat</t>
  </si>
  <si>
    <t>skyrim.esm|068521</t>
  </si>
  <si>
    <t>Grenat parfait</t>
  </si>
  <si>
    <t>dragonborn.esm|01CAC1</t>
  </si>
  <si>
    <t>Griffe d'améthyste - Moitié droite</t>
  </si>
  <si>
    <t>dragonborn.esm|01CAC0</t>
  </si>
  <si>
    <t>Griffe d'améthyste - Moitié gauche</t>
  </si>
  <si>
    <t>skyrim.esm|05AF48</t>
  </si>
  <si>
    <t>Griffe d'ébonite</t>
  </si>
  <si>
    <t>skyrim.esm|039647</t>
  </si>
  <si>
    <t>Griffe d'or</t>
  </si>
  <si>
    <t>skyrim.esm|0999E7</t>
  </si>
  <si>
    <t>skyrim.esm|0AB375</t>
  </si>
  <si>
    <t>Griffe de diamant</t>
  </si>
  <si>
    <t>skyrim.esm|0B634C</t>
  </si>
  <si>
    <t>Griffe de dragon en corail</t>
  </si>
  <si>
    <t>skyrim.esm|0ED417</t>
  </si>
  <si>
    <t>Griffe de dragon en émeraude</t>
  </si>
  <si>
    <t>skyrim.esm|0AB7BB</t>
  </si>
  <si>
    <t>Griffe de dragon en ivoire</t>
  </si>
  <si>
    <t>skyrim.esm|04B56C</t>
  </si>
  <si>
    <t>Griffe de dragon en rubis</t>
  </si>
  <si>
    <t>skyrim.esm|0663D7</t>
  </si>
  <si>
    <t>Griffe de dragon en saphir</t>
  </si>
  <si>
    <t>skyrim.esm|08CDFA</t>
  </si>
  <si>
    <t>Griffe de fer</t>
  </si>
  <si>
    <t>skyrim.esm|07C260</t>
  </si>
  <si>
    <t>Griffe de verre</t>
  </si>
  <si>
    <t>skyrim.esm|0C8868</t>
  </si>
  <si>
    <t>Gyrostat dwemer</t>
  </si>
  <si>
    <t>skyrim.esm|01F6D4</t>
  </si>
  <si>
    <t>Héritage de la famille Aretino</t>
  </si>
  <si>
    <t>kzlhorses.esp|01024B</t>
  </si>
  <si>
    <t>House Key</t>
  </si>
  <si>
    <t>skyrim.esm|0E1FBB</t>
  </si>
  <si>
    <t>Ingrédient de torpeur 1</t>
  </si>
  <si>
    <t>skyrim.esm|0E1FBC</t>
  </si>
  <si>
    <t>Ingrédient de torpeur 2</t>
  </si>
  <si>
    <t>skyrim.esm|0E1FBD</t>
  </si>
  <si>
    <t>Ingrédient de torpeur 3</t>
  </si>
  <si>
    <t>dawnguard.esm|008E4E</t>
  </si>
  <si>
    <t>Instrument de torture</t>
  </si>
  <si>
    <t>skyrim.esm|020949</t>
  </si>
  <si>
    <t>Instruments de torture</t>
  </si>
  <si>
    <t>dawnguard.esm|005703</t>
  </si>
  <si>
    <t>Jambe de vampire ancien</t>
  </si>
  <si>
    <t>keizaal.esp|000118</t>
  </si>
  <si>
    <t>Jar</t>
  </si>
  <si>
    <t>keizaal.esp|000119</t>
  </si>
  <si>
    <t>keizaal.esp|00011A</t>
  </si>
  <si>
    <t>windhelmsse.esp|17C529</t>
  </si>
  <si>
    <t>Jeweled Goblet</t>
  </si>
  <si>
    <t>skyrim.esm|0E7296</t>
  </si>
  <si>
    <t>Lame d'épée d'acier brisée</t>
  </si>
  <si>
    <t>skyrim.esm|0E72B0</t>
  </si>
  <si>
    <t>Lame d'épée de fer brisée</t>
  </si>
  <si>
    <t>skyrim.esm|0E729A</t>
  </si>
  <si>
    <t>Lame d'espadon d'acier brisé</t>
  </si>
  <si>
    <t>skyrim.esm|0E729E</t>
  </si>
  <si>
    <t>Lame de hache d'armes d'acier brisée</t>
  </si>
  <si>
    <t>skyrim.esm|0E72A8</t>
  </si>
  <si>
    <t>Lame de hache de fer brisée</t>
  </si>
  <si>
    <t>skyrim.esm|0EAFDD</t>
  </si>
  <si>
    <t>Lame de la Dague de Mehrunes</t>
  </si>
  <si>
    <t>skyrim.esm|0318EC</t>
  </si>
  <si>
    <t>Lanterne</t>
  </si>
  <si>
    <t>skyrim.esm|0DB5D2</t>
  </si>
  <si>
    <t>Leather</t>
  </si>
  <si>
    <t>skyrim.esm|035074</t>
  </si>
  <si>
    <t>Lettre cachetée</t>
  </si>
  <si>
    <t>skyrim.esm|0C886E</t>
  </si>
  <si>
    <t>Levier dwemer</t>
  </si>
  <si>
    <t>skyrim.esm|03A3E4</t>
  </si>
  <si>
    <t>Lexique</t>
  </si>
  <si>
    <t>skyrim.esm|03A3DD</t>
  </si>
  <si>
    <t>Lexique à runes</t>
  </si>
  <si>
    <t>skyrim.esm|03A3D2</t>
  </si>
  <si>
    <t>Lexique vierge</t>
  </si>
  <si>
    <t>skyrim.esm|0CC84D</t>
  </si>
  <si>
    <t>Linges ensanglantés</t>
  </si>
  <si>
    <t>skyrim.esm|05ACE5</t>
  </si>
  <si>
    <t>Lingot(s) d'acier</t>
  </si>
  <si>
    <t>skyrim.esm|05ACE3</t>
  </si>
  <si>
    <t>Lingot(s) d'argent</t>
  </si>
  <si>
    <t>skyrim.esm|05AD9E</t>
  </si>
  <si>
    <t>Lingot(s) d'or</t>
  </si>
  <si>
    <t>skyrim.esm|043E27</t>
  </si>
  <si>
    <t>Lingot(s) d'orichalque</t>
  </si>
  <si>
    <t>skyrim.esm|05AD99</t>
  </si>
  <si>
    <t>skyrim.esm|05ACE4</t>
  </si>
  <si>
    <t>Lingot(s) de fer</t>
  </si>
  <si>
    <t>skyrim.esm|0DB8A2</t>
  </si>
  <si>
    <t>Lingot(s) de métal dwemer</t>
  </si>
  <si>
    <t>skyrim.esm|05ADA0</t>
  </si>
  <si>
    <t>Lingot(s) de vif-argent</t>
  </si>
  <si>
    <t>skyrim.esm|0CE70B</t>
  </si>
  <si>
    <t>Livre abîmé</t>
  </si>
  <si>
    <t>skyrim.esm|0E4897</t>
  </si>
  <si>
    <t>skyrim.esm|0E3CB7</t>
  </si>
  <si>
    <t>Livre brûlé</t>
  </si>
  <si>
    <t>skyrim.esm|0319E5</t>
  </si>
  <si>
    <t>Louche en bois</t>
  </si>
  <si>
    <t>skyrim.esm|0DABAB</t>
  </si>
  <si>
    <t>Luth</t>
  </si>
  <si>
    <t>dawnguard.esm|005705</t>
  </si>
  <si>
    <t>Mains de vampire ancien</t>
  </si>
  <si>
    <t>skyrim.esm|05ACE1</t>
  </si>
  <si>
    <t>Malachite brute</t>
  </si>
  <si>
    <t>skyrim.esm|05ADA1</t>
  </si>
  <si>
    <t>Malachite raffinée</t>
  </si>
  <si>
    <t>skyrim.esm|06F266</t>
  </si>
  <si>
    <t>Maquette de bateau</t>
  </si>
  <si>
    <t>skyrim.esm|044E8B</t>
  </si>
  <si>
    <t>Maquette du navire doré</t>
  </si>
  <si>
    <t>skyrim.esm|041F95</t>
  </si>
  <si>
    <t>Marque de Dibella</t>
  </si>
  <si>
    <t>skyrim.esm|05CAE1</t>
  </si>
  <si>
    <t>Marteau</t>
  </si>
  <si>
    <t>skyrim.esm|0C8874</t>
  </si>
  <si>
    <t>Métal dwemer solide</t>
  </si>
  <si>
    <t>skyrim.esm|05ACDF</t>
  </si>
  <si>
    <t>Minerai d'argent</t>
  </si>
  <si>
    <t>skyrim.esm|05ACDE</t>
  </si>
  <si>
    <t>Minerai d'or</t>
  </si>
  <si>
    <t>skyrim.esm|05ACDD</t>
  </si>
  <si>
    <t>Minerai d'orichalque</t>
  </si>
  <si>
    <t>skyrim.esm|071CF3</t>
  </si>
  <si>
    <t>Minerai de fer</t>
  </si>
  <si>
    <t>skyrim.esm|05ACE2</t>
  </si>
  <si>
    <t>Minerai de vif-argent</t>
  </si>
  <si>
    <t>skyrim.esm|05B2DF</t>
  </si>
  <si>
    <t>skyrim.esm|0C4F2E</t>
  </si>
  <si>
    <t>Mixture de Nurelion</t>
  </si>
  <si>
    <t>windhelmsse.esp|101529</t>
  </si>
  <si>
    <t>Model Ship</t>
  </si>
  <si>
    <t>skyrim.esm|034CD6</t>
  </si>
  <si>
    <t>Morceau de lin</t>
  </si>
  <si>
    <t>skyrim.esm|02C25C</t>
  </si>
  <si>
    <t>Neige éternelle</t>
  </si>
  <si>
    <t>skyrim.esm|0F4983</t>
  </si>
  <si>
    <t>Noyau d'énergie dwemer</t>
  </si>
  <si>
    <t>skyrim.esm|1092B8</t>
  </si>
  <si>
    <t>Oeil droit de Falmer</t>
  </si>
  <si>
    <t>skyrim.esm|01994F</t>
  </si>
  <si>
    <t>Oeil gauche de Falmer</t>
  </si>
  <si>
    <t>skyrim.esm|00000F</t>
  </si>
  <si>
    <t>Or</t>
  </si>
  <si>
    <t>aaagranitehill.esp|3BC29F</t>
  </si>
  <si>
    <t>Orfeo's Flute</t>
  </si>
  <si>
    <t>windhelmsse.esp|17C527</t>
  </si>
  <si>
    <t>Ornate Drinking Horn</t>
  </si>
  <si>
    <t>skyrim.esm|03ADA4</t>
  </si>
  <si>
    <t>Os de dragon</t>
  </si>
  <si>
    <t>skyrim.esm|04286C</t>
  </si>
  <si>
    <t>Os iliaque de Pélagius</t>
  </si>
  <si>
    <t>skyrim.esm|034CCE</t>
  </si>
  <si>
    <t>Outil d'embaumement</t>
  </si>
  <si>
    <t>skyrim.esm|034CD0</t>
  </si>
  <si>
    <t>skyrim.esm|034CD2</t>
  </si>
  <si>
    <t>skyrim.esm|034CD4</t>
  </si>
  <si>
    <t>hearthfires.esm|005A68</t>
  </si>
  <si>
    <t>Paille</t>
  </si>
  <si>
    <t>skyrim.esm|012FE7</t>
  </si>
  <si>
    <t>Panier</t>
  </si>
  <si>
    <t>skyrim.esm|012FE8</t>
  </si>
  <si>
    <t>skyrim.esm|012FE9</t>
  </si>
  <si>
    <t>skyrim.esm|012FEA</t>
  </si>
  <si>
    <t>skyrim.esm|012FEB</t>
  </si>
  <si>
    <t>skyrim.esm|012FEC</t>
  </si>
  <si>
    <t>skyrim.esm|09BAF8</t>
  </si>
  <si>
    <t>skyrim.esm|0ABD30</t>
  </si>
  <si>
    <t>skyrim.esm|0D955A</t>
  </si>
  <si>
    <t>Panier de fleurs</t>
  </si>
  <si>
    <t>skyrim.esm|06A712</t>
  </si>
  <si>
    <t>Paquet pour Grelka</t>
  </si>
  <si>
    <t>skyrim.esm|06A711</t>
  </si>
  <si>
    <t>Paquet pour Verner</t>
  </si>
  <si>
    <t>dawnguard.esm|012F97</t>
  </si>
  <si>
    <t>Parangon améthyste</t>
  </si>
  <si>
    <t>dawnguard.esm|012FC3</t>
  </si>
  <si>
    <t>Parangon diamant</t>
  </si>
  <si>
    <t>skyrim.esm|0457AB</t>
  </si>
  <si>
    <t>Parchemin scellé</t>
  </si>
  <si>
    <t>skyrim.esm|03AD52</t>
  </si>
  <si>
    <t>Peau d'ours</t>
  </si>
  <si>
    <t>skyrim.esm|03AD54</t>
  </si>
  <si>
    <t>Peau d'ours des neiges</t>
  </si>
  <si>
    <t>skyrim.esm|03AD53</t>
  </si>
  <si>
    <t>Peau d'ours troglodyte</t>
  </si>
  <si>
    <t>skyrim.esm|0D284D</t>
  </si>
  <si>
    <t>Peau de biche</t>
  </si>
  <si>
    <t>skyrim.esm|03AD93</t>
  </si>
  <si>
    <t>Peau de cheval</t>
  </si>
  <si>
    <t>skyrim.esm|03AD8E</t>
  </si>
  <si>
    <t>Peau de chèvre</t>
  </si>
  <si>
    <t>skyrim.esm|03AD90</t>
  </si>
  <si>
    <t>Peau de chevreuil</t>
  </si>
  <si>
    <t>skyrim.esm|0CF89E</t>
  </si>
  <si>
    <t>dawnguard.esm|011999</t>
  </si>
  <si>
    <t>Peau de chevreuil des vallées</t>
  </si>
  <si>
    <t>skyrim.esm|03AD74</t>
  </si>
  <si>
    <t>Peau de loup</t>
  </si>
  <si>
    <t>skyrim.esm|03AD75</t>
  </si>
  <si>
    <t>Peau de loup des glaces</t>
  </si>
  <si>
    <t>skyrim.esm|0FE6A9</t>
  </si>
  <si>
    <t>Peau de loup-garou</t>
  </si>
  <si>
    <t>skyrim.esm|0D4B35</t>
  </si>
  <si>
    <t>Peau de renard</t>
  </si>
  <si>
    <t>skyrim.esm|0D4BE7</t>
  </si>
  <si>
    <t>Peau de renard des neiges</t>
  </si>
  <si>
    <t>skyrim.esm|02AC62</t>
  </si>
  <si>
    <t>Peau de Sinding</t>
  </si>
  <si>
    <t>skyrim.esm|03AD6D</t>
  </si>
  <si>
    <t>Peau de smilodon</t>
  </si>
  <si>
    <t>skyrim.esm|03AD6E</t>
  </si>
  <si>
    <t>Peau de smilodon des neiges</t>
  </si>
  <si>
    <t>dawnguard.esm|01199A</t>
  </si>
  <si>
    <t>Peau de smilodon des vallées</t>
  </si>
  <si>
    <t>skyrim.esm|03AD8F</t>
  </si>
  <si>
    <t>Peau de vache</t>
  </si>
  <si>
    <t>skyrim.esm|0F5D05</t>
  </si>
  <si>
    <t>Pelle</t>
  </si>
  <si>
    <t>skyrim.esm|0F5D06</t>
  </si>
  <si>
    <t>windhelmsse.esp|2BA5F2</t>
  </si>
  <si>
    <t>skyrim.esm|023DF8</t>
  </si>
  <si>
    <t>Pendentif orné</t>
  </si>
  <si>
    <t>skyrim.esm|02BAAB</t>
  </si>
  <si>
    <t>Pesticide</t>
  </si>
  <si>
    <t>skyrim.esm|06F993</t>
  </si>
  <si>
    <t>Petit bois</t>
  </si>
  <si>
    <t>skyrim.esm|0C8870</t>
  </si>
  <si>
    <t>Petit levier dwemer</t>
  </si>
  <si>
    <t>skyrim.esm|0C8866</t>
  </si>
  <si>
    <t>Petite plaque dwemer</t>
  </si>
  <si>
    <t>skyrim.esm|08632C</t>
  </si>
  <si>
    <t>Pichet</t>
  </si>
  <si>
    <t>skyrim.esm|098623</t>
  </si>
  <si>
    <t>skyrim.esm|0B9BD6</t>
  </si>
  <si>
    <t>skyrim.esm|0B9BDE</t>
  </si>
  <si>
    <t>skyrim.esm|0F08F1</t>
  </si>
  <si>
    <t>skyrim.esm|0F08F3</t>
  </si>
  <si>
    <t>dawnguard.esm|011DB4</t>
  </si>
  <si>
    <t>Pichet d'argent</t>
  </si>
  <si>
    <t>dawnguard.esm|00A89E</t>
  </si>
  <si>
    <t>Pichet de l'Initié</t>
  </si>
  <si>
    <t>skyrim.esm|0AD06F</t>
  </si>
  <si>
    <t>Pierre de dragon</t>
  </si>
  <si>
    <t>skyrim.esm|0DF202</t>
  </si>
  <si>
    <t>skyrim.esm|05ACE0</t>
  </si>
  <si>
    <t>Pierre de lune brute</t>
  </si>
  <si>
    <t>skyrim.esm|05AD9F</t>
  </si>
  <si>
    <t>Pierre de lune raffinée</t>
  </si>
  <si>
    <t>skyrim.esm|0D363B</t>
  </si>
  <si>
    <t>Pierre de Sigil</t>
  </si>
  <si>
    <t>hearthfires.esm|00306C</t>
  </si>
  <si>
    <t>Pierre extraite</t>
  </si>
  <si>
    <t>keizaal.esp|0000EC</t>
  </si>
  <si>
    <t>Pillow</t>
  </si>
  <si>
    <t>keizaal.esp|0000ED</t>
  </si>
  <si>
    <t>skyrim.esm|05CAE0</t>
  </si>
  <si>
    <t>Pincettes</t>
  </si>
  <si>
    <t>skyrim.esm|105109</t>
  </si>
  <si>
    <t>Pipeau du danseur</t>
  </si>
  <si>
    <t>dawnguard.esm|00F1C7</t>
  </si>
  <si>
    <t>Plan d'arbalète améliorée</t>
  </si>
  <si>
    <t>dawnguard.esm|00F1C8</t>
  </si>
  <si>
    <t>Plan d'arbalète dwemer</t>
  </si>
  <si>
    <t>dawnguard.esm|00F1C9</t>
  </si>
  <si>
    <t>Plan d'arbalète dwemer améliorée</t>
  </si>
  <si>
    <t>skyrim.esm|037CE9</t>
  </si>
  <si>
    <t>Plans de Mercer</t>
  </si>
  <si>
    <t>dragonborn.esm|02B04E</t>
  </si>
  <si>
    <t>Plaque de chitine</t>
  </si>
  <si>
    <t>skyrim.esm|098625</t>
  </si>
  <si>
    <t>Plat</t>
  </si>
  <si>
    <t>skyrim.esm|027F06</t>
  </si>
  <si>
    <t>Plat dwemer</t>
  </si>
  <si>
    <t>skyrim.esm|0F5839</t>
  </si>
  <si>
    <t>Plateau d'argent</t>
  </si>
  <si>
    <t>skyrim.esm|0F583A</t>
  </si>
  <si>
    <t>skyrim.esm|04C3C8</t>
  </si>
  <si>
    <t>Plume</t>
  </si>
  <si>
    <t>skyrim.esm|0C04BB</t>
  </si>
  <si>
    <t>Plume de gémination</t>
  </si>
  <si>
    <t>dawnguard.esm|002994</t>
  </si>
  <si>
    <t>Plumes d'aigle osseux</t>
  </si>
  <si>
    <t>skyrim.esm|027F03</t>
  </si>
  <si>
    <t>Poêle dwemer</t>
  </si>
  <si>
    <t>skyrim.esm|027F12</t>
  </si>
  <si>
    <t>skyrim.esm|0E7298</t>
  </si>
  <si>
    <t>Poignée d'épée d'acier brisée</t>
  </si>
  <si>
    <t>skyrim.esm|0E72AE</t>
  </si>
  <si>
    <t>Poignée d'épée de fer brisée</t>
  </si>
  <si>
    <t>skyrim.esm|0E729C</t>
  </si>
  <si>
    <t>Poignée d'espadon d'acier brisé</t>
  </si>
  <si>
    <t>skyrim.esm|0E72A0</t>
  </si>
  <si>
    <t>Poignée de hache d'armes d'acier brisée</t>
  </si>
  <si>
    <t>skyrim.esm|0E72A6</t>
  </si>
  <si>
    <t>Poignée de hache de fer brisée</t>
  </si>
  <si>
    <t>skyrim.esm|0240D3</t>
  </si>
  <si>
    <t>Poignée de la Dague de Mehrunes</t>
  </si>
  <si>
    <t>skyrim.esm|0EAFDC</t>
  </si>
  <si>
    <t>skyrim.esm|0E72A4</t>
  </si>
  <si>
    <t>Poignée de marteau d'acier brisé</t>
  </si>
  <si>
    <t>skyrim.esm|0E72AA</t>
  </si>
  <si>
    <t>Poignée de masse de fer brisée</t>
  </si>
  <si>
    <t>skyrim.esm|0240D4</t>
  </si>
  <si>
    <t>Pommeau de la Dague de Mehrunes</t>
  </si>
  <si>
    <t>skyrim.esm|0EAFDB</t>
  </si>
  <si>
    <t>keizaal.esp|015481</t>
  </si>
  <si>
    <t>Poor Charcoal</t>
  </si>
  <si>
    <t>skyrim.esm|0B9BD2</t>
  </si>
  <si>
    <t>Pot</t>
  </si>
  <si>
    <t>skyrim.esm|0B9BD4</t>
  </si>
  <si>
    <t>skyrim.esm|0F08F6</t>
  </si>
  <si>
    <t>skyrim.esm|0F08F7</t>
  </si>
  <si>
    <t>skyrim.esm|05421B</t>
  </si>
  <si>
    <t>Pot de miel</t>
  </si>
  <si>
    <t>skyrim.esm|0318FA</t>
  </si>
  <si>
    <t>Pot en fonte</t>
  </si>
  <si>
    <t>skyrim.esm|0318FB</t>
  </si>
  <si>
    <t>hearthfires.esm|00C1DE</t>
  </si>
  <si>
    <t>Poupée d'enfant</t>
  </si>
  <si>
    <t>skyrim.esm|05C09E</t>
  </si>
  <si>
    <t>Pousse de Vermidor</t>
  </si>
  <si>
    <t>skyrim.esm|01CB81</t>
  </si>
  <si>
    <t>Pousse du Primarbor</t>
  </si>
  <si>
    <t>skyrim.esm|0DAB04</t>
  </si>
  <si>
    <t>Provisions de Klimmek</t>
  </si>
  <si>
    <t>skyrim.esm|04BCE0</t>
  </si>
  <si>
    <t>dragonborn.esm|01AAD6</t>
  </si>
  <si>
    <t>Racine noueuse trempée</t>
  </si>
  <si>
    <t>skyrim.esm|03E6BB</t>
  </si>
  <si>
    <t>Réceptacle opaque</t>
  </si>
  <si>
    <t>skyrim.esm|03E6BC</t>
  </si>
  <si>
    <t>skyrim.esm|08D770</t>
  </si>
  <si>
    <t>hearthfires.esm|00D81E</t>
  </si>
  <si>
    <t>Robe de fille bleue</t>
  </si>
  <si>
    <t>hearthfires.esm|00D820</t>
  </si>
  <si>
    <t>Robe de fille grise</t>
  </si>
  <si>
    <t>hearthfires.esm|00D822</t>
  </si>
  <si>
    <t>Robe de fille jaune</t>
  </si>
  <si>
    <t>hearthfires.esm|00D821</t>
  </si>
  <si>
    <t>Robe de fille rouge</t>
  </si>
  <si>
    <t>hearthfires.esm|00D81F</t>
  </si>
  <si>
    <t>Robe de fille verte</t>
  </si>
  <si>
    <t>skyrim.esm|03807B</t>
  </si>
  <si>
    <t>Robinet</t>
  </si>
  <si>
    <t>skyrim.esm|033761</t>
  </si>
  <si>
    <t>Rouleau de papier</t>
  </si>
  <si>
    <t>skyrim.esm|063B42</t>
  </si>
  <si>
    <t>Rubis</t>
  </si>
  <si>
    <t>dawnguard.esm|019ABD</t>
  </si>
  <si>
    <t>Rubis parangon</t>
  </si>
  <si>
    <t>skyrim.esm|068522</t>
  </si>
  <si>
    <t>Rubis parfait</t>
  </si>
  <si>
    <t>skyrim.esm|0D8E43</t>
  </si>
  <si>
    <t>Sac de sucrelune</t>
  </si>
  <si>
    <t>skyrim.esm|0E49F7</t>
  </si>
  <si>
    <t>Sacoche de Sylgja</t>
  </si>
  <si>
    <t>skyrim.esm|0E49F8</t>
  </si>
  <si>
    <t>Sacoche de Verner</t>
  </si>
  <si>
    <t>skyrim.esm|063B44</t>
  </si>
  <si>
    <t>Saphir</t>
  </si>
  <si>
    <t>dragonborn.esm|039E4E</t>
  </si>
  <si>
    <t>Saphir exquis</t>
  </si>
  <si>
    <t>dawnguard.esm|019ABB</t>
  </si>
  <si>
    <t>Saphir parangon</t>
  </si>
  <si>
    <t>skyrim.esm|068523</t>
  </si>
  <si>
    <t>Saphir parfait</t>
  </si>
  <si>
    <t>dawnguard.esm|006BAD</t>
  </si>
  <si>
    <t>Schéma d'éclair enflammé explosif dwemer</t>
  </si>
  <si>
    <t>dawnguard.esm|00F1C5</t>
  </si>
  <si>
    <t>Schéma de carreau de foudre explosif dwemer</t>
  </si>
  <si>
    <t>dawnguard.esm|00F1C4</t>
  </si>
  <si>
    <t>Schéma de carreau de givre explosif dwemer</t>
  </si>
  <si>
    <t>dawnguard.esm|0142C4</t>
  </si>
  <si>
    <t>Schémas dwemers</t>
  </si>
  <si>
    <t>skyrim.esm|0F5D0A</t>
  </si>
  <si>
    <t>Scie</t>
  </si>
  <si>
    <t>skyrim.esm|012FDF</t>
  </si>
  <si>
    <t>Seau</t>
  </si>
  <si>
    <t>skyrim.esm|0747FB</t>
  </si>
  <si>
    <t>skyrim.esm|0747FE</t>
  </si>
  <si>
    <t>dawnguard.esm|00D3EE</t>
  </si>
  <si>
    <t>Sel du Néant purifié</t>
  </si>
  <si>
    <t>dawnguard.esm|011CF7</t>
  </si>
  <si>
    <t>Serre d'aigle osseux</t>
  </si>
  <si>
    <t>hearthfires.esm|003012</t>
  </si>
  <si>
    <t>Serrure</t>
  </si>
  <si>
    <t>skyrim.esm|01C494</t>
  </si>
  <si>
    <t>Sève du Primarbor</t>
  </si>
  <si>
    <t>windhelmsse.esp|10152B</t>
  </si>
  <si>
    <t>Shipping Map</t>
  </si>
  <si>
    <t>windhelmsse.esp|0CDF99</t>
  </si>
  <si>
    <t>Snow Elf Ewer</t>
  </si>
  <si>
    <t>skyrim.esm|05CADF</t>
  </si>
  <si>
    <t>Soufflet</t>
  </si>
  <si>
    <t>skyrim.esm|03532C</t>
  </si>
  <si>
    <t>Sphère d'harmonie</t>
  </si>
  <si>
    <t>dragonborn.esm|02B06B</t>
  </si>
  <si>
    <t>Stalhrim</t>
  </si>
  <si>
    <t>skyrim.esm|021EA3</t>
  </si>
  <si>
    <t>Statue de Dibella</t>
  </si>
  <si>
    <t>skyrim.esm|06C9EF</t>
  </si>
  <si>
    <t>skyrim.esm|08F997</t>
  </si>
  <si>
    <t>skyrim.esm|10CC6A</t>
  </si>
  <si>
    <t>skyrim.esm|019958</t>
  </si>
  <si>
    <t>Statue de reine des abeilles</t>
  </si>
  <si>
    <t>skyrim.esm|0F1491</t>
  </si>
  <si>
    <t>Stratagème de la Main d'argent</t>
  </si>
  <si>
    <t>dawnguard.esm|00575B</t>
  </si>
  <si>
    <t>Symbole d'aethérium</t>
  </si>
  <si>
    <t>dawnguard.esm|01171F</t>
  </si>
  <si>
    <t>Symbole de la demi-lune</t>
  </si>
  <si>
    <t>dawnguard.esm|01171E</t>
  </si>
  <si>
    <t>Symbole de la pleine lune</t>
  </si>
  <si>
    <t>dawnguard.esm|01171D</t>
  </si>
  <si>
    <t>Symbole du croissant de lune</t>
  </si>
  <si>
    <t>skyrim.esm|0DABA9</t>
  </si>
  <si>
    <t>Tambour</t>
  </si>
  <si>
    <t>skyrim.esm|0B9BDC</t>
  </si>
  <si>
    <t>Tasse</t>
  </si>
  <si>
    <t>skyrim.esm|0F08F8</t>
  </si>
  <si>
    <t>skyrim.esm|056189</t>
  </si>
  <si>
    <t>TestJeffLTankard</t>
  </si>
  <si>
    <t>skyrim.esm|05E8AD</t>
  </si>
  <si>
    <t>Tête de boeuf rôtie</t>
  </si>
  <si>
    <t>skyrim.esm|01BE15</t>
  </si>
  <si>
    <t>Tête de Kothyr</t>
  </si>
  <si>
    <t>skyrim.esm|0E72A2</t>
  </si>
  <si>
    <t>Tête de marteau d'acier brisé</t>
  </si>
  <si>
    <t>skyrim.esm|0E72AC</t>
  </si>
  <si>
    <t>Tête de masse de fer brisée</t>
  </si>
  <si>
    <t>skyrim.esm|02996F</t>
  </si>
  <si>
    <t>Tête de sorcière de Glenmoril</t>
  </si>
  <si>
    <t>dawnguard.esm|005704</t>
  </si>
  <si>
    <t>Tête de vampire ancien</t>
  </si>
  <si>
    <t>update.esm|6CE001</t>
  </si>
  <si>
    <t>Thread</t>
  </si>
  <si>
    <t>skyrim.esm|05333B</t>
  </si>
  <si>
    <t>Tonnelet d'hydromel</t>
  </si>
  <si>
    <t>skyrim.esm|0A34F8</t>
  </si>
  <si>
    <t>Torque du Labyrinthe</t>
  </si>
  <si>
    <t>skyrim.esm|0E3146</t>
  </si>
  <si>
    <t>Totem de loup-garou</t>
  </si>
  <si>
    <t>skyrim.esm|0E3147</t>
  </si>
  <si>
    <t>skyrim.esm|0E3148</t>
  </si>
  <si>
    <t>hearthfires.esm|00C744</t>
  </si>
  <si>
    <t>Tunique bleue de garçon</t>
  </si>
  <si>
    <t>hearthfires.esm|00C745</t>
  </si>
  <si>
    <t>Tunique grise de garçon</t>
  </si>
  <si>
    <t>hearthfires.esm|00C746</t>
  </si>
  <si>
    <t>Tunique jaune de garçon</t>
  </si>
  <si>
    <t>hearthfires.esm|00C742</t>
  </si>
  <si>
    <t>Tunique rouge de garçon</t>
  </si>
  <si>
    <t>hearthfires.esm|00C743</t>
  </si>
  <si>
    <t>Tunique verte de garçon</t>
  </si>
  <si>
    <t>skyrim.esm|044E63</t>
  </si>
  <si>
    <t>Urne d'or</t>
  </si>
  <si>
    <t>skyrim.esm|062F5A</t>
  </si>
  <si>
    <t>Urne funéraire</t>
  </si>
  <si>
    <t>hearthfires.esm|005A69</t>
  </si>
  <si>
    <t>Verre</t>
  </si>
  <si>
    <t>skyrim.esm|0F6767</t>
  </si>
  <si>
    <t>Vieux crâne de voyageur</t>
  </si>
  <si>
    <t>windhelmsse.esp|1252BE</t>
  </si>
  <si>
    <t>Vrage's Horn</t>
  </si>
  <si>
    <t>dragonborn.esm|019534</t>
  </si>
  <si>
    <t>Araignée de feu explosive</t>
  </si>
  <si>
    <t>Parchemin</t>
  </si>
  <si>
    <t>dragonborn.esm|014480</t>
  </si>
  <si>
    <t>Araignée de feu sauteuse</t>
  </si>
  <si>
    <t>dragonborn.esm|02095F</t>
  </si>
  <si>
    <t>Araignée de foudre explosive</t>
  </si>
  <si>
    <t>dragonborn.esm|020961</t>
  </si>
  <si>
    <t>Araignée de foudre sauteuse</t>
  </si>
  <si>
    <t>dragonborn.esm|0206D3</t>
  </si>
  <si>
    <t>Araignée de glace explosive</t>
  </si>
  <si>
    <t>dragonborn.esm|0206DB</t>
  </si>
  <si>
    <t>Araignée de glace sauteuse</t>
  </si>
  <si>
    <t>dragonborn.esm|01952C</t>
  </si>
  <si>
    <t>Araignée enflammée</t>
  </si>
  <si>
    <t>dragonborn.esm|01DA03</t>
  </si>
  <si>
    <t>dragonborn.esm|03319E</t>
  </si>
  <si>
    <t>dragonborn.esm|03319F</t>
  </si>
  <si>
    <t>dragonborn.esm|0331A0</t>
  </si>
  <si>
    <t>dragonborn.esm|0331A1</t>
  </si>
  <si>
    <t>dragonborn.esm|01CAB0</t>
  </si>
  <si>
    <t>Araignée envenimée</t>
  </si>
  <si>
    <t>dragonborn.esm|020960</t>
  </si>
  <si>
    <t>Araignée foudroyante</t>
  </si>
  <si>
    <t>dragonborn.esm|0206D9</t>
  </si>
  <si>
    <t>Araignée glaciale</t>
  </si>
  <si>
    <t>dragonborn.esm|02749D</t>
  </si>
  <si>
    <t>Araignée huileuse</t>
  </si>
  <si>
    <t>dragonborn.esm|027490</t>
  </si>
  <si>
    <t>Araignée luisante</t>
  </si>
  <si>
    <t>dragonborn.esm|0274A5</t>
  </si>
  <si>
    <t>Araignée porteuse</t>
  </si>
  <si>
    <t>dragonborn.esm|016E1C</t>
  </si>
  <si>
    <t>Araignée télépathe</t>
  </si>
  <si>
    <t>dragonborn.esm|01707B</t>
  </si>
  <si>
    <t>Araignée venimeuse explosive</t>
  </si>
  <si>
    <t>dragonborn.esm|01445E</t>
  </si>
  <si>
    <t>Araignée venimeuse sauteuse</t>
  </si>
  <si>
    <t>skyrim.esm|1076E9</t>
  </si>
  <si>
    <t>Les réflexions de Shalidor : altération</t>
  </si>
  <si>
    <t>skyrim.esm|1076EB</t>
  </si>
  <si>
    <t>Les réflexions de Shalidor : conjuration</t>
  </si>
  <si>
    <t>skyrim.esm|1076E7</t>
  </si>
  <si>
    <t>Les réflexions de Shalidor : destruction</t>
  </si>
  <si>
    <t>skyrim.esm|1076EA</t>
  </si>
  <si>
    <t>Les réflexions de Shalidor : guérison</t>
  </si>
  <si>
    <t>skyrim.esm|1076E8</t>
  </si>
  <si>
    <t>Les réflexions de Shalidor : illusion</t>
  </si>
  <si>
    <t>skyrim.esm|1076EC</t>
  </si>
  <si>
    <t>Les réflexions de Shalidor : magie</t>
  </si>
  <si>
    <t>skyrim.esm|0967E3</t>
  </si>
  <si>
    <t>Parchemin -  Aura enflammée de J'zargo</t>
  </si>
  <si>
    <t>skyrim.esm|0A44AD</t>
  </si>
  <si>
    <t>Parchemin -  Aura foudroyante</t>
  </si>
  <si>
    <t>skyrim.esm|09659E</t>
  </si>
  <si>
    <t>Parchemin - Allié d'outre-tombe</t>
  </si>
  <si>
    <t>skyrim.esm|0A44BE</t>
  </si>
  <si>
    <t>Parchemin - Appel aux armes</t>
  </si>
  <si>
    <t>skyrim.esm|0965A5</t>
  </si>
  <si>
    <t>Parchemin - Atronach de feu</t>
  </si>
  <si>
    <t>skyrim.esm|0A44A1</t>
  </si>
  <si>
    <t>Parchemin - Atronach de foudre</t>
  </si>
  <si>
    <t>skyrim.esm|0A44A0</t>
  </si>
  <si>
    <t>Parchemin - Atronach de glace</t>
  </si>
  <si>
    <t>skyrim.esm|0A44AB</t>
  </si>
  <si>
    <t>Parchemin - Aura enflammée</t>
  </si>
  <si>
    <t>skyrim.esm|0A44AC</t>
  </si>
  <si>
    <t>Parchemin - Aura glaciale</t>
  </si>
  <si>
    <t>skyrim.esm|0A449F</t>
  </si>
  <si>
    <t>Parchemin - Bannissement de Daedra</t>
  </si>
  <si>
    <t>skyrim.esm|0A44B2</t>
  </si>
  <si>
    <t>Parchemin - Blizzard</t>
  </si>
  <si>
    <t>skyrim.esm|0A44AE</t>
  </si>
  <si>
    <t>Parchemin - Boule de feu</t>
  </si>
  <si>
    <t>skyrim.esm|0218F2</t>
  </si>
  <si>
    <t>Parchemin - Calamité des morts-vivants</t>
  </si>
  <si>
    <t>skyrim.esm|0965AD</t>
  </si>
  <si>
    <t>Parchemin - Calme</t>
  </si>
  <si>
    <t>skyrim.esm|0965A7</t>
  </si>
  <si>
    <t>Parchemin - Capture d'âme</t>
  </si>
  <si>
    <t>skyrim.esm|0A44C3</t>
  </si>
  <si>
    <t>Parchemin - Cercle de protection</t>
  </si>
  <si>
    <t>skyrim.esm|0E0CD5</t>
  </si>
  <si>
    <t>Parchemin - Cercle gardien</t>
  </si>
  <si>
    <t>skyrim.esm|0A449E</t>
  </si>
  <si>
    <t>Parchemin - Corps d'ébonite</t>
  </si>
  <si>
    <t>skyrim.esm|09659C</t>
  </si>
  <si>
    <t>Parchemin - Corps de chêne</t>
  </si>
  <si>
    <t>skyrim.esm|0A449B</t>
  </si>
  <si>
    <t>Parchemin - Corps de fer</t>
  </si>
  <si>
    <t>skyrim.esm|0965A3</t>
  </si>
  <si>
    <t>Parchemin - Corps de pierre</t>
  </si>
  <si>
    <t>skyrim.esm|0965A0</t>
  </si>
  <si>
    <t>Parchemin - Courage</t>
  </si>
  <si>
    <t>skyrim.esm|0E0CD6</t>
  </si>
  <si>
    <t>Parchemin - Cuirasse draconique</t>
  </si>
  <si>
    <t>skyrim.esm|0A44BA</t>
  </si>
  <si>
    <t>Parchemin - Déroute</t>
  </si>
  <si>
    <t>skyrim.esm|1019AE</t>
  </si>
  <si>
    <t>Parchemin - Détection des vivants</t>
  </si>
  <si>
    <t>skyrim.esm|0A44BB</t>
  </si>
  <si>
    <t>Parchemin - Discorde</t>
  </si>
  <si>
    <t>skyrim.esm|096598</t>
  </si>
  <si>
    <t>Parchemin - Éclair enflammé</t>
  </si>
  <si>
    <t>skyrim.esm|09659A</t>
  </si>
  <si>
    <t>Parchemin - Éclair foudroyant</t>
  </si>
  <si>
    <t>skyrim.esm|0A44B0</t>
  </si>
  <si>
    <t>Parchemin - Éclairs multiples</t>
  </si>
  <si>
    <t>skyrim.esm|0A44A6</t>
  </si>
  <si>
    <t>Parchemin - Expulsion de Daedra</t>
  </si>
  <si>
    <t>skyrim.esm|09659F</t>
  </si>
  <si>
    <t>Parchemin - Familier</t>
  </si>
  <si>
    <t>skyrim.esm|0A44C5</t>
  </si>
  <si>
    <t>Parchemin - Fléau des morts</t>
  </si>
  <si>
    <t>skyrim.esm|0A44B6</t>
  </si>
  <si>
    <t>Parchemin - Frénésie</t>
  </si>
  <si>
    <t>skyrim.esm|0965A1</t>
  </si>
  <si>
    <t>Parchemin - Furie</t>
  </si>
  <si>
    <t>skyrim.esm|0A44A8</t>
  </si>
  <si>
    <t>Parchemin - Golem de feu</t>
  </si>
  <si>
    <t>skyrim.esm|0A44AA</t>
  </si>
  <si>
    <t>Parchemin - Golem de foudre</t>
  </si>
  <si>
    <t>skyrim.esm|0A44A9</t>
  </si>
  <si>
    <t>Parchemin - Golem de glace</t>
  </si>
  <si>
    <t>skyrim.esm|0A44A7</t>
  </si>
  <si>
    <t>Parchemin - Golem zombie</t>
  </si>
  <si>
    <t>skyrim.esm|0A44C6</t>
  </si>
  <si>
    <t>Parchemin - Grand péril des morts</t>
  </si>
  <si>
    <t>skyrim.esm|0A44BC</t>
  </si>
  <si>
    <t>Parchemin - Harmonie</t>
  </si>
  <si>
    <t>skyrim.esm|0A44BD</t>
  </si>
  <si>
    <t>Parchemin - Hystérie</t>
  </si>
  <si>
    <t>skyrim.esm|09659B</t>
  </si>
  <si>
    <t>Parchemin - Illumination</t>
  </si>
  <si>
    <t>skyrim.esm|0A44B5</t>
  </si>
  <si>
    <t>Parchemin - Inspiration</t>
  </si>
  <si>
    <t>skyrim.esm|0A44B7</t>
  </si>
  <si>
    <t>Parchemin - Invisibilité</t>
  </si>
  <si>
    <t>skyrim.esm|0A44A4</t>
  </si>
  <si>
    <t>Parchemin - Manipulation de Daedra</t>
  </si>
  <si>
    <t>skyrim.esm|0A44C2</t>
  </si>
  <si>
    <t>Parchemin - Moindre fléau des morts</t>
  </si>
  <si>
    <t>skyrim.esm|0A44BF</t>
  </si>
  <si>
    <t>Parchemin - Moindre péril des morts</t>
  </si>
  <si>
    <t>skyrim.esm|0A44B9</t>
  </si>
  <si>
    <t>Parchemin - Pacification</t>
  </si>
  <si>
    <t>skyrim.esm|0A449D</t>
  </si>
  <si>
    <t>Parchemin - Paralysie</t>
  </si>
  <si>
    <t>skyrim.esm|021876</t>
  </si>
  <si>
    <t>Parchemin - Paralysie générale</t>
  </si>
  <si>
    <t>skyrim.esm|0965B0</t>
  </si>
  <si>
    <t>Parchemin - Péril des morts</t>
  </si>
  <si>
    <t>skyrim.esm|0965AE</t>
  </si>
  <si>
    <t>Parchemin - Peur</t>
  </si>
  <si>
    <t>skyrim.esm|0965A2</t>
  </si>
  <si>
    <t>Parchemin - Rayonnement</t>
  </si>
  <si>
    <t>skyrim.esm|0965A4</t>
  </si>
  <si>
    <t>Parchemin - Réanimation</t>
  </si>
  <si>
    <t>skyrim.esm|0A449C</t>
  </si>
  <si>
    <t>Parchemin - Respiration aquatique</t>
  </si>
  <si>
    <t>skyrim.esm|0B64B3</t>
  </si>
  <si>
    <t>Parchemin - Rétablissement</t>
  </si>
  <si>
    <t>skyrim.esm|0A44A3</t>
  </si>
  <si>
    <t>Parchemin - Revenant</t>
  </si>
  <si>
    <t>skyrim.esm|0965A8</t>
  </si>
  <si>
    <t>Parchemin - Rune de feu</t>
  </si>
  <si>
    <t>skyrim.esm|0965AA</t>
  </si>
  <si>
    <t>Parchemin - Rune de foudre</t>
  </si>
  <si>
    <t>skyrim.esm|0965A9</t>
  </si>
  <si>
    <t>Parchemin - Rune de glace</t>
  </si>
  <si>
    <t>skyrim.esm|0965AB</t>
  </si>
  <si>
    <t>Parchemin - Silence</t>
  </si>
  <si>
    <t>skyrim.esm|0A44C4</t>
  </si>
  <si>
    <t>Parchemin - Soin magistral</t>
  </si>
  <si>
    <t>skyrim.esm|0965AF</t>
  </si>
  <si>
    <t>Parchemin - Soin rapide</t>
  </si>
  <si>
    <t>skyrim.esm|0A44C1</t>
  </si>
  <si>
    <t>Parchemin - Soulagement</t>
  </si>
  <si>
    <t>skyrim.esm|096599</t>
  </si>
  <si>
    <t>Parchemin - Stalactite</t>
  </si>
  <si>
    <t>skyrim.esm|0A44A5</t>
  </si>
  <si>
    <t>Parchemin - Surzombie</t>
  </si>
  <si>
    <t>dawnguard.esm|014042</t>
  </si>
  <si>
    <t>Parchemin - Télékinésie</t>
  </si>
  <si>
    <t>skyrim.esm|0A44B1</t>
  </si>
  <si>
    <t>Parchemin - Tempête de feu</t>
  </si>
  <si>
    <t>skyrim.esm|0A44AF</t>
  </si>
  <si>
    <t>Parchemin - Tempête de glace</t>
  </si>
  <si>
    <t>skyrim.esm|034C5E</t>
  </si>
  <si>
    <t>Ale</t>
  </si>
  <si>
    <t>Potion / nourriture</t>
  </si>
  <si>
    <t>skyrim.esm|065A64</t>
  </si>
  <si>
    <t>Antidote</t>
  </si>
  <si>
    <t>skyrim.esm|0EBA01</t>
  </si>
  <si>
    <t>Apple Cabbage Stew</t>
  </si>
  <si>
    <t>keizaal.esp|E5E066</t>
  </si>
  <si>
    <t>Apple Dumpling</t>
  </si>
  <si>
    <t>keizaal.esp|E5E078</t>
  </si>
  <si>
    <t>Apple Pie</t>
  </si>
  <si>
    <t>skyrim.esm|09380D</t>
  </si>
  <si>
    <t>Argonian Ale</t>
  </si>
  <si>
    <t>dragonborn.esm|03572F</t>
  </si>
  <si>
    <t>Ashfire Mead</t>
  </si>
  <si>
    <t>skyrim.esm|085368</t>
  </si>
  <si>
    <t>Bashkh's Mulled Wine</t>
  </si>
  <si>
    <t>windhelmsse.esp|13F593</t>
  </si>
  <si>
    <t>Battle-Brew Reserve</t>
  </si>
  <si>
    <t>windhelmsse.esp|3206FC</t>
  </si>
  <si>
    <t>Battle-Brew Special</t>
  </si>
  <si>
    <t>skyrim.esm|0F4314</t>
  </si>
  <si>
    <t>skyrim.esm|02C35A</t>
  </si>
  <si>
    <t>Black-Briar Mead</t>
  </si>
  <si>
    <t>skyrim.esm|0DC172</t>
  </si>
  <si>
    <t>Bleu de Balmora</t>
  </si>
  <si>
    <t>skyrim.esm|0721E8</t>
  </si>
  <si>
    <t>Boeuf cuit</t>
  </si>
  <si>
    <t>skyrim.esm|0CADFB</t>
  </si>
  <si>
    <t>Boeuf épicé</t>
  </si>
  <si>
    <t>skyrim.esm|0669A3</t>
  </si>
  <si>
    <t>Bol de fromage de mammouth</t>
  </si>
  <si>
    <t>skyrim.esm|064B39</t>
  </si>
  <si>
    <t>Bonbon au caramel</t>
  </si>
  <si>
    <t>skyrim.esm|064B30</t>
  </si>
  <si>
    <t>Bouchée à la crème</t>
  </si>
  <si>
    <t>keizaal.esp|E5E068</t>
  </si>
  <si>
    <t>Braided Bread</t>
  </si>
  <si>
    <t>keizaal.esp|E5E07A</t>
  </si>
  <si>
    <t>Bread</t>
  </si>
  <si>
    <t>skyrim.esm|065C97</t>
  </si>
  <si>
    <t>skyrim.esm|065C98</t>
  </si>
  <si>
    <t>skyrim.esm|039968</t>
  </si>
  <si>
    <t>Breuvage d'agilité</t>
  </si>
  <si>
    <t>skyrim.esm|03988E</t>
  </si>
  <si>
    <t>Breuvage d'altération</t>
  </si>
  <si>
    <t>skyrim.esm|03994F</t>
  </si>
  <si>
    <t>Breuvage d'illusion</t>
  </si>
  <si>
    <t>skyrim.esm|0F84B6</t>
  </si>
  <si>
    <t>Breuvage de conflit</t>
  </si>
  <si>
    <t>skyrim.esm|039945</t>
  </si>
  <si>
    <t>Breuvage de crochetage</t>
  </si>
  <si>
    <t>skyrim.esm|0398EE</t>
  </si>
  <si>
    <t>Breuvage de destruction</t>
  </si>
  <si>
    <t>skyrim.esm|03EB05</t>
  </si>
  <si>
    <t>Breuvage de force</t>
  </si>
  <si>
    <t>skyrim.esm|0F84AF</t>
  </si>
  <si>
    <t>Breuvage de fuite</t>
  </si>
  <si>
    <t>skyrim.esm|039D02</t>
  </si>
  <si>
    <t>Breuvage de l'enchanteur</t>
  </si>
  <si>
    <t>skyrim.esm|0398FD</t>
  </si>
  <si>
    <t>Breuvage de l'escarmoucheur</t>
  </si>
  <si>
    <t>skyrim.esm|0398AD</t>
  </si>
  <si>
    <t>Breuvage de l'invocateur</t>
  </si>
  <si>
    <t>skyrim.esm|0F84A8</t>
  </si>
  <si>
    <t>Breuvage de larcin</t>
  </si>
  <si>
    <t>skyrim.esm|03EAFA</t>
  </si>
  <si>
    <t>Breuvage de magie accrue</t>
  </si>
  <si>
    <t>skyrim.esm|039970</t>
  </si>
  <si>
    <t>Breuvage de négociation</t>
  </si>
  <si>
    <t>skyrim.esm|0F84C2</t>
  </si>
  <si>
    <t>Breuvage de pillage</t>
  </si>
  <si>
    <t>skyrim.esm|0F84BC</t>
  </si>
  <si>
    <t>Breuvage de précision</t>
  </si>
  <si>
    <t>skyrim.esm|03EB0E</t>
  </si>
  <si>
    <t>Breuvage de puissance durable</t>
  </si>
  <si>
    <t>skyrim.esm|03EB12</t>
  </si>
  <si>
    <t>Breuvage de récupération</t>
  </si>
  <si>
    <t>skyrim.esm|03EB0A</t>
  </si>
  <si>
    <t>Breuvage de régénération</t>
  </si>
  <si>
    <t>skyrim.esm|03EAEE</t>
  </si>
  <si>
    <t>Breuvage de résistance à la foudre</t>
  </si>
  <si>
    <t>skyrim.esm|03EAED</t>
  </si>
  <si>
    <t>Breuvage de résistance à la glace</t>
  </si>
  <si>
    <t>skyrim.esm|039E53</t>
  </si>
  <si>
    <t>Breuvage de résistance à la magie</t>
  </si>
  <si>
    <t>skyrim.esm|03EAE9</t>
  </si>
  <si>
    <t>Breuvage de résistance au feu</t>
  </si>
  <si>
    <t>skyrim.esm|03AC2F</t>
  </si>
  <si>
    <t>Breuvage de respiration aquatique</t>
  </si>
  <si>
    <t>skyrim.esm|03EAF4</t>
  </si>
  <si>
    <t>Breuvage de santé</t>
  </si>
  <si>
    <t>skyrim.esm|03EB00</t>
  </si>
  <si>
    <t>Breuvage de vigueur améliorée</t>
  </si>
  <si>
    <t>skyrim.esm|039949</t>
  </si>
  <si>
    <t>Breuvage de visée</t>
  </si>
  <si>
    <t>skyrim.esm|039957</t>
  </si>
  <si>
    <t>Breuvage de vol à la tire</t>
  </si>
  <si>
    <t>skyrim.esm|0D6949</t>
  </si>
  <si>
    <t>Breuvage de volubilité</t>
  </si>
  <si>
    <t>skyrim.esm|039974</t>
  </si>
  <si>
    <t>Breuvage du berserker</t>
  </si>
  <si>
    <t>skyrim.esm|0398F4</t>
  </si>
  <si>
    <t>Breuvage du chevalier</t>
  </si>
  <si>
    <t>skyrim.esm|03989B</t>
  </si>
  <si>
    <t>Breuvage du défenseur</t>
  </si>
  <si>
    <t>skyrim.esm|03995D</t>
  </si>
  <si>
    <t>Breuvage du forgeron</t>
  </si>
  <si>
    <t>skyrim.esm|03995A</t>
  </si>
  <si>
    <t>Breuvage du guérisseur</t>
  </si>
  <si>
    <t>skyrim.esm|039954</t>
  </si>
  <si>
    <t>Breuvage du guerrier</t>
  </si>
  <si>
    <t>hearthfires.esm|00353C</t>
  </si>
  <si>
    <t>Butter</t>
  </si>
  <si>
    <t>skyrim.esm|064B3F</t>
  </si>
  <si>
    <t>Cabbage</t>
  </si>
  <si>
    <t>skyrim.esm|064B40</t>
  </si>
  <si>
    <t>Carrot</t>
  </si>
  <si>
    <t>skyrim.esm|0EBA03</t>
  </si>
  <si>
    <t>Chair de palourde</t>
  </si>
  <si>
    <t>skyrim.esm|065C9F</t>
  </si>
  <si>
    <t>Chair de saumon</t>
  </si>
  <si>
    <t>skyrim.esm|065C37</t>
  </si>
  <si>
    <t>Chance soyeuse</t>
  </si>
  <si>
    <t>hearthfires.esm|011801</t>
  </si>
  <si>
    <t>Chausson à la lavande</t>
  </si>
  <si>
    <t>hearthfires.esm|0117FF</t>
  </si>
  <si>
    <t>Chausson au poulet</t>
  </si>
  <si>
    <t>hearthfires.esm|003533</t>
  </si>
  <si>
    <t>Chausson aux pommes</t>
  </si>
  <si>
    <t>skyrim.esm|0F2011</t>
  </si>
  <si>
    <t>Chicken Breast</t>
  </si>
  <si>
    <t>keizaal.esp|E5E06A</t>
  </si>
  <si>
    <t>Chicken Dumpling</t>
  </si>
  <si>
    <t>skyrim.esm|036D53</t>
  </si>
  <si>
    <t>Colodvie</t>
  </si>
  <si>
    <t>skyrim.esm|0722BD</t>
  </si>
  <si>
    <t>Côtelette de venaison</t>
  </si>
  <si>
    <t>skyrim.esm|065C39</t>
  </si>
  <si>
    <t>Course-falaise</t>
  </si>
  <si>
    <t>skyrim.esm|0722C2</t>
  </si>
  <si>
    <t>Cuisse de lapin</t>
  </si>
  <si>
    <t>skyrim.esm|0722B0</t>
  </si>
  <si>
    <t>Cuissot de cheval</t>
  </si>
  <si>
    <t>skyrim.esm|0F693F</t>
  </si>
  <si>
    <t>Cuvée spéciale Roncenoir</t>
  </si>
  <si>
    <t>keizaal.esp|00AB39</t>
  </si>
  <si>
    <t>Dibella's Holy Bathwater</t>
  </si>
  <si>
    <t>skyrim.esm|0A9661</t>
  </si>
  <si>
    <t>Eau bénite</t>
  </si>
  <si>
    <t>skyrim.esm|0B91D7</t>
  </si>
  <si>
    <t>Eau-de-vie de Cyrodiil</t>
  </si>
  <si>
    <t>skyrim.esm|076F17</t>
  </si>
  <si>
    <t>Élixir au sang de Falmer</t>
  </si>
  <si>
    <t>skyrim.esm|03996F</t>
  </si>
  <si>
    <t>Élixir d'agilité</t>
  </si>
  <si>
    <t>skyrim.esm|03989A</t>
  </si>
  <si>
    <t>Élixir d'altération</t>
  </si>
  <si>
    <t>skyrim.esm|039951</t>
  </si>
  <si>
    <t>Élixir d'illusion</t>
  </si>
  <si>
    <t>skyrim.esm|0F84B8</t>
  </si>
  <si>
    <t>Élixir de conflit</t>
  </si>
  <si>
    <t>skyrim.esm|039948</t>
  </si>
  <si>
    <t>Élixir de crochetage</t>
  </si>
  <si>
    <t>skyrim.esm|0398F3</t>
  </si>
  <si>
    <t>Élixir de destruction</t>
  </si>
  <si>
    <t>skyrim.esm|0FF9FE</t>
  </si>
  <si>
    <t>Élixir de force</t>
  </si>
  <si>
    <t>skyrim.esm|0F84B1</t>
  </si>
  <si>
    <t>Élixir de fuite</t>
  </si>
  <si>
    <t>skyrim.esm|039D12</t>
  </si>
  <si>
    <t>Élixir de l'enchanteur</t>
  </si>
  <si>
    <t>skyrim.esm|039904</t>
  </si>
  <si>
    <t>Élixir de l'escarmoucheur</t>
  </si>
  <si>
    <t>skyrim.esm|0398ED</t>
  </si>
  <si>
    <t>Élixir de l'invocateur</t>
  </si>
  <si>
    <t>skyrim.esm|0F84AA</t>
  </si>
  <si>
    <t>Élixir de larcin</t>
  </si>
  <si>
    <t>skyrim.esm|0FF9FD</t>
  </si>
  <si>
    <t>Élixir de magie accrue</t>
  </si>
  <si>
    <t>skyrim.esm|039973</t>
  </si>
  <si>
    <t>Élixir de négociation</t>
  </si>
  <si>
    <t>skyrim.esm|0F84C4</t>
  </si>
  <si>
    <t>Élixir de pillage</t>
  </si>
  <si>
    <t>skyrim.esm|0F84BE</t>
  </si>
  <si>
    <t>Élixir de précision</t>
  </si>
  <si>
    <t>skyrim.esm|0FFA00</t>
  </si>
  <si>
    <t>Élixir de puissance durable</t>
  </si>
  <si>
    <t>skyrim.esm|0FFA02</t>
  </si>
  <si>
    <t>Élixir de récupération</t>
  </si>
  <si>
    <t>skyrim.esm|0FF9FF</t>
  </si>
  <si>
    <t>Élixir de régénération</t>
  </si>
  <si>
    <t>skyrim.esm|03EAF1</t>
  </si>
  <si>
    <t>Élixir de résistance à la foudre</t>
  </si>
  <si>
    <t>skyrim.esm|03EAF0</t>
  </si>
  <si>
    <t>Élixir de résistance à la glace</t>
  </si>
  <si>
    <t>skyrim.esm|039E55</t>
  </si>
  <si>
    <t>Élixir de résistance à la magie</t>
  </si>
  <si>
    <t>skyrim.esm|03EAEF</t>
  </si>
  <si>
    <t>Élixir de résistance au feu</t>
  </si>
  <si>
    <t>skyrim.esm|03AC31</t>
  </si>
  <si>
    <t>Élixir de respiration aquatique</t>
  </si>
  <si>
    <t>skyrim.esm|0FF9FC</t>
  </si>
  <si>
    <t>Élixir de santé</t>
  </si>
  <si>
    <t>skyrim.esm|0FFA01</t>
  </si>
  <si>
    <t>Élixir de vigueur améliorée</t>
  </si>
  <si>
    <t>skyrim.esm|03994E</t>
  </si>
  <si>
    <t>Élixir de visée</t>
  </si>
  <si>
    <t>skyrim.esm|039958</t>
  </si>
  <si>
    <t>Élixir de vol à la tire</t>
  </si>
  <si>
    <t>skyrim.esm|0D6980</t>
  </si>
  <si>
    <t>Élixir de volubilité</t>
  </si>
  <si>
    <t>skyrim.esm|039AA6</t>
  </si>
  <si>
    <t>Élixir du berserker</t>
  </si>
  <si>
    <t>skyrim.esm|0398F6</t>
  </si>
  <si>
    <t>Élixir du chevalier</t>
  </si>
  <si>
    <t>skyrim.esm|0398AC</t>
  </si>
  <si>
    <t>Élixir du défenseur</t>
  </si>
  <si>
    <t>skyrim.esm|039967</t>
  </si>
  <si>
    <t>Élixir du forgeron</t>
  </si>
  <si>
    <t>skyrim.esm|03995C</t>
  </si>
  <si>
    <t>Élixir du guérisseur</t>
  </si>
  <si>
    <t>skyrim.esm|039956</t>
  </si>
  <si>
    <t>Élixir du guerrier</t>
  </si>
  <si>
    <t>skyrim.esm|0F9642</t>
  </si>
  <si>
    <t>Essence de spectre de glace</t>
  </si>
  <si>
    <t>skyrim.esm|0CD883</t>
  </si>
  <si>
    <t>Extrait d'obscurcine</t>
  </si>
  <si>
    <t>skyrim.esm|058CFB</t>
  </si>
  <si>
    <t>Extrait de lotus</t>
  </si>
  <si>
    <t>dawnguard.esm|015A1E</t>
  </si>
  <si>
    <t>Extrait de vide d'âme</t>
  </si>
  <si>
    <t>keizaal.esp|DFD181</t>
  </si>
  <si>
    <t>Farmer's Magical Milk</t>
  </si>
  <si>
    <t>skyrim.esm|073F55</t>
  </si>
  <si>
    <t>Fatale vulnérabilité à la foudre</t>
  </si>
  <si>
    <t>skyrim.esm|073F50</t>
  </si>
  <si>
    <t>Fatale vulnérabilité à la glace</t>
  </si>
  <si>
    <t>skyrim.esm|073F59</t>
  </si>
  <si>
    <t>Fatale vulnérabilité à la magie</t>
  </si>
  <si>
    <t>skyrim.esm|073F4C</t>
  </si>
  <si>
    <t>Fatale vulnérabilité au feu</t>
  </si>
  <si>
    <t>keizaal.esp|E3F837</t>
  </si>
  <si>
    <t>Feather Foot Tonic</t>
  </si>
  <si>
    <t>hearthfires.esm|003541</t>
  </si>
  <si>
    <t>Filet de saumon</t>
  </si>
  <si>
    <t>skyrim.esm|064B3B</t>
  </si>
  <si>
    <t>skyrim.esm|102019</t>
  </si>
  <si>
    <t>Fiole blanche (pleine)</t>
  </si>
  <si>
    <t>skyrim.esm|10201A</t>
  </si>
  <si>
    <t>skyrim.esm|10201B</t>
  </si>
  <si>
    <t>skyrim.esm|10201C</t>
  </si>
  <si>
    <t>skyrim.esm|10201D</t>
  </si>
  <si>
    <t>skyrim.esm|10201E</t>
  </si>
  <si>
    <t>skyrim.esm|01895F</t>
  </si>
  <si>
    <t>Firebrand Wine</t>
  </si>
  <si>
    <t>skyrim.esm|0E2D3D</t>
  </si>
  <si>
    <t>Fléau de spectre de glace</t>
  </si>
  <si>
    <t>dragonborn.esm|0207E5</t>
  </si>
  <si>
    <t>Flin</t>
  </si>
  <si>
    <t>skyrim.esm|0F4320</t>
  </si>
  <si>
    <t>Fondue d'Elsweyr</t>
  </si>
  <si>
    <t>skyrim.esm|064B38</t>
  </si>
  <si>
    <t>Friandise au miel</t>
  </si>
  <si>
    <t>windhelmsse.esp|12010F</t>
  </si>
  <si>
    <t>Frostwheat Bread</t>
  </si>
  <si>
    <t>keizaal.esp|E5E06C</t>
  </si>
  <si>
    <t>Garlic Bread</t>
  </si>
  <si>
    <t>skyrim.esm|07224C</t>
  </si>
  <si>
    <t>Gigot de chèvre grillé</t>
  </si>
  <si>
    <t>windhelmsse.esp|13F598</t>
  </si>
  <si>
    <t>Glacier Water</t>
  </si>
  <si>
    <t>skyrim.esm|10D666</t>
  </si>
  <si>
    <t>Gourd</t>
  </si>
  <si>
    <t>skyrim.esm|073F53</t>
  </si>
  <si>
    <t>Grande vulnérabilité à la foudre</t>
  </si>
  <si>
    <t>skyrim.esm|073F4E</t>
  </si>
  <si>
    <t>Grande vulnérabilité à la glace</t>
  </si>
  <si>
    <t>skyrim.esm|073F57</t>
  </si>
  <si>
    <t>Grande vulnérabilité à la magie</t>
  </si>
  <si>
    <t>skyrim.esm|073F4A</t>
  </si>
  <si>
    <t>Grande vulnérabilité au feu</t>
  </si>
  <si>
    <t>skyrim.esm|064B2F</t>
  </si>
  <si>
    <t>Green Apple</t>
  </si>
  <si>
    <t>keizaal.esp|0521AF</t>
  </si>
  <si>
    <t>Hardtack Bread</t>
  </si>
  <si>
    <t>skyrim.esm|0508CA</t>
  </si>
  <si>
    <t>Honningbrew Mead</t>
  </si>
  <si>
    <t>skyrim.esm|0F4315</t>
  </si>
  <si>
    <t>Horker Stew</t>
  </si>
  <si>
    <t>skyrim.esm|107A8A</t>
  </si>
  <si>
    <t>Hydromel aux genièvres</t>
  </si>
  <si>
    <t>skyrim.esm|0555E8</t>
  </si>
  <si>
    <t>Hydromel du Souffle du dragon</t>
  </si>
  <si>
    <t>keizaal.esp|E5E06E</t>
  </si>
  <si>
    <t>Jazbay Crostata</t>
  </si>
  <si>
    <t>hearthfires.esm|003534</t>
  </si>
  <si>
    <t>Jug of Milk</t>
  </si>
  <si>
    <t>keizaal.esp|E5E070</t>
  </si>
  <si>
    <t>Juniper Berry Crostata</t>
  </si>
  <si>
    <t>keizaal.esp|E6D874</t>
  </si>
  <si>
    <t>Kha'Jay Whiskey</t>
  </si>
  <si>
    <t>keizaal.esp|E5E072</t>
  </si>
  <si>
    <t>Lavender Dumpling</t>
  </si>
  <si>
    <t>skyrim.esm|0669A5</t>
  </si>
  <si>
    <t>Leek</t>
  </si>
  <si>
    <t>skyrim.esm|065C9A</t>
  </si>
  <si>
    <t>Leg of Goat</t>
  </si>
  <si>
    <t>skyrim.esm|073F52</t>
  </si>
  <si>
    <t>Légère vulnérabilité à la foudre</t>
  </si>
  <si>
    <t>skyrim.esm|065A6C</t>
  </si>
  <si>
    <t>Légère vulnérabilité à la glace</t>
  </si>
  <si>
    <t>skyrim.esm|065A6E</t>
  </si>
  <si>
    <t>Légère vulnérabilité à la magie</t>
  </si>
  <si>
    <t>skyrim.esm|065A6B</t>
  </si>
  <si>
    <t>Légère vulnérabilité au feu</t>
  </si>
  <si>
    <t>dragonborn.esm|0248CE</t>
  </si>
  <si>
    <t>Matze</t>
  </si>
  <si>
    <t>skyrim.esm|064B34</t>
  </si>
  <si>
    <t>Meule d'eidar</t>
  </si>
  <si>
    <t>skyrim.esm|064B33</t>
  </si>
  <si>
    <t>Meule de fromage de chèvre</t>
  </si>
  <si>
    <t>skyrim.esm|10394D</t>
  </si>
  <si>
    <t>Miel</t>
  </si>
  <si>
    <t>skyrim.esm|064B32</t>
  </si>
  <si>
    <t>Morceau d'eidar</t>
  </si>
  <si>
    <t>skyrim.esm|064B31</t>
  </si>
  <si>
    <t>Morceau de fromage de chèvre</t>
  </si>
  <si>
    <t>windhelmsse.esp|4477EA</t>
  </si>
  <si>
    <t>Nord Chocolate</t>
  </si>
  <si>
    <t>skyrim.esm|034C5D</t>
  </si>
  <si>
    <t>Nord Mead</t>
  </si>
  <si>
    <t>windhelmsse.esp|4477E9</t>
  </si>
  <si>
    <t>Nord Rolled Cake</t>
  </si>
  <si>
    <t>windhelmsse.esp|04D543</t>
  </si>
  <si>
    <t>Nord Spiced Wine</t>
  </si>
  <si>
    <t>hearthfires.esm|0009DC</t>
  </si>
  <si>
    <t>Pain à l'ail</t>
  </si>
  <si>
    <t>hearthfires.esm|003537</t>
  </si>
  <si>
    <t>Pain aux pommes de terre</t>
  </si>
  <si>
    <t>hearthfires.esm|0009DB</t>
  </si>
  <si>
    <t>Pain tressé</t>
  </si>
  <si>
    <t>skyrim.esm|065C9E</t>
  </si>
  <si>
    <t>Patte de lapin crue</t>
  </si>
  <si>
    <t>dragonborn.esm|03D125</t>
  </si>
  <si>
    <t>Patte de sautecendres</t>
  </si>
  <si>
    <t>hearthfires.esm|003540</t>
  </si>
  <si>
    <t>Pattes de vasard</t>
  </si>
  <si>
    <t>hearthfires.esm|00353F</t>
  </si>
  <si>
    <t>Pattes de vasard à la vapeur</t>
  </si>
  <si>
    <t>skyrim.esm|064B3D</t>
  </si>
  <si>
    <t>Petit pain</t>
  </si>
  <si>
    <t>skyrim.esm|039969</t>
  </si>
  <si>
    <t>Philtre d'agilité</t>
  </si>
  <si>
    <t>skyrim.esm|039899</t>
  </si>
  <si>
    <t>Philtre d'altération</t>
  </si>
  <si>
    <t>skyrim.esm|039950</t>
  </si>
  <si>
    <t>Philtre d'illusion</t>
  </si>
  <si>
    <t>skyrim.esm|0F84B7</t>
  </si>
  <si>
    <t>Philtre de conflit</t>
  </si>
  <si>
    <t>skyrim.esm|039946</t>
  </si>
  <si>
    <t>Philtre de crochetage</t>
  </si>
  <si>
    <t>skyrim.esm|0398F1</t>
  </si>
  <si>
    <t>Philtre de destruction</t>
  </si>
  <si>
    <t>skyrim.esm|03EB04</t>
  </si>
  <si>
    <t>Philtre de force</t>
  </si>
  <si>
    <t>skyrim.esm|0F84B0</t>
  </si>
  <si>
    <t>Philtre de fuite</t>
  </si>
  <si>
    <t>skyrim.esm|039D0A</t>
  </si>
  <si>
    <t>Philtre de l'enchanteur</t>
  </si>
  <si>
    <t>skyrim.esm|039903</t>
  </si>
  <si>
    <t>Philtre de l'escarmoucheur</t>
  </si>
  <si>
    <t>skyrim.esm|0398EC</t>
  </si>
  <si>
    <t>Philtre de l'invocateur</t>
  </si>
  <si>
    <t>skyrim.esm|0F84A9</t>
  </si>
  <si>
    <t>Philtre de larcin</t>
  </si>
  <si>
    <t>skyrim.esm|03EAFC</t>
  </si>
  <si>
    <t>Philtre de magie accrue</t>
  </si>
  <si>
    <t>skyrim.esm|039971</t>
  </si>
  <si>
    <t>Philtre de négociation</t>
  </si>
  <si>
    <t>skyrim.esm|0F84C3</t>
  </si>
  <si>
    <t>Philtre de pillage</t>
  </si>
  <si>
    <t>skyrim.esm|0F84BD</t>
  </si>
  <si>
    <t>Philtre de précision</t>
  </si>
  <si>
    <t>skyrim.esm|03EB10</t>
  </si>
  <si>
    <t>Philtre de puissance durable</t>
  </si>
  <si>
    <t>skyrim.esm|03EB14</t>
  </si>
  <si>
    <t>Philtre de récupération</t>
  </si>
  <si>
    <t>skyrim.esm|03EB0C</t>
  </si>
  <si>
    <t>Philtre de régénération</t>
  </si>
  <si>
    <t>skyrim.esm|039BE3</t>
  </si>
  <si>
    <t>Philtre de résistance à la foudre</t>
  </si>
  <si>
    <t>skyrim.esm|039BDF</t>
  </si>
  <si>
    <t>Philtre de résistance à la glace</t>
  </si>
  <si>
    <t>skyrim.esm|039E54</t>
  </si>
  <si>
    <t>Philtre de résistance à la magie</t>
  </si>
  <si>
    <t>skyrim.esm|039B4B</t>
  </si>
  <si>
    <t>Philtre de résistance au feu</t>
  </si>
  <si>
    <t>skyrim.esm|03AC30</t>
  </si>
  <si>
    <t>Philtre de respiration aquatique</t>
  </si>
  <si>
    <t>skyrim.esm|03EAF5</t>
  </si>
  <si>
    <t>Philtre de santé</t>
  </si>
  <si>
    <t>skyrim.esm|03EAFF</t>
  </si>
  <si>
    <t>Philtre de vigueur améliorée</t>
  </si>
  <si>
    <t>skyrim.esm|03994B</t>
  </si>
  <si>
    <t>Philtre de visée</t>
  </si>
  <si>
    <t>skyrim.esm|039959</t>
  </si>
  <si>
    <t>Philtre de vol à la tire</t>
  </si>
  <si>
    <t>skyrim.esm|0D697F</t>
  </si>
  <si>
    <t>Philtre de volubilité</t>
  </si>
  <si>
    <t>skyrim.esm|039980</t>
  </si>
  <si>
    <t>Philtre du berserker</t>
  </si>
  <si>
    <t>skyrim.esm|0398F5</t>
  </si>
  <si>
    <t>Philtre du chevalier</t>
  </si>
  <si>
    <t>skyrim.esm|0398AB</t>
  </si>
  <si>
    <t>Philtre du défenseur</t>
  </si>
  <si>
    <t>skyrim.esm|0663E1</t>
  </si>
  <si>
    <t>Philtre du fantôme</t>
  </si>
  <si>
    <t>skyrim.esm|039962</t>
  </si>
  <si>
    <t>Philtre du forgeron</t>
  </si>
  <si>
    <t>skyrim.esm|03995B</t>
  </si>
  <si>
    <t>Philtre du guérisseur</t>
  </si>
  <si>
    <t>skyrim.esm|039955</t>
  </si>
  <si>
    <t>Philtre du guerrier</t>
  </si>
  <si>
    <t>skyrim.esm|064B3E</t>
  </si>
  <si>
    <t>Poireaux grillés</t>
  </si>
  <si>
    <t>skyrim.esm|073F31</t>
  </si>
  <si>
    <t>Poison</t>
  </si>
  <si>
    <t>skyrim.esm|073F5A</t>
  </si>
  <si>
    <t>Poison de frénésie</t>
  </si>
  <si>
    <t>skyrim.esm|065A69</t>
  </si>
  <si>
    <t>Poison de frénésie dilué</t>
  </si>
  <si>
    <t>skyrim.esm|073F5D</t>
  </si>
  <si>
    <t>Poison de frénésie mortel</t>
  </si>
  <si>
    <t>skyrim.esm|073F5C</t>
  </si>
  <si>
    <t>Poison de frénésie virulent</t>
  </si>
  <si>
    <t>skyrim.esm|073F39</t>
  </si>
  <si>
    <t>Poison de magie</t>
  </si>
  <si>
    <t>skyrim.esm|065A65</t>
  </si>
  <si>
    <t>Poison de magie dilué</t>
  </si>
  <si>
    <t>skyrim.esm|073F3E</t>
  </si>
  <si>
    <t>Poison de magie durable</t>
  </si>
  <si>
    <t>skyrim.esm|073F40</t>
  </si>
  <si>
    <t>Poison de magie incessant</t>
  </si>
  <si>
    <t>skyrim.esm|073F3C</t>
  </si>
  <si>
    <t>Poison de magie mortel</t>
  </si>
  <si>
    <t>skyrim.esm|065A70</t>
  </si>
  <si>
    <t>Poison de magie persistant</t>
  </si>
  <si>
    <t>skyrim.esm|073F3F</t>
  </si>
  <si>
    <t>Poison de magie prolongé</t>
  </si>
  <si>
    <t>skyrim.esm|073F3D</t>
  </si>
  <si>
    <t>Poison de magie rémanent</t>
  </si>
  <si>
    <t>dragonborn.esm|01CD7D</t>
  </si>
  <si>
    <t>Poison de netch</t>
  </si>
  <si>
    <t>skyrim.esm|073F5E</t>
  </si>
  <si>
    <t>Poison de peur</t>
  </si>
  <si>
    <t>skyrim.esm|065A68</t>
  </si>
  <si>
    <t>Poison de peur dilué</t>
  </si>
  <si>
    <t>skyrim.esm|073F61</t>
  </si>
  <si>
    <t>Poison de peur mortel</t>
  </si>
  <si>
    <t>skyrim.esm|073F60</t>
  </si>
  <si>
    <t>Poison de peur virulent</t>
  </si>
  <si>
    <t>skyrim.esm|073F8C</t>
  </si>
  <si>
    <t>Poison de récupération</t>
  </si>
  <si>
    <t>skyrim.esm|073F8B</t>
  </si>
  <si>
    <t>Poison de récupération dilué</t>
  </si>
  <si>
    <t>skyrim.esm|073F90</t>
  </si>
  <si>
    <t>Poison de regain dilué</t>
  </si>
  <si>
    <t>skyrim.esm|073F91</t>
  </si>
  <si>
    <t>Poison de regain magique</t>
  </si>
  <si>
    <t>skyrim.esm|073F94</t>
  </si>
  <si>
    <t>Poison de regain mortel</t>
  </si>
  <si>
    <t>skyrim.esm|073F41</t>
  </si>
  <si>
    <t>Poison de vigueur</t>
  </si>
  <si>
    <t>skyrim.esm|065A66</t>
  </si>
  <si>
    <t>Poison de vigueur dilué</t>
  </si>
  <si>
    <t>skyrim.esm|073F46</t>
  </si>
  <si>
    <t>Poison de vigueur durable</t>
  </si>
  <si>
    <t>skyrim.esm|073F48</t>
  </si>
  <si>
    <t>Poison de vigueur incessant</t>
  </si>
  <si>
    <t>skyrim.esm|073F44</t>
  </si>
  <si>
    <t>Poison de vigueur mortel</t>
  </si>
  <si>
    <t>skyrim.esm|065A71</t>
  </si>
  <si>
    <t>Poison de vigueur persistant</t>
  </si>
  <si>
    <t>skyrim.esm|073F47</t>
  </si>
  <si>
    <t>Poison de vigueur prolongé</t>
  </si>
  <si>
    <t>skyrim.esm|073F45</t>
  </si>
  <si>
    <t>Poison de vigueur rémanent</t>
  </si>
  <si>
    <t>skyrim.esm|073F43</t>
  </si>
  <si>
    <t>Poison de vigueur virulent</t>
  </si>
  <si>
    <t>skyrim.esm|03A5A4</t>
  </si>
  <si>
    <t>Poison dilué</t>
  </si>
  <si>
    <t>skyrim.esm|073F34</t>
  </si>
  <si>
    <t>Poison mortel</t>
  </si>
  <si>
    <t>skyrim.esm|074A38</t>
  </si>
  <si>
    <t>Poison paralysant</t>
  </si>
  <si>
    <t>skyrim.esm|065A6A</t>
  </si>
  <si>
    <t>Poison paralysant dilué</t>
  </si>
  <si>
    <t>skyrim.esm|074A3B</t>
  </si>
  <si>
    <t>Poison paralysant mortel</t>
  </si>
  <si>
    <t>skyrim.esm|074A3A</t>
  </si>
  <si>
    <t>Poison paralysant virulent</t>
  </si>
  <si>
    <t>skyrim.esm|073F35</t>
  </si>
  <si>
    <t>Poison persistant</t>
  </si>
  <si>
    <t>skyrim.esm|065A6F</t>
  </si>
  <si>
    <t>Poison persistant dilué</t>
  </si>
  <si>
    <t>skyrim.esm|073F38</t>
  </si>
  <si>
    <t>Poison persistant mortel</t>
  </si>
  <si>
    <t>skyrim.esm|073F33</t>
  </si>
  <si>
    <t>Poison virulent</t>
  </si>
  <si>
    <t>skyrim.esm|064B3C</t>
  </si>
  <si>
    <t>Poisson carnassier grillé</t>
  </si>
  <si>
    <t>skyrim.esm|065C9D</t>
  </si>
  <si>
    <t>Poitrine de faisan</t>
  </si>
  <si>
    <t>dragonborn.esm|0206E7</t>
  </si>
  <si>
    <t>Pomme de cendres</t>
  </si>
  <si>
    <t>skyrim.esm|064B3A</t>
  </si>
  <si>
    <t>Pommes de terre au four</t>
  </si>
  <si>
    <t>skyrim.esm|064B41</t>
  </si>
  <si>
    <t>Potato</t>
  </si>
  <si>
    <t>keizaal.esp|E5E074</t>
  </si>
  <si>
    <t>Potato Bread</t>
  </si>
  <si>
    <t>skyrim.esm|03EB33</t>
  </si>
  <si>
    <t>Potion d'agilité</t>
  </si>
  <si>
    <t>skyrim.esm|03EB36</t>
  </si>
  <si>
    <t>Potion d'altération</t>
  </si>
  <si>
    <t>skyrim.esm|0E6DF5</t>
  </si>
  <si>
    <t>Potion d'Esbern</t>
  </si>
  <si>
    <t>skyrim.esm|03EB39</t>
  </si>
  <si>
    <t>Potion d'illusion</t>
  </si>
  <si>
    <t>skyrim.esm|03EB3F</t>
  </si>
  <si>
    <t>Potion d'invisibilité durable</t>
  </si>
  <si>
    <t>skyrim.esm|03EB3E</t>
  </si>
  <si>
    <t>Potion d'invisibilité éphémère</t>
  </si>
  <si>
    <t>skyrim.esm|03EB41</t>
  </si>
  <si>
    <t>Potion d'invisibilité prolongée</t>
  </si>
  <si>
    <t>skyrim.esm|03EB40</t>
  </si>
  <si>
    <t>Potion d'invisibilité temporaire</t>
  </si>
  <si>
    <t>dragonborn.esm|01AADE</t>
  </si>
  <si>
    <t>Potion de bien-être</t>
  </si>
  <si>
    <t>dragonborn.esm|01AAE0</t>
  </si>
  <si>
    <t>Potion de bien-être concentrée</t>
  </si>
  <si>
    <t>dragonborn.esm|01AAE1</t>
  </si>
  <si>
    <t>Potion de bien-être extrême</t>
  </si>
  <si>
    <t>dragonborn.esm|01AADD</t>
  </si>
  <si>
    <t>Potion de bien-être légere</t>
  </si>
  <si>
    <t>dragonborn.esm|01AADF</t>
  </si>
  <si>
    <t>Potion de bien-être profuse</t>
  </si>
  <si>
    <t>dragonborn.esm|01AAE2</t>
  </si>
  <si>
    <t>Potion de bien-être suprême</t>
  </si>
  <si>
    <t>skyrim.esm|0F84B5</t>
  </si>
  <si>
    <t>Potion de conflit</t>
  </si>
  <si>
    <t>skyrim.esm|039930</t>
  </si>
  <si>
    <t>Potion de crochetage</t>
  </si>
  <si>
    <t>skyrim.esm|03EB38</t>
  </si>
  <si>
    <t>Potion de destruction</t>
  </si>
  <si>
    <t>skyrim.esm|03EB02</t>
  </si>
  <si>
    <t>Potion de force</t>
  </si>
  <si>
    <t>skyrim.esm|0F84AE</t>
  </si>
  <si>
    <t>Potion de fuite</t>
  </si>
  <si>
    <t>skyrim.esm|039CFB</t>
  </si>
  <si>
    <t>Potion de l'enchanteur</t>
  </si>
  <si>
    <t>skyrim.esm|03EB30</t>
  </si>
  <si>
    <t>Potion de l'escarmoucheur</t>
  </si>
  <si>
    <t>skyrim.esm|05566A</t>
  </si>
  <si>
    <t>Potion de l'étalon</t>
  </si>
  <si>
    <t>skyrim.esm|03EB37</t>
  </si>
  <si>
    <t>Potion de l'invocateur</t>
  </si>
  <si>
    <t>skyrim.esm|0F84A7</t>
  </si>
  <si>
    <t>Potion de larcin</t>
  </si>
  <si>
    <t>skyrim.esm|03EAE1</t>
  </si>
  <si>
    <t>Potion de magie</t>
  </si>
  <si>
    <t>skyrim.esm|03EAF7</t>
  </si>
  <si>
    <t>Potion de magie accrue</t>
  </si>
  <si>
    <t>skyrim.esm|03EAE4</t>
  </si>
  <si>
    <t>Potion de magie concentrée</t>
  </si>
  <si>
    <t>skyrim.esm|039BE6</t>
  </si>
  <si>
    <t>Potion de magie intense</t>
  </si>
  <si>
    <t>skyrim.esm|03EAE0</t>
  </si>
  <si>
    <t>Potion de magie légère</t>
  </si>
  <si>
    <t>skyrim.esm|03EAE2</t>
  </si>
  <si>
    <t>Potion de magie profuse</t>
  </si>
  <si>
    <t>skyrim.esm|039BE7</t>
  </si>
  <si>
    <t>Potion de magie suprême</t>
  </si>
  <si>
    <t>dragonborn.esm|0390E0</t>
  </si>
  <si>
    <t>Potion de marche sur l'eau</t>
  </si>
  <si>
    <t>skyrim.esm|03EB35</t>
  </si>
  <si>
    <t>Potion de négociation</t>
  </si>
  <si>
    <t>skyrim.esm|0F84C1</t>
  </si>
  <si>
    <t>Potion de pillage</t>
  </si>
  <si>
    <t>skyrim.esm|0F84BB</t>
  </si>
  <si>
    <t>Potion de précision</t>
  </si>
  <si>
    <t>skyrim.esm|03EB0D</t>
  </si>
  <si>
    <t>Potion de puissance durable</t>
  </si>
  <si>
    <t>skyrim.esm|03EB11</t>
  </si>
  <si>
    <t>Potion de récupération</t>
  </si>
  <si>
    <t>skyrim.esm|03EB09</t>
  </si>
  <si>
    <t>Potion de régénération</t>
  </si>
  <si>
    <t>skyrim.esm|039BE1</t>
  </si>
  <si>
    <t>Potion de résistance à la foudre</t>
  </si>
  <si>
    <t>skyrim.esm|039B8A</t>
  </si>
  <si>
    <t>Potion de résistance à la glace</t>
  </si>
  <si>
    <t>skyrim.esm|039E52</t>
  </si>
  <si>
    <t>Potion de résistance à la magie</t>
  </si>
  <si>
    <t>skyrim.esm|039B4A</t>
  </si>
  <si>
    <t>Potion de résistance au feu</t>
  </si>
  <si>
    <t>skyrim.esm|03AC2E</t>
  </si>
  <si>
    <t>Potion de respiration aquatique</t>
  </si>
  <si>
    <t>dawnguard.esm|018EF3</t>
  </si>
  <si>
    <t>Potion de sang</t>
  </si>
  <si>
    <t>skyrim.esm|03EAF2</t>
  </si>
  <si>
    <t>Potion de santé</t>
  </si>
  <si>
    <t>skyrim.esm|03EADE</t>
  </si>
  <si>
    <t>Potion de soin</t>
  </si>
  <si>
    <t>skyrim.esm|03EAE3</t>
  </si>
  <si>
    <t>Potion de soin concentré</t>
  </si>
  <si>
    <t>skyrim.esm|039BE4</t>
  </si>
  <si>
    <t>Potion de soin intense</t>
  </si>
  <si>
    <t>skyrim.esm|03EADF</t>
  </si>
  <si>
    <t>Potion de soin profus</t>
  </si>
  <si>
    <t>skyrim.esm|039BE5</t>
  </si>
  <si>
    <t>Potion de soin suprême</t>
  </si>
  <si>
    <t>skyrim.esm|039BE8</t>
  </si>
  <si>
    <t>Potion de vigueur</t>
  </si>
  <si>
    <t>skyrim.esm|03EAFD</t>
  </si>
  <si>
    <t>Potion de vigueur améliorée</t>
  </si>
  <si>
    <t>skyrim.esm|03EAE8</t>
  </si>
  <si>
    <t>Potion de vigueur concentrée</t>
  </si>
  <si>
    <t>skyrim.esm|03EAE6</t>
  </si>
  <si>
    <t>Potion de vigueur extrême</t>
  </si>
  <si>
    <t>skyrim.esm|03EAE5</t>
  </si>
  <si>
    <t>Potion de vigueur minime</t>
  </si>
  <si>
    <t>skyrim.esm|03EAE7</t>
  </si>
  <si>
    <t>Potion de vigueur profuse</t>
  </si>
  <si>
    <t>skyrim.esm|039CF3</t>
  </si>
  <si>
    <t>Potion de vigueur suprême</t>
  </si>
  <si>
    <t>skyrim.esm|03EB2C</t>
  </si>
  <si>
    <t>Potion de visée</t>
  </si>
  <si>
    <t>skyrim.esm|03EB31</t>
  </si>
  <si>
    <t>Potion de vol à la tire</t>
  </si>
  <si>
    <t>skyrim.esm|0D6948</t>
  </si>
  <si>
    <t>Potion de volubilité</t>
  </si>
  <si>
    <t>skyrim.esm|03EB2B</t>
  </si>
  <si>
    <t>Potion du berserker</t>
  </si>
  <si>
    <t>skyrim.esm|03EB2F</t>
  </si>
  <si>
    <t>Potion du chevalier</t>
  </si>
  <si>
    <t>skyrim.esm|03EB32</t>
  </si>
  <si>
    <t>Potion du défenseur</t>
  </si>
  <si>
    <t>skyrim.esm|03EB2E</t>
  </si>
  <si>
    <t>Potion du forgeron</t>
  </si>
  <si>
    <t>skyrim.esm|03EB3A</t>
  </si>
  <si>
    <t>Potion du guérisseur</t>
  </si>
  <si>
    <t>skyrim.esm|03EB2A</t>
  </si>
  <si>
    <t>Potion du guerrier</t>
  </si>
  <si>
    <t>skyrim.esm|05661F</t>
  </si>
  <si>
    <t>Potion inconnue</t>
  </si>
  <si>
    <t>skyrim.esm|0AE723</t>
  </si>
  <si>
    <t>Potion médicinale</t>
  </si>
  <si>
    <t>skyrim.esm|03EADD</t>
  </si>
  <si>
    <t>Potion of Minor Healing</t>
  </si>
  <si>
    <t>skyrim.esm|0E8947</t>
  </si>
  <si>
    <t>Poulet grillé</t>
  </si>
  <si>
    <t>skyrim.esm|0F84B9</t>
  </si>
  <si>
    <t>Puissant élixir de conflit</t>
  </si>
  <si>
    <t>skyrim.esm|0F84B2</t>
  </si>
  <si>
    <t>Puissant élixir de fuite</t>
  </si>
  <si>
    <t>skyrim.esm|0F84AB</t>
  </si>
  <si>
    <t>Puissant élixir de larcin</t>
  </si>
  <si>
    <t>skyrim.esm|0F84C5</t>
  </si>
  <si>
    <t>Puissant élixir de pillage</t>
  </si>
  <si>
    <t>skyrim.esm|0F84BF</t>
  </si>
  <si>
    <t>Puissant élixir de précision</t>
  </si>
  <si>
    <t>skyrim.esm|073F32</t>
  </si>
  <si>
    <t>Puissant poison</t>
  </si>
  <si>
    <t>skyrim.esm|073F5B</t>
  </si>
  <si>
    <t>Puissant poison de frénésie</t>
  </si>
  <si>
    <t>skyrim.esm|073F3A</t>
  </si>
  <si>
    <t>Puissant poison de magie</t>
  </si>
  <si>
    <t>skyrim.esm|073F5F</t>
  </si>
  <si>
    <t>Puissant poison de peur</t>
  </si>
  <si>
    <t>skyrim.esm|073F8D</t>
  </si>
  <si>
    <t>Puissant poison de récupération</t>
  </si>
  <si>
    <t>skyrim.esm|073F92</t>
  </si>
  <si>
    <t>Puissant poison de regain</t>
  </si>
  <si>
    <t>skyrim.esm|073F42</t>
  </si>
  <si>
    <t>Puissant poison de vigueur</t>
  </si>
  <si>
    <t>skyrim.esm|074A39</t>
  </si>
  <si>
    <t>Puissant poison paralysant</t>
  </si>
  <si>
    <t>skyrim.esm|073F36</t>
  </si>
  <si>
    <t>Puissant poison persistant</t>
  </si>
  <si>
    <t>dragonborn.esm|03CD5B</t>
  </si>
  <si>
    <t>Ragoût de horqueur aux pommes de cendres</t>
  </si>
  <si>
    <t>skyrim.esm|065C99</t>
  </si>
  <si>
    <t>Raw Beef</t>
  </si>
  <si>
    <t>skyrim.esm|064B2E</t>
  </si>
  <si>
    <t>Red Apple</t>
  </si>
  <si>
    <t>skyrim.esm|0CD614</t>
  </si>
  <si>
    <t>Repas fait maison</t>
  </si>
  <si>
    <t>skyrim.esm|0722C7</t>
  </si>
  <si>
    <t>Rôti de faisan</t>
  </si>
  <si>
    <t>hearthfires.esm|003538</t>
  </si>
  <si>
    <t>Sack of Flour</t>
  </si>
  <si>
    <t>windhelmsse.esp|12F9C4</t>
  </si>
  <si>
    <t>Sack of Frostwheat Flour</t>
  </si>
  <si>
    <t>skyrim.esm|0AED90</t>
  </si>
  <si>
    <t>Sève de l'Arbre endormi</t>
  </si>
  <si>
    <t>dragonborn.esm|0248CC</t>
  </si>
  <si>
    <t>Shein</t>
  </si>
  <si>
    <t>keizaal.esp|E5E07E</t>
  </si>
  <si>
    <t>Skooma</t>
  </si>
  <si>
    <t>skyrim.esm|057A7A</t>
  </si>
  <si>
    <t>dawnguard.esm|01391D</t>
  </si>
  <si>
    <t>Skooma d'Eaurouge</t>
  </si>
  <si>
    <t>skyrim.esm|057A7B</t>
  </si>
  <si>
    <t>Skooma de Kordir</t>
  </si>
  <si>
    <t>skyrim.esm|03F4BD</t>
  </si>
  <si>
    <t>Skooma double</t>
  </si>
  <si>
    <t>keizaal.esp|E5E076</t>
  </si>
  <si>
    <t>Snowberry Crostata</t>
  </si>
  <si>
    <t>windhelmsse.esp|17167B</t>
  </si>
  <si>
    <t>Snowberry Juice</t>
  </si>
  <si>
    <t>windhelmsse.esp|13F585</t>
  </si>
  <si>
    <t>Snowberry Mead</t>
  </si>
  <si>
    <t>windhelmsse.esp|15CC6E</t>
  </si>
  <si>
    <t>Snowberry Wine</t>
  </si>
  <si>
    <t>skyrim.esm|03EB03</t>
  </si>
  <si>
    <t>Solution de force</t>
  </si>
  <si>
    <t>skyrim.esm|03EAFB</t>
  </si>
  <si>
    <t>Solution de magie accrue</t>
  </si>
  <si>
    <t>skyrim.esm|03EB0F</t>
  </si>
  <si>
    <t>Solution de puissance durable</t>
  </si>
  <si>
    <t>skyrim.esm|039B0C</t>
  </si>
  <si>
    <t>Solution de récupération</t>
  </si>
  <si>
    <t>skyrim.esm|03EB0B</t>
  </si>
  <si>
    <t>Solution de régénération</t>
  </si>
  <si>
    <t>skyrim.esm|03EAF6</t>
  </si>
  <si>
    <t>Solution de santé</t>
  </si>
  <si>
    <t>skyrim.esm|03EAFE</t>
  </si>
  <si>
    <t>Solution de vigueur améliorée</t>
  </si>
  <si>
    <t>skyrim.esm|0EBA02</t>
  </si>
  <si>
    <t>Soupe au chou</t>
  </si>
  <si>
    <t>skyrim.esm|0F431B</t>
  </si>
  <si>
    <t>Soupe aux choux et pommes de terre</t>
  </si>
  <si>
    <t>hearthfires.esm|00353E</t>
  </si>
  <si>
    <t>Soupe aux palourdes</t>
  </si>
  <si>
    <t>hearthfires.esm|00353D</t>
  </si>
  <si>
    <t>Soupe de pommes de terre</t>
  </si>
  <si>
    <t>skyrim.esm|0F431C</t>
  </si>
  <si>
    <t>Soupe de tomates</t>
  </si>
  <si>
    <t>keizaal.esp|E58EF5</t>
  </si>
  <si>
    <t>Stallion's Elixir</t>
  </si>
  <si>
    <t>skyrim.esm|0722BB</t>
  </si>
  <si>
    <t>Steak de mammouth</t>
  </si>
  <si>
    <t>skyrim.esm|0D055E</t>
  </si>
  <si>
    <t>Stros M'Kai Rum</t>
  </si>
  <si>
    <t>dragonborn.esm|0207E6</t>
  </si>
  <si>
    <t>Sujamma</t>
  </si>
  <si>
    <t>dragonborn.esm|024E0B</t>
  </si>
  <si>
    <t>Sujamma de Sadri</t>
  </si>
  <si>
    <t>skyrim.esm|0F84BA</t>
  </si>
  <si>
    <t>Suprême élixir de conflit</t>
  </si>
  <si>
    <t>skyrim.esm|0F84B3</t>
  </si>
  <si>
    <t>Suprême élixir de fuite</t>
  </si>
  <si>
    <t>skyrim.esm|0F84AC</t>
  </si>
  <si>
    <t>Suprême élixir de larcin</t>
  </si>
  <si>
    <t>skyrim.esm|0F84C6</t>
  </si>
  <si>
    <t>Suprême élixir de pillage</t>
  </si>
  <si>
    <t>skyrim.esm|0F84C0</t>
  </si>
  <si>
    <t>Suprême élixir de précision</t>
  </si>
  <si>
    <t>keizaal.esp|E5E07C</t>
  </si>
  <si>
    <t>Sweet Roll</t>
  </si>
  <si>
    <t>hearthfires.esm|00353A</t>
  </si>
  <si>
    <t>Tarte au jazbay</t>
  </si>
  <si>
    <t>hearthfires.esm|003539</t>
  </si>
  <si>
    <t>Tarte aux genièvres</t>
  </si>
  <si>
    <t>hearthfires.esm|00353B</t>
  </si>
  <si>
    <t>Tarte aux givreboises</t>
  </si>
  <si>
    <t>skyrim.esm|064B43</t>
  </si>
  <si>
    <t>Tarte aux pommes</t>
  </si>
  <si>
    <t>skyrim.esm|073F3B</t>
  </si>
  <si>
    <t>Terrible poison de magie</t>
  </si>
  <si>
    <t>skyrim.esm|073F8E</t>
  </si>
  <si>
    <t>Terrible poison de récupération</t>
  </si>
  <si>
    <t>skyrim.esm|073F93</t>
  </si>
  <si>
    <t>Terrible poison de regain</t>
  </si>
  <si>
    <t>skyrim.esm|073F37</t>
  </si>
  <si>
    <t>Terrible poison persistant</t>
  </si>
  <si>
    <t>skyrim.esm|073F54</t>
  </si>
  <si>
    <t>Terrible vulnérabilité à la foudre</t>
  </si>
  <si>
    <t>skyrim.esm|073F4F</t>
  </si>
  <si>
    <t>Terrible vulnérabilité à la glace</t>
  </si>
  <si>
    <t>skyrim.esm|073F58</t>
  </si>
  <si>
    <t>Terrible vulnérabilité à la magie</t>
  </si>
  <si>
    <t>skyrim.esm|073F4B</t>
  </si>
  <si>
    <t>Terrible vulnérabilité au feu</t>
  </si>
  <si>
    <t>skyrim.esm|064B42</t>
  </si>
  <si>
    <t>Tomato</t>
  </si>
  <si>
    <t>skyrim.esm|05F6DF</t>
  </si>
  <si>
    <t>Torpeur de Vaermina</t>
  </si>
  <si>
    <t>skyrim.esm|065C38</t>
  </si>
  <si>
    <t>Tour d'or blanc</t>
  </si>
  <si>
    <t>skyrim.esm|07224E</t>
  </si>
  <si>
    <t>Tourte au horqueur</t>
  </si>
  <si>
    <t>skyrim.esm|064B36</t>
  </si>
  <si>
    <t>Tranches d'eidar</t>
  </si>
  <si>
    <t>skyrim.esm|064B35</t>
  </si>
  <si>
    <t>Tranches de fromage de chèvre</t>
  </si>
  <si>
    <t>skyrim.esm|0669A4</t>
  </si>
  <si>
    <t>Trompe de mammouth</t>
  </si>
  <si>
    <t>skyrim.esm|10211A</t>
  </si>
  <si>
    <t>skyrim.esm|0F431E</t>
  </si>
  <si>
    <t>Vegetable Soup</t>
  </si>
  <si>
    <t>skyrim.esm|0669A2</t>
  </si>
  <si>
    <t>Venaison</t>
  </si>
  <si>
    <t>skyrim.esm|0E41B8</t>
  </si>
  <si>
    <t>Venin de givrépeire</t>
  </si>
  <si>
    <t>skyrim.esm|0F431D</t>
  </si>
  <si>
    <t>skyrim.esm|065C9C</t>
  </si>
  <si>
    <t>Viande de cheval</t>
  </si>
  <si>
    <t>skyrim.esm|0EDB2E</t>
  </si>
  <si>
    <t>Viande de chien</t>
  </si>
  <si>
    <t>skyrim.esm|065C9B</t>
  </si>
  <si>
    <t>Viande de horqueur</t>
  </si>
  <si>
    <t>skyrim.esm|0E8448</t>
  </si>
  <si>
    <t>Viande de ragnard carbonisé</t>
  </si>
  <si>
    <t>dragonborn.esm|03BD14</t>
  </si>
  <si>
    <t>Viande de sanglier</t>
  </si>
  <si>
    <t>dragonborn.esm|03CF72</t>
  </si>
  <si>
    <t>Viande de sanglier grillée</t>
  </si>
  <si>
    <t>dragonborn.esm|03BD15</t>
  </si>
  <si>
    <t>Viande de sautecendres</t>
  </si>
  <si>
    <t>dawnguard.esm|014DC4</t>
  </si>
  <si>
    <t>Vide d'âme</t>
  </si>
  <si>
    <t>skyrim.esm|0C5348</t>
  </si>
  <si>
    <t>Vin</t>
  </si>
  <si>
    <t>skyrim.esm|03133B</t>
  </si>
  <si>
    <t>Vin Alto</t>
  </si>
  <si>
    <t>skyrim.esm|0C5349</t>
  </si>
  <si>
    <t>skyrim.esm|0F257E</t>
  </si>
  <si>
    <t>Vin de Jessica</t>
  </si>
  <si>
    <t>hearthfires.esm|003535</t>
  </si>
  <si>
    <t>Vin de sang argonien</t>
  </si>
  <si>
    <t>dragonborn.esm|0320DF</t>
  </si>
  <si>
    <t>Vin de Tisebraise</t>
  </si>
  <si>
    <t>hearthfires.esm|003536</t>
  </si>
  <si>
    <t>Vin des frères Surilie</t>
  </si>
  <si>
    <t>skyrim.esm|065A6D</t>
  </si>
  <si>
    <t>Vulnérabilité à la foudre</t>
  </si>
  <si>
    <t>skyrim.esm|073F4D</t>
  </si>
  <si>
    <t>Vulnérabilité à la glace</t>
  </si>
  <si>
    <t>skyrim.esm|073F56</t>
  </si>
  <si>
    <t>Vulnérabilité à la magie</t>
  </si>
  <si>
    <t>skyrim.esm|073F49</t>
  </si>
  <si>
    <t>Vulnérabilité au feu</t>
  </si>
  <si>
    <t>windhelmsse.esp|367FBE</t>
  </si>
  <si>
    <t>Windhelm Homebrew</t>
  </si>
  <si>
    <t>windhelmsse.esp|36D1E5</t>
  </si>
  <si>
    <t>skyrim.esm|03133C</t>
  </si>
  <si>
    <t>Wine</t>
  </si>
  <si>
    <t>Grades</t>
  </si>
  <si>
    <t>Element de ravitaillement</t>
  </si>
  <si>
    <t>Enchenteur</t>
  </si>
  <si>
    <t>Intendant de la garde</t>
  </si>
  <si>
    <t>Alchimiste</t>
  </si>
  <si>
    <t>Instructeur</t>
  </si>
  <si>
    <t>Tortionnaire</t>
  </si>
  <si>
    <t>Couturier</t>
  </si>
  <si>
    <t>Collecteur de la garde</t>
  </si>
  <si>
    <t>:C&amp;" "</t>
  </si>
  <si>
    <t>Article</t>
  </si>
  <si>
    <t>Titre</t>
  </si>
  <si>
    <t>Classification</t>
  </si>
  <si>
    <t>Amende</t>
  </si>
  <si>
    <t>Travaux forcés (heures)</t>
  </si>
  <si>
    <t>Cachot (heures)</t>
  </si>
  <si>
    <t>Sanction complète</t>
  </si>
  <si>
    <t>Texte</t>
  </si>
  <si>
    <t>Alerte parsing</t>
  </si>
  <si>
    <t>Dropdown Amende</t>
  </si>
  <si>
    <t>Dropdown Prison</t>
  </si>
  <si>
    <t>Famille</t>
  </si>
  <si>
    <t>Autorité</t>
  </si>
  <si>
    <t>Applicabilité</t>
  </si>
  <si>
    <t>Local</t>
  </si>
  <si>
    <t>Lien</t>
  </si>
  <si>
    <t>Codex Judiciaire de Blancherive</t>
  </si>
  <si>
    <t>Préambule</t>
  </si>
  <si>
    <t>CHÂTELLERIE DE BLANCHERIVE
CODEX JUDICIAIRE
DE BLANCHERIVE
Code pénal de la Châtellerie de Blancherive
Par l’autorité du Jarl Lucius Haldor, Seigneur des terres de Blancherive,
Sous l’autorité de l’Empereur de Tamriel et dans le respect des prérogatives de l’Empire,
Conformément au Corpus Juriscivilis Imperialis, au Corpus Proceduralis Imperialis, au Codex Penitus Imperialis et au De Re Nobilitatis,
Considérant que :
le Jarl est Seigneur des terres de la Châtellerie, protecteur du peuple et gardien des serments prêtés sous son autorité ;
la paix, la justice et la prospérité du domaine reposent sur des lois connues de tous, claires dans leur énoncé et prévisibles dans leur application ;
le droit propre de la Châtellerie s’est constitué par sédimentation successive, au prix de redites, de renvois incertains et de dispositions divergentes qu’il convient d’unifier ;
le Corpus Juriscivilis Imperialis autorise les châtelleries à promulguer des lois supplémentaires conformes à leurs coutumes, dans le respect de ses dispositions ;
nulle coutume locale ne saurait prévaloir sur le droit impérial, ni sur les compétences réservées aux juridictions de l’Empire ;
il convient de refondre en un texte unique l’ensemble des incriminations applicables sur le territoire de la Châtellerie ;
Le Jarl de Blancherive décrète ce qui suit :</t>
  </si>
  <si>
    <t>Art. 14 — De l’usurpation d’identité</t>
  </si>
  <si>
    <t>{"version":1,"options":[],"libre":true,"texte":"Sanction — appréciation de la Cour ; niveau délictuel en cas d’usurpation d’une qualité noble ou d’une fonction officielle."}</t>
  </si>
  <si>
    <t>Droit de Blancherive</t>
  </si>
  <si>
    <t>Châtellerie de Blancherive</t>
  </si>
  <si>
    <t>Justice et sanctions de la Garde</t>
  </si>
  <si>
    <t>oui</t>
  </si>
  <si>
    <t>https://docs.google.com/document/d/1_awmZGCcQ0TgQycHQGRiBXLTr-f6Yjsn4fR7dAMdQvk/edit</t>
  </si>
  <si>
    <t>De l’autorité du Jarl</t>
  </si>
  <si>
    <t>Le Jarl est Seigneur des terres de la Châtellerie, protecteur du peuple et gardien des serments prêtés sous son autorité. Il veille à la paix, à la justice et à la prospérité de son domaine.
Il est la plus haute autorité civile, militaire et judiciaire de la Châtellerie. Les serments prêtés en son nom possèdent valeur juridique et morale.
Cette autorité s’exerce dans le respect du droit impérial et des compétences réservées à l’Empire.</t>
  </si>
  <si>
    <t>{"version":1,"options":[{"value":250,"label":"250 septims — Sanction — 250 septims et 1 heure de travaux forcés."}],"libre":false,"texte":"Sanction — 250 septims et 1 heure de travaux forcés."}</t>
  </si>
  <si>
    <t>Art. 23 — Des violences et agressions aggravées</t>
  </si>
  <si>
    <t>{"version":1,"options":[{"value":1,"label":"1 h de cachot — Sanction — réparation, 2 heures de travaux forcés et 1 heure de cachot"}],"libre":true,"texte":"Sanction — réparation, 2 heures de travaux forcés et 1 heure de cachot ; amende de niveau criminel à l’appréciation du magistrat."}</t>
  </si>
  <si>
    <t>Corpus Juriscivilis Imperialis</t>
  </si>
  <si>
    <t>Droit impérial</t>
  </si>
  <si>
    <t>Empire de Tamriel</t>
  </si>
  <si>
    <t>Droit pénal impérial général</t>
  </si>
  <si>
    <t>https://docs.google.com/document/d/1Q44ArnKr6qsJIRP9pSVCq_eloSzgMxA1JTqbPl7PP-M/edit</t>
  </si>
  <si>
    <t>Du champ d’application</t>
  </si>
  <si>
    <t>Le présent Codex s’applique à l’ensemble des habitants, résidents, passants et visiteurs se trouvant sur le territoire de la Châtellerie de Blancherive.
L’ignorance des présentes dispositions ne saurait constituer un moyen de défense.</t>
  </si>
  <si>
    <t>Art. 16 — Des menaces aggravées</t>
  </si>
  <si>
    <t>{"version":1,"options":[{"value":500,"label":"500 septims — Sanction — 500 septims, 3 heures de travaux forcés et, si l’auteur exerce une fonction publique, radiation de celle-ci."}],"libre":false,"texte":"Sanction — 500 septims, 3 heures de travaux forcés et, si l’auteur exerce une fonction publique, radiation de celle-ci."}</t>
  </si>
  <si>
    <t>Art. 24 — De la séquestration, de l’enlèvement et de la prise d’otage</t>
  </si>
  <si>
    <t>{"version":1,"options":[{"value":1,"label":"1 h de cachot — Sanction — 650 septims, 3 heures de travaux forcés et 1 heure de cachot."}],"libre":false,"texte":"Sanction — 650 septims, 3 heures de travaux forcés et 1 heure de cachot."}</t>
  </si>
  <si>
    <t>De Re Nobilitatis</t>
  </si>
  <si>
    <t>Droit et statut de la noblesse</t>
  </si>
  <si>
    <t>https://docs.google.com/document/d/1hMA2J9FeE-LfKwdKXy15U6nrpKpdzRZdFg77hqywrzI/edit</t>
  </si>
  <si>
    <t>De la constitution d’une infraction</t>
  </si>
  <si>
    <t>Une infraction n’est constituée que si trois éléments sont réunis :
un élément légal : un texte prévoit et interdit le comportement en cause ;
un élément matériel : un acte ou un fait concret a été commis ou tenté ;
un élément moral : l’auteur a agi volontairement ou en connaissance de cause.
À défaut de l’un de ces éléments, aucune infraction ne peut être retenue.</t>
  </si>
  <si>
    <t>Art. 17 — De la rébellion</t>
  </si>
  <si>
    <t>{"version":1,"options":[{"value":100,"label":"100 septims — Sanction — 100 septims et 1 heure de travaux forcés"}],"libre":false,"texte":"Sanction — 100 septims et 1 heure de travaux forcés ; qualification délictuelle et sanction aggravée en cas de refus violent ou actif."}</t>
  </si>
  <si>
    <t>Art. 25 — De la séquestration aggravée</t>
  </si>
  <si>
    <t>{"version":1,"options":[{"value":1,"label":"1 h de cachot — Sanction — 800 septims, 3 heures de travaux forcés et 1 heure de cachot."}],"libre":false,"texte":"Sanction — 800 septims, 3 heures de travaux forcés et 1 heure de cachot."}</t>
  </si>
  <si>
    <t>Corpus Proceduralis Imperialis</t>
  </si>
  <si>
    <t>Procédure pénale impériale</t>
  </si>
  <si>
    <t>https://docs.google.com/document/d/15ij3H8wqKr-kEAlmHtSSAY1EKslKLudAJT-iM78UERE/edit</t>
  </si>
  <si>
    <t>De la classification des infractions</t>
  </si>
  <si>
    <t>Les infractions sont classées selon leur gravité, conformément au Corpus Juriscivilis Imperialis :
contraventions : infractions mineures, jusqu’à cinq cents (500) septims ;
délits : infractions de gravité moyenne, de cinq cents (500) à deux mille cinq cents (2500) septims ;
crimes : infractions les plus graves, au-delà de deux mille cinq cents (2500) septims.
Lorsque la valeur du préjudice détermine la qualification, celle-ci est appréciée selon les seuils ci-dessus.</t>
  </si>
  <si>
    <t>Art. 18 — Du chantage</t>
  </si>
  <si>
    <t>Art. 26 — De l’homicide involontaire</t>
  </si>
  <si>
    <t>{"version":1,"options":[],"libre":true,"texte":"Sanction — à l’appréciation du magistrat. Barème indicatif : 800 septims, réparation à la famille et 5 heures de travaux forcés."}</t>
  </si>
  <si>
    <t>Justicia Militaris</t>
  </si>
  <si>
    <t>Droit spécial</t>
  </si>
  <si>
    <t>Justice militaire et Légion impériale</t>
  </si>
  <si>
    <t>https://docs.google.com/document/d/1OfwyV6KQynjJS3QyVJyLLbgoTuQc2IP3CoRBSt45soM/edit</t>
  </si>
  <si>
    <t>De la présomption de culpabilité</t>
  </si>
  <si>
    <t>La culpabilité d’une personne est établie conformément aux règles prévues par le Corpus Proceduralis Imperialis et par le présent Codex.
La Cour apprécie l’ensemble des éléments constitutifs de l’infraction, notamment ses éléments légal, matériel et moral, tels que définis à l’article 3.
Aucun de ces éléments ne saurait, sauf disposition expresse du présent Codex, être considéré comme prépondérant sur les autres.
La culpabilité ne peut être retenue qu’au terme de l’examen des faits et des preuves selon la procédure applicable.</t>
  </si>
  <si>
    <t>Art. 21 — De la mise en danger de la vie d’autrui</t>
  </si>
  <si>
    <t>{"version":1,"options":[{"value":500,"label":"500 septims — Sanction — 500 septims et 1 heure de travaux forcés."}],"libre":false,"texte":"Sanction — 500 septims et 1 heure de travaux forcés."}</t>
  </si>
  <si>
    <t>Art. 27 — De l’homicide volontaire</t>
  </si>
  <si>
    <t>{"version":1,"options":[{"value":2,"label":"2 h de cachot — Sanction — à l’appréciation du magistrat. Barème indicatif : 1000 septims, réparation à la famille, 3 heures de travaux forcés et 2 heures de cachot."}],"libre":true,"texte":"Sanction — à l’appréciation du magistrat. Barème indicatif : 1000 septims, réparation à la famille, 3 heures de travaux forcés et 2 heures de cachot."}</t>
  </si>
  <si>
    <t>Codex Penitus Imperialis</t>
  </si>
  <si>
    <t>Protection de l'autorité impériale</t>
  </si>
  <si>
    <t>https://docs.google.com/document/d/1AwLYSziNrCP5oLCyIUAaAauoWmeQVRjvrBcSIBYP000/edit</t>
  </si>
  <si>
    <t>Des sanctions</t>
  </si>
  <si>
    <t>Peuvent être prononcées, selon les circonstances et la gravité des faits : l’amende, la réparation ou la restitution, les travaux forcés, les travaux d’intérêt général, le cachot, la saisie ou confiscation de biens, le bannissement du territoire de la Châtellerie et, dans les cas expressément prévus, la peine de mort.
La peine de mort ne peut être prononcée qu’à l’issue d’un verdict public et motivé du magistrat, conformément à l’article 11 du Corpus Proceduralis Imperialis.
En cas d’insolvabilité réelle, l’amende peut être convertie en travaux forcés, en travaux d’intérêt général ou en saisie de biens.</t>
  </si>
  <si>
    <t>La sanction comporte une mesure non numérique. Peine capitale mentionnée.</t>
  </si>
  <si>
    <t>Art. 22 — Des violences et agressions simples</t>
  </si>
  <si>
    <t>{"version":1,"options":[{"value":550,"label":"550 septims — Sanction — réparation, 550 septims et 3 heures de travaux forcés."}],"libre":false,"texte":"Sanction — réparation, 550 septims et 3 heures de travaux forcés."}</t>
  </si>
  <si>
    <t>Art. 28 — De l’assassinat</t>
  </si>
  <si>
    <t>{"version":1,"options":[{"value":3,"label":"3 h de cachot — Sanction — à l’appréciation du magistrat. Barème indicatif : 1200 septims, 5 heures de travaux forcés et 3 heures de cachot."}],"libre":true,"texte":"Sanction — à l’appréciation du magistrat. Barème indicatif : 1200 septims, 5 heures de travaux forcés et 3 heures de cachot."}</t>
  </si>
  <si>
    <t>Décret sur le régime fiscal de Bordeciel</t>
  </si>
  <si>
    <t>Décrets impériaux</t>
  </si>
  <si>
    <t>Fiscalité de la province</t>
  </si>
  <si>
    <t>https://docs.google.com/document/d/1u3x3SrbR0IAP3S2hZg-8szrQajtPUBz8dPnLdydb_hE/edit</t>
  </si>
  <si>
    <t>De la récidive</t>
  </si>
  <si>
    <t>En cas de récidive, la peine encourue est multipliée par deux. La récidive se compte à partir du jour de la dernière condamnation, constatée au registre judiciaire de la Cour.</t>
  </si>
  <si>
    <t>{"version":1,"options":[],"libre":true,"texte":"Sanction — réparation, 2 heures de travaux forcés et 1 heure de cachot ; amende de niveau criminel à l’appréciation du magistrat."}</t>
  </si>
  <si>
    <t>Art. 29 — De la torture, de la mutilation et de la barbarie</t>
  </si>
  <si>
    <t>{"version":1,"options":[{"value":1,"label":"1 h de cachot — Sanction — à l’appréciation du magistrat. Barème indicatif : réparation, 800 septims, 5 heures de travaux forcés et 1 heure de cachot."}],"libre":true,"texte":"Sanction — à l’appréciation du magistrat. Barème indicatif : réparation, 800 septims, 5 heures de travaux forcés et 1 heure de cachot."}</t>
  </si>
  <si>
    <t>Décret sur l'imposition en Bordeciel</t>
  </si>
  <si>
    <t>Impôts et contributions</t>
  </si>
  <si>
    <t>https://docs.google.com/document/d/1a2Iq5wEduHZlnoFFMbaOuBNHRG7kfhTQGxHM7PnJR-A/edit</t>
  </si>
  <si>
    <t>De la tentative et de la complicité</t>
  </si>
  <si>
    <t>La tentative est constituée dès lors que, manifestée par un commencement d’exécution, elle n’a pas été suspendue volontairement ou a manqué son effet. Elle est sanctionnée comme l’infraction consommée.
Est complice quiconque, sciemment, par aide, assistance, don, promesse, menace, ordre ou abus d’autorité, a facilité la préparation ou la consommation d’une infraction, ou a omis de dénoncer ce dont il a été témoin. La complicité est sanctionnée comme le fait de l’auteur.</t>
  </si>
  <si>
    <t>Peine capitale mentionnée.</t>
  </si>
  <si>
    <t>{"version":1,"options":[{"value":650,"label":"650 septims — Sanction — 650 septims, 3 heures de travaux forcés et 1 heure de cachot."}],"libre":false,"texte":"Sanction — 650 septims, 3 heures de travaux forcés et 1 heure de cachot."}</t>
  </si>
  <si>
    <t>Art. 30 — De la torture aggravée</t>
  </si>
  <si>
    <t>{"version":1,"options":[{"value":3,"label":"3 h de cachot — Sanction — à l’appréciation du magistrat. Barème indicatif : réparation, 1000 septims, 5 heures de travaux forcés et 3 heures de cachot."}],"libre":true,"texte":"Sanction — à l’appréciation du magistrat. Barème indicatif : réparation, 1000 septims, 5 heures de travaux forcés et 3 heures de cachot."}</t>
  </si>
  <si>
    <t>De Argentaria</t>
  </si>
  <si>
    <t>Établissements bancaires</t>
  </si>
  <si>
    <t>https://docs.google.com/document/d/1OEoAUcDVqnjH22Knnyl8ki4v2ED5UYqdg9P6dqww1Zo/edit</t>
  </si>
  <si>
    <t>Des circonstances aggravantes générales</t>
  </si>
  <si>
    <t>Constituent des circonstances aggravantes, lorsque l’article applicable le prévoit ou lorsque le magistrat les retient expressément :
la commission à main armée ou avec usage de magie ;
la commission en réunion, soit par deux auteurs ou plus ;
la commission à l’encontre d’un représentant de l’Empire, d’un membre de la Garde ou d’un dépositaire de l’autorité dans l’exercice de ses fonctions ;
la commission à l’encontre d’une personne vulnérable, d’un enfant ou d’un prêtre des Huit Divins ;
la préméditation ;
la mutilation ou l’atteinte durable à l’intégrité de la victime ;
la commission dans l’enceinte du Temple de Kynareth ou de tout lieu consacré.</t>
  </si>
  <si>
    <t>{"version":1,"options":[{"value":800,"label":"800 septims — Sanction — 800 septims, 3 heures de travaux forcés et 1 heure de cachot."}],"libre":false,"texte":"Sanction — 800 septims, 3 heures de travaux forcés et 1 heure de cachot."}</t>
  </si>
  <si>
    <t>{"version":1,"options":[{"value":0.5,"label":"0.5 h de cachot — Sanction — 50 septims et 30 minutes de cachot."}],"libre":false,"texte":"Sanction — 50 septims et 30 minutes de cachot."}</t>
  </si>
  <si>
    <t>Décret sur les Avocatus de Bordeciel</t>
  </si>
  <si>
    <t>Représentation en justice</t>
  </si>
  <si>
    <t>https://docs.google.com/document/d/1epKkQLkEHy9RhLZycOUt-HNxFwVP8szyh_zhBRv0lGQ/edit</t>
  </si>
  <si>
    <t>Du droit à un procès équitable</t>
  </si>
  <si>
    <t>Toute personne accusée d’une infraction a le droit d’être entendue devant une autorité compétente et de présenter sa défense, en produisant témoins et preuves lorsque ceux-ci existent.
Nul ne peut être condamné sans avoir eu la possibilité de répondre aux accusations portées contre lui.</t>
  </si>
  <si>
    <t>{"version":1,"options":[{"value":800,"label":"800 septims — Sanction — à l’appréciation du magistrat. Barème indicatif : 800 septims, réparation à la famille et 5 heures de travaux forcés."}],"libre":true,"texte":"Sanction — à l’appréciation du magistrat. Barème indicatif : 800 septims, réparation à la famille et 5 heures de travaux forcés."}</t>
  </si>
  <si>
    <t>{"version":1,"options":[{"value":1,"label":"1 h de cachot — Sanction — 500 septims et 1 heure de cachot."}],"libre":false,"texte":"Sanction — 500 septims et 1 heure de cachot."}</t>
  </si>
  <si>
    <t>Décret sur le statut des administrateurs impériaux</t>
  </si>
  <si>
    <t>Administration impériale</t>
  </si>
  <si>
    <t>https://docs.google.com/document/d/1PAtsn1rI81OLlwCmNvjM8EvPbd6oAHGrnUE-rzS2jOA/edit</t>
  </si>
  <si>
    <t>Du serment devant les Divins</t>
  </si>
  <si>
    <t>Toute personne prêtant serment devant les Divins est tenue de dire la vérité. Le serment possède une valeur sacrée : le trompeur offense les hommes et les Divins.
Le faux témoignage ou le mensonge sous serment est réprimé au titre du parjure, prévu à l’article 80 du présent Codex.</t>
  </si>
  <si>
    <t>{"version":1,"options":[{"value":1000,"label":"1000 septims — Sanction — à l’appréciation du magistrat. Barème indicatif : 1000 septims, réparation à la famille, 3 heures de travaux forcés et 2 heures de cachot."}],"libre":true,"texte":"Sanction — à l’appréciation du magistrat. Barème indicatif : 1000 septims, réparation à la famille, 3 heures de travaux forcés et 2 heures de cachot."}</t>
  </si>
  <si>
    <t>Art. 36 — De l’intrusion aggravée</t>
  </si>
  <si>
    <t>{"version":1,"options":[{"value":1,"label":"1 h de cachot — Sanction — 70 septims et 1 heure de cachot"}],"libre":false,"texte":"Sanction — 70 septims et 1 heure de cachot ; qualification délictuelle en propriété publique."}</t>
  </si>
  <si>
    <t>Décret sur les successions des châtelleries</t>
  </si>
  <si>
    <t>Gouverneur impérial de Bordeciel</t>
  </si>
  <si>
    <t>Succession des Jarls et des charges</t>
  </si>
  <si>
    <t>https://docs.google.com/document/d/1AZpHX8bqLZktW9Y36AI7QiAN_qBkZdxMxdkXYycg7sU/edit</t>
  </si>
  <si>
    <t>Du duel judiciaire</t>
  </si>
  <si>
    <t>Les crimes de sang peuvent, avec l’autorisation du Jarl ou du juge compétent, être soumis à un duel judiciaire lorsque les preuves sont insuffisantes ou que les deux parties en acceptent le principe.
Cette ancienne coutume nordique ne constitue pas un droit et demeure une procédure exceptionnelle.</t>
  </si>
  <si>
    <t>{"version":1,"options":[{"value":1200,"label":"1200 septims — Sanction — à l’appréciation du magistrat. Barème indicatif : 1200 septims, 5 heures de travaux forcés et 3 heures de cachot."}],"libre":true,"texte":"Sanction — à l’appréciation du magistrat. Barème indicatif : 1200 septims, 5 heures de travaux forcés et 3 heures de cachot."}</t>
  </si>
  <si>
    <t>Art. 43 — Du pillage</t>
  </si>
  <si>
    <t>{"version":1,"options":[],"libre":true,"texte":"Sanction — restitution ; sanction déterminée selon la classification de l’article 4 d’après la gravité et la valeur du dommage."}</t>
  </si>
  <si>
    <t>Décret sur la qualité de Chevalier de Bordeciel</t>
  </si>
  <si>
    <t>Chevalerie de la province</t>
  </si>
  <si>
    <t>https://docs.google.com/document/d/1HprPbGwA0B_0eOA4wlTnckxFDZZK-ikCfbklJ_p6RwA/edit</t>
  </si>
  <si>
    <t>Du droit d’asile religieux</t>
  </si>
  <si>
    <t>Délit</t>
  </si>
  <si>
    <t>Les prêtres des temples reconnus par la Châtellerie peuvent accorder un asile temporaire aux personnes poursuivies injustement, dans l’attente d’une décision des autorités compétentes.
Cet asile ne constitue pas une immunité. Il ne fait obstacle ni à une arrestation en cas de flagrant délit, ni aux infractions relevant de la compétence exclusive des juridictions impériales.</t>
  </si>
  <si>
    <t>{"version":1,"options":[{"value":800,"label":"800 septims — Sanction — à l’appréciation du magistrat. Barème indicatif : réparation, 800 septims, 5 heures de travaux forcés et 1 heure de cachot."}],"libre":true,"texte":"Sanction — à l’appréciation du magistrat. Barème indicatif : réparation, 800 septims, 5 heures de travaux forcés et 1 heure de cachot."}</t>
  </si>
  <si>
    <t>Art. 47 — De la corruption passive</t>
  </si>
  <si>
    <t>{"version":1,"options":[{"value":3,"label":"3 h de cachot — Sanction — 1000 septims, 3 heures de cachot et bannissement des offices publics à titre de mesure accessoire."}],"libre":false,"texte":"Sanction — 1000 septims, 3 heures de cachot et bannissement des offices publics à titre de mesure accessoire."}</t>
  </si>
  <si>
    <t>Décret sur les Ordres Militaires Religieux</t>
  </si>
  <si>
    <t>Ordres militaires religieux</t>
  </si>
  <si>
    <t>https://docs.google.com/document/d/105KB6YllsBgQr7m_gcOVj74vHQFy30e2ja0omh5BNfE/edit</t>
  </si>
  <si>
    <t>De l’usurpation d’identité</t>
  </si>
  <si>
    <t>Sanction — appréciation de la Cour ; niveau délictuel en cas d’usurpation d’une qualité noble ou d’une fonction officielle.</t>
  </si>
  <si>
    <t>Constitue une usurpation d’identité le fait de se faire passer pour autrui afin d’obtenir un avantage ou d’échapper à ses obligations. [Contravention]
L’infraction devient un délit lorsqu’elle porte sur une qualité noble ou une fonction officielle.
Sanction — appréciation de la Cour ; niveau délictuel en cas d’usurpation d’une qualité noble ou d’une fonction officielle.</t>
  </si>
  <si>
    <t>{"version":1,"options":[{"value":1000,"label":"1000 septims — Sanction — à l’appréciation du magistrat. Barème indicatif : réparation, 1000 septims, 5 heures de travaux forcés et 3 heures de cachot."}],"libre":true,"texte":"Sanction — à l’appréciation du magistrat. Barème indicatif : réparation, 1000 septims, 5 heures de travaux forcés et 3 heures de cachot."}</t>
  </si>
  <si>
    <t>Art. 48 — De la corruption active</t>
  </si>
  <si>
    <t>{"version":1,"options":[{"value":2,"label":"2 h de cachot — Sanction — 2000 septims, 2 heures de travaux forcés, 2 heures de cachot et bannissement des offices publics à titre de mesure accessoire."}],"libre":false,"texte":"Sanction — 2000 septims, 2 heures de travaux forcés, 2 heures de cachot et bannissement des offices publics à titre de mesure accessoire."}</t>
  </si>
  <si>
    <t>Décret sur les équipements stratégiques Orsimer</t>
  </si>
  <si>
    <t>Armes et équipements prohibés</t>
  </si>
  <si>
    <t>https://docs.google.com/document/d/19asrJHgFRAu3KDaHkXZjAAggqOI-gyFp5ZJl2jrepU8/edit</t>
  </si>
  <si>
    <t>Des menaces</t>
  </si>
  <si>
    <t>Contravention</t>
  </si>
  <si>
    <t>Sanction — 250 septims et 1 heure de travaux forcés.</t>
  </si>
  <si>
    <t>Constitue une menace toute parole, écrit ou geste annonçant à autrui un mal à venir. [Contravention]
Sanction — 250 septims et 1 heure de travaux forcés.</t>
  </si>
  <si>
    <t>Art. 32 — De la destruction ou dégradation de bien public</t>
  </si>
  <si>
    <t>{"version":1,"options":[{"value":100,"label":"100 septims — Sanction — 100 septims, réparation et 1 heure de travaux forcés lorsque le dommage n’excède pas 500 septims"}],"libre":false,"texte":"Sanction — 100 septims, réparation et 1 heure de travaux forcés lorsque le dommage n’excède pas 500 septims ; requalification en délit ou en crime au-delà."}</t>
  </si>
  <si>
    <t>Art. 49 — De l’abus de pouvoir public</t>
  </si>
  <si>
    <t>{"version":1,"options":[{"value":2,"label":"2 h de cachot — Sanction — 500 septims, 2 heures de travaux forcés, 2 heures de cachot et bannissement des offices publics à titre de mesure accessoire."}],"libre":false,"texte":"Sanction — 500 septims, 2 heures de travaux forcés, 2 heures de cachot et bannissement des offices publics à titre de mesure accessoire."}</t>
  </si>
  <si>
    <t>Décret sur les équipements dwemers</t>
  </si>
  <si>
    <t>https://docs.google.com/document/d/1g9mqqedq0iUnzTN7CedVPvyNXLS4L2SiC_fvhbZQstQ/edit</t>
  </si>
  <si>
    <t>Des menaces aggravées</t>
  </si>
  <si>
    <t>Sanction — 500 septims, 3 heures de travaux forcés et, si l’auteur exerce une fonction publique, radiation de celle-ci.</t>
  </si>
  <si>
    <t>La menace est aggravée lorsqu’elle vise la famille de la victime, une personne vulnérable, une personne en raison de sa race ou de sa foi envers les Huit Divins, un dépositaire de l’autorité ou un prêtre, ou lorsqu’elle est proférée à main armée ou avec usage de magie. [Délit]
Sanction — 500 septims, 3 heures de travaux forcés et, si l’auteur exerce une fonction publique, radiation de celle-ci.</t>
  </si>
  <si>
    <t>Art. 33 — De la destruction ou dégradation de bien privé</t>
  </si>
  <si>
    <t>{"version":1,"options":[{"value":1,"label":"1 h de cachot — Sanction — 50 septims et 1 heure de cachot."}],"libre":false,"texte":"Sanction — 50 septims et 1 heure de cachot."}</t>
  </si>
  <si>
    <t>Décret sur les armes éthérées</t>
  </si>
  <si>
    <t>https://docs.google.com/document/d/1vvolhoVSss_EEI8cECbNrVdQAgBpjbUbfN_iiZJoYG8/edit</t>
  </si>
  <si>
    <t>De la rébellion</t>
  </si>
  <si>
    <t>Sanction — 100 septims et 1 heure de travaux forcés ; qualification délictuelle et sanction aggravée en cas de refus violent ou actif.</t>
  </si>
  <si>
    <t>Constitue une rébellion le refus opposé à une injonction d’un garde ou d’un dépositaire de la loi. Le refus non violent constitue une contravention ; le refus violent ou actif constitue un délit.
Sanction — 100 septims et 1 heure de travaux forcés ; qualification délictuelle et sanction aggravée en cas de refus violent ou actif.</t>
  </si>
  <si>
    <t>{"version":1,"options":[{"value":50,"label":"50 septims — Sanction — 50 septims et 30 minutes de cachot."}],"libre":false,"texte":"Sanction — 50 septims et 30 minutes de cachot."}</t>
  </si>
  <si>
    <t>Art. 56 — De l’ivresse manifeste sur la voie publique</t>
  </si>
  <si>
    <t>{"version":1,"options":[],"libre":true,"texte":"Sanction — à l’appréciation des forces de l’ordre."}</t>
  </si>
  <si>
    <t>Decretum de Restitutione Bonorum Imperii</t>
  </si>
  <si>
    <t>Restitution des biens de l'Empire</t>
  </si>
  <si>
    <t>https://docs.google.com/document/d/1x9jV2Ijc_4niwHQe4yK3PKmp28fqfWCN4FFuwRTTOzs/edit</t>
  </si>
  <si>
    <t>Du chantage</t>
  </si>
  <si>
    <t>Constitue un chantage la pression exercée sur autrui en vue d’obtenir un avantage. [Contravention]
Sanction — 250 septims et 1 heure de travaux forcés.</t>
  </si>
  <si>
    <t>{"version":1,"options":[{"value":500,"label":"500 septims — Sanction — 500 septims et 1 heure de cachot."}],"libre":false,"texte":"Sanction — 500 septims et 1 heure de cachot."}</t>
  </si>
  <si>
    <t>Décret sur les recherches archéologiques et les artefacts</t>
  </si>
  <si>
    <t>Conseil des Anciens</t>
  </si>
  <si>
    <t>Fouilles, artefacts et archives historiques</t>
  </si>
  <si>
    <t>https://docs.google.com/document/d/1Fh_wqNvwbcpyYGCWYwq6hBOw8jdc8mKLBtkYszPnUno/edit</t>
  </si>
  <si>
    <t>De la diffamation</t>
  </si>
  <si>
    <t>Sanction — réparation du dommage et 1 heure de travaux forcés.</t>
  </si>
  <si>
    <t>Constitue une diffamation l’atteinte portée à la réputation d’autrui par des propos mensongers ou dommageables. [Contravention]
Sanction — réparation du dommage et 1 heure de travaux forcés.</t>
  </si>
  <si>
    <t>{"version":1,"options":[{"value":70,"label":"70 septims — Sanction — 70 septims et 1 heure de cachot"}],"libre":false,"texte":"Sanction — 70 septims et 1 heure de cachot ; qualification délictuelle en propriété publique."}</t>
  </si>
  <si>
    <t>Art. 58 — Des rixes et bagarres</t>
  </si>
  <si>
    <t>{"version":1,"options":[{"value":0.3333333333333333,"label":"0.3333333333333333 h de cachot — Sanction — 35 septims et 20 minutes de cachot"}],"libre":false,"texte":"Sanction — 35 septims et 20 minutes de cachot ; qualification supérieure en cas de blessures."}</t>
  </si>
  <si>
    <t>Du harcèlement</t>
  </si>
  <si>
    <t>Constitue un harcèlement tout comportement répété portant atteinte à une personne. [Contravention]
Sanction — réparation du dommage et 1 heure de travaux forcés.</t>
  </si>
  <si>
    <t>Art. 37 — Du vol simple</t>
  </si>
  <si>
    <t>{"version":1,"options":[{"value":50,"label":"50 septims — Sanction — réparation, amende de 50 septims au minimum ajustée à la valeur du bien, et 1 heure de travaux forcés."}],"libre":false,"texte":"Sanction — réparation, amende de 50 septims au minimum ajustée à la valeur du bien, et 1 heure de travaux forcés."}</t>
  </si>
  <si>
    <t>Art. 61 — De l’exercice illégal d’une profession réglementée</t>
  </si>
  <si>
    <t>{"version":1,"options":[],"libre":true,"texte":"Sanction — selon les régimes spéciaux applicables et l’appréciation de la Cour."}</t>
  </si>
  <si>
    <t>De la mise en danger de la vie d’autrui</t>
  </si>
  <si>
    <t>Sanction — 500 septims et 1 heure de travaux forcés.</t>
  </si>
  <si>
    <t>Constitue une mise en danger le fait d’exposer autrui à un risque sérieux pour sa vie ou son intégrité. [Délit]
Sanction — 500 septims et 1 heure de travaux forcés.</t>
  </si>
  <si>
    <t>Art. 38 — Du vol aggravé</t>
  </si>
  <si>
    <t>{"version":1,"options":[{"value":70,"label":"70 septims — Sanction — réparation, 70 septims et 2 heures de travaux forcés."}],"libre":false,"texte":"Sanction — réparation, 70 septims et 2 heures de travaux forcés."}</t>
  </si>
  <si>
    <t>Art. 66 — Des horaires des tavernes</t>
  </si>
  <si>
    <t>{"version":1,"options":[],"libre":true,"texte":"Sanction — à l’appréciation des forces de l’ordre ; fermeture administrative possible en cas de récidive.\n\nLes infractions du présent titre s’appliquent sans préjudice de la compétence exclusive des juridictions impériales lorsque les faits portent également atteinte à l’autorité impériale directe, à la Légion ou aux services de renseignement impériaux, au sens du Codex Penitus Imperialis."}</t>
  </si>
  <si>
    <t>Des violences et agressions simples</t>
  </si>
  <si>
    <t>Sanction — réparation, 550 septims et 3 heures de travaux forcés.</t>
  </si>
  <si>
    <t>Constituent des violences ou agressions tous actes portant atteinte à l’intégrité physique d’une personne et ayant entraîné blessures, contusions ou incapacité, sans circonstance aggravante. [Délit]
Sanction — réparation, 550 septims et 3 heures de travaux forcés.</t>
  </si>
  <si>
    <t>Art. 41 — Du recel</t>
  </si>
  <si>
    <t>{"version":1,"options":[{"value":100,"label":"100 septims — Sanction — 100 septims par bien, en sus de la valeur estimée du bien, et 2 heures de travaux forcés."}],"libre":false,"texte":"Sanction — 100 septims par bien, en sus de la valeur estimée du bien, et 2 heures de travaux forcés."}</t>
  </si>
  <si>
    <t>Art. 76 — Du non-respect d’une décision de justice</t>
  </si>
  <si>
    <t>{"version":1,"options":[],"libre":true,"texte":"Sanction — à l’appréciation du juge."}</t>
  </si>
  <si>
    <t>Des violences et agressions aggravées</t>
  </si>
  <si>
    <t>Crime</t>
  </si>
  <si>
    <t>Sanction — réparation, 2 heures de travaux forcés et 1 heure de cachot ; amende de niveau criminel à l’appréciation du magistrat.</t>
  </si>
  <si>
    <t>Les violences sont aggravées lorsqu’elles sont commises dans l’une des circonstances prévues à l’article 9. [Crime]
Sanction — réparation, 2 heures de travaux forcés et 1 heure de cachot ; amende de niveau criminel à l’appréciation du magistrat.</t>
  </si>
  <si>
    <t>Plusieurs durées de travaux détectées.</t>
  </si>
  <si>
    <t>Art. 42 — Du recel en bande organisée</t>
  </si>
  <si>
    <t>{"version":1,"options":[{"value":150,"label":"150 septims — Sanction — 150 septims par bien, en sus de la valeur estimée du bien, et 2 heures de travaux forcés."}],"libre":false,"texte":"Sanction — 150 septims par bien, en sus de la valeur estimée du bien, et 2 heures de travaux forcés."}</t>
  </si>
  <si>
    <t>Art. 77 — De l’entrave à la justice</t>
  </si>
  <si>
    <t>De la séquestration, de l’enlèvement et de la prise d’otage</t>
  </si>
  <si>
    <t>Sanction — 650 septims, 3 heures de travaux forcés et 1 heure de cachot.</t>
  </si>
  <si>
    <t>Constitue une séquestration, un enlèvement ou une prise d’otage le fait de priver autrui de sa liberté d’aller et venir sans droit. [Crime]
Sanction — 650 septims, 3 heures de travaux forcés et 1 heure de cachot.</t>
  </si>
  <si>
    <t>Art. 78 — Du faux</t>
  </si>
  <si>
    <t>{"version":1,"options":[{"value":2,"label":"2 h de cachot — Sanction — 500 septims et 2 heures de cachot."}],"libre":false,"texte":"Sanction — 500 septims et 2 heures de cachot."}</t>
  </si>
  <si>
    <t>De la séquestration aggravée</t>
  </si>
  <si>
    <t>Sanction — 800 septims, 3 heures de travaux forcés et 1 heure de cachot.</t>
  </si>
  <si>
    <t>L’infraction est aggravée lorsqu’elle est commise en réunion, avec violence, ou lorsqu’elle se prolonge dans la durée. [Crime]
L’aggravation s’apprécie selon le nombre d’auteurs, la violence employée et la durée de la privation de liberté, et non selon le nombre de victimes.
Sanction — 800 septims, 3 heures de travaux forcés et 1 heure de cachot.</t>
  </si>
  <si>
    <t>Art. 44 — Des ouvrages publics</t>
  </si>
  <si>
    <t>{"version":1,"options":[{"value":50,"label":"50 septims — Sanction — réparation et 50 septims"},{"value":200,"label":"200 septims — 200 septims en cas de récidive"}],"libre":false,"texte":"Sanction — réparation et 50 septims ; 200 septims en cas de récidive ; requalification selon la valeur du dommage."}</t>
  </si>
  <si>
    <t>{"version":1,"options":[{"value":2,"label":"2 h de cachot — Sanction — 250 septims et 2 heures de cachot."}],"libre":false,"texte":"Sanction — 250 septims et 2 heures de cachot."}</t>
  </si>
  <si>
    <t>De l’homicide involontaire</t>
  </si>
  <si>
    <t>Sanction — à l’appréciation du magistrat. Barème indicatif : 800 septims, réparation à la famille et 5 heures de travaux forcés.</t>
  </si>
  <si>
    <t>Constitue un homicide involontaire le décès d’autrui causé par imprudence, négligence ou manquement caractérisé à une obligation de prudence. [Crime]
Sanction — à l’appréciation du magistrat. Barème indicatif : 800 septims, réparation à la famille et 5 heures de travaux forcés.</t>
  </si>
  <si>
    <t>Art. 45 — Des recours abusifs</t>
  </si>
  <si>
    <t>{"version":1,"options":[{"value":200,"label":"200 septims — Sanction — 200 septims."}],"libre":false,"texte":"Sanction — 200 septims."}</t>
  </si>
  <si>
    <t>Art. 90 — De la protection des sépultures</t>
  </si>
  <si>
    <t>{"version":1,"options":[],"libre":true,"texte":"Sanction — sanction déterminée selon l’article 88 ; qualification criminelle lorsque le motif est daedrique."}</t>
  </si>
  <si>
    <t>De l’homicide volontaire</t>
  </si>
  <si>
    <t>Sanction — à l’appréciation du magistrat. Barème indicatif : 1000 septims, réparation à la famille, 3 heures de travaux forcés et 2 heures de cachot.</t>
  </si>
  <si>
    <t>Constitue un homicide volontaire tout acte ayant entraîné volontairement la mort d’autrui. [Crime]
Ne peuvent être qualifiés d’homicide les décès résultant d’une guerre déclarée, d’un usage légitime et proportionné de la force par les autorités, d’une exécution judiciaire régulière ou d’un duel légal consenti.
Sanction — à l’appréciation du magistrat. Barème indicatif : 1000 septims, réparation à la famille, 3 heures de travaux forcés et 2 heures de cachot.</t>
  </si>
  <si>
    <t>Art. 46 — De la violation de la propriété de la Châtellerie</t>
  </si>
  <si>
    <t>{"version":1,"options":[{"value":100,"label":"100 septims — Sanction — amende de niveau délictuel, 100 septims au minimum."}],"libre":false,"texte":"Sanction — amende de niveau délictuel, 100 septims au minimum."}</t>
  </si>
  <si>
    <t>Art. 93 — De la corruption magique</t>
  </si>
  <si>
    <t>{"version":1,"options":[],"libre":true,"texte":"Sanction — à l’appréciation du magistrat, selon la classification retenue."}</t>
  </si>
  <si>
    <t>De l’assassinat</t>
  </si>
  <si>
    <t>Sanction — à l’appréciation du magistrat. Barème indicatif : 1200 septims, 5 heures de travaux forcés et 3 heures de cachot.</t>
  </si>
  <si>
    <t>Constitue un assassinat l’homicide volontaire commis avec préméditation. La préméditation suppose une préparation et une réflexion préalables. [Crime]
Sont également aggravants les faits commis contre la famille, une personne vulnérable, un représentant de l’autorité, ou en raison de la race ou de la foi de la victime, ainsi que ceux commis en bande organisée ou à des fins d’intimidation.
Sanction — à l’appréciation du magistrat. Barème indicatif : 1200 septims, 5 heures de travaux forcés et 3 heures de cachot.</t>
  </si>
  <si>
    <t>{"version":1,"options":[{"value":1000,"label":"1000 septims — Sanction — 1000 septims, 3 heures de cachot et bannissement des offices publics à titre de mesure accessoire."}],"libre":false,"texte":"Sanction — 1000 septims, 3 heures de cachot et bannissement des offices publics à titre de mesure accessoire."}</t>
  </si>
  <si>
    <t>Art. 106 — De la contrebande</t>
  </si>
  <si>
    <t>{"version":1,"options":[{"value":0.3333333333333333,"label":"0.3333333333333333 h de cachot — Sanction — 100 septims, 20 minutes de cachot et confiscation, la valeur de la marchandise saisie s’ajoutant à la peine"}],"libre":false,"texte":"Sanction — 100 septims, 20 minutes de cachot et confiscation, la valeur de la marchandise saisie s’ajoutant à la peine ; sanction aggravée selon l’article 64 en cas de trafic."}</t>
  </si>
  <si>
    <t>De la torture, de la mutilation et de la barbarie</t>
  </si>
  <si>
    <t>Sanction — à l’appréciation du magistrat. Barème indicatif : réparation, 800 septims, 5 heures de travaux forcés et 1 heure de cachot.</t>
  </si>
  <si>
    <t>Constitue un acte de torture tout acte de barbarie, mutilation, violence extrême ou souffrance délibérément infligée. [Crime]
Sanction — à l’appréciation du magistrat. Barème indicatif : réparation, 800 septims, 5 heures de travaux forcés et 1 heure de cachot.</t>
  </si>
  <si>
    <t>{"version":1,"options":[{"value":2000,"label":"2000 septims — Sanction — 2000 septims, 2 heures de travaux forcés, 2 heures de cachot et bannissement des offices publics à titre de mesure accessoire."}],"libre":false,"texte":"Sanction — 2000 septims, 2 heures de travaux forcés, 2 heures de cachot et bannissement des offices publics à titre de mesure accessoire."}</t>
  </si>
  <si>
    <t>Art. 111 — De la protection des géants</t>
  </si>
  <si>
    <t>{"version":1,"options":[],"libre":true,"texte":"Sanction — vol : 100 septims ; provocation ou harcèlement : 150 septims ; mise à mort hors légitime défense : délit, jugement obligatoire, peine déterminée par le juge selon l’article 4, amende de niveau délictuel et cachot possible."}</t>
  </si>
  <si>
    <t>De la torture aggravée</t>
  </si>
  <si>
    <t>Sanction — à l’appréciation du magistrat. Barème indicatif : réparation, 1000 septims, 5 heures de travaux forcés et 3 heures de cachot.</t>
  </si>
  <si>
    <t>L’infraction est aggravée dans les circonstances prévues à l’article 9. [Crime]
Sanction — à l’appréciation du magistrat. Barème indicatif : réparation, 1000 septims, 5 heures de travaux forcés et 3 heures de cachot.</t>
  </si>
  <si>
    <t>{"version":1,"options":[{"value":500,"label":"500 septims — Sanction — 500 septims, 2 heures de travaux forcés, 2 heures de cachot et bannissement des offices publics à titre de mesure accessoire."}],"libre":false,"texte":"Sanction — 500 septims, 2 heures de travaux forcés, 2 heures de cachot et bannissement des offices publics à titre de mesure accessoire."}</t>
  </si>
  <si>
    <t>Du viol et des atteintes sexuelles sur enfant</t>
  </si>
  <si>
    <t>Sanction — peine maximale encourue : mort et saisie des biens, sur verdict public et motivé du magistrat.</t>
  </si>
  <si>
    <t>Le viol et les atteintes sexuelles commises sur un enfant constituent les crimes les plus graves contre la personne. [Crime]
Sanction — peine maximale encourue : mort et saisie des biens, sur verdict public et motivé du magistrat.</t>
  </si>
  <si>
    <t>Art. 50 — De l’abus de pouvoir lié à un statut</t>
  </si>
  <si>
    <t>{"version":1,"options":[{"value":500,"label":"500 septims — Sanction — 500 septims et 3 heures de travaux forcés."}],"libre":false,"texte":"Sanction — 500 septims et 3 heures de travaux forcés."}</t>
  </si>
  <si>
    <t>De la destruction ou dégradation de bien public</t>
  </si>
  <si>
    <t>Sanction — 100 septims, réparation et 1 heure de travaux forcés lorsque le dommage n’excède pas 500 septims ; requalification en délit ou en crime au-delà.</t>
  </si>
  <si>
    <t>Constitue une infraction la destruction ou la dégradation volontaire d’un bien appartenant à la Châtellerie ou affecté à l’usage public. La qualification suit la valeur du dommage selon l’article 4.
Sanction — 100 septims, réparation et 1 heure de travaux forcés lorsque le dommage n’excède pas 500 septims ; requalification en délit ou en crime au-delà.</t>
  </si>
  <si>
    <t>Plusieurs montants d'amende détectés.</t>
  </si>
  <si>
    <t>Art. 51 — De l’usurpation de fonction</t>
  </si>
  <si>
    <t>De la destruction ou dégradation de bien privé</t>
  </si>
  <si>
    <t>Constitue une infraction la destruction ou la dégradation volontaire du bien d’autrui. La qualification suit la valeur du dommage selon l’article 4.
Sanction — 100 septims, réparation et 1 heure de travaux forcés lorsque le dommage n’excède pas 500 septims ; requalification en délit ou en crime au-delà.</t>
  </si>
  <si>
    <t>Art. 52 — De l’usage non autorisé de matériel de la Châtellerie</t>
  </si>
  <si>
    <t>{"version":1,"options":[{"value":150,"label":"150 septims — Sanction — saisie des biens, 150 septims par équipement et 30 minutes de travaux forcés."}],"libre":false,"texte":"Sanction — saisie des biens, 150 septims par équipement et 30 minutes de travaux forcés."}</t>
  </si>
  <si>
    <t>De l’intrusion en propriété privée extérieure</t>
  </si>
  <si>
    <t>Sanction — 50 septims et 30 minutes de cachot.</t>
  </si>
  <si>
    <t>Constitue une intrusion le fait de pénétrer ou de se maintenir sans autorisation sur un terrain, un enclos ou une dépendance appartenant à autrui. [Contravention]
Chacun peut défendre ses terres et ses propriétés, dans les conditions autorisées par la Châtellerie.
Sanction — 50 septims et 30 minutes de cachot.</t>
  </si>
  <si>
    <t>Art. 53 — De la divulgation d’information secrète de la Châtellerie</t>
  </si>
  <si>
    <t>{"version":1,"options":[{"value":1000,"label":"1000 septims — Sanction — 1000 septims et 5 heures de travaux forcés."}],"libre":false,"texte":"Sanction — 1000 septims et 5 heures de travaux forcés."}</t>
  </si>
  <si>
    <t>De l’intrusion en propriété privée intérieure</t>
  </si>
  <si>
    <t>Sanction — 500 septims et 1 heure de cachot.</t>
  </si>
  <si>
    <t>Constitue une intrusion aggravée par le lieu le fait de pénétrer ou de se maintenir sans autorisation à l’intérieur de la demeure d’autrui. [Délit]
Le propriétaire est déclaré en état de légitime défense après trois sommations demeurées sans effet.
Sanction — 500 septims et 1 heure de cachot.</t>
  </si>
  <si>
    <t>{"version":1,"options":[{"value":20,"label":"20 septims — Sanction — 20 septims."}],"libre":false,"texte":"Sanction — 20 septims."}</t>
  </si>
  <si>
    <t>De l’intrusion aggravée</t>
  </si>
  <si>
    <t>Sanction — 70 septims et 1 heure de cachot ; qualification délictuelle en propriété publique.</t>
  </si>
  <si>
    <t>L’intrusion est aggravée lorsqu’elle est commise par force, à main armée, ou contre une personne vulnérable ou un dépositaire de l’autorité. Elle constitue un délit lorsqu’elle porte sur une propriété publique.
Sanction — 70 septims et 1 heure de cachot ; qualification délictuelle en propriété publique.</t>
  </si>
  <si>
    <t>{"version":1,"options":[{"value":50,"label":"50 septims — Sanction — 50 septims et 1 heure de cachot."}],"libre":false,"texte":"Sanction — 50 septims et 1 heure de cachot."}</t>
  </si>
  <si>
    <t>Du vol simple</t>
  </si>
  <si>
    <t>Sanction — réparation, amende de 50 septims au minimum ajustée à la valeur du bien, et 1 heure de travaux forcés.</t>
  </si>
  <si>
    <t>Constitue un vol toute appropriation frauduleuse d’un bien appartenant à autrui. [Délit]
Les faits d’une valeur infime peuvent être traités en contravention sur appréciation du magistrat. Le vol devient un crime lorsque le bien est d’une valeur particulièrement élevée ou qu’il s’agit d’un objet sous licence.
Sanction — réparation, amende de 50 septims au minimum ajustée à la valeur du bien, et 1 heure de travaux forcés.</t>
  </si>
  <si>
    <t>La sanction comporte une borne minimale ou maximale.</t>
  </si>
  <si>
    <t>Du vol aggravé</t>
  </si>
  <si>
    <t>Sanction — réparation, 70 septims et 2 heures de travaux forcés.</t>
  </si>
  <si>
    <t>Le vol est aggravé lorsqu’il est commis contre une personne vulnérable ou un dépositaire de l’autorité, en raison de la race ou de la foi de la victime, à main armée, avec préméditation ou en bande organisée. [Délit]
Sanction — réparation, 70 septims et 2 heures de travaux forcés.</t>
  </si>
  <si>
    <t>Du vol de bétail</t>
  </si>
  <si>
    <t>Sanction — restitution ou remboursement au triple, cumulé avec la peine prévue aux articles 37 et 38.</t>
  </si>
  <si>
    <t>Le bétail constitue une richesse essentielle des fermes et villages de la Châtellerie. Quiconque en est reconnu coupable doit restituer ou rembourser au triple du préjudice subi.
Cette réparation civile s’ajoute à la peine principale, déterminée selon la gravité des faits.
Sanction — restitution ou remboursement au triple, cumulé avec la peine prévue aux articles 37 et 38.</t>
  </si>
  <si>
    <t>{"version":1,"options":[{"value":35,"label":"35 septims — Sanction — 35 septims et 20 minutes de cachot"}],"libre":false,"texte":"Sanction — 35 septims et 20 minutes de cachot ; qualification supérieure en cas de blessures."}</t>
  </si>
  <si>
    <t>De la récidive en matière de vol</t>
  </si>
  <si>
    <t>Sanction — perte du droit de cité et bannissement, sur décision motivée.</t>
  </si>
  <si>
    <t>Toute récidive en matière de vol peut entraîner une aggravation de la peine conformément aux dispositions relatives à la récidive prévues par le présent Codex.
Lorsque les faits sont répétés, graves ou démontrent une volonté manifeste de persister dans une activité criminelle, la Cour peut prononcer des sanctions complémentaires.
La perte du droit de cité ou le bannissement ne peuvent être prononcés que par décision motivée de la Cour, lorsque les sanctions ordinaires apparaissent manifestement insuffisantes au regard du nombre de récidives, de leur gravité et du comportement du condamné.
Ces mesures ne peuvent résulter automatiquement de la seule existence d’une récidive.
Sanction — perte du droit de cité et bannissement, sur décision motivée.</t>
  </si>
  <si>
    <t>Art. 59 — Du rassemblement illégal</t>
  </si>
  <si>
    <t>{"version":1,"options":[{"value":25,"label":"25 septims — Sanction — 25 septims et 1 heure de travaux forcés."}],"libre":false,"texte":"Sanction — 25 septims et 1 heure de travaux forcés."}</t>
  </si>
  <si>
    <t>Du recel</t>
  </si>
  <si>
    <t>Sanction — 100 septims par bien, en sus de la valeur estimée du bien, et 2 heures de travaux forcés.</t>
  </si>
  <si>
    <t>Constitue un recel le fait de transporter, détenir, commercialiser, transformer ou dissimuler un bien provenant d’une infraction, en ne pouvant raisonnablement en ignorer l’origine illicite. [Délit]
Sanction — 100 septims par bien, en sus de la valeur estimée du bien, et 2 heures de travaux forcés.</t>
  </si>
  <si>
    <t>Art. 60 — De l’association de malfaiteurs</t>
  </si>
  <si>
    <t>{"version":1,"options":[{"value":100,"label":"100 septims — Sanction — 100 septims et 2 heures de travaux forcés."}],"libre":false,"texte":"Sanction — 100 septims et 2 heures de travaux forcés."}</t>
  </si>
  <si>
    <t>Du recel en bande organisée</t>
  </si>
  <si>
    <t>Sanction — 150 septims par bien, en sus de la valeur estimée du bien, et 2 heures de travaux forcés.</t>
  </si>
  <si>
    <t>Le recel commis de manière organisée ou concertée est aggravé. [Délit]
Sanction — 150 septims par bien, en sus de la valeur estimée du bien, et 2 heures de travaux forcés.</t>
  </si>
  <si>
    <t>Du pillage</t>
  </si>
  <si>
    <t>Sanction — restitution ; sanction déterminée selon la classification de l’article 4 d’après la gravité et la valeur du dommage.</t>
  </si>
  <si>
    <t>Le pillage des terres alliées, des villages protégés par le Jarl ou des biens des sujets fidèles de la Châtellerie est interdit, y compris en temps de guerre.
Sanction — restitution ; sanction déterminée selon la classification de l’article 4 d’après la gravité et la valeur du dommage.</t>
  </si>
  <si>
    <t>Art. 62 — De la divulgation d’un secret professionnel</t>
  </si>
  <si>
    <t>Des ouvrages publics</t>
  </si>
  <si>
    <t>Sanction — réparation et 50 septims ; 200 septims en cas de récidive ; requalification selon la valeur du dommage.</t>
  </si>
  <si>
    <t>Les moulins, ponts, puits et tout ouvrage d’utilité publique sont placés sous la protection de la loi. Toute dégradation, sabotage ou destruction volontaire constitue une infraction grave.
Sanction — réparation et 50 septims ; 200 septims en cas de récidive ; requalification selon la valeur du dommage.</t>
  </si>
  <si>
    <t>Art. 63 — Du refus d’obtempérer</t>
  </si>
  <si>
    <t>{"version":1,"options":[{"value":50,"label":"50 septims — Sanction — 50 septims et 1 heure de travaux forcés"}],"libre":false,"texte":"Sanction — 50 septims et 1 heure de travaux forcés ; mise en état de travail ou retrait de charrette possible."}</t>
  </si>
  <si>
    <t>Des recours abusifs</t>
  </si>
  <si>
    <t>Sanction — 200 septims.</t>
  </si>
  <si>
    <t>Constitue un recours abusif l’usage manifestement injustifié des procédures ou demandes adressées aux services de la Châtellerie. [Contravention]
Sanction — 200 septims.</t>
  </si>
  <si>
    <t>Art. 64 — De la fabrication et de la vente de substances illégales</t>
  </si>
  <si>
    <t>{"version":1,"options":[{"value":250,"label":"250 septims — Sanction — 250 septims par unité et 3 heures de travaux forcés."}],"libre":false,"texte":"Sanction — 250 septims par unité et 3 heures de travaux forcés."}</t>
  </si>
  <si>
    <t>De la violation de la propriété de la Châtellerie</t>
  </si>
  <si>
    <t>Sanction — amende de niveau délictuel, 100 septims au minimum.</t>
  </si>
  <si>
    <t>Constitue un délit l’intrusion ou le maintien sans droit dans une propriété de la Châtellerie.
Sanction — amende de niveau délictuel, 100 septims au minimum.</t>
  </si>
  <si>
    <t>Art. 65 — De la fausse alerte</t>
  </si>
  <si>
    <t>{"version":1,"options":[{"value":100,"label":"100 septims — Sanction — 100 septims et 1 heure de travaux forcés."}],"libre":false,"texte":"Sanction — 100 septims et 1 heure de travaux forcés."}</t>
  </si>
  <si>
    <t>De la corruption passive</t>
  </si>
  <si>
    <t>Sanction — 1000 septims, 3 heures de cachot et bannissement des offices publics à titre de mesure accessoire.</t>
  </si>
  <si>
    <t>Commet une corruption passive l’agent qui sollicite ou accepte un avantage indu en vue d’influencer une décision, une action ou une omission relevant de ses fonctions. [Crime]
Sanction — 1000 septims, 3 heures de cachot et bannissement des offices publics à titre de mesure accessoire.</t>
  </si>
  <si>
    <t>De la corruption active</t>
  </si>
  <si>
    <t>Sanction — 2000 septims, 2 heures de travaux forcés, 2 heures de cachot et bannissement des offices publics à titre de mesure accessoire.</t>
  </si>
  <si>
    <t>Commet une corruption active quiconque offre ou promet un avantage indu à une personne investie d’une autorité ou d’une fonction. [Crime]
Sanction — 2000 septims, 2 heures de travaux forcés, 2 heures de cachot et bannissement des offices publics à titre de mesure accessoire.</t>
  </si>
  <si>
    <t>Art. 74 — De l’outrage</t>
  </si>
  <si>
    <t>{"version":1,"options":[{"value":200,"label":"200 septims — Outrage à la Châtellerie — 200 septims et 1 heure de travaux forcés. [Contravention]"},{"value":500,"label":"500 septims — outrage ou à la Cour — 500 septims et 3 heures de travaux forcés. [Délit]"}],"libre":false,"texte":"Constitue un outrage toute atteinte verbale ou symbolique portée à une autorité de la Châtellerie. L’outrage se gradue comme suit :\nOutrage à la Garde — 100 septims ; le contrevenant peut être retenu jusqu’à comparution devant une autorité. [Contravention]\nOutrage à la Châtellerie — 200 septims et 1 heure de travaux forcés. [Contravention]\noutrage ou à la Cour — 500 septims et 3 heures de travaux forcés. [Délit]\nOutrage au Jarl — peine maximale encourue : mort et saisie des biens, sur verdict public et motivé..\nL’outrage commis à l’audience relève de la police de l’audience et du Codex Procédural de Blancherive."}</t>
  </si>
  <si>
    <t>De l’abus de pouvoir public</t>
  </si>
  <si>
    <t>Sanction — 500 septims, 2 heures de travaux forcés, 2 heures de cachot et bannissement des offices publics à titre de mesure accessoire.</t>
  </si>
  <si>
    <t>Commet un abus de pouvoir toute personne investie d’une fonction publique locale qui en use de manière détournée, excessive ou illégitime. [Crime]
Sanction — 500 septims, 2 heures de travaux forcés, 2 heures de cachot et bannissement des offices publics à titre de mesure accessoire.</t>
  </si>
  <si>
    <t>De l’abus de pouvoir lié à un statut</t>
  </si>
  <si>
    <t>Sanction — 500 septims et 3 heures de travaux forcés.</t>
  </si>
  <si>
    <t>Le présent article vise les abus commis au titre d’un statut nobiliaire, corporatif ou de guilde, à l’exclusion des fonctions publiques locales régies par l’article 49. [Crime]
Sanction — 500 septims et 3 heures de travaux forcés.</t>
  </si>
  <si>
    <t>De l’usurpation de fonction</t>
  </si>
  <si>
    <t>Commet une usurpation de fonction quiconque se prétend titulaire d’une charge ou d’une fonction sans en avoir le titre. [Délit]
Sanction — 500 septims et 3 heures de travaux forcés.</t>
  </si>
  <si>
    <t>{"version":1,"options":[{"value":500,"label":"500 septims — Sanction — 500 septims et 2 heures de cachot."}],"libre":false,"texte":"Sanction — 500 septims et 2 heures de cachot."}</t>
  </si>
  <si>
    <t>De l’usage non autorisé de matériel de la Châtellerie</t>
  </si>
  <si>
    <t>Sanction — saisie des biens, 150 septims par équipement et 30 minutes de travaux forcés.</t>
  </si>
  <si>
    <t>Constitue une infraction l’utilisation sans droit d’un équipement appartenant à la Châtellerie. [Contravention]
Sanction — saisie des biens, 150 septims par équipement et 30 minutes de travaux forcés.</t>
  </si>
  <si>
    <t>{"version":1,"options":[{"value":250,"label":"250 septims — Sanction — 250 septims et 2 heures de cachot."}],"libre":false,"texte":"Sanction — 250 septims et 2 heures de cachot."}</t>
  </si>
  <si>
    <t>De la divulgation d’information secrète de la Châtellerie</t>
  </si>
  <si>
    <t>Sanction — 1000 septims et 5 heures de travaux forcés.</t>
  </si>
  <si>
    <t>Constitue une infraction la divulgation volontaire, sans autorisation légitime, d’une information officiellement tenue secrète par la Châtellerie lorsque cette divulgation est susceptible de porter atteinte à ses intérêts, à son administration, à sa sécurité ou à celle de ses habitants.
Le présent article ne s’applique qu’aux informations relevant de la compétence propre de la Châtellerie.
Lorsque les informations concernées touchent également à la sécurité de l’Empire, à la Légion impériale, au renseignement impérial ou à toute matière relevant du Codex Penitus Imperialis, la compétence des autorités impériales prévaut.
Dans ce cas, la Cour de Blancherive se dessaisit de l’affaire et transmet aux autorités impériales compétentes les informations et éléments recueillis.
Sanction — 1000 septims et 5 heures de travaux forcés.</t>
  </si>
  <si>
    <t>Art. 81 — De l’évasion</t>
  </si>
  <si>
    <t>{"version":1,"options":[{"value":2000,"label":"2000 septims — Sanction — 2000 septims et 4 heures de travaux forcés."}],"libre":false,"texte":"Sanction — 2000 septims et 4 heures de travaux forcés."}</t>
  </si>
  <si>
    <t>De la dissimulation du visage</t>
  </si>
  <si>
    <t>Sanction — 20 septims.</t>
  </si>
  <si>
    <t>Le fait de dissimuler son visage en violation des dispositions prévues à l’article 115 du présent Codex constitue une infraction.
Les interdictions, exceptions éventuelles et limites territoriales applicables à la dissimulation du visage sont celles définies à l’article 115.
Toute dissimulation volontaire destinée à empêcher l’identification d’une personne par la Garde ou par une autre autorité légitime peut être retenue comme circonstance aggravante.
Le refus de découvrir son visage après une injonction légitime d’une autorité peut également donner lieu à l’application des dispositions relatives au refus d’obtempérer.
Sanction — 20 septims.</t>
  </si>
  <si>
    <t>Art. 87 — De la possession d’artefact daedrique</t>
  </si>
  <si>
    <t>{"version":1,"options":[{"value":500,"label":"500 septims — Sanction — saisie de l’artefact, 500 septims et 2 heures de travaux forcés."}],"libre":false,"texte":"Sanction — saisie de l’artefact, 500 septims et 2 heures de travaux forcés."}</t>
  </si>
  <si>
    <t>De l’exhibition</t>
  </si>
  <si>
    <t>Sanction — 50 septims et 1 heure de cachot.</t>
  </si>
  <si>
    <t>Constitue une exhibition tout dénuement ou comportement indécent exposé au regard du public. [Contravention]
Sanction — 50 septims et 1 heure de cachot.</t>
  </si>
  <si>
    <t>Art. 88 — De la profanation de lieu saint</t>
  </si>
  <si>
    <t>{"version":1,"options":[{"value":500,"label":"500 septims — Sanction — 500 septims et 3 heures de travaux forcés"}],"libre":false,"texte":"Sanction — 500 septims et 3 heures de travaux forcés ; qualification criminelle lorsque le motif est daedrique."}</t>
  </si>
  <si>
    <t>De l’ivresse manifeste sur la voie publique</t>
  </si>
  <si>
    <t>Sanction — à l’appréciation des forces de l’ordre.</t>
  </si>
  <si>
    <t>L’état d’ivresse manifeste sur la voie publique constitue une contravention.
Sanction — à l’appréciation des forces de l’ordre.</t>
  </si>
  <si>
    <t>Du trouble à l’ordre public</t>
  </si>
  <si>
    <t>Constitue un trouble à l’ordre public tout comportement perturbant la tranquillité ou la sécurité publique. [Contravention]
Sanction — à l’appréciation des forces de l’ordre.</t>
  </si>
  <si>
    <t>Des rixes et bagarres</t>
  </si>
  <si>
    <t>Sanction — 35 septims et 20 minutes de cachot ; qualification supérieure en cas de blessures.</t>
  </si>
  <si>
    <t>Toute bagarre, rixe ou altercation violente sur la voie publique est interdite sur l’ensemble du territoire de la Châtellerie, hormis dans les tavernes et avec l’accord du tenancier.
Le trouble sans blessure constitue une contravention ; l’altercation ayant causé des blessures constitue un délit relevant de l’article 22, aggravé le cas échéant selon l’article 9.
Sanction — 35 septims et 20 minutes de cachot ; qualification supérieure en cas de blessures.</t>
  </si>
  <si>
    <t>Art. 101 — De la taxe citoyenne</t>
  </si>
  <si>
    <t>{"version":1,"options":[{"value":50,"label":"50 septims — Sanction — 50 septims par semaine de retard jusqu’à régularisation"}],"libre":false,"texte":"Sanction — 50 septims par semaine de retard jusqu’à régularisation ; perte de la citoyenneté après deux semaines."}</t>
  </si>
  <si>
    <t>Du rassemblement illégal</t>
  </si>
  <si>
    <t>Sanction — 25 septims et 1 heure de travaux forcés.</t>
  </si>
  <si>
    <t>Constitue un rassemblement illégal tout regroupement interdit ou tenu sans autorisation. [Contravention]
Sanction — 25 septims et 1 heure de travaux forcés.</t>
  </si>
  <si>
    <t>Art. 104 — De la vente de gros et des étals</t>
  </si>
  <si>
    <t>{"version":1,"options":[{"value":65,"label":"65 septims — Sanction — 65 septims."}],"libre":false,"texte":"Sanction — 65 septims."}</t>
  </si>
  <si>
    <t>De l’association de malfaiteurs</t>
  </si>
  <si>
    <t>Sanction — 100 septims et 2 heures de travaux forcés.</t>
  </si>
  <si>
    <t>Constitue une association de malfaiteurs tout groupement formé en vue de commettre des infractions. [Délit]
Cette qualification peut également être retenue à titre de circonstance aggravante.
Sanction — 100 septims et 2 heures de travaux forcés.</t>
  </si>
  <si>
    <t>Art. 105 — De la vente à la criée</t>
  </si>
  <si>
    <t>{"version":1,"options":[{"value":100,"label":"100 septims — Sanction — 100 septims à la première infraction"},{"value":200,"label":"200 septims — 200 septims en cas de récidive, sans préjudice d’une saisie temporaire des marchandises ou d’une interdiction provisoire d’exercer."}],"libre":false,"texte":"Sanction — 100 septims à la première infraction ; 200 septims en cas de récidive, sans préjudice d’une saisie temporaire des marchandises ou d’une interdiction provisoire d’exercer."}</t>
  </si>
  <si>
    <t>De l’exercice illégal d’une profession réglementée</t>
  </si>
  <si>
    <t>Sanction — selon les régimes spéciaux applicables et l’appréciation de la Cour.</t>
  </si>
  <si>
    <t>Sont réglementés notamment le commerce, l’alchimie, la guérison et la chasse. Leur exercice sans droit constitue une contravention. [Contravention]
Sanction — selon les régimes spéciaux applicables et l’appréciation de la Cour.</t>
  </si>
  <si>
    <t>{"version":1,"options":[{"value":100,"label":"100 septims — Sanction — 100 septims, 20 minutes de cachot et confiscation, la valeur de la marchandise saisie s’ajoutant à la peine"}],"libre":false,"texte":"Sanction — 100 septims, 20 minutes de cachot et confiscation, la valeur de la marchandise saisie s’ajoutant à la peine ; sanction aggravée selon l’article 64 en cas de trafic."}</t>
  </si>
  <si>
    <t>De la divulgation d’un secret professionnel</t>
  </si>
  <si>
    <t>Constitue une infraction la divulgation d’informations couvertes par un secret professionnel, commercial, industriel, religieux ou médical. [Contravention]
Sanction — 500 septims et 3 heures de travaux forcés.</t>
  </si>
  <si>
    <t>Art. 108 — De la chasse sans permis</t>
  </si>
  <si>
    <t>{"version":1,"options":[{"value":100,"label":"100 septims — Sanction — 100 septims."}],"libre":false,"texte":"Sanction — 100 septims."}</t>
  </si>
  <si>
    <t>Du refus d’obtempérer</t>
  </si>
  <si>
    <t>Sanction — 50 septims et 1 heure de travaux forcés ; mise en état de travail ou retrait de charrette possible.</t>
  </si>
  <si>
    <t>Constitue un refus d’obtempérer le fait de se soustraire volontairement à un contrôle ou à une injonction d’une autorité légitime. [Contravention]
L’infraction devient un délit en cas d’usage de violence, de magie ou de potions.
Sanction — 50 septims et 1 heure de travaux forcés ; mise en état de travail ou retrait de charrette possible.</t>
  </si>
  <si>
    <t>Art. 109 — De la cruauté envers les bêtes</t>
  </si>
  <si>
    <t>{"version":1,"options":[{"value":150,"label":"150 septims — Sanction — 150 septims."}],"libre":false,"texte":"Sanction — 150 septims."}</t>
  </si>
  <si>
    <t>De la fabrication et de la vente de substances illégales</t>
  </si>
  <si>
    <t>Sanction — 250 septims par unité et 3 heures de travaux forcés.</t>
  </si>
  <si>
    <t>Sont prohibés la fabrication et le commerce de poisons, de skooma et de sucre-lune. [Délit]
En cas de trafic de grande ampleur, notamment lorsque le cumul excède 2500 septims, l’infraction est requalifiée en crime.
Sanction — 250 septims par unité et 3 heures de travaux forcés.</t>
  </si>
  <si>
    <t>Art. 110 — De la chasse au mammouth</t>
  </si>
  <si>
    <t>De la fausse alerte</t>
  </si>
  <si>
    <t>Sanction — 100 septims et 1 heure de travaux forcés.</t>
  </si>
  <si>
    <t>Constitue une fausse alerte toute alerte mensongère ou abusive donnée à la Garde ou aux autorités. [Contravention]
Sanction — 100 septims et 1 heure de travaux forcés.</t>
  </si>
  <si>
    <t>{"version":1,"options":[{"value":100,"label":"100 septims — Sanction — vol : 100 septims"},{"value":150,"label":"150 septims — provocation ou harcèlement : 150 septims"}],"libre":true,"texte":"Sanction — vol : 100 septims ; provocation ou harcèlement : 150 septims ; mise à mort hors légitime défense : délit, jugement obligatoire, peine déterminée par le juge selon l’article 4, amende de niveau délictuel et cachot possible."}</t>
  </si>
  <si>
    <t>Des horaires des tavernes</t>
  </si>
  <si>
    <t>Sanction — à l’appréciation des forces de l’ordre ; fermeture administrative possible en cas de récidive.
Les infractions du présent titre s’appliquent sans préjudice de la compétence exclusive des juridictions impériales lorsque les faits portent également atteinte à l’autorité impériale directe, à la Légion ou aux services de renseignement impériaux, au sens du Codex Penitus Imperialis.</t>
  </si>
  <si>
    <t>Les tavernes, auberges et établissements servant des boissons ferment au troisième appel de cloche, sauf autorisation exceptionnelle du Jarl ou de son représentant.
Sanction — à l’appréciation des forces de l’ordre ; fermeture administrative possible en cas de récidive.
Les infractions du présent titre s’appliquent sans préjudice de la compétence exclusive des juridictions impériales lorsque les faits portent également atteinte à l’autorité impériale directe, à la Légion ou aux services de renseignement impériaux, au sens du Codex Penitus Imperialis.</t>
  </si>
  <si>
    <t>{"version":1,"options":[{"value":15,"label":"15 septims — Sanction — 15 septims."}],"libre":false,"texte":"Sanction — 15 septims."}</t>
  </si>
  <si>
    <t>De la trahison envers la Châtellerie</t>
  </si>
  <si>
    <t>Sanction — peine maximale encourue : mort et saisie des biens, sur verdict public et motivé.</t>
  </si>
  <si>
    <t>Commet un acte de haute trahison quiconque :
apporte volontairement aide, assistance, refuge, renseignements ou ravitaillement à toute organisation cherchant à nuire à la Châtellerie. [Crime]
prends les armes contre la Châtellerie
divulgue des secrets ou collabore avec des organisations extérieures dans le but de nuire à la Châtellerie.
Le présent article vise exclusivement les atteintes portées à la Châtellerie elle-même.
Sanction — peine maximale encourue : mort et saisie des biens, sur verdict public et motivé.</t>
  </si>
  <si>
    <t>{"version":1,"options":[{"value":15,"label":"15 septims — Sanction — 15 septims, sans préjudice de l’article 54."}],"libre":false,"texte":"Sanction — 15 septims, sans préjudice de l’article 54."}</t>
  </si>
  <si>
    <t>Du terrorisme</t>
  </si>
  <si>
    <t>Constitue un acte de terrorisme toute entreprise visant à répandre la terreur au sein de la population ou à contraindre les autorités par la violence. [Crime]
Sanction — peine maximale encourue : mort et saisie des biens, sur verdict public et motivé.</t>
  </si>
  <si>
    <t>{"version":1,"options":[{"value":55,"label":"55 septims — Sanction — 55 septims."}],"libre":false,"texte":"Sanction — 55 septims."}</t>
  </si>
  <si>
    <t>De la conspiration</t>
  </si>
  <si>
    <t>Constitue une conspiration tout projet concerté dirigé contre la Châtellerie ou ses institutions. [Crime]
Sanction — peine maximale encourue : mort et saisie des biens, sur verdict public et motivé.</t>
  </si>
  <si>
    <t>{"version":1,"options":[{"value":40,"label":"40 septims — Sanction — 40 septims, sans préjudice du remboursement au triple prévu à l’article 39."}],"libre":false,"texte":"Sanction — 40 septims, sans préjudice du remboursement au triple prévu à l’article 39."}</t>
  </si>
  <si>
    <t>De l’espionnage</t>
  </si>
  <si>
    <t>Constitue un espionnage la collecte ou la transmission d’informations au profit d’une puissance ou d’une organisation extérieure à la Châtellerie. [Crime]
Sanction — peine maximale encourue : mort et saisie des biens, sur verdict public et motivé.</t>
  </si>
  <si>
    <t>De la désertion</t>
  </si>
  <si>
    <t>Sanction — exil ; peine de mort encourue sur verdict public et motivé lorsque les circonstances l’exigent.</t>
  </si>
  <si>
    <t>Est coupable de désertion quiconque abandonne volontairement son poste durant une bataille ou fuit devant l’ennemi sans ordre de son commandement. [Crime]
La peine de mort ne peut être prononcée que par une autorité judiciaire compétente, à l’issue d’une procédure régulière, et non par simple décision de commandement — sans préjudice du droit de tout chef militaire de faire cesser sur-le-champ un péril immédiat par la force.
Sanction — exil ; peine de mort encourue sur verdict public et motivé lorsque les circonstances l’exigent.</t>
  </si>
  <si>
    <t>De l’obligation militaire</t>
  </si>
  <si>
    <t>Sanction — fourniture d’un combattant ou compensation financière fixée par l’Intendance.</t>
  </si>
  <si>
    <t>Chaque foyer est tenu de fournir au moins un combattant lorsque le Cor de Guerre est sonné. Lorsqu’aucun membre du foyer n’est en mesure de servir pour un motif légitime, une compensation financière est versée au trésor de la Châtellerie.
Sanction — fourniture d’un combattant ou compensation financière fixée par l’Intendance.</t>
  </si>
  <si>
    <t>Des Compagnons</t>
  </si>
  <si>
    <t>Les Compagnons de Jorrvaskr demeurent une confrérie libre et conservent leur indépendance dans leurs affaires quotidiennes.</t>
  </si>
  <si>
    <t>De l’outrage</t>
  </si>
  <si>
    <t>Constitue un outrage toute atteinte verbale ou symbolique portée à une autorité de la Châtellerie. L’outrage se gradue comme suit :
Outrage à la Garde — 100 septims ; le contrevenant peut être retenu jusqu’à comparution devant une autorité. [Contravention]
Outrage à la Châtellerie — 200 septims et 1 heure de travaux forcés. [Contravention]
outrage ou à la Cour — 500 septims et 3 heures de travaux forcés. [Délit]
Outrage au Jarl — peine maximale encourue : mort et saisie des biens, sur verdict public et motivé..
L’outrage commis à l’audience relève de la police de l’audience et du Codex Procédural de Blancherive.</t>
  </si>
  <si>
    <t>Plusieurs montants d'amende détectés. Plusieurs durées de travaux détectées.</t>
  </si>
  <si>
    <t>Du non-acquittement d’une peine pécuniaire</t>
  </si>
  <si>
    <t>Sanction — refus délibéré : doublement de l’amende et 1 heure de travaux forcés ; insolvabilité réelle : conversion en travaux forcés, travaux d’intérêt général ou saisie de biens.</t>
  </si>
  <si>
    <t>Le refus délibéré d’acquitter une amende constitue un délit. L’insolvabilité réelle donne lieu à conversion et non à aggravation.
Sanction — refus délibéré : doublement de l’amende et 1 heure de travaux forcés ; insolvabilité réelle : conversion en travaux forcés, travaux d’intérêt général ou saisie de biens.</t>
  </si>
  <si>
    <t>Du non-respect d’une décision de justice</t>
  </si>
  <si>
    <t>Sanction — à l’appréciation du juge.</t>
  </si>
  <si>
    <t>Constitue un délit la violation d’une décision rendue par la Cour de la Châtellerie.
Sanction — à l’appréciation du juge.</t>
  </si>
  <si>
    <t>De l’entrave à la justice</t>
  </si>
  <si>
    <t>Constitue une entrave, tout obstacle volontaire au fonctionnement de la justice de la Châtellerie. [Contravention]
Sanction — 50 septims et 1 heure de cachot.</t>
  </si>
  <si>
    <t>Du faux</t>
  </si>
  <si>
    <t>Sanction — 500 septims et 2 heures de cachot.</t>
  </si>
  <si>
    <t>Constitue un faux la fabrication ou la falsification d’un document, d’un registre, d’un sceau ou de tout élément destiné à faire foi. [Contravention]
L’infraction est requalifiée en délit ou en crime selon la gravité de ses conséquences, notamment l’usurpation d’une fonction officielle ou un préjudice financier important.
Sanction — 500 septims et 2 heures de cachot.</t>
  </si>
  <si>
    <t>De l’usage de faux</t>
  </si>
  <si>
    <t>Sanction — 250 septims et 2 heures de cachot.</t>
  </si>
  <si>
    <t>Constitue un usage de faux l’utilisation d’un élément dont le caractère falsifié ne pouvait être ignoré. [Contravention]
L’infraction est requalifiée selon la gravité de ses conséquences.
Sanction — 250 septims et 2 heures de cachot.</t>
  </si>
  <si>
    <t>Du parjure</t>
  </si>
  <si>
    <t>Constitue un parjure le mensonge ou le faux témoignage, oral ou écrit, produit devant la Cour ou sous serment. [Délit]
Sanction — peine maximale encourue : mort et saisie des biens, sur verdict public et motivé.</t>
  </si>
  <si>
    <t>De l’évasion</t>
  </si>
  <si>
    <t>Sanction — 2000 septims et 4 heures de travaux forcés.</t>
  </si>
  <si>
    <t>Constitue une évasion le fait, pour une personne placée sous garde ou sous contrainte judiciaire, de se soustraire à la surveillance ou à la mesure qui lui est imposée. [Crime]
Sanction — 2000 septims et 4 heures de travaux forcés.</t>
  </si>
  <si>
    <t>Du port d’arme</t>
  </si>
  <si>
    <t>Le port d'armes est autorisé sur le territoire de la Châtellerie, sous réserve des interdictions prévues à l’article 83 et des restrictions particulières décidées par le Jarl ou la Cour. [Contravention en cas de méconnaissance]</t>
  </si>
  <si>
    <t>Des armes interdites</t>
  </si>
  <si>
    <t>Sanction — déclaration obligatoire ; surveillance conservatoire, confiscation ou destruction sur décision de la Cour.</t>
  </si>
  <si>
    <t>Toute arme daedrique, maudite, nécromantique ou présentant un danger particulier pour la population doit être déclarée aux autorités compétentes.
La mise sous surveillance provisoire peut être ordonnée à titre conservatoire. La confiscation ou la destruction définitive n’intervient qu’après décision de la Cour.
Sanction — déclaration obligatoire ; surveillance conservatoire, confiscation ou destruction sur décision de la Cour.</t>
  </si>
  <si>
    <t>La sanction comporte une mesure non numérique.</t>
  </si>
  <si>
    <t>De la religion officielle</t>
  </si>
  <si>
    <t>Sanction — 30 minutes de travaux forcés, ajustables au niveau délictuel par le magistrat.</t>
  </si>
  <si>
    <t>Le culte des Huit Divins est reconnu par la Châtellerie de Blancherive.
La pratique d’un culte non reconnu par l’Empire constitue un délit, conformément à l’article 9 du Corpus Juriscivilis Imperialis, sous réserve du régime de tolérance conditionnelle prévu à l’article 85.
Sanction — 30 minutes de travaux forcés, ajustables au niveau délictuel par le magistrat.</t>
  </si>
  <si>
    <t>De la tolérance conditionnelle</t>
  </si>
  <si>
    <t>Les cultes autres que celui des Huit Divins peuvent faire l’objet d’une tolérance conditionnelle. Sont tolérées les pratiques qui :
n’impliquent aucune violence, contrainte ou atteinte à l’intégrité physique ou mentale d’autrui ;
n’encouragent ni meurtre, ni sacrifice, ni crime, ni rébellion contre l’autorité ;
ne font usage d’aucune magie interdite, coercitive ou de rituel occulte dangereux ;
ne troublent pas la paix publique.
La pratique respectant ces conditions ne constitue pas une infraction. Sa méconnaissance constitue un délit.</t>
  </si>
  <si>
    <t>Du culte daedrique</t>
  </si>
  <si>
    <t>Le culte daedrique relève du régime de tolérance conditionnelle prévu à l’article 85. Seul le culte daedrique méconnaissant ces conditions constitue un crime.
Sanction — peine maximale encourue : mort et saisie des biens, sur verdict public et motivé.</t>
  </si>
  <si>
    <t>De la possession d’artefact daedrique</t>
  </si>
  <si>
    <t>Sanction — saisie de l’artefact, 500 septims et 2 heures de travaux forcés.</t>
  </si>
  <si>
    <t>La simple possession d’objets, symboles ou reliques liés à un culte toléré ne constitue pas une infraction.
Constitue un crime la possession d’artefacts liés à une pratique non tolérée, ou d’objets dont la dangerosité intrinsèque est démontrée.
Sanction — saisie de l’artefact, 500 septims et 2 heures de travaux forcés.</t>
  </si>
  <si>
    <t>De la profanation de lieu saint</t>
  </si>
  <si>
    <t>Sanction — 500 septims et 3 heures de travaux forcés ; qualification criminelle lorsque le motif est daedrique.</t>
  </si>
  <si>
    <t>Constitue une profanation toute atteinte portée au caractère sacré d’un lieu, d’un objet, d’un office religieux ou d’une personne en raison de son appartenance religieuse. [Délit]
Sanction — 500 septims et 3 heures de travaux forcés ; qualification criminelle lorsque le motif est daedrique.</t>
  </si>
  <si>
    <t>Du Temple de Kynareth</t>
  </si>
  <si>
    <t>Le Temple de Kynareth est reconnu terre sacrée et bénéficie de la protection permanente de la Châtellerie. Les fidèles doivent pouvoir y prier en paix sous la protection du Jarl.
Toute violence, profanation, vol ou trouble commis dans son enceinte constitue une circonstance aggravante.</t>
  </si>
  <si>
    <t>De la protection des sépultures</t>
  </si>
  <si>
    <t>Sanction — sanction déterminée selon l’article 88 ; qualification criminelle lorsque le motif est daedrique.</t>
  </si>
  <si>
    <t>Il est interdit de profaner tombes, tertres funéraires, cairns, pierres runiques et tout lieu consacré aux morts. [Délit]
Sanction — sanction déterminée selon l’article 88 ; qualification criminelle lorsque le motif est daedrique.</t>
  </si>
  <si>
    <t>Des rites funéraires</t>
  </si>
  <si>
    <t>Tout défunt doit recevoir des funérailles dignes selon ses croyances, qu’il s’agisse d’un bûcher, d’une inhumation ou de tout autre rite reconnu.
Les familles ou, à défaut, la Châtellerie veillent à ce qu’aucun défunt ne demeure sans sépulture.</t>
  </si>
  <si>
    <t>Des engagements diplomatiques de l’Empire</t>
  </si>
  <si>
    <t>La Châtellerie prend acte des traités et engagements diplomatiques conclus par l’Empire, dont l’application et l’interprétation relèvent exclusivement des autorités impériales et des parties signataires.
La Châtellerie ne dispose d’aucune compétence pour connaître de leur méconnaissance. Lorsqu’un fait porté à sa connaissance paraît susceptible de méconnaître un tel engagement, la Cour en avise immédiatement l’autorité impériale compétente ainsi que l’ambassade concernée, et se dessaisit à leur profit.</t>
  </si>
  <si>
    <t>De la corruption magique</t>
  </si>
  <si>
    <t>Sanction — à l’appréciation du magistrat, selon la classification retenue.</t>
  </si>
  <si>
    <t>Le fait d’utiliser volontairement la magie sur une personne, sans son consentement, afin d’altérer son jugement, ses perceptions, ses émotions ou son comportement constitue un délit.
L’infraction est requalifiée en crime lorsque la magie employée entraîne une suppression totale ou durable du libre arbitre de la victime, son asservissement, sa soumission forcée ou l’oblige à accomplir des actes qu’elle n’aurait raisonnablement pas accomplis sans cette influence.
La gravité de l’atteinte, sa durée, les conséquences subies par la victime et l’intention de l’auteur sont prises en considération lors de la détermination de la peine.
En cas de preuve avéré de corruption magique, il est nécessaire de se référer à la loi impérial (Codex Juriscilivis Impérialis) pour l’application de la peine finale.
Sanction — à l’appréciation du magistrat, selon la classification retenue.</t>
  </si>
  <si>
    <t>De la nécromancie</t>
  </si>
  <si>
    <t>La pratique de la nécromancie est interdite sur l’ensemble des terres de la Châtellerie : arts nécromantiques, animation des morts, expérimentation sur cadavres, invocation d’esprits, détention de biens liés, sorts, recherches et rituels. [Crime]
La nécromancie trouble le repos des défunts, met en danger les vivants et menace la sécurité publique.
Sanction — peine maximale encourue : mort et saisie des biens, sur verdict public et motivé.</t>
  </si>
  <si>
    <t>Collaboration Profane</t>
  </si>
  <si>
    <t>La collaboration profane est le fait de travailler, d’échanger, d’aider les creatures (vampire, loup-garou) et force daédrique (cultes) de manière consciente et que les faits soient avérés (Se référer à l’article 3 du Codex Judiciaire de Blancherive). Il est considéré comme un crime au sein de la châtellerie et juger par les autorités compétente de la cour et de l’empire en vertue de l’article 9 et 16 du Corpus Juriscivilis Imperialis.
Sanction — peine maximale encourue : mort et saisie des biens, sur verdict public et motivé.</t>
  </si>
  <si>
    <t>De la propriété des terres cultivées</t>
  </si>
  <si>
    <t>Les terres cultivées appartiennent de plein droit à ceux qui les exploitent loyalement, les entretiennent avec diligence et en assurent la mise en valeur au profit de la Châtellerie.
Le droit de propriété repose non seulement sur la possession, mais aussi sur l’entretien.</t>
  </si>
  <si>
    <t>Des terres abandonnées</t>
  </si>
  <si>
    <t>Toute ferme, exploitation ou domaine abandonné durant une période prolongée, sans motif légitime ni représentant désigné, revient de plein droit au Jarl et peut être attribué à un exploitant capable d’en assurer la production.</t>
  </si>
  <si>
    <t>Du tribut des récoltes</t>
  </si>
  <si>
    <t>Les récoltes de la saison froide contribuent à l’approvisionnement des greniers de la cité, selon les quantités fixées par le Jarl ou son Intendant.
Ce tribut constitue une contribution collective destinée à préserver la sécurité alimentaire de la Châtellerie.</t>
  </si>
  <si>
    <t>Des taxes commerciales</t>
  </si>
  <si>
    <t>Des taxes d’entrée, d’installation ou de commerce peuvent être imposées aux marchands exerçant une activité sur le territoire de la Châtellerie.
Le montant, les modalités et les lieux de perception de ces taxes sont fixés par décision du Jarl et rendus publics avant leur application.
Les taxes sont perçues aux postes, marchés ou bureaux désignés à cet effet par des agents dûment mandatés par le Jarl.
Tout paiement donne lieu, lorsque cela est nécessaire, à la délivrance d’un reçu, d’un registre ou de toute autre preuve permettant au marchand de démontrer qu’il s’est acquitté de son obligation.
Aucune différence de taxation ne peut être appliquée entre marchands placés dans une situation identique en raison de leur race, de leur origine ou de leur provenance.
Toute dissimulation volontaire de marchandises ou toute manœuvre destinée à échapper à la taxe peut être poursuivie au titre de la fraude commerciale.</t>
  </si>
  <si>
    <t>De la taxe citoyenne</t>
  </si>
  <si>
    <t>Sanction — 50 septims par semaine de retard jusqu’à régularisation ; perte de la citoyenneté après deux semaines.</t>
  </si>
  <si>
    <t>Tout citoyen soumis à la taxe citoyenne est tenu de l’acquitter selon le montant, la périodicité et les modalités fixés par décision du Jarl et rendus publics.
La perception est assurée par les agents expressément mandatés à cet effet.
Le paiement est inscrit au registre compétent ou donne lieu à la délivrance d’une preuve de paiement.
En cas de défaut de paiement, le citoyen doit être informé de la somme due et disposer d’une possibilité raisonnable de régulariser sa situation.
Le défaut persistant de paiement peut entraîner une amende ou toute autre mesure prévue par le présent Codex.
La perte du droit de cité ne peut intervenir qu’en cas de refus volontaire, persistant et répété de satisfaire à l’obligation fiscale et ne peut être prononcée que par une décision motivée de l’autorité compétente, après que l’intéressé a été mis en mesure de régulariser sa situation.
L’insolvabilité réelle ne peut être assimilée, à elle seule, à un refus volontaire de paiement.
Sanction — 50 septims par semaine de retard jusqu’à régularisation ; perte de la citoyenneté après deux semaines.</t>
  </si>
  <si>
    <t>Des caravanes khajiites</t>
  </si>
  <si>
    <t>Les caravanes khajiites sont autorisées à commercer sur les terres de la Châtellerie sous la surveillance de la Garde. Elles demeurent soumises aux mêmes lois, taxes et obligations que tout autre marchand étranger.
Cette surveillance vise la sécurité des échanges et la prévention de la contrebande, sans constituer une discrimination.</t>
  </si>
  <si>
    <t>De la fraude commerciale</t>
  </si>
  <si>
    <t>Sanction — confiscation possible des marchandises, réparation, et amende de niveau délictuel ; qualification criminelle si la valeur est particulièrement élevée.</t>
  </si>
  <si>
    <t>Constitue une fraude commerciale toute tromperie portant sur les poids, les mesures, la qualité des marchandises ou les prix volontairement falsifiés. [Délit]
Sanction — confiscation possible des marchandises, réparation, et amende de niveau délictuel ; qualification criminelle si la valeur est particulièrement élevée.</t>
  </si>
  <si>
    <t>De la vente de gros et des étals</t>
  </si>
  <si>
    <t>Sanction — 65 septims.</t>
  </si>
  <si>
    <t>La vente de gros dans les rues est interdite, hormis aux étals autorisés. L’acquisition d’un étal se fait auprès de l’Intendance pour cinquante (50) septims. [Contravention]
Sanction — 65 septims.</t>
  </si>
  <si>
    <t>De la vente à la criée</t>
  </si>
  <si>
    <t>Sanction — 100 septims à la première infraction ; 200 septims en cas de récidive, sans préjudice d’une saisie temporaire des marchandises ou d’une interdiction provisoire d’exercer.</t>
  </si>
  <si>
    <t>Toute vente à la criée, annonce publique de marchandises, sollicitation bruyante ou appel commercial répété sur la voie publique est interdite sans autorisation préalable des autorités compétentes. [Contravention]
Sanction — 100 septims à la première infraction ; 200 septims en cas de récidive, sans préjudice d’une saisie temporaire des marchandises ou d’une interdiction provisoire d’exercer.</t>
  </si>
  <si>
    <t>De la contrebande</t>
  </si>
  <si>
    <t>Sanction — 100 septims, 20 minutes de cachot et confiscation, la valeur de la marchandise saisie s’ajoutant à la peine ; sanction aggravée selon l’article 64 en cas de trafic.</t>
  </si>
  <si>
    <t>La vente de skooma, de sucre-lune et de marchandises de contrebande est interdite. [Délit]
Sanction — 100 septims, 20 minutes de cachot et confiscation, la valeur de la marchandise saisie s’ajoutant à la peine ; sanction aggravée selon l’article 64 en cas de trafic.</t>
  </si>
  <si>
    <t>Du permis de chasse</t>
  </si>
  <si>
    <t>La chasse sur le territoire de Blancherive est encadrée par les Gardes-Chasse attitrés par l’autorité du Jarl et de la Cour. Un permis est obligatoire, délivré pour cinquante (50) septims auprès des Gardes-Chasse.
La légitime défense face à un animal sauvage et agressif demeure un droit absolu.</t>
  </si>
  <si>
    <t>De la chasse sans permis</t>
  </si>
  <si>
    <t>Sanction — 100 septims.</t>
  </si>
  <si>
    <t>Il est interdit de tuer et de dépecer un animal sauvage sans permis. [Contravention]
Sanction — 100 septims.</t>
  </si>
  <si>
    <t>De la cruauté envers les bêtes</t>
  </si>
  <si>
    <t>Sanction — 150 septims.</t>
  </si>
  <si>
    <t>Il est interdit de tuer un animal sauvage par plaisir sadique. La cruauté gratuite aggrave l’infraction. [Contravention]
Sanction — 150 septims.</t>
  </si>
  <si>
    <t>De la chasse au mammouth</t>
  </si>
  <si>
    <t>La chasse au mammouth est soumise à l’autorisation préalable du Jarl ou de son représentant. Les mammouths constituent une ressource précieuse mais limitée, dont la préservation évite les conflits avec les géants. [Contravention]
Sanction — 200 septims.</t>
  </si>
  <si>
    <t>De la protection des géants</t>
  </si>
  <si>
    <t>Sanction — vol : 100 septims ; provocation ou harcèlement : 150 septims ; mise à mort hors légitime défense : délit, jugement obligatoire, peine déterminée par le juge selon l’article 4, amende de niveau délictuel et cachot possible.</t>
  </si>
  <si>
    <t>Les géants sont des êtres historiquement respectés dans la Châtellerie et bénéficient d’une protection spécifique. Il est interdit de les approcher, déranger, voler, provoquer ou attaquer sans motif légitime ni autorisation de la Cour.
La légitime défense demeure admise lorsque le géant menace directement la vie ou les biens.
Sanction — vol : 100 septims ; provocation ou harcèlement : 150 septims ; mise à mort hors légitime défense : délit, jugement obligatoire, peine déterminée par le juge selon l’article 4, amende de niveau délictuel et cachot possible.</t>
  </si>
  <si>
    <t>Plusieurs montants d'amende détectés. Peine capitale mentionnée.</t>
  </si>
  <si>
    <t>Du signalement des dragons</t>
  </si>
  <si>
    <t>Sanction — manquement apprécié par les forces de l’ordre ; sanction au titre de l’article 57 en cas de négligence caractérisée.</t>
  </si>
  <si>
    <t>Toute personne apercevant un dragon ou constatant des traces récentes de son passage est tenue d’en informer immédiatement la Garde ou toute autorité compétente.
Sanction — manquement apprécié par les forces de l’ordre ; sanction au titre de l’article 57 en cas de négligence caractérisée.</t>
  </si>
  <si>
    <t>De la défense des habitants</t>
  </si>
  <si>
    <t>Tout homme ou femme libre est autorisé à combattre et à abattre toute créature représentant une menace immédiate pour les habitants, les routes, les fermes ou les biens de la Châtellerie.
Lorsque cela est possible, la Garde doit en être avertie dans les meilleurs délais afin de constater les faits et de prévenir tout abus de ce droit.</t>
  </si>
  <si>
    <t>De la marche obligatoire</t>
  </si>
  <si>
    <t>Sanction — 15 septims.</t>
  </si>
  <si>
    <t>La course est interdite à l’intérieur de la ville de Blancherive, une fois la Grande Porte franchie.
Cette interdiction ne s’applique pas aux personnes se trouvant à l’extérieur des remparts ou avant le franchissement de la Grande Porte.
Les membres de la Garde, les autorités compétentes et toute personne agissant dans le cadre d’une urgence légitime peuvent déroger à cette interdiction lorsque les circonstances l’exigent. [Contravention]
Sanction — 15 septims.</t>
  </si>
  <si>
    <t>Du visage découvert</t>
  </si>
  <si>
    <t>Sanction — 15 septims, sans préjudice de l’article 54.</t>
  </si>
  <si>
    <t>Le port d’un masque dissimulant le visage est strictement interdit sur l’ensemble du territoire de la Châtellerie de Blancherive.
Dans les faubourgs ainsi que dans l’enceinte de la ville de Blancherive, il est également interdit de porter tout casque, capuche ou autre couvre-chef dissimulant ou couvrant le visage.
Cette interdiction s’applique à toute personne présente dans ces zones, sans distinction.
Toute personne concernée doit être en mesure de présenter son visage lorsqu’une autorité légitime l’exige aux fins de son identification.
Toute violation du présent article est poursuivie conformément à l’article 54 relatif à la dissimulation du visage. [Contravention]
Sanction — 15 septims, sans préjudice de l’article 54.</t>
  </si>
  <si>
    <t>Du saut des murailles</t>
  </si>
  <si>
    <t>Sanction — 55 septims.</t>
  </si>
  <si>
    <t>Il est interdit de sauter des murailles, notamment devant la porte de la ville, afin de prévenir troubles, accidents et infiltrations. [Contravention]
Sanction — 55 septims.</t>
  </si>
  <si>
    <t>Du vol dans les fermes</t>
  </si>
  <si>
    <t>Sanction — 40 septims, sans préjudice du remboursement au triple prévu à l’article 39.</t>
  </si>
  <si>
    <t>Le vol de miel, d’œufs ou l’abattage non autorisé de poules, vaches et autres bêtes de ferme est interdit. [Contravention]
Sanction — 40 septims, sans préjudice du remboursement au triple prévu à l’article 39.</t>
  </si>
  <si>
    <t>De l’articulation avec le droit impérial</t>
  </si>
  <si>
    <t>Le présent Codex s’applique sans préjudice de la primauté du droit impérial.
Les infractions relevant des Leges Imperiales demeurent de la compétence prioritaire des juridictions impériales. Celles relevant du Codex Penitus Imperialis sont de leur compétence exclusive, et la Cour s’en dessaisit de plein droit.</t>
  </si>
  <si>
    <t>De l’interprétation</t>
  </si>
  <si>
    <t>Lorsque le présent Codex n’est pas clair, il est interprété dans l’ordre de priorité fixé par le Corpus Proceduralis Imperialis : interprétation stricte, téléologique, historique et jurisprudentielle, systématique, puis analogique.
Les dispositions prévoyant une peine sont d’interprétation stricte.</t>
  </si>
  <si>
    <t>De l’abrogation</t>
  </si>
  <si>
    <t>Sont abrogés le Code de la Châtellerie de Blancherive, les Dispositions pénales générales de Blancherive, les Règlements et amendes de la Châtellerie, ainsi que toute disposition antérieure contraire au présent Codex.</t>
  </si>
  <si>
    <t>De l’entrée en vigueur et de la publication</t>
  </si>
  <si>
    <t>Le présent Codex entre en vigueur à compter de sa publication officielle.
Il est affiché à Fort-Dragon et consigné au registre de la Cour de Blancherive afin que chacun puisse en prendre connaissance.
Toute modification ultérieure du présent Codex est soumise aux mêmes formalités de publication avant son entrée en vigueur.
La conservation, l’affichage et l’enregistrement du Codex sont placés sous l’autorité de la Cour et du Jarl.</t>
  </si>
  <si>
    <t>CORPUS JURISCIVILIS IMPERIALIS
Code Pénal Impérial Bordeciel
PRÉAMBULE
Par l'autorité de l'Empereur de Tamriel, Seigneur de Cyrodiil et Souverain de tous les territoires impériaux, sur avis du Conseil des Anciens  et de  la Chancellerie Impérial de Bordeciel sous délégation du Gouverneur de Bordeciel: Qu'il soit connu dans toutes les provinces, tous les comtés et tous les territoires soumis à la juridiction impériale que le présent Corpus Juriscivilis constitue le code pénal de référence du Gouvernement Impérial pour la province de Bordeciel. Le présent Code s'applique à l'ensemble des citoyens, résidents, passants et sujets de l'Empire. Les châtelleries sont libres de promulguer des lois supplémentaires conformément à leurs coutumes, dans le respect des présentes dispositions. Aucune coutume locale, ordonnance de fief ou privilège personnel ne peut prévaloir sur les dispositions du présent Code, sauf lorsque celui-ci accorde expressément un pouvoir discrétionnaire aux autorités locales.
L'ignorance de ces lois ne saurait constituer un moyen de défense devant aucun tribunal de l'Empire
PRINCIPES GÉNÉRAUX
Constitution d’une infraction
Une infraction est constituée lorsque trois éléments sont réunis
• élément légal : l’acte est interdit par la loi
• élément matériel : l’acte a été commis ou tenté
• élément moral : la personne avait l’intention de commettre l’acte
Classification des infractions
Les infractions sont classées en trois catégories selon leur gravité :
• Contraventions : Infractions mineures. Amende simple ou travaux légers. Jusqu’à 500 septimes
• Délits : infractions de gravité moyenne. Amende élevée ou travaux forcés. Entre 500 et 2500 septimes
• Crimes : Infractions les plus graves. Amende forte, emprisonnement ou peine de mort.  Plus de 2500 septimes
Des sanctions
Toute juridiction impériale habilitée peut, selon les circonstances et la gravité des faits, prononcer les sanctions suivantes :
• Une amende ;
• Des travaux forcés ;
• Une peine d'emprisonnement ;
• La saisie des biens ;
• La peine de mort, dans les cas prévus par le présent Code.</t>
  </si>
  <si>
    <t>Usurpation d'identité [Contravention]</t>
  </si>
  <si>
    <t>Sanction : devient un délit si il s’agit d’une usurpation d’une qualité noble ou d’une fonction officielle</t>
  </si>
  <si>
    <t>Le fait de se faire passer pour autrui afin d'obtenir un avantage ou d'échapper à ses obligations.
Sanction : devient un délit si il s’agit d’une usurpation d’une qualité noble ou d’une fonction officielle</t>
  </si>
  <si>
    <t>Refus d'obtempérer [Contravention]</t>
  </si>
  <si>
    <t>Sanction : devient un délit si usage de violence, de magie ou de potions</t>
  </si>
  <si>
    <t>Le fait de se soustraire volontairement à un contrôle ou à une injonction d'un représentant de l'autorité publique.
Sanction : devient un délit si usage de violence, de magie ou de potions</t>
  </si>
  <si>
    <t>Atteinte à la paix de l’Empereur  [Contravention]</t>
  </si>
  <si>
    <t>Tout comportement perturbant la tranquillité ou la sécurité publique.</t>
  </si>
  <si>
    <t>Intrusion [Contravention]</t>
  </si>
  <si>
    <t>Sanction : devient un délit s’il s’agit d’une propriété publique (appartenant à l’Empire ou à une châtellenie)</t>
  </si>
  <si>
    <t>Constitue une intrusion le fait de s’introduire ou de se maintenir dans une propriété privée, sans y avoir été invité ni autorisé par le propriétaire ou son représentant légal
Sanction : devient un délit s’il s’agit d’une propriété publique (appartenant à l’Empire ou à une châtellenie)</t>
  </si>
  <si>
    <t>Violences et agressions [Délit]</t>
  </si>
  <si>
    <t>Constituent des violences ou agressions tous actes portant atteinte à l’intégrité physique d’une personne et ayant entraîné des blessures, contusions, incapacités ou séquelles.</t>
  </si>
  <si>
    <t>Vol, escroquerie [Délit]</t>
  </si>
  <si>
    <t>Sanction : Devient un crime si l’objet volé ou le service indu à une valeur particulièrement élevée, ou s’il s’agit d’un objet sous licence.</t>
  </si>
  <si>
    <t>Constitue un vol ou une escroquerie toute appropriation ou échange frauduleux d’un bien ou d’un service appartenant ou fourni par autrui.
Sanction : Devient un crime si l’objet volé ou le service indu à une valeur particulièrement élevée, ou s’il s’agit d’un objet sous licence.</t>
  </si>
  <si>
    <t>Recel  [Délit]</t>
  </si>
  <si>
    <t>Sanction : Devient un crime si l’objet en question à une valeur particulièrement élevée, ou s’il s’agit d’un objet sous licence.</t>
  </si>
  <si>
    <t>Constitue un recel le fait de transporter, détenir, commercialiser, transformer ou dissimuler un bien provenant d’une infraction, en ne pouvant ignorer raisonnablement son origine ou son statut illicite.
Sanction : Devient un crime si l’objet en question à une valeur particulièrement élevée, ou s’il s’agit d’un objet sous licence.</t>
  </si>
  <si>
    <t>Circonstances aggravantes [Aggravation]</t>
  </si>
  <si>
    <t>Les infractions prévues aux articles 5, 6 et 7 constituent un crime  lorsqu’elles sont commises soit :
•   	À main armée ou avec usage de magie ;
•   	En réunion (deux personnes ou plus) ;
•   	À l’encontre d’un représentant de l’Empire (administrateur, légionnaire ou garde Local) dans l’exercice de ses fonctions.
•   	En cas de mutilation</t>
  </si>
  <si>
    <t>Pratique de culte non autorisé  [Délit]</t>
  </si>
  <si>
    <t>Sanction : Devient un crime si le culte est daedrique et qu’il ne respecte pas la tolérance conditionnelle</t>
  </si>
  <si>
    <t>Le fait de pratiquer, organiser ou promouvoir un culte, un rituel ou une croyance religieuse non reconnue par l’Empire est interdit sur le territoire de Bordeciel.
Toutefois, certains cultes, y compris daedriques, peuvent faire l’objet d’une tolérance conditionnelle, dès lors que leur pratique ne porte atteinte ni à l’ordre public, ni à la sécurité des personnes, ni aux lois impériales.
Sont notamment tolérés les cultes dont les pratiques :
• N’impliquent aucune violence, contrainte ou atteinte à l’intégrité physique ou mentale d’autrui ;
• N’encouragent ni meurtre, ni sacrifice, ni crime, ni rébellion contre l’autorité impériale ;
• Ne font pas usage de magie interdite, coercitive ou de rituels occultes dangereux (notamment pactes de sang ou invocations instables) ;
• Ne troublent pas la paix publique ou ne provoquent pas de désordre manifeste.
La simple possession d’objets, symboles ou reliques liés à un culte toléré ne constitue pas une infraction.
En revanche, toute pratique cultuelle, devient illicite et constitue un délit dès lors qu’elle contrevient aux conditions ci-dessus.
Sanction : Devient un crime si le culte est daedrique et qu’il ne respecte pas la tolérance conditionnelle</t>
  </si>
  <si>
    <t>Profanation  [Délit]</t>
  </si>
  <si>
    <t>Sanction : Devient un crime si le motif est daedrique</t>
  </si>
  <si>
    <t>Le fait de porter atteinte au caractère sacré d’un lieu, d’un objet, d’une sépulture, d’un office religieux ou d’une personne en raison de son
appartenance religieuse
Sanction : Devient un crime si le motif est daedrique</t>
  </si>
  <si>
    <t>Usage de magie non autorisé  [Délit]</t>
  </si>
  <si>
    <t>Sanction : Devient un crime en cas d’usage dangereux, offensif, coercitif ou ayant causé un trouble grave à l’ordre public, des blessures ou des
dommages matériels.</t>
  </si>
  <si>
    <t>Le fait d’user, de pratiquer ou de recourir à une forme de magie sans y être autorisé par les lois, règlements ou décrets impériaux en vigueur au
au sein de la province.  Sont notamment considérés comme relevant d’un usage non autorisé de la magie :
Possession et utilisation de gemmes spirituelles noires, lorsqu’elles sont destinées à contenir ou exploiter l’âme d’un être conscient ;
Capture de l’âme d’un individu dans une gemme spirituelle, qu’elle soit réalisée avant, pendant ou immédiatement après sa mort ;
Sanction : Devient un crime en cas d’usage dangereux, offensif, coercitif ou ayant causé un trouble grave à l’ordre public, des blessures ou des
dommages matériels.</t>
  </si>
  <si>
    <t>Meurtre [Crime]</t>
  </si>
  <si>
    <t>Constitue un meurtre tout acte ayant entraîné la mort d’autrui.
Ne peuvent être qualifiés de meurtre les décès résultants :
•   	D’une guerre déclarée, d’une bataille légitime, d’une rébellion ;
•   	D’un usage légitime et proportionné de la force par les autorités ;
•   	D’une exécution judiciaire régulière ;
•   	D’une injonction impériale expresse.
•   	D'un duel légal consenti</t>
  </si>
  <si>
    <t>Assassinat  [Crime]</t>
  </si>
  <si>
    <t>Constitue un assassinat tout meurtre commis avec préméditation. La préméditation suppose une préparation et une réflexion préalable.
L’assassinat est puni plus sévèrement que le meurtre simple.</t>
  </si>
  <si>
    <t>Torture, sequestration  [Crime]</t>
  </si>
  <si>
    <t>Constitue une séquestration le fait de retenir, détenir, conduire ou maintenr une personne contre son gré, sans base légale ni autorisation de l’autorité compétente.
Constitue un acte de torture tout acte de barbarie, mutilation, violence extrême ou souffrance délibérée infligé à une personne séquestrée.</t>
  </si>
  <si>
    <t>Evasion  [Crime]</t>
  </si>
  <si>
    <t>Constitue une évasion le fait, pour une personne placée sous garde ou sous contrainte judiciaire, de se soustraire à la surveillance ou à la mesure qui lui est imposée.</t>
  </si>
  <si>
    <t>Créatures profanes et abominations [Crime]</t>
  </si>
  <si>
    <t>Est qualifiée de créature profane ou abomination toute entité dont la nature est issue, altérée ou corrompue par des forces daedriques, obscures ou contre-nature, notamment les vampires, les lycanthropes et toute créature assimilée.
Le fait, pour une telle créature, de se maintenir parmi les populations civiles constitue une menace pour l’ordre public et la sécurité de l’Empire.</t>
  </si>
  <si>
    <t>Abus de pouvoir et corruption  [Crime]</t>
  </si>
  <si>
    <t>Le fait, pour toute personne investie d’une autorité publique, d’un pouvoir ou d’une fonction, d’en user de manière détournée, excessive ou illégitime à des fins personnelles, ou de solliciter, accepter ou offrir un avantage en vue d’influencer une décision, une action ou une omission relevant de ses fonctions.
Corpus Juriscivilis Imperialis — Code Pénal Impérial de Bordeciel</t>
  </si>
  <si>
    <t>DE RE NOBILITATIS
Code de la noblesse Impériale
PRÉAMBULE
Par l'autorité de l'Empereur de Tamriel, Seigneur de Cyrodiil et Souverain des territoires soumis à l'autorité impériale, sur avis du Conseil des Anciens,
Le présent Code détermine les qualités, rangs, droits, devoirs et conditions de reconnaissance de la noblesse.
Aucune coutume locale, ordonnance de fief ou privilège personnel ne peut prévaloir sur les dispositions du présent Code, sauf lorsqu'une disposition du présent Code reconnaît expressément un pouvoir aux autorités compétentes.
Le présent Code s’applique rétroactivement aux dispositions de l’ancien Code.</t>
  </si>
  <si>
    <t>Des formes de noblesse existantes</t>
  </si>
  <si>
    <t>La noblesse reconnue par l’empire est exclusivement constituée des titres prévus par le présent Code. Les autres titres, dénominations ou appellations ne confèrent aucune qualité nobiliaire et ne peuvent être considérés que comme des appellations honorifiques ou dépourvues de valeur nobiliaire.
L'Empire et les Châtelleries tiennent chacun un registre des nobles reconnus relevant de leur autorité. Ces registres doivent être tenus à jour. Toute personne se prévalant d'une qualité nobiliaire doit nécessairement être inscrite sur l’un de ces registres.
La noblesse de Bordeciel est divisée en trois catégories distinctes :
La Noblesse de Fonction ;
La Noblesse Personnelle ;
La Noblesse territoriale.</t>
  </si>
  <si>
    <t>De la noblesse de Fonction</t>
  </si>
  <si>
    <t>La noblesse de fonction résulte de l'exercice d'une charge déterminée. Elle est attachée à la fonction exercée et cesse avec celle-ci, sauf si son titulaire bénéficie par ailleurs d'une noblesse personnelle.
Sont reconnus comme relevant de la noblesse de fonction les titulaires des charges suivantes :
Général ;
Consul impérial ;
Grand pontife du culte impérial ;
Légat impérial ;
Grand Chancelier Impérial &amp; Chambellan de Châtellerie ;
Grand Émissaire Impérial &amp; Intendant de Châtellerie ;
Grand Argentier Impérial &amp; Argentier de Châtellerie;
Huscarl &amp; Gardes prétoriens ;</t>
  </si>
  <si>
    <t>De la Noblesse Personnelle</t>
  </si>
  <si>
    <t>La noblesse personnelle est attachée à la personne du noble et résulte d'un anoblissement prononcé conformément aux dispositions du présent Code.
En principe, la personne anoblie à titre personnel reçoit la dignité de Patricien ou de Patricienne. Cette dignité est strictement individuelle.
Par dérogation, toute personne anoblie à titre personnel peut recevoir la dignité de Banneret, de Patriarche ou de Hersir lorsqu’elle est à la tête d’une maison, d’un clan ou d’un ost dévoué au service de son suzerain ; le cas échéant, son conjoint ainsi que son héritier ou son héritière désigné(e) sont de plein droit inscrits au registre de la noblesse
en qualité de patricien ou de patricienne, cette inscription devant être rayée en cas de divorce ou de déshéritage.
Le Patriarche peut en outre demander à son suzerain l’anoblissement d’un (1) membre supplémentaire de sa maison/clan/ost, sans que celui-ci soit imputé au quota d’anoblissements de l’autorité suzeraine, laquelle peut toutefois refuser la demande pour un motif raisonnable.</t>
  </si>
  <si>
    <t>De la Noblesse territoriale</t>
  </si>
  <si>
    <t>La noblesse territoriale est attachée à un territoire donné sur lequel le noble a autorité ; elle correspond donc aux qualités de Thane, Jarl et Haut-Roi.
Sont reconnus comme relevant de la noblesse territoriale les  :
Haut-Roi et Gouverneur, dont le territoire est Bordeciel ;
Jarl, dont le territoire est une châtellerie ;
Thane, dont le territoire est une thanerie.
Les dénominations de Seigneur, Baron, Comte, Duc ou toute autre dénomination non prévue par le présent Code ne constituent pas des titres de Noblesse territoriale.
Le Thane administre un territoire qui lui est confié par son Jarl dans le cadre d'un contrat vassalique. Il n'est pas propriétaire de ce territoire.
Le Jarl possède une Châtellerie et jure allégeance à un Haut-Roi ou au Gouverneur Impérial et demeure soumis à l'Empire par son serment.
Le Gouverneur est l'autorité administrative principale de l'Empire en Bordeciel et répond au Conseil des Anciens.
Le Haut-Roi est le suzerain de Bordeciel et l’ensemble de la province devant Sa Majesté impériale, représenté par le Conseil des Anciens.</t>
  </si>
  <si>
    <t>De la hiérarchie nobiliaire</t>
  </si>
  <si>
    <t>La noblesse est organisée selon quatre degrés hiérarchiques : la Noblesse Supérieure, la Haute Noblesse, la Moyenne Noblesse et la Petite Noblesse.
Relèvent de la Noblesse Supérieure (classé par préséance des rangs) :
le Haut-Roi/le Gouverneur ;
les Jarls ;
Ainsi que leurs conjoints, descendants directs, frères et sœurs.
Relèvent de la Haute Noblesse (classé par préséance des rangs) :
le Général ;
le Consul ;
le Grand pontife du culte des Huits ;
Relèvent de la Moyenne Noblesse (Égaux en rang)  :
le Légat;
le Grand Chancelier impérial;
le Grand Argentier impérial;
le Grand Émissaire impérial;
les Thanes ;
Relèvent de la Petite Noblesse (Égaux en rang)  :
les Patriciens/Patriciennes ;
les Huscarls et gardes prétoriens ;
les Maîtres / Maîtresses de Châtellerie (Intendant, Chambellan et Argentier);</t>
  </si>
  <si>
    <t>Des prédicats nobiliaires</t>
  </si>
  <si>
    <t>Les prédicats attachés aux qualités et rangs reconnus par le présent Code sont les suivants :
Haut-Roi/Haute-Reine : Sa Majesté Royale ;
Gouverneur : Son Altesse ;
Jarl : Sa Grandeur ;
Thane : Sa Seigneurie ;
Noblesse de fonction : Son Excellence ;
Noblesse personnelle : Monseigneur ;
Ces prédicats sont attachés aux qualités et rangs auxquels ils correspondent.</t>
  </si>
  <si>
    <t>De l'anoblissement et de ses formalités</t>
  </si>
  <si>
    <t>Peuvent conférer la noblesse, dans les limites prévues par le présent Code, le Haut-Roi ou la Haute-Reine, les Jarl et le Gouverneur Impérial.
Tout anoblissement doit faire l'objet d'une cérémonie publique.L'autorité procédant à l'anoblissement doit remettre à la personne anoblie une lettre d'anoblissement établissant précisément la qualité nobiliaire qui lui est conférée. Une copie de cette lettre doit être transmise à l'Empire et conservée dans le registre nobiliaire compétent.
Les Châtelleries et l'Empire doivent tenir à jour leurs registres des nobles reconnus.
Tout anoblissement établissant un lien de vassalité doit également faire l'objet d'un contrat vassalique écrit. Ce contrat établit le lien entre le noble et son suzerain ainsi que les obligations qui en résultent.
Pour la noblesse territoriale, le contrat vassalique constitue une formalité essentielle et obligatoire. Toute nomination d'un Thane doit donc faire l'objet d'un contrat vassalique conclu avec son Jarl.</t>
  </si>
  <si>
    <t>Des quotas d'anoblissement</t>
  </si>
  <si>
    <t>Le nombre d’anoblissements pouvant être conférés est limité à deux (2) par mois pour chaque Jarl au sein de sa châtellerie, ainsi qu’à deux (2) par mois pour le Gouverneur et deux (2) par mois pour le Haut-Roi.
La noblesse de fonction peut être anoblie en qualité de patricien/patricienne sans être imputée au quota, à condition que la personne concernée exerce une fonction conférant la noblesse depuis au moins six semaines.</t>
  </si>
  <si>
    <t>Des Clans et Familles</t>
  </si>
  <si>
    <t>Les Clans ne constituent pas, en eux-mêmes, des entités nobiliaires.
La reconnaissance d'un Clan, de son ancienneté ou de sa notoriété ne confère pas à celui-ci la qualité de noble. Seuls les membres du Clan qui ont acquis ou reçu individuellement une qualité nobiliaire conformément au présent Code sont reconnus comme nobles.
Un Clan, une Maison ou une Famille peut être reconnu auprès de l'Empire ou d'une Châtellerie sans que cette reconnaissance confère, en elle-même, la noblesse à l'ensemble de ses membres.
Lorsqu'un chef de Clan ou de Maison de Famille est anobli et reconnu comme Patriarche ou Matriarche, les dispositions relatives à cette qualité lui sont applicables. Cette reconnaissance nécessite une patente officielle provenant soit de l’Empire ou d’une Châtellerie et la noblesse ne s’étend pas à tous les membres, mais seulement ceux qui disposent du droit de la qualité nobiliaire.  Un praticien membre d’un Clan, une Maison ou une Famille ne peut être élevé à la qualité de patriarche.</t>
  </si>
  <si>
    <t>Des noblesses extérieures</t>
  </si>
  <si>
    <t>Les personnes nées nobles ou se présentant comme nobles en vertu d’une noblesse extérieure à Bordeciel ne sont pas reconnues comme nobles par le seul fait de leur naissance, de leur famille ou de leur titre extérieur.
Toute famille ou tout noble issu d’un autre royaume impérial que Bordeciel doit établir légalement sa qualité nobiliaire auprès du Gouvernorat, selon les moyens de preuve prévus dans les leges impériales.
Toute personne extérieure souhaitant être reconnue comme noble en Bordeciel doit, sous réserve des dispositions relatives à la reconnaissance des noblesses étrangères, acquérir ou faire reconnaître cette qualité par le Gouvernorat, selon les moyens de preuve prévus par les leges impériales.</t>
  </si>
  <si>
    <t>De la possession des terres</t>
  </si>
  <si>
    <t>Les Thanes, Jarls, Gouverneurs et Haut-Rois sont les seuls rangs reconnus comme relevant de la noblesse territoriale et pouvant être reconnus comme possesseurs ou administrateurs d'une terre selon les dispositions du présent Code.
Hormis les mises à disposition spéciales de lieux-dits à certaines factions, aucun autre mode ne permet d'être reconnu comme possesseur d'une terre, d'un château ou d'un territoire.</t>
  </si>
  <si>
    <t>Des droits, privilèges et devoirs</t>
  </si>
  <si>
    <t>Les membres de la noblesse bénéficient des droits et privilèges attachés à leur qualité ou à leur rang conformément au présent Code.
Ils disposent notamment d'un droit de représentation devant les juridictions de l'Empire, d'un droit d'audience prioritaire ainsi que du droit d'avoir et d'entretenir une maisonnée (serviteurs/adjoints/gardes et etc).
La noblesse territoriale dispose du droit d’entretenir et maintenir une cour au sein du fief.
Tout noble est tenu à un devoir de fidélité envers l'Empire ainsi qu'envers l'autorité dont il relève. En échange, le suzerain de ce noble a un devoir de protection envers son vassal.
Le noble doit également remplir les obligations inhérentes à sa qualité, notamment celles résultant de son lien vassalique lorsqu'il en existe un.
Tout noble demeure soumis aux lois impériales et aux dispositions applicables dans son territoire.
Tout consort d’un ou d’une noble est noble de plein droit, dès la célébration du mariage, et conserve cette qualité pendant toute la durée de celui-ci.
Tout membre d’un Clan, d’une Famille ou d’une Maison noble et qui n’est pas noble en vertu du présent Code dispose d’un droit de protection limité du suzerain de son patriarche.
La qualité nobiliaire ne fait pas obstacle à l'application de la justice impériale.</t>
  </si>
  <si>
    <t>De la soumission à la loi et des infractions mineures</t>
  </si>
  <si>
    <t>L'ensemble des lois impériales ainsi que les lois et coutumes locales applicables s'imposent aux membres de la noblesse.
Dans un souci de stabilité des charges et de continuité de l'autorité nobiliaire, les contraventions ainsi que les délits prévus dans le Corpus Juriscivilis Imperialis, et par extension les législations locales équivalentes, ne peuvent donner lieu à des poursuites à l'encontre d'un noble lorsqu'ils constituent un fait isolé sur une période de sept jours.
Toute infraction isolée au cours de cette période est réputée éteinte et ne peut donner lieu à aucune action ultérieure, sauf si elle est suivie d'une nouvelle infraction de même nature durant cette période, auquel cas le noble peut être poursuivi.
Lorsqu'un noble est déclaré coupable d'une infraction commune, une amende doit toujours lui être proposée, sauf en cas de crime de sang.</t>
  </si>
  <si>
    <t>Des sanctions et de la déchéance</t>
  </si>
  <si>
    <t>Les membres de la noblesse ne peuvent se voir appliquer que les sanctions prévues par la législation impériale et par le présent Code.
Les peines susceptibles d'être prononcées à leur encontre comprennent notamment l'amende, le bannissement temporaire ou définitif,
l'emprisonnement, la déchéance du titre nobiliaire ainsi que, dans les cas les plus graves et lorsque la loi le prévoit, la peine capitale.
La déchéance de la noblesse supérieure, territoriale ou patricienne ne peut intervenir que dans le cadre d'une violation des dispositions des articles 10 à 14 prévues par le Codex Penitus Imperialis auxquelles le présent Code reconnaît cet effet.</t>
  </si>
  <si>
    <t>Du prononcé des peines</t>
  </si>
  <si>
    <t>Les peines privatives de liberté, les peines de mort ainsi que les mesures de déchéance nobiliaire ne peuvent être prononcées qu'à l'issue d'une décision conjointe suzeraine et impériale. Cette décision doit être prise avec l'accord de l'autorité souveraine du noble visé, notamment son Jarl ou l'autorité impériale dont il relève.
En cas d'absence d'accord, le Haut-Roi intervient lorsqu'il s'agit d'un noble relevant de l'autorité locale, tandis que le Gouverneur intervient lorsqu'il s'agit d'un noble relevant directement de l'Empire.
Un noble condamné à mort dispose toujours du droit d'exprimer ses dernières volontés. Celles-ci peuvent être testamentaires.</t>
  </si>
  <si>
    <t>De l'adoubement</t>
  </si>
  <si>
    <t>Le titre de chevalier est exclusivement réservé aux personnes ayant été adoubées en vertu des dispositions impériales en vigueur. La chevalerie et la noblesse constituent deux dignités distinctes. Ainsi, l’adoubement ne confère pas la qualité de noble.
La Noblesse supérieure peut procéder à deux adoubements au maximum sur une période de deux semaines.
Tout autre personne disposant du droit d’adoubement, ne peut en réaliser qu’un seul au cours d’une période de deux semaines.
DISPOSITIONS PARTICULIÈRES</t>
  </si>
  <si>
    <t>Statut des Émissaires du Domaine Aldmeri</t>
  </si>
  <si>
    <t>Le Premier Émissaire et le Second Émissaire du Thalmor, en raison de leur statut diplomatique et de leur représentation officielle du Domaine Aldmeri, sont reconnus comme nobles de Fonction pour la durée de leur mission.
Cette qualité est strictement attachée à l'exercice de leur fonction diplomatique. Ils ne disposent d'aucun pouvoir d'anoblissement en vertu de leur fonction.
Ils ne sont pas soumis, dans le cadre de leur mission diplomatique, au devoir de fidélité envers l'Empire, le Haut-Roi ou les autorités locales.
Leur qualité nobiliaire ne constitue pas une intégration permanente à la Noblesse Personnelle ou à la Noblesse territoriale.</t>
  </si>
  <si>
    <t>Procédure exceptionnelle concernant le Haut-Roi ou la Haute-Reine</t>
  </si>
  <si>
    <t>En cas d'accusation portée contre le Haut-Roi ou la Haute-Reine, l'affaire est portée devant l'assemblée des Jarls, en présence du Gouverneur Impérial.
Lorsque le Gouverneur Impérial est lui-même mis en cause, le Consul intervient en cette qualité. L'assemblée est présidée par le grand chancelier Impérial.
Les autorités réunies délibèrent conjointement et exceptionnellement sur les modalités selon lesquelles la procédure doit être conduite.</t>
  </si>
  <si>
    <t>CORPUS PROCEDURALIS IMPERIALIS
Code de Procédure Pénale de la Province de Bordeciel
PRÉAMBULE
Promulgué par l'autorité de l'Empereur de Tamriel,
Sur avis du Conseil des Anciens et de  la Chancellerie Impérial de Bordeciel sous délégation du Gouverneur de Bordeciel,
Le présent Corpus fixe les principes communs applicables aux procédures pénales en Bordeciel, dans le respect des prérogatives des châtelleries et de l'autorité impériale.
Toute juridiction habilitée à rendre la justice peut, selon les circonstances, la gravité des faits et la personnalité de l'auteur, prononcer : une amende ; une peine privative de liberté ; des travaux forcés ; la peine de mort, dans les limites et conditions fixées par le présent Code.
DÉFINITIONS
Tentative
La tentative est constituée dès lors que, manifestée par un commencement d'exécution, elle n’ a pas été suspendue ou a manqué son effet. La tentative est sanctionnée pareillement que la commission.
Complicité
Est complice quiconque sciemment, par aide ou assistance, a facilité la préparation ou la consommation d'une infraction. Est également complice quiconque par don, promesse, menace, ordre, abus d'autorité ou de pouvoir aura provoqué une infraction ou omis de dénoncer ce dont il a pu être témoin. La complicité est sanctionnée pareillement que l’auteur.
Récidive
En cas de récidive, la peine encourue est multipliée par deux. La récidive est comptabilisée à compter du jour de la dernière condamnation.
Présomption de culpabilité
Sauf décision contraire du Gouverneur ou d'un magistrat impérial, la présomption de culpabilité s'applique à l'ensemble des infractions
prévues au présent Code. Il appartient à l'auteur présumé de démontrer l'absence d'éléments constitutifs de l'infraction.
De la constitution d’une infraction
Une infraction ne peut être retenue que si trois éléments sont réunis :
Un élément légal : un texte de loi prévoit et interdit le comportement en cause.
Un élément matériel : un acte ou un fait concret a été commis.
Un élément moral : l’auteur a agi volontairement ou en connaissance de cause.
À défaut de l’un de ces éléments, aucune infraction ne peut être constituée.</t>
  </si>
  <si>
    <t>Répartition des compétences</t>
  </si>
  <si>
    <t>Les infractions aux Leges Imperiales relèvent prioritairement de l'autorité impériale.
Les infractions aux lois locales relèvent des juridictions des châtelleries. Les autorités locales peuvent juger les infractions impériales, sous réserve du droit pour une autorité impériale de se saisir de la procédure si nécessaire.</t>
  </si>
  <si>
    <t>Autonomie des châtelleries</t>
  </si>
  <si>
    <t>Chaque châtellerie conserve la liberté d'organiser ses procédures locales, sous réserve du respect des principes du présent corpus et de la primauté du droit impérial.</t>
  </si>
  <si>
    <t>Autorités compétentes</t>
  </si>
  <si>
    <t>Sont habilités à agir : les gardes, magistrats, Jarls, membres de la Légion, autorités impériales et toute personne dûment mandatée.</t>
  </si>
  <si>
    <t>Droits fondamentaux</t>
  </si>
  <si>
    <t>Tout prévenu dispose :
•  du droit de se défendre;
•  du droit de demander un procès ;
•  du droit de présenter des témoins.
En cas d’abus de ses droits, notamment dans le cas de procès fantasques, de témoin imaginaire ou de procédure dilatoire, la peine prévue pourra être majorée. Cette décision est laissée à l’appréciation du magistrat, elle devra être motivée.</t>
  </si>
  <si>
    <t>Flagrance</t>
  </si>
  <si>
    <t>Toute autorité peut procéder à une arrestation immédiate en cas de flagrant délit ou de suspicion sérieuse.</t>
  </si>
  <si>
    <t>Obligation d'obtempérer</t>
  </si>
  <si>
    <t>Toute personne doit se soumettre aux injonctions d'une autorité légitime.</t>
  </si>
  <si>
    <t>Traitement immédiat</t>
  </si>
  <si>
    <t>Pour les infractions mineures, l'autorité peut prononcer directement une sanction sans procès. Le prévenu conserve le droit d'exiger la tenue d'un procès, sans méconnaitre l’abus visé à l’article 4.</t>
  </si>
  <si>
    <t>Mesure conservatoire</t>
  </si>
  <si>
    <t>Dans le cas où le prévenu demande un procès, l’autorité peut placer le prévenu en geôle durant une période ne pouvant excéder vingt-quatre  (24) heures le temps de prévenir un magistrat pour organiser le procès. En lieu et place ou à l'issue des 24h un cautionnement peut être mis en place jusqu’au procès.</t>
  </si>
  <si>
    <t>Déroulement</t>
  </si>
  <si>
    <t>Le magistrat dirige librement les débats. Les charges sont exposées, le prévenu répond, et les parties présentent leurs arguments et témoignages. Le jugement est public, mais il peut être tenue à huis clos exceptionnellement si le magistrat a des raisons de le motiver.</t>
  </si>
  <si>
    <t>Parole finale</t>
  </si>
  <si>
    <t>Le prévenu ou son représentant a toujours la parole en dernier.</t>
  </si>
  <si>
    <t>Liberté de la preuve</t>
  </si>
  <si>
    <t>La preuve est libre. Le magistrat apprécie la valeur des éléments présentés selon leur cohérence, leur crédibilité et les circonstances.</t>
  </si>
  <si>
    <t>Crédibilité des témoins</t>
  </si>
  <si>
    <t>Le magistrat doit tenir compte de la crédibilité des témoins et de leurs nombres. Dans cet ordre décroissant : un noble (selon son rang), un prêtre des 8 divins, un membre de l’empire, un membre de la cour ou le capitaine de la garde local, un marchand établi connu, un citoyen, un voyageur, un condamné, un banni. Il doit être tenu compte de leurs rang, de leurs intérêts personnels dans l’affaire, de la cohérence de leurs propos.</t>
  </si>
  <si>
    <t>La valeur des preuves</t>
  </si>
  <si>
    <t>L’aveu spontané est une preuve absolue ; le flagrant délit est une preuve très forte ; deux témoins concordants est une preuve pleine ; la réputation publique ou un seul témoin fiable ou une preuve matérielle constitue une demi-preuve ; l'ouïe dire constitue un quart de preuve.</t>
  </si>
  <si>
    <t>Appréciation</t>
  </si>
  <si>
    <t>Le magistrat statue selon son intime conviction. Dans le cas d’une peine criminelle, le magistrat doit rédiger un verdict public avec ses motivations.</t>
  </si>
  <si>
    <t>Exécution</t>
  </si>
  <si>
    <t>La peine peut être exécutée immédiatement ou après un délai fixé par le magistrat.</t>
  </si>
  <si>
    <t>Loyauté</t>
  </si>
  <si>
    <t>Toute procédure doit être conduite avec impartialité et dans le respect des lois.</t>
  </si>
  <si>
    <t>Mesures exceptionnelles</t>
  </si>
  <si>
    <t>Toute mesure exceptionnelle doit être justifiée par la nécessité de prévenir un trouble grave à l'ordre public.</t>
  </si>
  <si>
    <t>Toute mesure exceptionnelle doit être justifiée par la nécessité de prévenir un trouble grave à l'ordre public.
Corpus Proceduralis Imperialis — Code de Procécdure Penal de Bordeciel</t>
  </si>
  <si>
    <t>JUSTICIA MILITARIS
Code de Justice Militaire de Bordeciel
PRÉAMBULE
Le présent Code de justice militaire s'applique à l'ensemble des légionnaires en service. Aucun légionnaire ne peut, dans l'exercice de ses fonctions, se voir appliquer les dispositions du Corpus Juriscivilis. Il est établi que tout membre de la Légion Impériale, ainsi que de ses corps administratifs, agissant dans le cadre de ses fonctions, relève exclusivement de la juridiction militaire telle que définie par le présent Code. Les lois locales ne sauraient avoir compétence sur la conduite des membres de la légion.
En conséquence, aucun légionnaire ne peut être poursuivi ni jugé sur le fondement du Corpus Juriscivilis Imperialis pour des faits commis dans l’exercice de ses fonctions, sauf disposition expresse contraire prévue par les lois impériales. Cette compétence juridictionnelle demeure applicable même lorsque l’intéressé a quitté ses fonctions, dès lors que les faits reprochés ont été commis durant son service au sein de la Légion.
Le légionnaire, dans l’exercice de ses fonctions, n’est donc soumis qu’aux dispositions du présent Code, qui constitue la seule référence légale en matière de discipline, de responsabilité et de sanction au sein de l’institution militaire impériale.
Article préliminaire 1 - Principes et Jugement
Les sanctions sont prononcées par les juridictions militaires en fonction de la nature et de la gravité des faits, ainsi qu'au regard des circonstances atténuantes et aggravantes de l'affaire. Le mis en cause est présumé coupable jusqu'à la production de preuves contraires par ses soins. Il lui appartient d'apporter la démonstration de son innocence ou des éléments de nature à atténuer sa responsabilité. Seuls les témoignages des officiers d'un grade égal ou supérieur à celui de centurion font foi devant les Tribunaux Martiaux, sauf si la juridiction décide, par décision motivée, d'admettre d'autres modes de preuve en raison de circonstances exceptionnelles.
Article préliminaire 2 - Les Sanctions</t>
  </si>
  <si>
    <t>Lèse-majesté impériale</t>
  </si>
  <si>
    <t>Les juges disposent d'une large marge d'appréciation afin d'adapter la sanction à chaque situation particulière, dans le respect des principes de proportionnalité et d'équité militaire. Le présent Code prévoit les sanctions suivantes, qui peuvent être prononcées seules ou cumulées :
Le rappel solennel au Code de Conduite de la Légion Impériale ;
La mise à pied ;
La réaffectation sur un poste ou une unité d'un niveau inférieur ;
La rétrogradation d'un ou plusieurs grades ;
La mise aux arrêts (simples ou de rigueur) ;
La privation totale ou partielle de solde et primes pour une durée ne pouvant excéder deux semaines ;
Mutation hors de Bordeciel ;
L'exclusion définitive de la Légion (radiation des rangs) ;
La peine de mort.</t>
  </si>
  <si>
    <t>Insubordination</t>
  </si>
  <si>
    <t>Le fait de désobéir délibérément ou de manifester ouvertement son mépris à l'égard d'un ordre légitime donné par un supérieur hiérarchique.</t>
  </si>
  <si>
    <t>Désertion</t>
  </si>
  <si>
    <t>Tout abandon de poste, de mission ou tout retrait volontaire, définitif ou temporaire, de l'effectif impérial par un membre de la Légion constitue le crime de désertion.</t>
  </si>
  <si>
    <t>Vol</t>
  </si>
  <si>
    <t>Le fait de s'approprier un bien ne lui appartenant pas, sans ordre exprès donner dans le cadre d'une mission bien précise.</t>
  </si>
  <si>
    <t>Séquestration et prise d'otage</t>
  </si>
  <si>
    <t>Constitue une séquestration ou une prise d'otages le fait de détenir, transporter ou priver arbitrairement de liberté une personne contre son gré, par quelque moyen que ce soit sans ordre adéquat ne poursuivant aucune mission légitime.</t>
  </si>
  <si>
    <t>Meurtre</t>
  </si>
  <si>
    <t>Toute atteinte à la vie d'autrui ayant un caractère irréversible, commise par un membre de la Légion en dehors du service et hors du cadre strict de sa mission et des ordres qui lui ont été transmis, est qualifiée de meurtre.</t>
  </si>
  <si>
    <t>Pillage et vol</t>
  </si>
  <si>
    <t>Le fait, pour un membre de la Légion, de s'approprier indûment les biens d'autrui, qu'ils appartiennent à un civil ou à un autre Légionnaire, sans ordre de mission ni autorisation expresse d'un officier supérieur du grade de centurion ou d'un grade supérieur, constitue le délit de vol ou le crime de pillage, selon la nature, les circonstances et la gravité des faits.</t>
  </si>
  <si>
    <t>Agression sur un autre légionnaire</t>
  </si>
  <si>
    <t>Le fait d'agresser physiquement ou verbalement un autre membre de la Légion.</t>
  </si>
  <si>
    <t>Usurpation de grade</t>
  </si>
  <si>
    <t>Le fait pour un légionnaire d'utiliser de l'équipement d'un grade supérieur ou de se présenter comme étant titulaire d'un grade qui n'est pas le sien.</t>
  </si>
  <si>
    <t>Mutinerie</t>
  </si>
  <si>
    <t>Lorsque la désobéissance délibérée définie à l'article 1 résulte d'une action concertée de plusieurs légionnaires ligués contre leur hiérarchie, les faits sont qualifiés de mutinerie et réprimés avec une sévérité aggravée.</t>
  </si>
  <si>
    <t>Trahison</t>
  </si>
  <si>
    <t>Le fait de tromper, mentir à sa hiérarchie ou à ses camarades, de divulguer délibérément des informations concernant les positions de troupes, les détails des fortifications, les voies d'approvisionnement, les plans tactiques ou tout autre renseignement militaire, que ce soit par communication directe, par négligence délibérée ou par cession à la contrainte sans avoir épuisé tous les moyens honorables de résistance.</t>
  </si>
  <si>
    <t>Prérogative de fonction</t>
  </si>
  <si>
    <t>Nul ne peut fouiller ou ordonner la restitution d'objet, de somme, si ce n'est le supérieur hiérarchique du légionnaire.</t>
  </si>
  <si>
    <t>Citoyenneté</t>
  </si>
  <si>
    <t>L'engagement au sein de la Légion procure un droit de citoyenneté général</t>
  </si>
  <si>
    <t>Fouille</t>
  </si>
  <si>
    <t>Dans le cadre d'une mission de maintien de l'ordre, la Légion est habilitée à procéder à la vérification de l'identité des individus, la fouille, y compris sur la garde locale.</t>
  </si>
  <si>
    <t>De la violence légitime</t>
  </si>
  <si>
    <t>1. Tout légionnaire est habilité, dans le cadre du maintien de l'ordre et lorsque le dialogue est rompu, à recourir à la violence légitime sans intention de donner la mort, afin d'assurer : La dispersion des attroupements ; L'exécution d'une injonction légale.
2. Le présent article ne s'applique ni entre légionnaires, ni à l'encontre des membres du Penitus Occulatus ou des hauts dignitaires de l'administration centrale. Un légionnaire peut néanmoins faire usage de
la violence légitime à l'égard des factions ennemies ainsi que des gardes locales dans l'exercice d'une mission qui lui est confiée.
3. À défaut de respecter les conditions prévues au présent article, les magistrats pourront requalifier la violence en acte illégitime, entraînant l'application de l'infraction et de la sanction prévue dans le corpus juris civilis</t>
  </si>
  <si>
    <t>Arrestation et mise aux arrêts</t>
  </si>
  <si>
    <t>Tout légionnaire ne peut être arrêté, placé aux arrêts ou faire l’objet d’une mesure de contrainte que par décision d’un supérieur hiérarchique, et uniquement dans le cas où il est accusé d’une infraction prévue par le présent Code.</t>
  </si>
  <si>
    <t>Mesures provisoires</t>
  </si>
  <si>
    <t>Dans l’attente de son jugement, le légionnaire peut être placé en geôle militaire ou faire l’objet d’une suspension temporaire de ses fonctions, selon la gravité des faits reprochés et les nécessités du service.</t>
  </si>
  <si>
    <t>Juridiction compétente</t>
  </si>
  <si>
    <t>Le jugement des infractions relevant du présent Code est assuré par une juridiction militaire présidée par un officier supérieur ayant rang de tribun, de légat ou de préfet. La juridiction siège en présence d’un magistrat impérial, agissant à titre consultatif afin d’éclairer la procédure et de garantir la bonne application du droit. Toutefois, la décision finale appartient exclusivement à l’autorité militaire présidant l’audience.</t>
  </si>
  <si>
    <t>Droits de la défense</t>
  </si>
  <si>
    <t>Dans le cadre de la procédure militaire, le légionnaire mis en cause dispose du droit de se défendre. Il peut, à ce titre, présenter tout moyen de preuve qu’il estime utile à sa défense, sous réserve de leur recevabilité appréciée par la juridiction militaire. Et il a la parole en dernier lors de l’audience.</t>
  </si>
  <si>
    <t>CODEX PENITUS IMPERIALIS
Code de protection de l’Autorité impériale directe en Bordeciel
PRÉAMBULE
Le présent code a pour objet de garantir la sûreté de l’Empire dans ses provinces, de protéger ses représentants directs, ses forces armées, ses agents de renseignement, ainsi que l’exécution de ses missions, ordres, archives et intérêts.
Il réprime toute atteinte portée à l’autorité impériale directe ; la connaissance et le jugement des infractions qu’il prévoit relèvent exclusivement des juridictions impériales.
Eu égard au statut particulier de la noblesse impériale, aucune déchéance, destitution ou privation durable de droits nobiliaires ne saurait être prononcée sur le seul fondement du présent code, ces matières relevant du Code de la Noblesse.</t>
  </si>
  <si>
    <t>Objet du code</t>
  </si>
  <si>
    <t>Le présent code s’applique aux atteintes portées : à l’Empereur et à son autorité directe ; aux représentants impériaux mandatés par le pouvoir central ; aux forces de la Légion impériale ; aux services impériaux de renseignement, d’enquête ou d’intelligence ;</t>
  </si>
  <si>
    <t>Représentants impériaux protégés</t>
  </si>
  <si>
    <t>Sont considérés comme représentants impériaux au sens du présent code :
l’Empereur ; Les membres du Conseil des Anciens ; les membres de la Légion Impériale ; les membres de l’administration impériale centrale ; les agents du Penitus Oculatus ; les envoyés, collecteurs, enquêteurs et fonctionnaires agissant par mandat impérial direct.</t>
  </si>
  <si>
    <t>Exclusion des autorités locales</t>
  </si>
  <si>
    <t>Ne sont pas considérés comme représentants impériaux au sens du présent code : les jarls ; les thanes ; les chefs de maison nobles ; les conseils locaux ; les autorités coutumières des provinces qui composent l’Empire ; les officiers ou gardes relevant exclusivement d’un pouvoir local. Leur qualité de vassaux, d’alliés ou d’autorités reconnues par l’Empire ne suffit pas à les faire entrer dans le champ de protection du présent code.</t>
  </si>
  <si>
    <t>Principe de non-ingérence</t>
  </si>
  <si>
    <t>Le présent code ne peut être utilisé pour intervenir dans les conflits vassaliques ne visant pas directement l’Empire ; l’exercice ordinaire de l’autorité d’un jarl ; les différends coutumiers ou seigneuriaux ne visant pas directement l’Empire. L’intervention impériale n’est recevable que lorsqu’une atteinte grave et manifeste infraction à ce présent code est caractérisée à l’égard de l’autorité impériale centrale selon les dispositions du présent code.</t>
  </si>
  <si>
    <t>Commet une lèse-majesté quiconque, par acte grave, porte atteinte à la dignité, à la légitimité ou à l’autorité de l’Empire central, notamment en : appelant publiquement à la chute de l’Empire ; usurpant une fonction impériale centrale ; falsifiant un ordre, un décret, un mandat ou un sceau impérial ; diffusant de faux ordres impériaux ;</t>
  </si>
  <si>
    <t>Outrage à l'autorité impériale</t>
  </si>
  <si>
    <t>Commet un outrage quiconque : insulte gravement ; humilié publiquement de façon insistante; menace avec violence ; entrave volontairement, de façon prolongée ; un représentant impérial protégé au sens des articles 1 et 2, dans l’exercice d’une mission.</t>
  </si>
  <si>
    <t>Atteinte à légion ou force impériale</t>
  </si>
  <si>
    <t>Constitue une atteinte impériale le fait de : frapper ; retenir ; provoquer délibérément ; un légionnaire, un officier ou une unité impériale régulièrement engagée dans l’exercice de ses fonctions.</t>
  </si>
  <si>
    <t>Entrave à mission impériale</t>
  </si>
  <si>
    <t>Constitue une entrave impériale : l’obstruction à une mission légitime de la Légion ; l’entrave à une enquête de la Légion ou de son administration centrale ; la dissimulation de preuves ou individus recherchés par la Légion ou ses forces de renseignement ; le sabotage d’une opération de la Légion en cours ; Le refus des vassaux céder une place forte et ou un fort à l’empire. L’entrave à une décision de justice impériale</t>
  </si>
  <si>
    <t>Atteinte aux services de renseignement</t>
  </si>
  <si>
    <t>Constitue une atteinte aux services d’intelligence impériaux : L’identification forcée ou la divulgation malveillante d’un agent en mission ; L’entrave à une opération de surveillance ou d’enquête ; la remise de renseignements confidentiels à une force hostile à l’Empire.</t>
  </si>
  <si>
    <t>Sédition contre l’Empire</t>
  </si>
  <si>
    <t>Commet une sédition quiconque provoque, organise ou soutient un mouvement destiné à : affaiblir l’autorité impériale centrale ; empêcher l’exécution d’un ordre impérial central ; soulever la population contre la présence de la Légion ; paralyser les missions, institutions ou représentants directs de l’Empire central.</t>
  </si>
  <si>
    <t>Rébellion impériale</t>
  </si>
  <si>
    <t>Constitue une rébellion impériale : Tout soulèvement armé contre la Légion impériale ; L’attaque d’une garnison, d’un fort ou d’un convoi impérial ; la levée d’hommes contre la Légion ; la prise ou l’occupation d’une installation occupée par l’Empire central ; le refus armé et concerté d’obéir à l’autorité impériale directe.
Ne relève pas du présent article un trouble purement local ne visant pas directement l’Empire.</t>
  </si>
  <si>
    <t>De la sécession et des atteintes à l’unité impériale</t>
  </si>
  <si>
    <t>Constitue une tentative de sécession tout acte, déclaration ou entreprise tendant à soustraire un territoire, une châtellerie ou une autorité locale à l’autorité de l’Empire central, en tout ou en partie.</t>
  </si>
  <si>
    <t>Qualification des faits</t>
  </si>
  <si>
    <t>Sont notamment considérés comme entrant dans le champ de la sécession : la proclamation d’indépendance d’une châtellerie ou d’un territoire relevant de l’Empire ou de ses vassaux ; le refus organisé et durable de reconnaître l’autorité impériale central ; la levée d’une autorité politique concurrente se substituant à celle de l’Empire ; l’établissement de lois ou de structures visant à rompre ou affaiblir le lien de vassalité ;</t>
  </si>
  <si>
    <t>Trahison envers l’Empire</t>
  </si>
  <si>
    <t>Constitue une trahison :
1.       la livraison d’une installation impériale, d’une position, d’un agent ou d’un secret impérial à une puissance ennemie ;
2.       la coopération militaire, logistique ou stratégique avec une force hostile à l’Empire ;
3.       le financement, l’armement ou l’organisation d’une entreprise dirigée contre l’Empire ;
4.       l’assistance volontaire à un ennemi dans le but de nuire à la présence impériale.</t>
  </si>
  <si>
    <t>Des installations impériales</t>
  </si>
  <si>
    <t>Sont considérées comme installations impériales centrales : Les forts officiellement attribués à la Légion impériale ; Les camps militaires établis par la Légion ; Toute infrastructure cédée à l’Empire central par acte officiel.</t>
  </si>
  <si>
    <t>Définition et exclusions</t>
  </si>
  <si>
    <t>Ne sont pas considérés comme installations impériales au sens du présent code : Les forteresses orques ; Les grottes et sites naturels ; Les mines, exploitées ou non ; Les ruines dwemers ou nordiques ; Les camps ou places fortifiées non reconnues officiellement. Ces lieux ne peuvent être assimilés à des possessions impériales du seul fait de leur occupation.
Article 16 bis — Régime de propriété et limites impériales
L’Empire ne peut revendiquer la propriété des lieux suivants sans accord explicite de leurs détenteurs légitimes : Les forteresses orques ; Les campements indépendants ; Les lieux de culte, notamment daedriques ; Les ruines dwemers ou nordiques.
Article 16 ter — Régime des forteresses orques et fiscalité locale
Les forteresses orques ne constituent pas des possessions de l’Empire ni des châtelleries. Elles conservent leur autonomie propre et ne peuvent être revendiquées comme propriété par une autorité locale ou impériale sans accord explicite. Toutefois, lorsqu’une forteresse orque est établie sur le territoire d’une châtellerie, l’autorité locale conserve un droit de perception fiscale, sous forme d’impôts ou de redevances, conformément aux usages en vigueur.
Ce droit fiscal ne saurait être interprété comme un droit de propriété, de contrôle ou d’administration sur ladite forteresse.
Article 16 quater — Limitation des droits des autorités locales
En l’absence de conquête reconnue, de cession officielle ou d’un transfert validé par l’Empire :
Les autorités locales ne peuvent vendre, céder ou aliéner les forteresses orques ;
Elles ne disposent sur ces lieux que d’un droit fiscal ou de redevance, conformément aux usages locaux.</t>
  </si>
  <si>
    <t>Du territoire impérial</t>
  </si>
  <si>
    <t>1. Territoire impérial
Le territoire de l’Empire, comprenant Cyrodiil, Hauteroche et Bordeciel, est inaliénable et ne peut être cédé.
2. Territoires des châtelleries
Les Jarls ne peuvent céder tout ou partie de leur territoire. Les frontières établies par l’Empire sont immuables. Seuls des lieux isolés, ne relevant
pas des installations impériales, peuvent être cédés, dans la limite de deux par châtellerie.
3. Ambassades
Le territoire compris dans l’enceinte d’une ambassade du Thalmor est considéré comme relevant de son autorité pendant toute la durée de son occupation ;
À la cessation de cette occupation, le territoire revient pleinement à l’Empire ;
Les lois impériales ne s’appliquent pas à l’intérieur d’une ambassade ;
Une seule ambassade est autorisée par province ;
Seuls le Gouverneur peut en autoriser l’établissement par acte officiel.
L'ambassade doit pouvoir accueillir l’ensemble de la délégation du Thalmor et ses bureaux, elle ne saurait être plus petite que l’ambassade traditionnellement attribuée à la délégation en Haafingar.</t>
  </si>
  <si>
    <t>De l’implantation impériale et de la coopération des vassaux</t>
  </si>
  <si>
    <t>L’Empire dispose de Mornefort comme siège militaire principal en Bordeciel, établi par usage et autorité continue.
En complément, l’Empire est autorisé à établir :
Une seconde place forte servant de quartier général sur le territoire de Bordeciel ;
Jusqu’à trois forts supplémentaires répartis sur l’ensemble de la province.
Les châtelleries sont tenues de permettre l’établissement de ces installations sur leur territoire lorsque cela est requis par le Gouverneur ou le Légat, dans la limite des quotas définis ci-dessus.
Elles ne peuvent s’y opposer dès lors que ces limites ne sont pas dépassées.</t>
  </si>
  <si>
    <t>Atteintes aux intérêts impériaux</t>
  </si>
  <si>
    <t>Constituent des délits impériaux :
La falsification de registres impériaux ;
Le détournement de taxes ou de fonds destinés à l’Empire ;
Le vol de matériel ou d’équipement impérial ;
Le pillage ou la prise de contrôle d’une installation impériale.</t>
  </si>
  <si>
    <t>Refus de coopération</t>
  </si>
  <si>
    <t>Tout refus de se conformer à l’obligation prévue à l’article 18 entre dans le champ d’application de l’article 8.</t>
  </si>
  <si>
    <t>Assistance et réquisition</t>
  </si>
  <si>
    <t>Sur demande d’un Jarl et avec l’accord du Légat, des soldats impériaux peuvent être temporairement placés sous l’autorité d’une garde locale ;
En cas de nécessité, le Légat peut réquisitionner jusqu’à trois membres d’une garde locale par châtellerie, pour une durée déterminée ; Le Jarl concerné doit en être informé.</t>
  </si>
  <si>
    <t>PRÉAMBULE
Par l’autorité de l’Empereur, garant de l’unité de l’Empire, ce décret instaure le régime fiscal de la province de Bordeciel. Afin d'assurer la sécurité, la reconstruction et le maintien de l’ordre, il est décrété ce qui suit :</t>
  </si>
  <si>
    <t>Objet</t>
  </si>
  <si>
    <t>Le présent décret fixe les règles applicables en Bordeciel concernant les redevables, l'assiette de l'impôt, les déductions, le paiement, les contrôles, les sanctions et les recours.
Article 2 — Définitions 
Autorité impériale : Services du Gouvernorat, de l’Intendance et Percepteurs chargés de la gestion fiscale.
Période fiscale : Une semaine.
Assiette Imposable : l'ensemble des revenus bruts perçus au cours d'une Période fiscale, diminués des déductions prévues au Titre IV.</t>
  </si>
  <si>
    <t>Champ d’application</t>
  </si>
  <si>
    <t>Le présent décret s’applique à toutes les Châtelleries de Bordeciel.</t>
  </si>
  <si>
    <t>Entités imposables</t>
  </si>
  <si>
    <t>Sont assujettis à l'impôt impérial l'ensemble des Vassaux impériaux, et par conséquent l'ensemble des Châtelleries de Bordeciel
Article 4 bis — Exonération fiscale des contrats de la Compagnie Orientale
Par dérogation aux dispositions du présent décret, la Compagnie Orientale bénéficie d’une exonération fiscale totale sur l’ensemble de ses contrats.</t>
  </si>
  <si>
    <t>Base d'imposition</t>
  </si>
  <si>
    <t>L'impôt est assis sur le revenu brut hebdomadaire, après déductions autorisées. Pour les activités de frappe de monnaie, le revenu est imposable.</t>
  </si>
  <si>
    <t>Montant dû</t>
  </si>
  <si>
    <t>L'impôt dû par une Châtellerie correspond au montant le plus élevé entre :
Le montant minimal de 2000 septims auquel on ajoute 1000 septims par villages possédés
35 % du revenu imposable.
Le montant minimal est réévalué à chaque période fiscale en fonction du nombre de villages administrés par la Châtellerie. 
Article 6 bis — Prélèvement applicable à la frappe de monnaie
Toute Châtellerie exerçant une activité de frappe de monnaie est soumise à un prélèvement fixe de 2 000 septims par période fiscale au titre de cette activité.
Ce prélèvement s'ajoute à l'impôt relatif à l'article 6.</t>
  </si>
  <si>
    <t>Pouvoir de modification</t>
  </si>
  <si>
    <t>L'Autorité impériale peut ajuster les paramètres fiscaux. Toute modification doit être justifiée, publiée, et n'entre en vigueur qu'à la prochaine période fiscale.</t>
  </si>
  <si>
    <t>Dépenses de garde</t>
  </si>
  <si>
    <t>Les Châtelleries peuvent déduire 50 % des dépenses de garde engagées en salaire et matériel, dans la limite de 3 000 septims par semaine, sur justificatifs.</t>
  </si>
  <si>
    <t>Limitation des déductions</t>
  </si>
  <si>
    <t>L'Autorité impériale peut suspendre la déduction pour gardes si les effectifs sont jugés excessifs ou contraires à l'ordre public. Le cumul des déductions ne peut rendre le revenu imposable inférieur à zéro.</t>
  </si>
  <si>
    <t>Allègement exceptionnel</t>
  </si>
  <si>
    <t>En cas de circonstances exceptionnelles (siège, catastrophe, guerre), l'Autorité impériale peut accorder une réduction temporaire d'impôt proportionnelle à la durée de la situation.</t>
  </si>
  <si>
    <t>Dîme</t>
  </si>
  <si>
    <t>Au titre de la dîme, les châtelleries doivent payer 500 septims minimum par semaine au culte des 8 divins.
Le taux des dîmes peut être révisé dans les conditions de l'article 7.
Article 11 bis — Indulgence
L'Autorité impériale reverse au vigiles de Stendarr au titre de l’indulgence, une part égale à cinq pour cent (5 %) des produits de l'impôt effectivement recouvrés au cours de la Période fiscale. sous réserve du respect des lois impériales et de l’accomplissement de leur mission.
Le taux de l‘indulgence peut être révisé dans les conditions de l'article 7.TITRE VI — OBLIGATIONS DES ENTITÉS IMPOSABLES</t>
  </si>
  <si>
    <t>Obligations fiscales</t>
  </si>
  <si>
    <t>Toute Entité imposable doit :
transmettre ses comptes financiers aux Percepteurs impériaux à la fin de chaque Période fiscale ;
fournir ses comptes à l'Autorité impériale lorsqu'un contrôle est demandé ;
payer l'impôt demandé dans les délais prévus ;
coopérer avec les agents impériaux chargés du contrôle fiscal.</t>
  </si>
  <si>
    <t>Conservation des documents comptables</t>
  </si>
  <si>
    <t>Toute entité imposable est tenue de conserver, pour une durée minimale de huit périodes fiscales (soit huit semaines), l'ensemble de ses livres de comptes, registres de ventes et justificatifs de dépenses. Ces documents doivent être tenus à la disposition de l'Autorité impériale sur simple demande lors d'un contrôle fiscal.</t>
  </si>
  <si>
    <t>Droits et possibilités</t>
  </si>
  <si>
    <t>Une Entité imposable peut :
demander exceptionnellement un délai supplémentaire pour payer son impôt ;
proposer des biens ou des services à l'Empire en échange d'une réduction de son impôt, sous réserve de l’évaluation et l'accord de l'Autorité impériale ;
demander l'aide de l'administration impériale pour comprendre ou organiser ses obligations fiscales ;</t>
  </si>
  <si>
    <t>Contrôle fiscal</t>
  </si>
  <si>
    <t>L'Autorité impériale peut contrôler toute déclaration ou compte. Ces contrôles sont effectués par les agents mandatés.</t>
  </si>
  <si>
    <t>Droit d’accès</t>
  </si>
  <si>
    <t>Les agents impériaux disposent d'un droit d'accès aux locaux et lieux de stockage pour vérifier la réalité des actifs, durant les heures d'activité.</t>
  </si>
  <si>
    <t>Rectification</t>
  </si>
  <si>
    <t>En cas d'erreur, d'omission ou de fraude, l'Autorité impériale peut rectifier l'impôt dû. La décision est notifiée par écrit et contestable sous sept jours.</t>
  </si>
  <si>
    <t>Confidentialité</t>
  </si>
  <si>
    <t>Les informations financières sont strictement confidentielles, sauf usage nécessaire au contrôle, au recouvrement ou sur ordre de l'autorité compétente</t>
  </si>
  <si>
    <t>Mise en demeure</t>
  </si>
  <si>
    <t>En cas de défaut, une mise en demeure est notifiée. L'Entité dispose de trois jours pour régulariser avant recouvrement forcé.</t>
  </si>
  <si>
    <t>Taxation d’office</t>
  </si>
  <si>
    <t>À défaut de régularisation, l'Autorité impériale fixe l'impôt selon le potentiel économique connu de l'Entité.</t>
  </si>
  <si>
    <t>Majoration</t>
  </si>
  <si>
    <t>Tout retard après mise en demeure entraîne une majoration de 10 % du montant dû.</t>
  </si>
  <si>
    <t>Fraude</t>
  </si>
  <si>
    <t>La fraude intentionnelle est sanctionnée par une amende égale au double du montant fraudé, sans préjudice de poursuites pénales.
Article 23 — Refus d’obtempérer lors d’un contrôle fiscal
Toute entité imposable qui refuse de coopérer à un contrôle fiscal, notamment en refusant de fournir ses comptes, documents justificatifs ou l’accès prévu au Titre VII, est passible d’une amende d’un montant pouvant aller jusqu'à 2500 septims par refus.
En cas de refus persistant après mise en demeure de l’Autorité impériale, l’amende peut être portée à un montant jusqu'à 5000 septims par refus, ainsi que procéder à une taxation d’office conformément à l’article 22.
Cette sanction ne fait pas obstacle aux autres mesures prévues par le présent décret en cas de fraude ou de non-paiement de l’impôt</t>
  </si>
  <si>
    <t>Recouvrement forcé</t>
  </si>
  <si>
    <t>En cas de non-paiement persistant, l'Autorité impériale peut procéder à la saisie de trésorerie, de biens, ou à la réquisition de services équivalents.</t>
  </si>
  <si>
    <t>Limite des saisies</t>
  </si>
  <si>
    <t>Les saisies ne peuvent excéder le montant dû et les frais de recouvrement. Tout excédent doit être restitué.</t>
  </si>
  <si>
    <t>Modalités de paiement</t>
  </si>
  <si>
    <t>Le paiement est exigé en Septims. Le paiement en nature est proscrit sauf accord exceptionnel prévu au titre de l’article 14.</t>
  </si>
  <si>
    <t>Premier recours</t>
  </si>
  <si>
    <t>Toute contestation d'une décision fiscale (Avis d'imposition, sanction, saisie) doit être adressée à l'Intendance impériale sous sept jours. La décision motivée rendue ne suspend pas le paiement, mais bloque toute mesure de recouvrement forcé sur la somme contestée jusqu'à la résolution du litige.</t>
  </si>
  <si>
    <t>Second recours</t>
  </si>
  <si>
    <t>En cas de désaccord persistant, l'entité peut saisir la Chancellerie impériale sous trois jours. Sa décision est définitive.</t>
  </si>
  <si>
    <t>Modification</t>
  </si>
  <si>
    <t>L'Autorité impériale peut ajuster ce décret. Toute modification est publiée officiellement et n’est pas rétroactive.</t>
  </si>
  <si>
    <t>Entrée en vigueur</t>
  </si>
  <si>
    <t>Ce décret entre en vigueur dès publication et annule toute disposition antérieure.
Fait au nom de l’Empire et sous l’autorité du Gouverneur de Bordeciel, du Consul du Grand Argentier, et du Grand Chancelier, le 5 Atrefeu 4E226
L’Empire est Loi. La Loi est Sacrée.</t>
  </si>
  <si>
    <t>décret impérial relatif à l’imposition en la province de bordeciel
préambule
Par l’autorité de l’Empereur de Tamriel, Seigneur de Cyrodiil et garant de l’unité impériale, Sur avis du Conseil des Anciens, et sous l’égide du Gouverneur de Bordeciel, Considérant que la province de Bordeciel, affaiblie par des décennies de guerre civile, de troubles et de désordre, requiert le rétablissement d’une administration stable, équitable et durable ;
Considérant que la sécurité des routes, la reconstruction des cités, l’entretien des forces armées impériales et la préservation de l’ordre public nécessitent des ressources constantes et justement réparties ;
Considérant qu’il appartient à l’Empire d’assurer une contribution proportionnée de ses vassaux et des puissances économiques opérant sur son territoire, dans le respect de l’autorité centrale et des équilibres locaux ;
Considérant enfin que l’impôt constitue à la fois un devoir envers l’Empire et un instrument de stabilité, de prospérité et de paix durable en Bordeciel ;
Considérant que toute entrave volontaire, dissimulation frauduleuse, ou atteinte portée au recouvrement des ressources impériales est susceptible de constituer une atteinte aux intérêts matériels de l’Empire, au sens de l’article 19 du Codex Penitus Imperialis, et d’entraîner des poursuites relevant de la juridiction impériale ;
Article 1er — Objet du décret
Le présent décret a pour objet de fixer les règles relatives à l'assujettissement, à l'assiette, à la liquidation, au recouvrement, aux déductions, aux sanctions et aux voies de recours applicables à l'impôt impérial en la province de Bordeciel.</t>
  </si>
  <si>
    <t>Définitions</t>
  </si>
  <si>
    <t>Au sens du présent décret, on entend par :
Autorité impériale : l'ensemble des organes et agents investis, au nom de l'Empire, du pouvoir de fixer, réviser, assujettir, contrôler, liquider et recouvrer l'impôt impérial en la province de Bordeciel, ainsi que de statuer sur les réclamations qui s'y rapportent. Elle comprend notamment le Gouvernorat de Bordeciel et son Intendance, les Percepteurs impériaux, ainsi que tout agent ou organe dûment mandaté à cet effet. Les Vassaux impériaux n'exercent pas, à ce titre, l'Autorité impériale lorsqu'ils s'acquittent de leurs propres devoirs fiscaux envers l'Empire, en leur qualité d'Entité imposable.
Vassal impérial : toute Châtellerie reconnue comme telle par l'Autorité impériale, disposant d'un Jarl ou d'une autorité équivalente reconnue.
Châtellerie : le territoire, les administrations et les revenus qui relèvent de l'autorité d'un Vassal impérial.
Période fiscale : intervalle de temps, actuellement fixé à une semaine, au terme duquel l'Assiette fiscale d'une Entité imposable est arrêtée en vue de la liquidation de l'impôt. La durée de la Période fiscale peut être révisée dans les conditions de l'article 9.
Organisation à grands profits : toute entité, association, guilde, compagnie ou structure organisée, extérieure à l'autorité directe d'un Vassal impérial, dont les gains excèdent dix mille (10 000) septims au cours d'une Période fiscale, appréciés selon les modalités de l'article 6.
Organisation dépendante : organisation à grands profits qui s'acquitte d'un impôt envers le Vassal impérial dont elle relève territorialement.
Organisation indépendante : organisation à grands profits ne s'acquittant d'aucun impôt envers un Vassal impérial et demeurant, à ce titre, directement imposable par l'Autorité impériale.
Entité imposable : tout Vassal impérial ou organisation à grands profits indépendante soumis à l'impôt prévu par le présent décret.
Assiette fiscale : le montant des revenus bruts totaux perçus par une Entité imposable au cours d'une Période fiscale, avant application des déductions prévues au Titre IV.
Assiette imposable : l'Assiette fiscale après application des déductions prévues au Titre IV. Elle constitue la base sur laquelle s'opère la liquidation de l'impôt.
Liquidation de l'impôt : opération par laquelle le taux d'imposition prévu à l'article 8 est appliqué à l'Assiette imposable, afin de déterminer le montant de l'impôt dû.
Recouvrement : l'ensemble des opérations par lesquelles l'Autorité impériale obtient le paiement de l'impôt liquidé, que ce paiement intervienne spontanément de la part de l'Entité imposable (Recouvrement amiable) ou par la mise en œuvre des mesures de contrainte prévues à l'article 19 (Recouvrement forcé).
Avis d'imposition : acte par lequel l'Autorité impériale notifie à une Entité imposable le montant de l'impôt liquidé à sa charge au titre d'une Période fiscale.
Percepteur impérial : tout agent mandaté par l'Autorité impériale pour le Recouvrement, amiable ou forcé, ainsi que le contrôle de l'impôt.</t>
  </si>
  <si>
    <t>Champ d'application</t>
  </si>
  <si>
    <t>Le présent décret s'applique à l'ensemble des Châtelleries de Bordeciel ainsi qu'à toute Organisation à grands profits indépendante opérant sur le territoire de la province.</t>
  </si>
  <si>
    <t>Personnes et entités assujetties</t>
  </si>
  <si>
    <t>Sont assujettis à l'impôt impérial :
L'ensemble des Vassaux impériaux, et par conséquent l'ensemble des Châtelleries de Bordeciel ;
Toute Organisation à grands profits indépendante, dès lors que ses gains hebdomadaires excèdent le seuil défini à l'article 2.</t>
  </si>
  <si>
    <t>Organisations dépendantes</t>
  </si>
  <si>
    <t>Une Organisation à grands profits devient « dépendante » à compter du premier paiement effectif d'un impôt au Vassal impérial dont elle relève. Cette qualification révoque l'imposition impériale directe à son égard, celle-ci demeurant à la charge du seul Vassal impérial concerné, à charge pour ce dernier de s'acquitter de son propre impôt conformément au présent décret.
Si l'Autorité impériale constate qu'un Vassal impérial et une Organisation dépendante conviennent d'un impôt manifestement dérisoire au regard des capacités contributives réelles de l'organisation, et de nature à porter atteinte à l'intérêt de l'Autorité impériale, celle-ci peut procéder à une révision de la Liquidation de l'impôt dû par le Vassal concerné, dans les conditions de l'article 16, voire requalifier l'organisation en Organisation indépendante directement imposable si la fictivité de l'arrangement est établie. Ces mesures s'exercent dans le respect des voies de recours prévues au Titre IX.</t>
  </si>
  <si>
    <t>Profits irréguliers</t>
  </si>
  <si>
    <t>Lorsque les gains d'une organisation sont irréguliers mais excèdent occasionnellement le seuil fixé à l'article 2, l'Autorité impériale apprécie, sur une base glissante de trois (3) périodes fiscales, si l'organisation doit être soumise à l'impôt. Cette appréciation est motivée et notifiée à l'organisation concernée.</t>
  </si>
  <si>
    <t>Détermination de l'Assiette fiscale et Assiette imposable</t>
  </si>
  <si>
    <t>L'Assiette fiscale d'une Entité imposable correspond à l'ensemble de ses revenus bruts perçus au cours de la Période fiscale considérée, avant application des déductions prévues au Titre IV.
L'Assiette imposable correspond à l'Assiette fiscale ainsi déterminée, après application des déductions prévues au Titre IV. Elle constitue la base de la Liquidation de l'impôt prévue à l'article 8.</t>
  </si>
  <si>
    <t>Liquidation de l'impôt dû</t>
  </si>
  <si>
    <t>Le montant de l'impôt dû par une Entité imposable résulte de la Liquidation, opérée sur la base de son Assiette imposable, et correspond au plus élevé des deux montants suivants :
Un montant plancher de quatre mille (4 000) septims ;
Un montant équivalent à trente-cinq pour cent (35 %) de l'Assiette imposable.</t>
  </si>
  <si>
    <t>Révision des paramètres de l'impôt</t>
  </si>
  <si>
    <t>L'Autorité impériale se réserve le droit de réviser, à la hausse comme à la baisse, le taux d'imposition, le montant plancher, les seuils mentionnés au présent décret, la durée de la Période fiscale, ainsi que le taux de déduction pour frais de garde prévu à l'article 11, en fonction des nécessités budgétaires, militaires ou administratives de l'Empire.
Toute révision est motivée par écrit et fait l'objet d'une publication préalable dans les mêmes formes que le présent décret, et n'entre en vigueur qu'à l'expiration d'un délai de sept (7) jours suivant sa publication.</t>
  </si>
  <si>
    <t>Déduction de la dîme au Temple des Huit</t>
  </si>
  <si>
    <t>Faute</t>
  </si>
  <si>
    <t>Les sommes qu'une Châtellerie verse, de sa propre volonté, au titre de la dîme envers le Temple des Huit sont déductibles de son Assiette fiscale, dans la limite stricte de dix pour cent (10 %) de ladite assiette.
La Châtellerie doit être en mesure de justifier, sur demande de l'Autorité impériale, du versement effectif de la dîme dont elle se prévaut, faute de quoi la déduction pourra être remise en cause a posteriori</t>
  </si>
  <si>
    <t>Déduction partielle des frais de garde</t>
  </si>
  <si>
    <t>Les Châtelleries peuvent déduire de leur Assiette fiscale un montant égal à cinquante pour cent (50 %) des dépenses réellement engagées au cours de la Période fiscale pour le recrutement, l'équipement et le maintien de leurs gardes, dans la limite stricte de trois mille (3000) septims par Période fiscale.
La Châtellerie doit être en mesure de justifier, sur demande de l'Autorité impériale, de la réalité et du montant de ces dépenses, faute de quoi la déduction pourra être remise en cause a posteriori.
Lorsque cette déduction se cumule, au titre d'une même Période fiscale, avec celle prévue à l'article 10, les deux déductions s'additionnent pour la détermination de l'Assiette imposable, sans que celle-ci puisse être inférieure à zéro.
Article 11 bis — Suspension de la déduction pour frais de garde
L'Autorité impériale peut suspendre, en tout ou partie et pour la durée qu'elle détermine, le bénéfice de la déduction prévue à l'article 11 à l'égard d'une Châtellerie, lorsqu'elle constate que les effectifs de garde financés à ce titre excèdent manifestement les besoins de sécurité locaux, ou sont de nature à faire peser une menace sur l'ordre public ou l'Autorité impériale.
Cette suspension est motivée par écrit et notifiée à la Châtellerie concernée, laquelle dispose des voies de recours prévues au Titre IX.</t>
  </si>
  <si>
    <t>Suspension ou aménagement exceptionnel de l’imposition</t>
  </si>
  <si>
    <t>En cas de siège, de catastrophe naturelle, ou de trouble grave affectant durablement la capacité contributive d'une Châtellerie, celle-ci peut solliciter auprès de l'Autorité impériale un aménagement exceptionnel de son imposition, pour une durée qui ne peut excéder celle du trouble constaté.</t>
  </si>
  <si>
    <t>Obligations</t>
  </si>
  <si>
    <t>Les Entités imposables ont l'obligation :
De transmettre leurs comptes financiers relatifs à la Période fiscale écoulée aux Percepteurs impériaux, avant la Recouvrement de l'impôt. ;
De fournir leurs comptes financiers sur demande exceptionnelle ou dans le cadre d'un contrôle de l'Autorité impériale ;
De verser la somme due, sans écart ni défaut, aux Percepteurs impériaux lors du Recouvrement ;
De collaborer avec l'Autorité impériale dans l'exercice de ses fonctions de contrôle fiscal et d'analyse économique.</t>
  </si>
  <si>
    <t>Droits</t>
  </si>
  <si>
    <t>Les Entités imposables peuvent :
Demander un aménagement exceptionnel de la date de paiement ;
Demander une réduction de l'impôt en contrepartie de biens ou de services fournis à l'Autorité impériale, sous réserve de l'accord de cette dernière, la valeur de la réduction étant équivalente à celle des biens ou services proposés, l'Autorité impériale se chargeant d'estimer cette valeur lorsqu'elle ne peut être objectivement exprimée en septims ;
Solliciter l'assistance de l'administration impériale pour la gestion fiscale de l'entité, notamment aux fins d'analyse du potentiel fiscal théorique ;
Demander à s'acquitter de l'impôt par anticipation, une fois l'Avis d'imposition reçu.</t>
  </si>
  <si>
    <t>Pouvoir de contrôle</t>
  </si>
  <si>
    <t>L'Autorité impériale dispose d'un pouvoir de contrôle sur les déclarations et comptes fournis par les Entités imposables, qu'elle exerce par l'intermédiaire des Percepteurs impériaux ou de tout agent mandaté à cet effet.</t>
  </si>
  <si>
    <t>Révision de la Liquidation (montant dû)</t>
  </si>
  <si>
    <t>L'Autorité impériale peut réviser la Liquidation de l'impôt dû par une Entité imposable lorsque les informations économiques et fiscales dont elle dispose (déclarations, contrôles, rapports d'analyse) révèlent une sous-déclaration, une omission, ou une évolution significative de la situation financière de l'entité.
Toute révision est motivée par écrit et notifiée à l'entité concernée avant son application. L'entité dispose d'un délai de sept (7) jours à compter de la notification pour exercer les voies de recours prévues au titre IX. Sauf urgence motivée, la révision ne peut être rendue exécutoire avant l'expiration de ce délai.</t>
  </si>
  <si>
    <t>Confidentialité des informations</t>
  </si>
  <si>
    <t>Les informations financières transmises par les Entités imposables à l'Autorité impériale sont traitées de manière confidentielle par cette dernière et par les Percepteurs impériaux. Elles ne peuvent être divulguées à des tiers, hors nécessité de contrôle, de Recouvrement, ou réquisition légale d'une Autorité impériale supérieure.</t>
  </si>
  <si>
    <t>Mise en demeure préalable</t>
  </si>
  <si>
    <t>Tout refus de paiement, tout défaut de transmission des comptes prévue à l'article 13, ou tout retard constaté fait l'objet, sauf mauvaise foi manifeste ou trouble à l'ordre public, d'une mise en demeure préalable adressée à l'Entité imposable, lui accordant un délai de trois (3) jours pour régulariser sa situation avant l'engagement de toute mesure de Recouvrement forcé prévue à l'article 19.
Article 18 bis — Taxation d'office
Lorsqu'une Entité imposable ne transmet pas ses comptes financiers dans les conditions prévues à l'article 13, et n'a pas régularisé sa situation dans le délai imparti par la mise en demeure prévue à l'article 18, l'autorité impériale peut procéder à une taxation d'office de l'impôt dû, immédiatement exécutoire .
Cette taxation d'office est établie sur la base d'une Assiette fiscale estimée par l'autorité impériale, à partir des éléments dont elle dispose, notamment les Périodes fiscales antérieures de l'entité, son potentiel fiscal théorique au sens de l'article 14, ou les données comparables d'entités similaires.
L'Entité imposable est notifiée de cette taxation d'office et des éléments l'ayant motivée. Elle dispose des voies de recours prévues au Titre IX, à charge pour elle d'apporter les éléments de nature à établir le montant réel de son Assiette fiscale.</t>
  </si>
  <si>
    <t>Mesures de Recouvrement forcé</t>
  </si>
  <si>
    <t>En cas de refus de paiement, ou de retard de paiement volontaire de nature à causer un trouble, et à défaut de régularisation dans le délai imparti par la mise en demeure, ou en cas de taxation d'office demeurée impayée  l'Autorité impériale peut procéder à :
La saisie de trésoreries, à hauteur du montant dû ;
La saisie de biens, à hauteur du montant dû ;
La réquisition de services, à hauteur du montant dû.</t>
  </si>
  <si>
    <t>Proportionnalité</t>
  </si>
  <si>
    <t>Les mesures prévues à l'article 19 ne peuvent excéder le montant dû, majoré, le cas échéant, des frais de Recouvrement strictement nécessaires. Toute saisie ou réquisition excédentaire donne lieu à restitution ou compensation au profit de l'Entité imposable.</t>
  </si>
  <si>
    <t>Recours gracieux</t>
  </si>
  <si>
    <t>Toute Entité imposable contestant un Avis d'imposition, une révision de Liquidation, une sanction ou une mesure de Recouvrement peut saisir l'Intendance du Gouvernorat de Bordeciel d'une réclamation motivée, dans un délai de sept (7) jours à compter de la notification de la décision contestée.
L'Intendance procède au réexamen du dossier et notifie sa décision motivée à l'entité dans un délai raisonnable.
L'introduction d'un recours gracieux ne suspend pas, sauf décision contraire de l'Intendance, l'exigibilité de l'impôt contesté ; elle suspend en revanche l'engagement de mesures de Recouvrement forcé au titre du seul montant contesté.
Article 21 bis — Recours contentieux
En cas de rejet total ou partiel du recours gracieux, ou à défaut de décision de l'Intendance dans le délai prévu à l'article 21, l'Entité imposable peut porter le litige, dans un délai de trois (3) jours à compter de la notification de cette décision (ou de l'expiration dudit délai), devant une commission de recours contentieux composée d'un ou plusieurs membres de la Chancellerie Impériale, dont le nombre et l'identité sont laissés à la discrétion de cette dernière.
La commission statue sur le litige et notifie sa décision motivée à l'entité concernée. Cette décision est rendue en dernier ressort et n'est susceptible d'aucun recours ultérieur.
L'introduction d'un recours contentieux suspend l'engagement ou la poursuite des mesures de Recouvrement forcé au titre du seul montant contesté, sauf urgence motivée constatée par l'Autorité impériale.</t>
  </si>
  <si>
    <t>Pouvoir de révision du décret</t>
  </si>
  <si>
    <t>L'Autorité impériale se réserve le droit de modifier le présent décret, en tout ou partie, chaque fois que la gestion pérenne de l'impôt impérial le requiert. Toute modification est publiée dans les mêmes formes que le présent décret et n'est pas rétroactive, sauf disposition expresse et motivée en ce sens.</t>
  </si>
  <si>
    <t>Le présent décret entre en vigueur à compter de sa publication, et abroge et remplace toute disposition antérieure contraire relative à l'imposition impériale en Bordeciel.
Fait au nom de l’Empire et sous l’autorité du Gouverneur de Bordeciel, du Grand Argentier, et du Grand Chancelier, le 14 Hautzénith 4E226
l’empire est loi. la loi est sacrée</t>
  </si>
  <si>
    <t>DE ARGENTARIA
Décret relatif aux établissements bancaires de Bordeciel
PRÉAMBULE
L'Empereur, soucieux d'établir les fondements d'une organisation bancaire sûre, prévisible et pérenne, légifère par le présent décret, en l'an 226 de la IVe ère, le statut des banques de Bordeciel. Ce, en définissant officiellement ses missions, son organisation, ses prérogatives ainsi que les règles régissant son fonctionnement.
L'application du présent texte vaut pour le futur, sans que nul établissement ne puisse y déroger par opposition d'un quelconque usage passé.
En conséquence, par l'autorité de l'Empire et de ses lois, il est établi ce qui suit :
I. DE CERTIFICATIONE
De la détermination et de la certification des établissements bancaires
■ Article I — Définition et certification
Est reconnue comme activité de garde de fonds l’entreposage à but lucratif non généralisé de septims pour le compte d’autrui, dans un lieu réputé sécurisé. La dénomination de ce service, exercé en un lieu par une personne physique ou morale, est celle de « bureau financier », régi par le titre IV du présent décret.
Est qualifié d'activité bancaire tout service lucratif et généralisé consistant en la détention de septims pour le compte d'autrui, dans un lieu réputé sécurisé. La dénomination des établissements proposant ce service, exercé en un lieu par une personne physique ou morale, est qualifié, par effet de la loi, de « banque », régie par les titres I, II et III du présent décret.
Toute organisation exerçant avant la promulgation du présent décret, ainsi que toute organisation souhaitant exercer à l’avenir, est tenue de prendre contact avec la BCIB afin d’engager la procédure de certification de l’établissement en tant que banque.
Ladite certification est délivrée par la BCIB dès lors que l’organisation candidate a communiqué l’ensemble des informations relatives à son projet et qu’elle satisfait à l’ensemble des normes encadrantes édictées par la BCIB.
■ Article II — Du registre bancaire et de la transparence
La BCIB tient le registre des établissements bancaires certifiés. Elle précise l'identité des responsables, le siège de l'établissement, ainsi que son statut devant la BCIB. Ce registre est tenu publique pour libre consultation.
Tout établissement certifié est tenu à une transparence entière envers la BCIB. En vertu de celle-ci, les banques sont tenues de présenter à échéance l'état complet de toutes informations exigées par l’institution; ce, également, sur demande ponctuelle des administrations impériales dûment habilitées par la BCIB.
■ Article III — De la coopération
Dans la continuité de leurs obligations de transparence, les banques sont tenues à un devoir de coopération avec la BCIB. Dissimuler un registre ou produire une déclaration volontairement inexacte constitue une atteinte à ce devoir sur le fondement des articles 6 et 7 du CORPUS JURISCIVILIS IMPERIALIS, de surcroît nécessairement aggravée au sens de son article 8, caractérisant par là un crime.
■ Article IV — De la régulation
Les banques sont tenues de respecter les décisions émises par la BCIB pour la stabilité du marché bancaire provincial.
En cas de doute sur la conformité d'une décision au regard des lois impériales, la Chancellerie peut être saisie pour son contrôle. L'abus de ce droit engage néanmoins la responsabilité du demandeur.
II. IURA ARGENTARIARUM
Des droits des établissements bancaires
■ Article V — Du droit à l'assistance
Toute banque peut demander l'assistance de la BCIB lorsqu'une difficulté menace son activité, ses déposants ou la continuité de ses opérations.
■ Article VI — Du droit à la représentation
Toute banque peut demander à être accompagnée ou représentée par la BCIB lors d'une entrevue, d'une médiation ou d'une négociation intéressant le marché bancaire.
■ Article VII — Du droit de proposition
Les banques peuvent soumettre à la BCIB toute proposition de règlement ou de délibération destinée à améliorer l'organisation bancaire en Bordeciel.
III. DE BANCA CENTRALI
De la Banque centrale impériale de Bordeciel
■ Article VIII — Du secret des affaires
La BCIB préserve le secret des informations qui lui sont transmises. Elle ne peut les communiquer qu'aux autorités impériales compétentes, lorsque la justice, la protection des déposants ou la sûreté économique de la province l'exigent.
■ Article IX — De l'assistance aux banques
La BCIB porte assistance, dans la mesure de ses capacités, aux banques. Cette assistance peut prendre la forme d'un conseil, d'une médiation, d'une surveillance temporaire ou d'un plan de redressement.
■ Article X — De la représentation
La BCIB représente les banques de Bordeciel auprès des institutions et acteurs provinciaux ; elle exerce néanmoins cette représentation dans le respect de l'intérêt commun du marché bancaire, et non au profit exclusif d'un établissement.
■ Article XI — De l’encadrement du marché bancaire
La BCIB régule par la publication d’indicateur à respecter, la transmission de rapport d’évolution et par le maintien de la surveillance du respect de ses directives auprès des établissements bancaires.
IV. DE OFFICIIS PECUNIARIIS
Des bureaux financiers
■ Article XII — De la dénomination trompeuse des bureaux financiers
L'activité des établissements non certifiées doit obligatoirement être désignée sous l'appellation de « bureau financier », limité aux opérations de garde de fonds. L'emploi du titre de banque, ou de toute autre formulation susceptible de provoquer une confusion dans l'esprit des citoyens sur la qualité du service, est constitutif d'une infraction de tromperie encadré et puni par l’article 1 du CORPUS JURISCIVILIS IMPERIALIS, nécessairement aggravé en délit.
■ Article XIII — Des opérations permises
Les bureaux financiers peuvent recevoir des dépôts, procéder à leur restitution et exercer une activité de change, sous réserve de tenir un registre fidèle de leurs opérations.
■ Article XIV — Des opérations interdites
Les bureaux financiers ne peuvent servir d'intérêts sur l'épargne de leurs clients, accorder de prêts bancaires, émettre de titres bancaires, ni garantir leurs opérations au nom de la BCIB ou de l'Empire.
■ Article XV — Des réseaux bancaires
Les bureaux financiers ne peuvent être intégrés aux systèmes Tessera et Universalis. Cette intégration demeure réservée aux établissements certifiés par la BCIB.
V. DE INSPECTIONE ET POENIS
Du contrôle et des manquements
■ Article XVI — Du contrôle
La BCIB peut convoquer les responsables d'un établissement, consulter ses registres et ordonner toute mesure nécessaire à sa mise en conformité, sous réserve, pour toute mesure contraignante, d'une autorisation délivrée par un magistrat sur demande motivée.
■ Article XVII — Des mesures disciplinaires
Selon la gravité du manquement, la BCIB peut prononcer un avertissement, une injonction de régularisation, une restriction d'activité, une suspension ou le retrait de la certification, ainsi que l'exclusion des systèmes Tessera et Universalis.
■ Article XVIII — Des manquements graves
Sont notamment tenus pour graves : la violation du devoir de coopération, la tromperie sur la qualité de banque, le refus d'un contrôle, la falsification des registres, la dissimulation d'une insolvabilité et le détournement des dépôts. Ces mesures se cumulent, de surcroît, avec les sanctions pénales prévues aux articles III et XII du présent décret.
■ Article XIX — Du Codex Penitus Civilis
Les mesures de la BCIB sont prononcées sans préjud-ice des poursuites prévues par le Codex Penitus Civilis. En sus des infractions spéciales prévues au présent décret, les faits délictueux peuvent être poursuivis pour d’autres chefs d’accusation, dans le respect du principe Non bis in idem. Les faits sont systématiquement transmis à la Chancellerie, qui les qualifie.
■ Article XX — De l'urgence
Lorsqu'un établissement menace directement les intérêts de ses déposants ou la stabilité du marché, la BCIB peut suspendre provisoirement ses opérations et placer ses registres sous contrôle, dans l'attente d'une décision de l'autorité compétente.
VI. DISPOSITIONES FINALES
Dispositions finales
■ Article XXI — De la mise en conformité
Les établissements exerçant déjà au jour de la promulgation du décret disposent du délai d’une semaine après la publication de ce décret pour solliciter leur certification. Passé ce délai, ils devront cesser toute opération réservée aux banques et seront officialisés comme bureaux financiers aux yeux de la loi.
■ Article XXII — De l'application
La Banque centrale impériale de Bordeciel et l’Administration impériale sont chargées de l'application du présent décret.
■ Article XXIII — De l'entrée en vigueur
Le présent décret entrera en vigueur au jour de sa promulgation et pour l'avenir, sauf exceptions précisées au décret.
Rédigé à Mornefort, par Suryn Vothren | Intendant de l'Intendance impériale,
Sous l'autorité de Conturus Valelliun | Grand Argentier de l'Empire en Bordeciel,
Après correction et validation de Roland Charmiel, Juriste à la Cour, sous mandat du Grand Chancelier de Bordeciel Cassian Varo.</t>
  </si>
  <si>
    <t>DÉCRET IMPÉRIAL RELATIF AUX AVOCATUS DE BORDECIEL
PRÉAMBULE
Par l’autorité du Gouverneur impérial de Bordeciel, Maximus Tyrellius,
Sur avis de la Chancellerie impérial et garant de la légalité provinciale,
Considérant la nécessité de garantir aux sujets de l’Empire l’accès à une assistance juridique compétente;
Considérant la nécessité d'encadrer l’exercice de la profession d'avocati et de protéger ceux qui l’exercent au nom de l’autorité impériale;
IL EST DÉCRÉTÉ CE QUI SUIT</t>
  </si>
  <si>
    <t>I</t>
  </si>
  <si>
    <t>De la reconnaissance et de l’exercice de la profession</t>
  </si>
  <si>
    <t>La profession d’avocati est reconnue par l’Empire en Bordeciel.
Nul ne peut se prévaloir de cette qualité, ni exercer les prérogatives attachées à cette fonction, sans avoir été certifié par l’autorité impériale compétente.
La certification impériale confère à l’avocati une mission reconnue de service impérial, exercée par délégation de l’Empire.
Toute personne exerçant la profession d’avocati sans certification impériale usurpe une fonction impériale et peut être poursuivie conformément à l’article V du Codex Penitus Imperialis, relatif à l’usurpation d’une fonction impériale centrale.</t>
  </si>
  <si>
    <t>II</t>
  </si>
  <si>
    <t>De la liberté d’exercice</t>
  </si>
  <si>
    <t>Tout avocati régulièrement certifié peut exercer librement sa profession dans l’ensemble des territoires relevant de l’autorité impériale en Bordeciel.
Il peut notamment rechercher des clients, présenter ses services, prospecter auprès des détenus et communiquer publiquement sur son activité, sous réserve du respect des lois impériales et des règlements locaux.</t>
  </si>
  <si>
    <t>III</t>
  </si>
  <si>
    <t>De l’accès aux lieux de privation de libertés</t>
  </si>
  <si>
    <t>Tout avocati certifié peut pénétrer dans les geôles relevant des châtelleries et de l’administration impériale afin d’y rencontrer les personnes détenues et de leur proposer son assistance.
Les autorités locales ne peuvent s’opposer à cet accès, sauf nécessité impérieuse liée à la sécurité des lieux ou des personnes. Dans ce cas, elles doivent permettre la visite dans les meilleurs délais.</t>
  </si>
  <si>
    <t>IV</t>
  </si>
  <si>
    <t>Des entretiens avec les détenus</t>
  </si>
  <si>
    <t>L’avocati peut s’entretenir avec toute personne détenue afin de s’enquérir de sa situation, de lui exposer ses droits et de lui proposer ses services.
La garde peut assurer la sécurité de l’entretien, mais ne peut en écouter le contenu, intervenir dans la conversation ou en empêcher la tenue, sauf menace immédiate et manifeste pour la sécurité d’une personne.</t>
  </si>
  <si>
    <t>V</t>
  </si>
  <si>
    <t>Du secret professionnel</t>
  </si>
  <si>
    <t>VI</t>
  </si>
  <si>
    <t>De la protection des avocatus</t>
  </si>
  <si>
    <t>La personne, les effets professionnels et les correspondances d’un avocati sont protégés contre toute pression, intimidation ou mesure de contrainte liée à l’exercice de sa fonction.
Toute fouille, saisie, arrestation ou mesure de police visant directement un avocati dans le cadre de ses fonctions doit être préalablement autorisée par la Chancellerie impériale.
Cette protection ne saurait couvrir les crimes ou délits étrangers à l’exercice de la profession, ni empêcher l’intervention immédiate des autorités lorsqu’un danger grave et imminent l’exige.</t>
  </si>
  <si>
    <t>VII</t>
  </si>
  <si>
    <t>De l’entrave à la fonction d’avocati</t>
  </si>
  <si>
    <t>Toute personne qui empêche, retarde volontairement ou perturbe l’exercice régulier des fonctions d’un avocati certifié peut être poursuivie pour entrave à une mission impériale.
Sont notamment concernés :
-le fait d’empêcher illégalement un avocati d’accéder à une geôle ;
-le fait de lui interdire de rencontrer son client ;
-le fait d’interrompre ou d’espionner un entretien couvert par le secret professionnel ;
-le fait de retenir, saisir ou dissimuler sa correspondance professionnelle ;
-le fait d’exercer sur lui des menaces ou pressions afin d’influencer sa mission.
Ces faits peuvent relever de l’article VIII du Codex Penitus Imperialis, relatif à l’entrave à une mission impériale, sans préjudice de toute autre qualification applicable.</t>
  </si>
  <si>
    <t>VIII</t>
  </si>
  <si>
    <t>De la loyauté envers le client</t>
  </si>
  <si>
    <t>L’avocati doit agir avec loyauté, diligence et honnêteté envers son client.
Il lui est interdit de le trahir, de détourner ses biens, de lui dissimuler volontairement une information essentielle ou d’exploiter sa confiance à des fins personnelles.
De tels faits peuvent constituer une escroquerie au sens de l’article VI du Corpus Juriscivilis, sans préjudice du retrait de la certification.</t>
  </si>
  <si>
    <t>IX</t>
  </si>
  <si>
    <t>De la disponibilité</t>
  </si>
  <si>
    <t>L’avocati doit répondre aux sollicitations raisonnables de son client et ne peut l’abandonner sans motif légitime.
Lorsqu’il ne peut assurer sa mission, il doit, autant que possible, en informer son client et le rediriger vers un autre avocati certifié.</t>
  </si>
  <si>
    <t>X</t>
  </si>
  <si>
    <t>De l’assistance sollicitée par les autorités</t>
  </si>
  <si>
    <t>Tout avocati certifié doit répondre aux convocations régulières des autorités impériales lorsqu’une assistance juridique est requise.
Il ne peut refuser arbitrairement d’assister une personne privée de défense, sauf empêchement légitime, conflit d’intérêts ou impossibilité manifeste.</t>
  </si>
  <si>
    <t>XI</t>
  </si>
  <si>
    <t>De la demande d’un avocati</t>
  </si>
  <si>
    <t>Toute personne peut demander l’assistance d’un avocati avant ou pendant toute procédure judiciaire.
Lorsqu’une personne détenue requiert un avocati, la garde doit en informer l’avocati désigné ou, à défaut, un avocati disponible.
Cette demande peut être formulée avant même l’ouverture officielle d’un procès ou d’une procédure judiciaire.</t>
  </si>
  <si>
    <t>XII</t>
  </si>
  <si>
    <t>Du traitement des roturiers</t>
  </si>
  <si>
    <t>Lorsqu’un roturier requiert un avocati, la procédure peut se poursuivre si aucun avocati n’est présent ou si l’avocati sollicité ne se présente pas dans un délai raisonnable.
Cette disposition ne prive toutefois pas le roturier de la possibilité de présenter ultérieurement sa défense ou de solliciter l’assistance d’un avocati au cours de la procédure.</t>
  </si>
  <si>
    <t>XIII</t>
  </si>
  <si>
    <t>Du privilège nobiliaire</t>
  </si>
  <si>
    <t>Lorsqu’un noble requiert l’assistance d’un avocati, toute procédure le concernant doit être suspendue jusqu’à l’arrivée de l’avocati sollicité, conformément au privilège de représentation reconnu par l’article III du Code de la Noblesse impériale de Bordeciel.
Les autorités doivent prendre les mesures nécessaires afin de permettre cette assistance sans délai abusif.</t>
  </si>
  <si>
    <t>XIV</t>
  </si>
  <si>
    <t>De la discipline et de l’autorité de la Chancellerie</t>
  </si>
  <si>
    <t>La Chancellerie impériale tient le registre des avocatus certifiés et veille au respect des obligations attachées à leur fonction.
En cas de manquement, elle peut prononcer :
-un avertissement ;
-une suspension temporaire de certification ;
-un retrait définitif de certification.
Tout avocati doit exercer ses prérogatives avec mesure, respecter l’autorité des juridictions et se conformer aux lois impériales.
Tout abus de fonction peut notamment relever de l’article XVII du Corpus Juriscivilis, relatif à l’abus de pouvoir et à la corruption.
Fait au nom de l’Empire, pour la sécurité de Bordeciel et la préservation de l’ordre public.
Le 1er jour du Vifazur, en l’an 226 de la Quatrième Ère
Son Excellence Cassian Varo ;
Grand Chancelier impérial de Bordeciel ;
Diseur des lois ;
Gardien des sceaux ;
Orateur de la justice impériale.</t>
  </si>
  <si>
    <t>Décret impérial portant sur le statut des administrateurs impériaux
Par l'autorité de l'Empereur de Tamriel,
Sous l'autorité du Gouverneur impérial de Bordeciel,
Conformément aux Leges Imperiales, au Corpus Proceduralis Imperialis, au Corpus Juriscivilis Imperialis et au Codex Penitus Imperialis,
Considérant que :
considérant que l'administration impériale assure la représentation permanente de l'autorité centrale dans les provinces de l'Empire ;
considérant que les administrateurs impériaux participent à l'exécution des missions, décisions et intérêts de l'Empire ;
considérant que le Codex Penitus Imperialis reconnaît une protection particulière aux représentants de l'administration impériale centrale et réprime toute atteinte portée à leurs missions ;
considérant que l'efficacité de l'administration impériale exige que ses représentants disposent des prérogatives nécessaires à l'accomplissement de leurs fonctions ;
considérant qu'il convient d'encadrer l'exercice des pouvoirs administratifs impériaux afin de garantir leur légitimité, leur proportionnalité et leur contrôle institutionnel ;
Le Gouvernorat impérial du IVe Empire de Cyrodiil en Bordeciel décrète ce qui suit :
TITRE UNIQUE — Du statut des administrateurs impériaux</t>
  </si>
  <si>
    <t>Des administrateurs impériaux</t>
  </si>
  <si>
    <t>Sont administrateurs impériaux les personnes investies d'une fonction d'autorité, d'administration ou de représentation directe au nom de l'Empire.
Sont notamment visés :
les fonctionnaires de l'administration impériale centrale ayant dépassé le rang de scribe ;
les hauts dignitaires impériaux ;
les officiers de la Légion impériale titulaires du grade de centurion ou d'un grade supérieur ;
toute personne investie d'un mandat direct par une autorité impériale compétente.
Les administrateurs impériaux sont des représentants impériaux protégés au sens du Codex Penitus Imperialis.</t>
  </si>
  <si>
    <t>De l'autorité administrative</t>
  </si>
  <si>
    <t>L'administrateur impérial agit au nom de l'Empire dans les limites de son mandat.
À ce titre, il peut notamment :
représenter l'autorité impériale auprès des autorités provinciales et locales ;
exécuter les décisions, mandats et instructions émanant des autorités impériales compétentes ;
assurer la coordination des missions impériales relevant de son domaine de compétence ;
requérir la coopération des autorités soumises aux obligations prévues par les Leges Imperiales.
Son autorité ne peut être exercée en dehors des compétences qui lui sont légalement attribuées.</t>
  </si>
  <si>
    <t>De la protection de la fonction</t>
  </si>
  <si>
    <t>Les administrateurs impériaux bénéficient de la protection accordée aux représentants impériaux.
Toute entrave volontaire à leurs missions, toute obstruction à l'exécution d'un mandat impérial, toute dissimulation de renseignements ou de preuves, tout outrage, menace ou acte destiné à empêcher l'accomplissement de leurs fonctions constitue une atteinte susceptible de relever du Codex Penitus Imperialis.
Lorsque les circonstances l'exigent, l'administrateur impérial peut demander le concours de la Légion impériale, de la Garde prétorienne ou de toute autre autorité impériale compétente afin d'assurer l'exécution de sa mission.</t>
  </si>
  <si>
    <t>Des prérogatives administratives</t>
  </si>
  <si>
    <t>Dans l'exercice de ses fonctions, l'administrateur impérial bénéficie notamment :
du droit d'être reconnu comme représentant officiel de l'autorité impériale ;
du droit d'obtenir la coopération des institutions impériales ;
du droit de consulter les registres, archives et documents nécessaires à l'exercice de son mandat ;
du droit de transmettre des directives administratives relevant de ses compétences ;
du droit de saisir les autorités impériales compétentes lorsqu'une situation porte atteinte aux intérêts ou aux missions de l'Empire ;
du droit de participer à la coordination des opérations administratives, militaires ou judiciaires lorsque son mandat le prévoit.
Les communications officielles émanant d'un administrateur impérial dans l'exercice de son mandat bénéficient d'un traitement prioritaire auprès des institutions impériales.</t>
  </si>
  <si>
    <t>Des obligations</t>
  </si>
  <si>
    <t>L'administrateur impérial est tenu :
d'assurer la défense des intérêts de l'Empire ;
d'agir avec loyauté, impartialité, diligence et intégrité ;
de respecter les compétences reconnues aux autorités provinciales lorsqu'elles ne compromettent pas les intérêts impériaux ;
de préserver la confidentialité des informations obtenues dans l'exercice de ses fonctions ;
de signaler toute atteinte portée aux représentants, missions ou intérêts de l'Empire ;
de collaborer avec les institutions impériales lorsque l'exécution d'une mission l'exige.</t>
  </si>
  <si>
    <t>Des mesures conservatoires</t>
  </si>
  <si>
    <t>Dans l'exercice de son mandat, l'administrateur impérial peut prendre les mesures conservatoires strictement nécessaires à la préservation immédiate d'un intérêt impérial, à la prévention d'une atteinte aux missions de l'Empire ou à la continuité de l'action administrative.
Ces mesures doivent être proportionnées aux circonstances et limitées dans leur portée et leur durée à ce qui est strictement nécessaire.
Toute mesure ayant une portée contraignante ou durable doit être soumise à la confirmation de la Chancellerie impériale ou de toute autorité compétente dans un délai raisonnable.</t>
  </si>
  <si>
    <t>Du contrôle et de la contestation des actes administratifs</t>
  </si>
  <si>
    <t>Toute décision significative prise par un administrateur impérial dans le cadre de son mandat peut être contestée devant la Chancellerie impériale.
La Chancellerie impériale est compétente pour confirmer, modifier ou annuler les mesures prises lorsqu'elles excèdent les compétences de leur auteur, contreviennent aux Leges Imperiales ou ne sont plus justifiées par les circonstances.
Le recours devant la Chancellerie impériale ne suspend pas automatiquement l'exécution d'une mesure, sauf décision contraire de l'autorité compétente.</t>
  </si>
  <si>
    <t>De la traçabilité administrative</t>
  </si>
  <si>
    <t>Toute mesure conservatoire ou action administrative notable accomplie dans l'exercice du mandat d'un administrateur impérial doit faire l'objet d'un rapport transmis à la Chancellerie impériale.
Le rapport expose les circonstances, les motifs, la nature de la mesure prise et ses conséquences prévisibles afin de permettre un contrôle administratif a posteriori.</t>
  </si>
  <si>
    <t>Des limites de l'autorité</t>
  </si>
  <si>
    <t>Le présent décret ne confère aucun pouvoir général d'administration sur les autorités locales.
L'administrateur impérial ne peut intervenir dans les différends purement vassaliques, seigneuriaux ou coutumiers ne mettant pas directement en cause l'autorité impériale, ses représentants, ses missions ou ses intérêts.
Tout abus de pouvoir, excès de compétence ou usage du statut à des fins personnelles engage la responsabilité de son auteur conformément aux Leges Imperiales.</t>
  </si>
  <si>
    <t>DÉCRET IMPÉRIAL RELATIF AUX SUCCESSIONS DES CHÂTELLERIES
PRÉAMBULE
Par l’autorité du Gouverneur impérial de Bordeciel, Maximus Tyrellius,
Sur avis de la Chancellerie impérial et garant de la légalité provinciale,
Vu les devoirs de fidélité, de coopération et d’obéissance imposés aux autorités nobiliaires de Bordeciel ;
Considérant que plusieurs successions récentes ont donné lieu à des contestations, des retards et des difficultés préjudiciables à l’ordre impérial ;
Considérant que les châtelleries ont déjà été invitées à établir des règles successorales claires, mais qu’aucune mesure suffisante n’a été adoptée ;
Considérant qu’il appartient dès lors à l’Empire d’imposer un cadre minimal garantissant la continuité de l’autorité dans chaque châtellerie ;
EST DÉCRÉTÉ CE QUI SUIT</t>
  </si>
  <si>
    <t>Obligation d’édiction</t>
  </si>
  <si>
    <t>Toute châtellerie de Bordeciel est tenue d’édicter des règles locales, écrites et claires, relatives à la succession du titre de Jarl et des charges qui en dépendent.
Ces règles devront respecter les coutumes propres à chaque châtellerie ainsi que les dispositions impériales applicables.</t>
  </si>
  <si>
    <t>Transmission à l’Empire</t>
  </si>
  <si>
    <t>Les règles successorales devront être transmises à la Chancellerie impériale afin d’être examinées, enregistrées et conservées au registre impérial.
Elles devront notamment prévoir les modalités de succession en cas de décès, d’abdication, d’empêchement ou de déchéance du Jarl en incluant également les modalités relatives à la régence.</t>
  </si>
  <si>
    <t>Délai impératif</t>
  </si>
  <si>
    <t>Les châtelleries disposent jusqu’au Fredas, 7e jour du Vifazur , en l’an 226 de la Quatrième Ère, pour édicter leurs règles successorales et les faire officiellement connaître à l’Empire.</t>
  </si>
  <si>
    <t>Défaut d’exécution</t>
  </si>
  <si>
    <t>Toute châtellerie qui, passé ce délai, n’aura pas satisfait aux obligations du présent décret sera placée en situation de manquement aux devoirs nobiliaires et de sédition, conformément aux dispositions applicables du Codex Penitus Imperialis et du Code de la noblesse sans préjudice des autres mesures applicables.
Fait au nom de l’Empire, pour la sécurité de Bordeciel et la préservation de l’ordre public.
Le 2e  jour du Vifazur , en l’an 226 de la Quatrième Ère
Cassian Varo, Chancelier Impérial de Bordeciel
Au service de l’Empire et de la Loi</t>
  </si>
  <si>
    <t>Décret impérial portant sur la création de la qualité de Chevalier de Bordeciel
Par l'autorité de l'Empereur de Tamriel,
Sous l'autorité du Gouverneur impérial de Bordeciel,
Conformément aux Leges Imperiales et au Code de la Noblesse de Bordeciel,
Considérant que :
considérant qu'il est opportun de reconnaître les sujets de l'Empire ayant démontré un mérite, une loyauté, un courage ou un dévouement particulier envers les institutions impériales ;
considérant que la chevalerie constitue une qualification honorifique personnelle fondée sur le mérite, le service et l'honneur ;
considérant que la qualité chevaleresque est indépendante de la naissance, de l'origine sociale ou du statut juridique de son titulaire ;
considérant que la chevalerie est compatible avec la condition roturière comme avec l'appartenance à la noblesse ;
considérant que la noblesse impériale est traditionnellement associée aux devoirs d'honneur, de service et de protection propres aux valeurs chevaleresques ;
considérant que tout noble possède de plein droit la qualité d'écuyer dès sa naissance ou dès son accession à la noblesse ;
considérant qu'un chevalier peut être élevé à la noblesse sans perdre sa qualité chevaleresque, laquelle demeure une distinction personnelle attachée à son mérite ;
considérant qu'il appartient à la Chancellerie impériale de garantir l'intégrité, la régularité et le prestige de l'institution chevaleresque ;
Le Gouvernorat impérial du IVe Empire de Cyrodiil en Bordeciel décrète ce qui suit :</t>
  </si>
  <si>
    <t>Création</t>
  </si>
  <si>
    <t>Il est créé la qualité de Chevalier de Bordeciel.
La chevalerie constitue une qualification honorifique personnelle accordée en reconnaissance des services rendus, de la loyauté, du mérite et de l'honneur de son titulaire.
Elle est indépendante de la naissance, de l'origine sociale ou du statut juridique de son titulaire et peut être conférée tant à un roturier qu'à un noble.
Elle ne constitue pas un titre nobiliaire et ne confère aucun droit, privilège ou prérogative attaché à la noblesse.</t>
  </si>
  <si>
    <t>Caractère personnel</t>
  </si>
  <si>
    <t>La qualité de chevalier est attachée à la personne de son titulaire.
Elle ne peut être transmise par succession, donation ou héritage.
Elle est exercée dans le respect des Leges Imperiales et des devoirs attachés à la chevalerie.</t>
  </si>
  <si>
    <t>De la qualité d'écuyer</t>
  </si>
  <si>
    <t>La qualité d'écuyer constitue la préparation traditionnelle à la chevalerie.
Elle est destinée à transmettre les devoirs, les valeurs et les usages de la chevalerie.</t>
  </si>
  <si>
    <t>Des nobles écuyers</t>
  </si>
  <si>
    <t>Tout noble dont la qualité est reconnue conformément au Code de la Noblesse de Bordeciel possède de plein droit la qualité d’écuyer dès la reconnaissance officielle de cette qualité ou dès son accession reconnue à la noblesse.
Cette qualité ne confère pas automatiquement celle de chevalier.</t>
  </si>
  <si>
    <t>Durée de l'écuyer</t>
  </si>
  <si>
    <t>Tout candidat non noble à la chevalerie conserve normalement la qualité d'écuyer pendant une durée minimale de deux (2) semaines.
Cette condition peut être levée lorsque les mérites, l'expérience ou les services du candidat le justifient.</t>
  </si>
  <si>
    <t>Conditions</t>
  </si>
  <si>
    <t>Peut être élevé à la chevalerie tout écuyer reconnu digne de cette distinction.
L'autorité procédant à l'adoubement apprécie notamment le mérite, la loyauté, l'honneur et les services rendus.</t>
  </si>
  <si>
    <t>Cérémonie d'adoubement</t>
  </si>
  <si>
    <t>L'adoubement est réalisé au cours d'une cérémonie publique.
Il constitue l'acte officiel par lequel l'écuyer reçoit la qualité de chevalier.
Tout adoubement est exclusivement fondé sur le mérite, l'honneur, la loyauté et les services rendus à l'Empire ou à une autorité reconnue.
Aucune contrepartie financière, matérielle ou avantage en nature ne peut être exigé, offert ou accepté en vue d'obtenir ou de conférer un adoubement.
Toute violation du présent article constitue un manquement grave aux devoirs chevaleresques et peut entraîner la déchéance du chevalier ayant participé à cette irrégularité, sans préjudice de la nullité de l'adoubement.
Tout adoubement est inscrit au registre officiel des Chevaliers de Bordeciel tenu par la Chancellerie impériale et ne produit pleinement ses effets juridiques qu’à compter de cette inscription.</t>
  </si>
  <si>
    <t>Pouvoir d'adoubement</t>
  </si>
  <si>
    <t>Tout chevalier peut procéder à un (1) adoubement par période de trente (30) jours.
Cette limitation ne s'applique pas aux autorités auxquelles les Leges Imperiales ou un décret impérial reconnaissent le pouvoir de conférer la chevalerie. Les droits de noblesse se cumulent selon la charge ou le titre détenu, notamment comme noble-chevalier, noble de fonction ou noble.
Le Grand Pontife peut conférer la qualité de chevalier ecclésiastique à toute personne combattant les forces daedriques ou occultes au sein d’un ordre militaire religieux reconnu. Ces adoubements, destinés à assurer la défense du Culte des Huit et de l’Empire, ne sont soumis à aucun quota ni à aucune limitation de nombre.
Toute autorité investie du pouvoir d'adoubement l'exerce avec discernement et exclusivement dans l'intérêt de l'Empire et de la chevalerie.</t>
  </si>
  <si>
    <t>Du chevalier</t>
  </si>
  <si>
    <t>Le chevalier est une personne titulaire de la qualité chevaleresque reconnue par l'Empire en raison de son mérite, de son honneur, de ses services ou de son engagement.
La qualité de chevalier est personnelle et ne confère aucune autorité publique, pouvoir administratif ou commandement militaire, sauf lorsqu'ils résultent d'une fonction distincte.
A défaut d’appartenir à une catégorie particulière tel qu’un chevalier au service d’un noble, un chevalier est enregistré comme un chevalier personnel.</t>
  </si>
  <si>
    <t>Du chevalier au service d'un noble</t>
  </si>
  <si>
    <t>Tout noble peut avoir un (1) chevalier à son service en élevant une personne à cette dignité lors d’un adoubement, sans être lui-même chevalier. Le noble peut rompre le lien avec le chevalier à son service qui demeure chevalier et adouber un nouvel écuyer après un délai de 30 jours.
Le chevalier ainsi attaché constitue un serviteur d’honneur ou un officier personnel reconnu pour son honneur, sa loyauté et sa qualité chevaleresque.
Cette fonction repose sur un lien de confiance et de service et ne confère aucun droit nobiliaire supplémentaire.</t>
  </si>
  <si>
    <t>Du chevalier d'un ordre</t>
  </si>
  <si>
    <t>Le chevalier peut appartenir à un ordre de chevalerie reconnu par l'Empire ou par une Châtellerie.
Cette appartenance demeure sans incidence sur la nature personnelle de la qualité chevaleresque.</t>
  </si>
  <si>
    <t>Du chevalier paladin</t>
  </si>
  <si>
    <t>Le chevalier paladin est une catégorie de chevalier ecclésiastique attachée au service du Culte des Huit et reconnue par l’Empire.
Le paladin exerce ses fonctions conformément aux lois impériales et aux devoirs qui lui sont imposés par le Culte des Huit. Sa qualité demeure personnelle et ne confère, à elle seule, aucune autorité publique, pouvoir administratif, pouvoir seigneurial ou commandement militaire, sauf lorsqu’ils résultent d’une fonction distincte ou d’une délégation expresse de l’autorité compétente.
Cette chevalerie constitue une chevalerie fonctionnelle permettant à son titulaire de porter le titre de chevalier dans l’exercice de ses fonctions. Elle ne confère pas le prédicat de « Sir » et ne constitue pas une chevalerie personnelle, sauf en cas d’adoubement régulier conformément aux lois impériales.
Les titulaires de cette chevalerie ne sont pas tenus d’être inscrits au registre de la chevalerie.</t>
  </si>
  <si>
    <t>Marques distinctives et prérogatives</t>
  </si>
  <si>
    <t>La qualité de chevalier est attestée par des marques chevaleresques officielles, codifiées et reconnues par la Chancellerie impériale.
Ces marques constituent les signes distinctifs réservés aux seuls chevaliers régulièrement inscrits au registre officiel des Chevaliers de Bordeciel.
Elles peuvent notamment comprendre un anneau, un collier, un sceau, une broche, un tabard, un manteau ou tout autre insigne adopté par l'autorité impériale.
Nul ne peut porter ou utiliser ces marques sans être titulaire de la qualité de chevalier.
Le chevalier peut porter le titre de Chevalier de Bordeciel, utiliser le prédicat honorifique « Sir », parrainer un écuyer, procéder à un adoubement, appartenir à un ordre reconnu et recevoir un fief chevaleresque conformément aux lois impériales.</t>
  </si>
  <si>
    <t>Valeur du témoignage</t>
  </si>
  <si>
    <t>En raison des devoirs d'honneur attachés à la chevalerie, la qualité de chevalier peut constituer un élément favorable dans l'appréciation de la crédibilité d'un témoignage.
Elle ne crée toutefois aucune présomption automatique de vérité et ne modifie pas les règles relatives à l'administration de la preuve prévues par le Corpus Proceduralis Imperialis.
L'appréciation de la valeur du témoignage demeure soumise au principe de liberté de la preuve et relève du magistrat compétent conformément aux règles impériales.</t>
  </si>
  <si>
    <t>Devoirs</t>
  </si>
  <si>
    <t>Le chevalier est tenu :
de respecter les Leges Imperiales ;
de servir loyalement l'autorité dont il relève ;
de préserver l'honneur attaché à la chevalerie ;
d'agir avec dignité, loyauté et exemplarité ;
de respecter les engagements liés à sa qualité.</t>
  </si>
  <si>
    <t>Contrôle des adoubements</t>
  </si>
  <si>
    <t>La Chancellerie impériale veille à la régularité des adoubements inscrits au registre officiel.
Tout adoubement obtenu ou conféré par fraude, corruption, contrepartie ou en violation du présent décret peut être déclaré nul.
La nullité entraîne la perte immédiate de la qualité de chevalier.</t>
  </si>
  <si>
    <t>La Chancellerie impériale est l'autorité compétente pour prononcer la déchéance ou l’annulation de la qualité de chevalier pour une irrégularité à l’adoubement ou pour un motif disciplinaire.
Toute nomination, annulation d’adoubement ou déchéance est inscrite au registre officiel des Chevaliers de Bordeciel.</t>
  </si>
  <si>
    <t>Registre officiel</t>
  </si>
  <si>
    <t>La Chancellerie impériale tient le registre officiel des Chevaliers de Bordeciel.
Toute nomination, annulation d'adoubement, retrait ou déchéance y est inscrite.</t>
  </si>
  <si>
    <t>Le présent décret entre en vigueur à compter de sa publication.
Signé et approuvé par Son Altesse, le gouverneur de Bordeciel Adiel Fulone.</t>
  </si>
  <si>
    <t>Décret impérial portant reconnaissance et encadrement des Ordres Militaires Religieux
DECRETUM IMPERIALE DE AGNITIONE ET MODERATIONE ORDINUM MILITARIUM RELIGIOSORUM
Nous, au nom du IVe Empire de Cyrodiil, du Trône Rubis et du Gouverneur Impérial de Bordeciel,
- Vu le Corpus Iuris Civilis ;
- Considérant la présence de nombreux ordres militaires religieux en Bordeciel ;
- Considérant la volonté de ces ordres d’obtenir un statut légal définissant clairement leurs compétences ;
- Considérant la nécessité de garantir l’indépendance des ordres religieux vis-à-vis du pouvoir temporel local ;
Décrétons ce qui suit :</t>
  </si>
  <si>
    <t>Définition des ordres militaires religieux</t>
  </si>
  <si>
    <t>1.1. Les ordres militaires religieux en Bordeciel sont des associations de fidèles reconnues par le Temple des Huit Divins de Solitude, ayant pour objet de combattre les menaces hérétiques et daedriques.
1.2. Ils se distinguent des ordres strictement sacerdotaux par leur caractère militaire, tout en demeurant placés sous l’autorité spirituelle et l’interprétation doctrinale du Temple.
1.2.1. Les Vigiles de Stendarr demeurent placés sous l’autorité spirituelle de leur Gardien (à l’échelle locale) et du Haut-Prêtre de Stendarr, siégeant traditionnellement en Cyrodiil. Leurs prérogatives sont régies par le Traité de Coopération entre l'Empire et les Vigiles de Stendarr et non par le présent décret.
1.3. L’Empire reconnaît un principe de tolérance à l’égard des cultes autres que ceux des Huit Divins, sous réserve du respect de l’ordre public impérial. La présente tolérance ne vaut pas, à elle seule, reconnaissance d’un ordre militaire religieux au sens du présent décret, laquelle demeure soumise aux conditions de l’article 4.</t>
  </si>
  <si>
    <t>Droits et prérogatives des ordres militaires religieux</t>
  </si>
  <si>
    <t>2.1. Les ordres militaires religieux disposent d’un droit d’enquête strictement limité aux menaces daedriques, vampiriques, nécromantiques, ainsi qu’à toute autre pratique occultiste formellement qualifiée d’hérétique par la Foi, lorsque des éléments sérieux et concordants laissent raisonnablement présumer l’existence d’une telle menace.
2.1.1. Toute enquête donne lieu à l’ouverture d’un dossier écrit (faits, motifs, actes accomplis, pièces recueillies), communicable à l’autorité impériale compétente sur simple demande.
2.1.2. Les personnes investies d’une autorité publique (Haut-Roi, légat, administrateurs, jarls et officiers assimilés) ne peuvent faire l’objet d’actes d’enquête coercitifs (perquisition, contrainte, saisie, arrestation) qu’en vertu d’une autorisation expresse de l’autorité impériale compétente.
2.2. Ils disposent d’un droit d’arrestation uniquement :
- en cas d’infraction flagrante au titre X du Corpus Iuris Civilis, intitulé « Du Culte » ; ou
- à la suite d’une enquête menée sur la base d’indices sérieux.
2.2.1. L’arrestation ne peut être fondée sur de simples suspicions, rumeurs ou dénonciations non corroborées.
2.2.2. Le présent droit peut être utilisé à la suite d’une enquête ayant réuni des preuves suffisantes et après information sans délai de l’autorité impériale compétente.
2.3. Ils peuvent procéder à une restriction de liberté d’une durée maximale de vingt-quatre (24) heures exclusivement aux fins de sûreté immédiate face à une menace surnaturelle plausible et actuelle, ou dans l’attente de la remise à l’autorité impériale compétente.
2.3.1. La restriction de liberté aux seules fins d’« interrogatoire » est prohibée ; l’interrogatoire ne peut intervenir que comme mesure accessoire à une arrestation ou à une détention régulière au sens du présent décret.
2.3.2. Toute personne retenue est informée des motifs de la mesure et consignée au registre prévu au point 2.1.1.
2.4. Ils peuvent saisir tout bien d’origine occulte, le détruire, ou l’étudier aux seules fins de lutte contre l’hérésie, sous réserve d’en inventorier la nature, l’origine alléguée et la destination, et d’en rendre compte à l’autorité impériale compétente, qui, de façon discrétionnaire, peut demander la restitution de l’artéfact.
2.5. Ils peuvent faire usage de la force lorsque celle-ci est nécessaire et proportionnée afin de garantir la sécurité, dans les limites précisées à l’article 6.</t>
  </si>
  <si>
    <t>Devoirs des ordres militaires religieux</t>
  </si>
  <si>
    <t>3.1. Les ordres militaires religieux respectent le droit impérial en vigueur, le droit local applicable, ainsi que les traités impériaux, notamment le Traité de l’Or blanc, et l’ensemble des traités et réglementations applicables.
3.2. Ils combattent l’hérésie, les menaces daedriques et le vampirisme, et protègent la vie contre les forces du mal et de l’obscurité.
3.3. Afin de garantir aux autorités judiciaires les éléments nécessaires à un jugement en toute connaissance de cause, les ordres militaires religieux s’engagent à rédiger un rapport à l’issue de toute arrestation ou interrogatoire.
3.4. Ils protègent le faible, l’innocent et la vie contre les menaces surnaturelles non encadrées, dans le respect de l’ordre public et sans se substituer aux autorités civiles et militaires.</t>
  </si>
  <si>
    <t>Reconnaissance des ordres militaires religieux</t>
  </si>
  <si>
    <t>4.1. Les ordres militaires religieux sont reconnus par l’autorité impériale compétente, selon les formes et conditions prévues par le droit impérial.</t>
  </si>
  <si>
    <t>Indépendance et limites d’intervention</t>
  </si>
  <si>
    <t>5.1. Nonobstant leur indépendance, aucun ordre militaire religieux ne peut intervenir à l’encontre d’une autorité locale sans autorisation expresse de l’Empire.
5.2. Les autorités locales ne peuvent, sous quelque forme que ce soit, vassaliser un ordre militaire religieux ni en exercer la direction, le commandement ou la tutelle militaire.
5.3. L’autorité impériale ne peut requérir l’intervention militaire d’un ordre militaire religieux qu’en présence d’une menace occulte avérée ou raisonnablement caractérisée ; à défaut, toute réquisition est nulle et réputée non écrite.</t>
  </si>
  <si>
    <t>Dispositions relatives aux pouvoirs</t>
  </si>
  <si>
    <t>6.1. Les pouvoirs et prérogatives des ordres militaires religieux s’exercent dans les limites du présent décret et, en tout état de cause, sous le contrôle de l’autorité impériale compétente.
6.2. Au sens du présent décret, l’usage de la force n’est nécessaire que s’il constitue le dernier moyen raisonnable pour prévenir un danger immédiat lié à une menace surnaturelle, et proportionné s’il est strictement adapté à la gravité du danger, recherchant en priorité la désescalade, la sommation et la capture plutôt que la mise à mort.
6.3. Ne saurait, à lui seul, justifier l’usage de la force le refus de coopérer, la fermeture de portes, l’expression d’une opposition politique ou l’exercice d’une prérogative d’autorité, sauf si des indices sérieux et concordants établissent un lien direct avec une menace surnaturelle.</t>
  </si>
  <si>
    <t>Intervention de l’autorité impériale</t>
  </si>
  <si>
    <t>7.1. L’autorité impériale se réserve le droit d’annuler toute arrestation ou enquête, ainsi que de se faire remettre tout prisonnier.
7.2. Au terme de la période de détention et, le cas échéant, de l’enquête, les prévenus accusés par un ordre militaire religieux sont traduits devant l’autorité impériale compétente. La sanction prononcée peut être exécutée par un membre de l’ordre, sur réquisition de ladite autorité.
7.3. L’autorité impériale est seule décisionnaire en matière de reconnaissance des ordres militaires religieux.
7.4. L’autorité impériale s’engage à intervenir militairement en cas de menace grave et sérieuse, afin de lutter contre les forces du mal et de garantir la sécurité dans la province de Bordeciel.</t>
  </si>
  <si>
    <t>Sanctions en cas d’inexécution</t>
  </si>
  <si>
    <t>8.1. Tout membre d’un ordre peut être poursuivi à titre individuel pour inexécution. Lorsque le manquement résulte d’un ordre ou d’une instruction d’un responsable, l’ordre lui-même peut être mis en accusation.
8.2. Un ordre peut faire l’objet d’une restriction de ses droits et prérogatives en cas d’abus.
8.3. Toute personne peut être exclue d’un ordre en cas de manquement grave au présent décret, aux lois, ou aux textes impériaux applicables.
8.4. Toute personne étrangère aux ordres militaires religieux, faisant l’objet de poursuites pour manquement au présent décret, peut être poursuivie par l’autorité impériale compétente et interpellée, le cas échéant, par la Légion ou par un ordre militaire religieux.
Fait au nom du IVe Empire de Cyrodiil, pour la paix, l’ordre et la prospérité de Bordeciel.</t>
  </si>
  <si>
    <t>DÉCRET
Régulation des équipements stratégiques Orsimer
PRÉAMBULE
La loi impériale n’a pas pour vocation de priver, mais d’ordonner ce qui est nécessaire à la pérennité commune. »  est une citation de l’érudit, juriste et fonctionnaire, Claritius Lovenus-Cravius, qui englobe l’esprit de ce décret.
Ledit décret relatif à la régulation des équipements stratégiques Orsimer, signée par le conseil des Anciens, entre en vigueur à compter de sa ratification, de la quatrième ère, applicable à l’ensemble des provinces appartenant à l’Empire</t>
  </si>
  <si>
    <t>Relatif à la compétence de l’administration impériale et des gouvernorats en matière de révision.</t>
  </si>
  <si>
    <t>Ledit décret est applicable à l’intégralité des provinces de l’Empire. Néanmoins, face aux spécificités provinciales. L’article premier de ce décret, offre compétence à la magistrature impériale de proposer mensuellement une modification de ce dernier, notamment en proposant une réévaluation de la liste des équipements Orsimer ciblés par le décret à son article III, ou encore même de procéder à une réévaluation de l’estimation de l’amende décrété à son article IV.</t>
  </si>
  <si>
    <t>Relatif au port, à la fabrication et au commerce des équipements Orsimers</t>
  </si>
  <si>
    <t>Le présent décret établit une distinction entre les armures Orsimers et les armes Orsimers.
Le port des pièces d'armure de facture Orsimer est soumis à l'accomplissement préalable des rites traditionnels auprès d'un clan Orsimer reconnu.
Cette obligation s'applique à toute personne, Orsimer ou non-Orsimer, souhaitant porter une pièce d'armure concernée par le présent décret. L'appartenance à la race Orsimer ou à un clan Orsimer ne dispense pas, à elle seule, de l'accomplissement des rites lorsque ceux-ci sont requis. L'accomplissement des rites est constaté par une attestation délivrée par le clan habilité, laquelle peut être présentée aux autorités impériales.
Le port d'une armure Orsimer sans accomplissement préalable des rites constitue un port irrégulier.
La fabrication, l’achat et la vente des armures Orsimers sont autorisés conformément aux dispositions du présent décret et aux lois impériales applicables.
Les armes de facture Orsimer, quant à elles, ne sont pas réservées aux Orsimers. Elles peuvent être achetées, vendues, possédées, portées et utilisées par toute personne, quelle que soit sa race ou son appartenance, sous réserve des lois générales relatives au port et à la détention des armes.</t>
  </si>
  <si>
    <t>Relatif aux équipements Orsimers soumis aux dispositions du présent décret</t>
  </si>
  <si>
    <t>Sont considérés comme équipements Orsimers au sens du présent décret les équipements dont la conception, la fabrication ou les caractéristiques sont traditionnellement ou manifestement rattachées aux traditions et à l'artisanat Orsimer.
Sont notamment concernés :
Les plastrons ;
Les casques ;
Les jambières ;
Les gantelets ;
Les boucliers ;
Les glaives ;
Les haches de guerre ;
Les marteaux de guerre ;
Les flèches ;
Tout équipement reconnu comme étant de facture Orsimer par l'administration compétente.
Toutefois, le présent décret distingue clairement les armures et équipements défensifs des armes Orsimers. Les armures et équipements défensifs Orsimers sont réservés au port des Orsimers.
Les armes Orsimers sont, quant à elles, accessibles à l'ensemble des populations de l'Empire, sous réserve du respect des lois générales concernant la possession, le port et l'utilisation des armes. Toute personne peut, sous réserve des lois impériales générales relatives aux armes : acquérir ; posséder ; porter ; utiliser ; fabriquer ; acheter ou vendre une arme Orsimer. Aucun rite, aucune appartenance à un clan Orsimer et aucune autorisation clanique ne peuvent être exigés pour l'accès aux armes Orsimers.
Les équipements purement décoratifs, cérémoniels ou artisanaux ne présentant aucune finalité militaire peuvent être exemptés des dispositions relatives au port des armures.</t>
  </si>
  <si>
    <t>Relatif aux sanctions concernant le port irrégulier d'une armure Orsimer et la fabrication irrégulière d'équipements</t>
  </si>
  <si>
    <t>Est considéré comme irrégulier le fait, pour un individu n'ayant pas accompli de rite auprès de clan orsimer reconnu, de porter une armure ou un équipement défensif Orsimer soumis aux dispositions du présent décret.
Est considéré comme une infraction au présent décret : le port d'une pièce d'armure Orsimer sans avoir accompli les rites requis ; la fabrication d'une pièce d'armure Orsimer sans habilitation ; la vente ou le commerce d'une pièce d'armure Orsimer sans habilitation ; la falsification ou l'utilisation frauduleuse d'une attestation rituelle.
L'armure concernée peut être saisie par les autorités compétentes conformément aux procédures impériales en vigueur.
La présente interdiction ne s'applique pas aux armes Orsimers. La possession, le port, l'achat, la vente ou l'utilisation d'une arme Orsimer  par un non-Orsimer ne constitue pas, en soi, une infraction au présent décret, sous réserve du respect des autres dispositions légales relatives aux armes.
Toute personne fabriquant illicitement des équipements soumis à une réglementation particulière ou présentant une fausse attestation, un faux document ou une autorisation falsifiée pourra être poursuivie conformément aux dispositions du Corpus Juris Civilis Imperialis et aux lois impériales applicables.</t>
  </si>
  <si>
    <t>Relatif aux conditions de port, la fabrication des équipements Orsimers</t>
  </si>
  <si>
    <t>L'appartenance à un clan Orsimer ne constitue donc ni une condition d'accès, ni une condition de reconnaissance du droit de porter une armure Orsimer, mais bien le rite et l’attestation reconnue par les autorités.
La fabrication d'armures et d'armes Orsimers est autorisée à toute personne disposant des compétences nécessaires et respectant les lois impériales applicables à l'artisanat, à la forge et au commerce. Aucune autorité clanique Orsimer ne peut exiger l'appartenance à un clan comme condition préalable à l'acquisition, au port ou à l'utilisation d'une arme Orsimer.</t>
  </si>
  <si>
    <t>Des clans Orsimers</t>
  </si>
  <si>
    <t>Tout clan Orsimer est, par le présent décret, officiellement naturellement reconnu comme tel, sous réserve de satisfaire conditions établies :
Un minimum de cinq individus de race Orsimer
Une culture commune, fondée sur les traditions, coutumes et valeurs propres aux Orsimers
Un chef ou représentant de clan reconnu, chargé de représenter officiellement le clan auprès des autres clans et autorités
Une volonté manifeste de constituer une communauté durable, et non un simple rassemblement temporaire d’individus.</t>
  </si>
  <si>
    <t>Relatif à l'entrée en vigueur du décret</t>
  </si>
  <si>
    <t>Le présent décret entre en vigueur à compter de sa ratification.
L’administration impériale de province et les châtelleries, sont tenus d'assurer l'application pleine et entière du présent décret dans leurs territoires respectifs.
Décret sur la régulation des équipements stratégiques Orsimer</t>
  </si>
  <si>
    <t>DÉCRET
Régulation des équipements stratégiques Dwemer
PRÉAMBULE
Considérant que les terres de Markarth et de la Crevasse constituent le cœur historique et culturel des peuples de culture crevassaise et dwemeri, et qu’elles recèlent de nombreux vestiges, ouvrages et équipements issus de la civilisation dwemeri.
Considérant que les équipements dwemer constituent un patrimoine d’une valeur historique, culturelle et technologique exceptionnelle. Considérant que l’utilisation, l’extraction, la modification, la détention ou la mise en circulation de tels équipements peut présenter des risques pour la sécurité des populations, des territoires et de l’autorité impériale.
Considérant enfin que la protection de ces équipements et des connaissances permettant leur fonctionnement relève tant de la préservation du patrimoine que de la sécurité des territoires relevant de l’autorité impériale.</t>
  </si>
  <si>
    <t>De la reconnaissance de Markarth et de la Crevasse</t>
  </si>
  <si>
    <t>L’Empire reconnaît la Châtellerie de la Crevasse, dont le siège est établi à Markarth, comme l’institution provinciale compétente en matière de fabrication de l’armement Dwemer sur l’ensemble du territoire de Bordeciel.
À ce titre, la Châtellerie de la Crevasse dispose d’une compétence particulière sur les armes et les armures dwemers, de  leur identification, leur et de leur fabrication prévues par le présent traité. Elle demeure également gardienne de l’héritage culturel, technique et du savoir-faire dwemeri de Bordeciel.
La Compagnie de l’Empire Orientale est reconnue comme l’intermédiaire commercial chargé, dans les conditions fixées par le présent traité, de la réception, de la gestion et de la revente des équipements dwemers saisis ou remis à l’autorité impériale, ainsi que de l’importation des lingots de métal dwemer destinés à être travaillés et commercialisés à Markarth.</t>
  </si>
  <si>
    <t>Relatif à la fabrication et au commerce des équipements Dwemers</t>
  </si>
  <si>
    <t>Le présent décret établit une distinction entre les armures Dwemers et les armes Dwemers.
Sont considérés comme équipements Dwemer au sens du présent décret les équipements dont la conception, la fabrication ou les caractéristiques
sont traditionnellement ou manifestement rattachées aux traditions et à l'artisanat Dwemer.
Sont notamment concernés :
Les plastrons ;
Les casques ;
Les jambières ;
Les gantelets ;
Les boucliers ;
Les glaives ;
Les haches de guerre ;
Les marteaux de guerre ;
Les flèches ;
Les arbalètes
Tout équipement reconnu comme étant de facture Dwemer par l'administration compétente.
L’autorité impériale provinciale est désignée comme l’administration compétente pour l’encadrement, la surveillance et la réglementation du commerce, de la vente, de l’achat, de la détention et de la fabrication des équipements Dwemer.
À ce titre, la Compagnie de l’Empire Orientale est habilitée à reconnaître la qualité d’équipement Dwemer d’un objet à en établir la classification et à tenir un registre des équipements ainsi identifiés.
L’autorité impériale provinciale veille à ce que la fabrication, la commercialisation et la circulation de ces équipements s’effectuent conformément aux dispositions du présent décret et aux autres règles applicables.</t>
  </si>
  <si>
    <t>Relatif au port des armures Dwemers</t>
  </si>
  <si>
    <t>Le port des équipements Dwemers, tels que définis à l’article 2 du présent décret, est réservé aux nobles et chevaliers de Markarth dans l’exercice de leurs fonctions ou dans le cadre des cérémonies, manifestations et usages officiels auxquels ils sont autorisés à participer.
Le présent article ne fait pas obstacle à la conservation, à l’exposition ou à l’étude d’équipements Dwemers par les institutions, musées, artisans ou particuliers dûment autorisés, sous réserve que ces équipements ne soient pas portés dans l’espace public sans l’autorisation prévue au présent article.</t>
  </si>
  <si>
    <t>Relatif au port des armes Dwemers</t>
  </si>
  <si>
    <t>Les personnes exerçant les fonctions de gardes de châtellenie, huscarls, thanes, jarls et légionnaires peuvent porter et utiliser les armes dwemers dans l’exercice de leurs fonctions. Cette autorisation ne constitue pas une nouvelle licence et ne peut être étendue à d’autres personnes ou usages.
Par exception, une épée dwemer peut être offerte gratuitement à une personne anoblie. Cette exception doit être motivée auprès de l’Empire
par l’autorité délivrant l’épée. l’Empire valide ou non le don. Dans le cas où le don est validé,  l’autorité ayant délivré le don doit alors informer la châtellerie de la Crevasse afin que le registre puisse être mis à jour.</t>
  </si>
  <si>
    <t>Relatif aux sanctions concernant le port irrégulier d'une armure Dwemer et la fabrication irrégulière d'équipements</t>
  </si>
  <si>
    <t>Les châtelleries sont responsables de contrôler la contrebande d’équipements dwemers sur leur territoire. Toute saisie est inventoriée et remise à la Compagnie Orientale dans un délai raisonnable. La Compagnie Orientale assure la revente des biens saisis et reverse cinquante pour cent (50 %) du produit de leur vente à la châtellenie sur le territoire de laquelle la saisie a été effectuée.
Il est formellement interdit de faire fondre les artefacts, reliques, ustensiles et tout autre produit dwemer afin d'en faire des lingots. La Compagnie Orientale détient seule le droit d’importer des lingots Dwemer.
Il est permis aux autorités compétentes de contrôler la provenance des équipements détenus par toute personne afin de déterminer s’ils ont été légalement acquis auprès d’une forge de Markarth, d’un ancien détenteur de licence ou dans le cadre d’une exception prévue au présent traité. Toute personne trouvant du dwemer doit le remettre à la Compagnie Orientale contre juste rétribution.
Toute forge de Markarth autorisée à vendre des armes dwemers doit tenir un registre des ventes et des acquéreurs.
Lorsqu’un revendeur n’a pas tenu ce registre, l’acquéreur ne peut être tenu responsable du seul fait de l’absence d’inscription, sauf preuve contraire.
La forge qui omet volontairement de tenir ce registre peut être poursuivie pour recel aggravé, conformément à l’article 7 du Corpus Juriscivilis Imperialis.
Les autorités locales contrôlent la contrebande sur leur territoire et transmettent les procédures relatives aux violations du présent traité à la Chancellerie Impériale. Tous les procès concernant les violations du présent traité ou le recel du Dwemer se tiennent à Markarth et sont des procès impériaux.
Toute violation du présent traité peut entraîner la confiscation immédiate des équipements dwemers concernés. Les châtelleries qui refusent de contrôler la contrebande, de remettre les saisies ou de coopérer avec la Compagnie Orientale sont sanctionnées conformément à l’article 19 du Codex Penitus Imperialis, sans préjudice de toute autre qualification applicable.</t>
  </si>
  <si>
    <t>Le présent décret entre en vigueur à compter de sa ratification.
Aucune nouvelle licence relative aux équipements dwemers ne peut être demandée, délivrée, renouvelée ou créée sous quelque forme que ce soit. Les seules licences reconnues sont les anciennes licences déjà détenues.
Le registre impérial des anciennes licences demeure la propriété de l’Empire. Il conserve l’identité des anciens titulaires et les droits qui leur demeurent acquis conformément à l’article. Aucune nouvelle inscription ne peut y être créée.
L’administration impériale de province et les châtelleries, sont tenus d'assurer l'application pleine et entière du présent décret dans leurs territoires respectifs.
Décret sur la régulation des équipements stratégiques Dwemer</t>
  </si>
  <si>
    <t>DÉCRET IMPÉRIAL RELATIF AUX ARMES ÉTHÉRÉES
PRÉAMBULE
Par l’autorité du Gouverneur impérial de Bordeciel, Maximus Tyrellius,
Sur avis de la Chancellerie impérial et garant de la légalité provinciale,
Considérant les troubles récents affectant l’ordre public et l’équilibre économique de la province de Bordeciel ;
Considérant l’apparition et la circulation d’armes dites éthérées, dont l’origine, la nature et les procédés de fabrication demeurent à ce jour inconnus des autorités impériales ;
Considérant les risques graves que ces artefacts représentent pour la sécurité publique, ainsi que les soupçons légitimes quant à leur possible lien avec des pratiques prohibées, notamment la nécromancie ou toute forme d’art occulte ;
Considérant enfin les perturbations engendrées sur le marché des armes, favorisant spéculation, fraude et désordre économique ;
IL EST DÉCRÉTÉ CE QUI SUIT</t>
  </si>
  <si>
    <t>Définition</t>
  </si>
  <si>
    <t>Sont qualifiées d’armes éthérées toutes armes présentant des propriétés anormales, immatérielles, instables ou ne relevant d’aucun savoir artisanal reconnu par les guildes impériales ou les traditions établies.</t>
  </si>
  <si>
    <t>Interdiction générale</t>
  </si>
  <si>
    <t>La fabrication, la détention, le port, l’échange, la vente ou toute forme de transmission d’armes éthérées sont strictement interdits sur l’ensemble du territoire de Bordeciel.</t>
  </si>
  <si>
    <t>Obligation de remise</t>
  </si>
  <si>
    <t>Toute personne en possession d’une arme éthérée est tenue de la remettre sans délai aux autorités impériales compétentes, à savoir la Légion impériale ou tout représentant dûment mandaté du Gouvernement. Un délai de grâce de régularisation de jours est accordé à compter de la promulgation du présent décret, à l’issue duquel toute détention sera réputée illégale.</t>
  </si>
  <si>
    <t>Qualification pénale</t>
  </si>
  <si>
    <t>Toute infraction au présent décret sera considérée comme relevant des atteintes à l’ordre impérial et pourra être requalifiée, selon les éléments constatés, en pratique occulte ou nécromantique au sens de l’Article 61 du Corpus Iuris Civilis. En conséquence, les contrevenants s’exposent aux sanctions les plus sévères prévues par les lois impériales, incluant la saisie des biens et la peine capitale.</t>
  </si>
  <si>
    <t>Saisies et enquêtes</t>
  </si>
  <si>
    <t>La Légion impériale est autorisée à procéder à toute inspection, saisie et enquête nécessaire afin d’identifier l’origine, la nature et les réseaux de diffusion de ces armes. Toute entrave à ces opérations constitue une infraction distincte.</t>
  </si>
  <si>
    <t>Primauté impériale</t>
  </si>
  <si>
    <t>Le présent décret prévaut sur toute coutume locale, privilège ou disposition seigneuriale contraire. Il entre en vigueur immédiatement dès sa proclamation.
Fait au nom de l’Empire, pour la sécurité de Bordeciel et la préservation de l’ordre public.
Le 27e jour de Mi-l’an, en l’an 226 de la Quatrième Ère
Cassian Varo, Chancelier Impérial de Bordeciel
Au service de l’Empire et de la Loi</t>
  </si>
  <si>
    <t>DECRETUM DE RESTITUTIONE BONORUM IMPERII
« Un citoyen honnête restitue les biens de l’Empire par devoir ; un citoyen sage les restitue avant que la Légion ne recompte les catapultes. » -  Sixtus Avertium, commentaires sur le décret durant sa rédaction.
Préambule
Considérant que tout bien forgé, acquis, fourni, transporté, enregistré ou marqué au sceau de la Légion Impériale constitue propriété inaliénable de l’Empire,
Considérant que nul particulier, marchand, soldat déchu, héritier ou acquéreur ne peut se prévaloir d’un droit supérieur à celui de l’Empire sur ses biens,
Le présent décret établit les règles de réquisition, de restitution et de poursuite applicables aux possessions impériales détenues par des tiers.</t>
  </si>
  <si>
    <t>La nature des biens impériaux</t>
  </si>
  <si>
    <t>Sont reconnus comme biens impériaux :
les armes, armures, montures et fournitures portant le sceau de la Légion,
les documents, ordres, registres et correspondances militaires,
les marchandises destinées à l’approvisionnement des garnisons,
tout objet identifié par les intendants, légats ou magistrats comme relevant du domaine impérial.
Ces biens demeurent propriété de l’Empire, indépendamment des circonstances de leur circulation.</t>
  </si>
  <si>
    <t>De la réquisition automatique</t>
  </si>
  <si>
    <t>Tout bien impérial retrouvé en possession d’un particulier, même acquis par transaction reconnue comme légale au regard des usages civils, est immédiatement réquisitionné au profit de l’Empire.
Aucune compensation n’est due lorsque le détenteur ne peut démontrer la bonne foi absolue de son acquisition devant un magistrat impérial.
La réquisition peut être exécutée :
par les légionnaires mandatés,
par les officiers judiciaires impériaux,
ou par tout représentant détenteur d’un mandat scellé.</t>
  </si>
  <si>
    <t>De l’acquisition illégale</t>
  </si>
  <si>
    <t>Toute obtention frauduleuse, pillage, détournement, trafic ou appropriation illicite d’un bien impérial constitue un vol aggravé contre l’Empire, conformément à l’Article 19-1 du Corpus Iuris Civilis.
Cette qualification demeure applicable :
même en temps de guerre,
même en cas d’abandon apparent du matériel,
même lorsqu’un intermédiaire civil est intervenu dans la transaction.</t>
  </si>
  <si>
    <t>Du refus de restitution</t>
  </si>
  <si>
    <t>Tout refus de remettre un bien impérial après sommation officielle constitue :
un acte de recel, au sens de l’Article 20 du Corpus Iuris Civilis ,
une violation de la propriété impériale, au sens de l’Article 22.
Le refus peut être tacite ou manifeste, notamment par :
la dissimulation du bien,
la fuite,
la destruction volontaire,
ou l’usage de mercenaires, gardes ou complices afin d’empêcher la saisie.</t>
  </si>
  <si>
    <t>Des poursuites complémentaires</t>
  </si>
  <si>
    <t>Selon la gravité des faits, les juges impériaux peuvent retenir toute autre qualification prévue par le Corpus Iuris Civilis.
Les peines peuvent inclure :
confiscation totale des biens,
emprisonnement,
travaux forcés,
enrôlement pénal,
ou exécution, lorsque les intérêts de l’Empire sont menacés.</t>
  </si>
  <si>
    <t>De l’autorité du décret</t>
  </si>
  <si>
    <t>Le présent décret possède force impériale sur l’ensemble des territoires administrés ou protégés par l’Empire.
Toute juridiction locale, jarl, gouverneur ou autorité civile est tenue de coopérer avec la Légion dans l’exécution des réquisitions prévues par le présent texte.
Le refus d’assistance sera considéré comme obstruction à l’autorité impériale.</t>
  </si>
  <si>
    <t>DÉCRET
Régulation des recherches archéologiques, à la découverte et conservation d’artefacts, à l’archivage des documents historiques de Bordeciel et Cyrodiil
PRÉAMBULE
Considérant que les terres de Bordeciel et Cyrodiil recèlent des vestiges d’une valeur historique, culturelle inestimable ;
Considérant que la découverte d’artefacts anciens, de ruines, de manuscrits et de documents historiques constitue un patrimoine dont la préservation relève de l’intérêt de l’Empire ;
Considérant la nécessité d’encadrer les recherches archéologiques afin de prévenir la destruction, la disparition, le commerce illicite ou l’appropriation indue des découvertes effectuées sur les territoires relevant de l’autorité impériale ;
Le présent décret, relatif à la régulation des recherches archéologiques, à la découverte et à la conservation des artefacts, ainsi qu’à l’archivage des documents historiques de Bordeciel et Cyrodiil, est adopté par le Conseil des Anciens et entre en vigueur dès sa ratification.
Il est applicable à l’ensemble des territoires de Bordeciel placés sous l’autorité et la juridiction de l’Empire, sans préjudice des prérogatives reconnues aux autorités locales.</t>
  </si>
  <si>
    <t>De la reconnaissance</t>
  </si>
  <si>
    <t>L’Empire reconnaît les Grandes Archives de Bordeciel dont le siège est établi à Vendeaume, dans le “Hall des reliques” et la “Bibliothèque Thormund”, comme l’institution provinciale compétente en matière de recherche, de régulation, d’enregistrement et de conservation du patrimoine archéologique nordique sur l’ensemble du territoire de Bordeciel.
À ce titre, les Grandes Archives disposent d’une compétence particulière sur les sites, vestiges, artefacts, inscriptions, sépultures et documents relevant de la civilisation nordique, ainsi que sur l’étude et la conservation de l’histoire ancienne des peuples de Bordeciel. Elles constituent l’autorité de référence pour l’encadrement des recherches archéologiques portant sur le patrimoine nordique, la déclaration des découvertes et la conservation des archives qui s’y rapportent.
L’Empire reconnaît également l’Institut des Sciences Dwemer dont le siège est établi à Markarth, dans le  “musée Dwemer”, comme l’institution de référence pour l’étude, l’identification, la conservation et la valorisation du patrimoine dwemer présent ou découvert sur le territoire de Bordeciel.
À ce titre, l’Institut des Sciences Dwemer dispose d’une compétence particulière concernant les ruines, artefacts, machines, inscriptions, ouvrages et autres vestiges issus de la civilisation dwemer, notamment pour leur étude historique, leur classification et leur conservation.
L’Empire reconnaît, enfin, l’antenne du Synode basée à Bruma dont le siège est établi à Bruma, dans les locaux du Synode, comme l’institution de référence pour l’étude, l’identification, la conservation et la valorisation du patrimoine ayléide et akavirois présent ou découvert sur le territoire de Cyrodiil.
À ce titre, le Synode de Bruma dispose d’une compétence particulière concernant les ruines, artefacts, inscriptions, ouvrages et autres vestiges issus des civilisations ayléides et akaviroises.
Les trois institutions exercent leurs compétences dans leurs domaines respectifs et peuvent être amenées à coopérer lors de découvertes présentant un intérêt commun, notamment lorsqu’un site ou un artefact comporte à la fois des éléments nordiques, dwemers, ayléides et akavirois.
Aucune autre institution civile ou locale ne pourra se prévaloir d’une compétence équivalente dans ces domaines sans autorisation expresse
de l’autorité impériale compétente (Synode ou Collège des Murmures de la Cité impériale), ou sans accord avec l’institution reconnue compétente pour le patrimoine concerné.</t>
  </si>
  <si>
    <t>Du statut inaliénable des sites archéologiques</t>
  </si>
  <si>
    <t>Les ruines anciennes, tombes, cryptes, sanctuaires, temples, sites funéraires, lieux de culte abandonnés et autres vestiges présentant un intérêt historique ou archéologique sont réputés relever du patrimoine commun de Bordeciel et Cyrodiil et ne peuvent, en aucun cas, faire l’objet d’une appropriation ou d’une privatisation à titre personnel.
Nul seigneur, propriétaire foncier, marchand, compagnie, guilde, ordre religieux ou institution privée ne pourra revendiquer la propriété exclusive d’un tel site en raison de sa découverte, de sa localisation sur ses terres ou de son exploitation antérieure.
Toutefois, la conservation et l’usage de ces sites demeurent compatibles avec la pratique des rites nordiques et cyrodiiliens traditionnels, lorsque ceux-ci sont accomplis dans le respect du caractère historique, funéraire ou sacré des lieux. La participation à ces rites, ainsi que leur célébration selon les usages nordiques et impériaux reconnus, ne saurait être considérée comme une appropriation, une privatisation ou un droit de propriété sur le site concerné. De même, le passage, la circulation, la chasse et, plus généralement, l’exercice des usages traditionnels autorisés sur ledit site ne sauraient être considérés comme une violation du présent décret, sous réserve du respect des dispositions légales et réglementaires applicables.</t>
  </si>
  <si>
    <t>Des autorisations de recherche</t>
  </si>
  <si>
    <t>Toute expédition, fouille, exploration de ruines, étude de sépultures anciennes ou recherche visant à mettre au jour des artefacts historiques sur le territoire de Bordeciel devra faire l’objet d’une déclaration auprès des Grandes Archives de Bordeciel pour la recherche nordique et l’Institut des Sciences Dwemer pour la recherche dwemer, et sur le territoire de Cyrodiil auprès du Synode de Bruma pour la recherche ayléide et akaviroise.
Les Grandes Archives, L’Institut des Sciences Dwemer et le Synode de Bruma sont habilités à délivrer, suspendre ou retirer les autorisations nécessaires à ces recherches, dans le respect des lois impériales et des dispositions du présent décret.
Toute recherche menée sans autorisation pourra être considérée comme une fouille clandestine et entraîner la saisie des découvertes ainsi que les sanctions prévues par la législation impériale.
Les autorités locales concernés sont tenues d’assurer la protection des sites présentant un intérêt historique ou archéologique, notamment contre toute dégradation, pillage ou fouille non autorisée. Lorsqu’un tel site est découvert ou qu’une activité susceptible d’en affecter l’intégrité est constatée, les autorités locales devront en informer sans délai les Grandes Archives de Bordeciel, l’Institut des Sciences Dwemer ou le Synode de Bruma, selon la nature du site, afin de permettre son évaluation et, le cas échéant, la mise en place des mesures de protection appropriées.</t>
  </si>
  <si>
    <t>De la déclaration des découvertes</t>
  </si>
  <si>
    <t>Tout artefact, manuscrit, inscription, relique, objet funéraire ou document présentant un intérêt historique, archéologique, culturel découvert dans le cadre d’une recherche devra être déclaré aux Grandes Archives de Bordeciel, à L’Institut des Sciences Dwemer ou au Synode de Bruma dans les délais fixés par ceux-ci. Nul chercheur, aventurier ou institution ne pourra dissimuler, détruire, altérer ou soustraire volontairement une découverte présentant un intérêt reconnu pour le patrimoine de Bordeciel ou de l’Empire.
Les modalités de conservation, d’étude, de restitution ou de transfert des découvertes seront déterminées par les Grandes Archives à L’Institut des Sciences Dwemer ou au Synode de Bruma, sous réserve des prérogatives impériales définies au présent décret.</t>
  </si>
  <si>
    <t>Du registre provincial des recherches</t>
  </si>
  <si>
    <t>Les Grandes Archives de Bordeciel, L’Institut des Sciences Dwemer et le Synode de Bruma devront; chacun, tenir un Registre Impérial des Recherches Archéologiques, recensant notamment :
Les autorisations délivrées ;
L’identité des personnes ou institutions chargées des recherches ;
La localisation des sites explorés ;
La nature et l’objet des recherches entreprises ;
Les artefacts, documents et vestiges découverts ;
Leur état de conservation et leur lieu de dépôt ;
Les éventuelles expertises ou études réalisées ;
Les transferts, prêts, restitutions ou destructions autorisés.
Ce registre devra être tenu de manière permanente et conservé dans les archives de la province.</t>
  </si>
  <si>
    <t>De la transmission aux autorités impériales</t>
  </si>
  <si>
    <t>Sont entendus comme autorités impériales compétentes, aux fins du présent décret, les représentants dûment mandatés du Synode de la Cité impériale (et non son antenne à Bruma) et du Collège des Murmures de la Cité Impériale. Seuls leurs représentants sont habilités à superviser et juger les dispositions du présent décret, en leur qualité d’institution impériale.
Les Grandes Archives de Bordeciel, l’Institut des Sciences Dwemer et le Synode de Bruma transmettront périodiquement à l’administration impériale un relevé des recherches autorisées, des découvertes effectuées et des mouvements d’artefacts ou de documents considérés comme d’intérêt impérial.
Un exemplaire des registres et rapports pourra être exigé à tout moment par les représentants dûment mandatés de l’Empire, y compris du Gouvernorat de Bordeciel.
Les autorités impériales compétentes (Synode de la Cité impériale et Collège des Murmures de la Cité impériale) pourront demander communication de toute pièce, archive, expertise ou information relative à une découverte particulière lorsque celle-ci présente un intérêt pour la sécurité, l’histoire ou le patrimoine de l’Empire.</t>
  </si>
  <si>
    <t>De la coopération institutionnelle</t>
  </si>
  <si>
    <t>Les Grandes Archives de Bordeciel, L’Institut des Sciences Dwemer, le Synode de Bruma, le Collège des Murmures de la Cité Impériale, le Synode de la Cité Impériale et le Collège Impérial sont encouragés à coopérer dans l’étude, la conservation et la compréhension du patrimoine ancien de Bordeciel et de Cyrodiil.
Lorsque la nature d’une découverte relève simultanément de plusieurs domaines de compétence, les institutions concernées devront privilégier la concertation et l’échange d’informations ou de financement. En cas de désaccord entre les institutions, la décision finale pourra être portée devant l’autorité impériale compétente.</t>
  </si>
  <si>
    <t>Des artefacts présentant un danger</t>
  </si>
  <si>
    <t>Tout objet dont l’étude révèle une propriété magique, daedrique, nécromantique ou autrement dangereuse devra être immédiatement signalé aux Grandes Archives,  à L’Institut des Sciences Dwemer ou au Synode de Bruma.
Celles-ci pourront ordonner sa mise sous scellés et devront en informer sans délai les autorités impériales compétentes (Synode de la Cité impériale ou Collège des Murmures de la Cité impériale). Nul ne pourra entreprendre seul l’activation, l’utilisation ou l’expérimentation d’un tel artefact.</t>
  </si>
  <si>
    <t>De la primauté du droit impérial</t>
  </si>
  <si>
    <t>Les prérogatives reconnues aux Grandes Archives de Bordeciel, à L’Institut des Sciences Dwemer et au Synode de Bruma par le présent décret s’exercent dans le respect des lois impériales.
En cas de conflit entre une disposition prise par les Grandes Archives, l'Institut des Sciences Dwemer et le Synode de Bruma, avec une loi, une ordonnance ou une décision impériale de rang supérieur, celles-ci prévaudront.</t>
  </si>
  <si>
    <t>Dispositions transitoires et découvertes fortuites</t>
  </si>
  <si>
    <t>Les collections, fonds, archives et ensembles d’objets anciens constitués antérieurement à l’entrée en vigueur du présent décret demeurent reconnus comme tels et ne sauraient être considérés comme constitués en violation de celui-ci. Ils sont toutefois soumis, à compter de l’entrée en vigueur du présent décret, aux dispositions relatives à leur conservation, leur inventaire et leur consultation.
Les recherches, fouilles, explorations ou travaux portant sur des objets anciens qui ont été régulièrement autorisés par une autorité locale avant l’entrée en vigueur du présent décret peuvent être poursuivis sous réserve de leur conformité aux dispositions du présent décret et de leur déclaration auprès des Grandes Archives de Bordeciel, auprès de l’Institut des Sciences Dwemer ou auprès du Synode de Bruma, selon la nature de l’objet. Les autorisations ainsi délivrées demeurent valables jusqu’à leur terme, sauf décision contraire des Grandes Archives de
Bordeciel, de l’Institut des Sciences Dwemer ou du Synode de Bruma, ou suite au constat d’une infraction aux nouvelles dispositions.
Les expéditions, missions d’exploration ou entreprises de recherche en cours au moment de la ratification du présent décret peuvent être menées à leur terme, sous réserve qu’elles se conforment dès son entrée en vigueur aux obligations imposées par le présent décret et qu’elles déclarent aux Grandes Archives, à l’Institut des Sciences Dwemer ou au Synode de Bruma, tout objet ancien découvert ou détenu dans le cadre de ces opérations.
Toute personne qui découvre fortuitement un objet ancien, sans avoir entrepris de recherches ou de fouilles à cette fin, est tenue d’en préserver l’intégrité et d’en informer les Grandes Archives, l’Institut des Sciences Dwemer ou le Synode de Bruma dans les meilleurs délais. Elle ne peut disposer librement de l’objet découvert, le vendre, le céder, le détruire ou en dissimuler l’existence avant que lesdites institutions n’aient procédé à son identification et statué sur son classement et sa conservation.
Toute autorité locale constatant ou ayant connaissance d’une infraction au présent décret est tenue d’en informer sans délai les Grandes Archives, l’Institut des Sciences Dwemer ou le Synode de Bruma et de prendre les mesures nécessaires afin de préserver les objets, sites ou documents concernés jusqu’à leur prise en charge par l’autorité compétente.</t>
  </si>
  <si>
    <t>De l’entrée en vigueur</t>
  </si>
  <si>
    <t>Le présent décret entrera en vigueur dès sa ratification par le Conseil des Anciens, et sera immédiatement applicable à l’ensemble des territoires de Bordeciel et de Cyrodiil relevant de l’autorité impériale.
Toute disposition locale contraire au présent décret sera réputée caduque à compter de son entrée en vigueur.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</si>
</sst>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Septimes ]#,##0.00"/>
    <numFmt numFmtId="166" formatCode="dd/mm/yyyy"/>
    <numFmt numFmtId="167" formatCode="0 &quot;septims&quot;"/>
    <numFmt numFmtId="168" formatCode="mmmm&quot; &quot;yyyy"/>
    <numFmt numFmtId="169" formatCode="0.#### &quot;h&quot;"/>
    <numFmt numFmtId="170" formatCode="dd/MM/yyyy HH:mm"/>
    <numFmt numFmtId="171" formatCode="d-m"/>
  </numFmts>
  <fonts count="15">
    <font>
      <sz val="10.0"/>
      <color rgb="FF000000"/>
      <name val="Arial"/>
      <scheme val="minor"/>
    </font>
    <font>
      <b/>
      <color theme="1"/>
      <name val="Arial"/>
      <scheme val="minor"/>
    </font>
    <font>
      <color theme="1"/>
      <name val="Arial"/>
      <scheme val="minor"/>
    </font>
    <font>
      <b/>
      <sz val="10.0"/>
      <color theme="1"/>
      <name val="Arial"/>
      <scheme val="minor"/>
    </font>
    <font>
      <sz val="10.0"/>
      <color theme="1"/>
      <name val="Arial"/>
      <scheme val="minor"/>
    </font>
    <font>
      <color theme="1"/>
      <name val="Arial"/>
    </font>
    <font>
      <sz val="10.0"/>
      <color theme="1"/>
      <name val="&quot;gg sans&quot;"/>
    </font>
    <font>
      <b/>
      <sz val="12.0"/>
      <color rgb="FFFF0000"/>
      <name val="Arial"/>
    </font>
    <font>
      <b/>
      <color theme="1"/>
      <name val="Arial"/>
    </font>
    <font>
      <sz val="10.0"/>
      <color theme="1"/>
      <name val="Arial"/>
    </font>
    <font>
      <b/>
      <sz val="11.0"/>
      <color rgb="FFFFFFFF"/>
      <name val="Arial"/>
      <scheme val="minor"/>
    </font>
    <font>
      <b/>
      <color rgb="FFFFFFFF"/>
      <name val="Arial"/>
      <scheme val="minor"/>
    </font>
    <font>
      <sz val="12.0"/>
      <color theme="1"/>
      <name val="&quot;gg sans&quot;"/>
    </font>
    <font>
      <color rgb="FFFFFFFF"/>
      <name val="Arial"/>
      <scheme val="minor"/>
    </font>
    <font>
      <u/>
      <color rgb="FF0000FF"/>
    </font>
  </fonts>
  <fills count="18">
    <fill>
      <patternFill patternType="none"/>
    </fill>
    <fill>
      <patternFill patternType="lightGray"/>
    </fill>
    <fill>
      <patternFill patternType="solid">
        <fgColor theme="6"/>
        <bgColor theme="6"/>
      </patternFill>
    </fill>
    <fill>
      <patternFill patternType="solid">
        <fgColor rgb="FFF4CCCC"/>
        <bgColor rgb="FFF4CCCC"/>
      </patternFill>
    </fill>
    <fill>
      <patternFill patternType="solid">
        <fgColor rgb="FFD9D9D9"/>
        <bgColor rgb="FFD9D9D9"/>
      </patternFill>
    </fill>
    <fill>
      <patternFill patternType="solid">
        <fgColor theme="8"/>
        <bgColor theme="8"/>
      </patternFill>
    </fill>
    <fill>
      <patternFill patternType="solid">
        <fgColor rgb="FFFFF2CC"/>
        <bgColor rgb="FFFFF2CC"/>
      </patternFill>
    </fill>
    <fill>
      <patternFill patternType="solid">
        <fgColor rgb="FF990000"/>
        <bgColor rgb="FF990000"/>
      </patternFill>
    </fill>
    <fill>
      <patternFill patternType="solid">
        <fgColor rgb="FFCC0000"/>
        <bgColor rgb="FFCC0000"/>
      </patternFill>
    </fill>
    <fill>
      <patternFill patternType="solid">
        <fgColor rgb="FFFF0000"/>
        <bgColor rgb="FFFF0000"/>
      </patternFill>
    </fill>
    <fill>
      <patternFill patternType="solid">
        <fgColor rgb="FF38761D"/>
        <bgColor rgb="FF38761D"/>
      </patternFill>
    </fill>
    <fill>
      <patternFill patternType="solid">
        <fgColor rgb="FF6AA84F"/>
        <bgColor rgb="FF6AA84F"/>
      </patternFill>
    </fill>
    <fill>
      <patternFill patternType="solid">
        <fgColor rgb="FF3C78D8"/>
        <bgColor rgb="FF3C78D8"/>
      </patternFill>
    </fill>
    <fill>
      <patternFill patternType="solid">
        <fgColor rgb="FF6D9EEB"/>
        <bgColor rgb="FF6D9EEB"/>
      </patternFill>
    </fill>
    <fill>
      <patternFill patternType="solid">
        <fgColor rgb="FF45818E"/>
        <bgColor rgb="FF45818E"/>
      </patternFill>
    </fill>
    <fill>
      <patternFill patternType="solid">
        <fgColor rgb="FF76A5AF"/>
        <bgColor rgb="FF76A5AF"/>
      </patternFill>
    </fill>
    <fill>
      <patternFill patternType="solid">
        <fgColor rgb="FF6FA8DC"/>
        <bgColor rgb="FF6FA8DC"/>
      </patternFill>
    </fill>
    <fill>
      <patternFill patternType="solid">
        <fgColor rgb="FF9FC5E8"/>
        <bgColor rgb="FF9FC5E8"/>
      </patternFill>
    </fill>
  </fills>
  <borders count="4">
    <border/>
    <border>
      <bottom style="dotted">
        <color rgb="FF000000"/>
      </bottom>
    </border>
    <border>
      <left style="thin">
        <color rgb="FF000000"/>
      </left>
      <right style="thin">
        <color rgb="FF000000"/>
      </right>
      <top style="thin">
        <color rgb="FF000000"/>
      </top>
      <bottom style="thin">
        <color rgb="FF000000"/>
      </bottom>
    </border>
    <border>
      <bottom style="medium">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2" numFmtId="49" xfId="0" applyAlignment="1" applyFont="1" applyNumberFormat="1">
      <alignment readingOrder="0"/>
    </xf>
    <xf borderId="0" fillId="0" fontId="2" numFmtId="1"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2" numFmtId="49" xfId="0" applyFont="1" applyNumberFormat="1"/>
    <xf borderId="0" fillId="2" fontId="1" numFmtId="0" xfId="0" applyAlignment="1" applyFill="1" applyFont="1">
      <alignment horizontal="center"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4" numFmtId="0" xfId="0" applyAlignment="1" applyFont="1">
      <alignment horizontal="center" readingOrder="0"/>
    </xf>
    <xf borderId="0" fillId="2" fontId="1" numFmtId="0" xfId="0" applyAlignment="1" applyFill="1" applyFont="1">
      <alignment horizontal="left"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2" numFmtId="0" xfId="0" applyAlignment="1" applyFont="1">
      <alignment horizontal="center"/>
    </xf>
    <xf borderId="0" fillId="2" fontId="1" numFmtId="165" xfId="0" applyAlignment="1" applyFill="1" applyFont="1" applyNumberFormat="1">
      <alignment horizontal="center" readingOrder="0"/>
    </xf>
    <xf borderId="0" fillId="0" fontId="4" numFmtId="0" xfId="0" applyAlignment="1" applyFont="1">
      <alignment horizontal="center"/>
    </xf>
    <xf borderId="0" fillId="3" fontId="5" numFmtId="1" xfId="0" applyAlignment="1" applyFill="1" applyFont="1" applyNumberFormat="1">
      <alignment horizontal="center" readingOrder="0" vertical="bottom"/>
    </xf>
    <xf borderId="0" fillId="3" fontId="5" numFmtId="0" xfId="0" applyAlignment="1" applyFill="1" applyFont="1">
      <alignment readingOrder="0" vertical="bottom"/>
    </xf>
    <xf borderId="0" fillId="3" fontId="5" numFmtId="0" xfId="0" applyAlignment="1" applyFill="1" applyFont="1">
      <alignment horizontal="center" readingOrder="0"/>
    </xf>
    <xf borderId="0" fillId="3" fontId="5" numFmtId="0" xfId="0" applyAlignment="1" applyFill="1" applyFont="1">
      <alignment horizontal="center" readingOrder="0" vertical="bottom"/>
    </xf>
    <xf borderId="0" fillId="3" fontId="5" numFmtId="165" xfId="0" applyAlignment="1" applyFill="1" applyFont="1" applyNumberFormat="1">
      <alignment horizontal="center" readingOrder="0" vertical="bottom"/>
    </xf>
    <xf borderId="0" fillId="0" fontId="6" numFmtId="0" xfId="0" applyAlignment="1" applyFont="1">
      <alignment horizontal="center" readingOrder="0"/>
    </xf>
    <xf borderId="0" fillId="0" fontId="5" numFmtId="0" xfId="0" applyAlignment="1" applyFont="1">
      <alignment vertical="bottom"/>
    </xf>
    <xf borderId="0" fillId="0" fontId="7" numFmtId="0" xfId="0" applyAlignment="1" applyFont="1">
      <alignment horizontal="center" shrinkToFit="0" vertical="center" wrapText="1"/>
    </xf>
    <xf borderId="0" fillId="4" fontId="5" numFmtId="1" xfId="0" applyAlignment="1" applyFill="1" applyFont="1" applyNumberFormat="1">
      <alignment horizontal="center" readingOrder="0" vertical="bottom"/>
    </xf>
    <xf borderId="0" fillId="4" fontId="5" numFmtId="0" xfId="0" applyAlignment="1" applyFill="1" applyFont="1">
      <alignment readingOrder="0" vertical="bottom"/>
    </xf>
    <xf borderId="0" fillId="4" fontId="5" numFmtId="0" xfId="0" applyAlignment="1" applyFill="1" applyFont="1">
      <alignment horizontal="center" readingOrder="0"/>
    </xf>
    <xf borderId="0" fillId="4" fontId="5" numFmtId="0" xfId="0" applyAlignment="1" applyFill="1" applyFont="1">
      <alignment horizontal="center" readingOrder="0" vertical="bottom"/>
    </xf>
    <xf borderId="0" fillId="4" fontId="5" numFmtId="165" xfId="0" applyAlignment="1" applyFill="1" applyFont="1" applyNumberFormat="1">
      <alignment horizontal="center" readingOrder="0" vertical="bottom"/>
    </xf>
    <xf borderId="1" fillId="4" fontId="5" numFmtId="1" xfId="0" applyAlignment="1" applyBorder="1" applyFill="1" applyFont="1" applyNumberFormat="1">
      <alignment horizontal="center" readingOrder="0" vertical="bottom"/>
    </xf>
    <xf borderId="1" fillId="4" fontId="5" numFmtId="0" xfId="0" applyAlignment="1" applyBorder="1" applyFill="1" applyFont="1">
      <alignment readingOrder="0" vertical="bottom"/>
    </xf>
    <xf borderId="1" fillId="4" fontId="5" numFmtId="0" xfId="0" applyAlignment="1" applyBorder="1" applyFill="1" applyFont="1">
      <alignment horizontal="center" readingOrder="0"/>
    </xf>
    <xf borderId="1" fillId="4" fontId="5" numFmtId="0" xfId="0" applyAlignment="1" applyBorder="1" applyFill="1" applyFont="1">
      <alignment horizontal="center" readingOrder="0" vertical="bottom"/>
    </xf>
    <xf borderId="1" fillId="4" fontId="5" numFmtId="165" xfId="0" applyAlignment="1" applyBorder="1" applyFill="1" applyFont="1" applyNumberFormat="1">
      <alignment horizontal="center" readingOrder="0" vertical="bottom"/>
    </xf>
    <xf borderId="2" fillId="0" fontId="8" numFmtId="0" xfId="0" applyAlignment="1" applyBorder="1" applyFont="1">
      <alignment vertical="bottom"/>
    </xf>
    <xf borderId="2" fillId="0" fontId="5" numFmtId="165" xfId="0" applyAlignment="1" applyBorder="1" applyFont="1" applyNumberFormat="1">
      <alignment horizontal="right" vertical="bottom"/>
    </xf>
    <xf borderId="0" fillId="0" fontId="2" numFmtId="0" xfId="0" applyFont="1"/>
    <xf borderId="2" fillId="0" fontId="8" numFmtId="0" xfId="0" applyAlignment="1" applyBorder="1" applyFont="1">
      <alignment readingOrder="0" vertical="bottom"/>
    </xf>
    <xf borderId="2" fillId="0" fontId="5" numFmtId="0" xfId="0" applyAlignment="1" applyBorder="1" applyFont="1">
      <alignment vertical="bottom"/>
    </xf>
    <xf borderId="1" fillId="3" fontId="5" numFmtId="1" xfId="0" applyAlignment="1" applyBorder="1" applyFill="1" applyFont="1" applyNumberFormat="1">
      <alignment horizontal="center" readingOrder="0" vertical="bottom"/>
    </xf>
    <xf borderId="1" fillId="3" fontId="5" numFmtId="0" xfId="0" applyAlignment="1" applyBorder="1" applyFill="1" applyFont="1">
      <alignment readingOrder="0" vertical="bottom"/>
    </xf>
    <xf borderId="1" fillId="3" fontId="5" numFmtId="0" xfId="0" applyAlignment="1" applyBorder="1" applyFill="1" applyFont="1">
      <alignment horizontal="center" readingOrder="0"/>
    </xf>
    <xf borderId="1" fillId="3" fontId="5" numFmtId="0" xfId="0" applyAlignment="1" applyBorder="1" applyFill="1" applyFont="1">
      <alignment horizontal="center" readingOrder="0" vertical="bottom"/>
    </xf>
    <xf borderId="0" fillId="0" fontId="2" numFmtId="164" xfId="0" applyAlignment="1" applyFont="1" applyNumberFormat="1">
      <alignment horizontal="center"/>
    </xf>
    <xf borderId="1" fillId="3" fontId="5" numFmtId="165" xfId="0" applyAlignment="1" applyBorder="1" applyFill="1" applyFont="1" applyNumberFormat="1">
      <alignment horizontal="center" readingOrder="0" vertical="bottom"/>
    </xf>
    <xf borderId="0" fillId="0" fontId="4" numFmtId="0" xfId="0" applyAlignment="1" applyFont="1">
      <alignment horizontal="center"/>
    </xf>
    <xf borderId="0" fillId="0" fontId="9" numFmtId="0" xfId="0" applyAlignment="1" applyFont="1">
      <alignment horizontal="center" readingOrder="0"/>
    </xf>
    <xf borderId="3" fillId="3" fontId="5" numFmtId="1" xfId="0" applyAlignment="1" applyBorder="1" applyFill="1" applyFont="1" applyNumberFormat="1">
      <alignment horizontal="center" readingOrder="0" vertical="bottom"/>
    </xf>
    <xf borderId="3" fillId="3" fontId="5" numFmtId="0" xfId="0" applyAlignment="1" applyBorder="1" applyFill="1" applyFont="1">
      <alignment readingOrder="0" vertical="bottom"/>
    </xf>
    <xf borderId="3" fillId="3" fontId="5" numFmtId="0" xfId="0" applyAlignment="1" applyBorder="1" applyFill="1" applyFont="1">
      <alignment horizontal="center" readingOrder="0"/>
    </xf>
    <xf borderId="3" fillId="3" fontId="5" numFmtId="0" xfId="0" applyAlignment="1" applyBorder="1" applyFill="1" applyFont="1">
      <alignment horizontal="center" readingOrder="0" vertical="bottom"/>
    </xf>
    <xf borderId="3" fillId="3" fontId="5" numFmtId="165" xfId="0" applyAlignment="1" applyBorder="1" applyFill="1" applyFont="1" applyNumberFormat="1">
      <alignment horizontal="center" readingOrder="0" vertical="bottom"/>
    </xf>
    <xf borderId="0" fillId="0" fontId="2" numFmtId="166" xfId="0" applyAlignment="1" applyFont="1" applyNumberFormat="1">
      <alignment horizontal="center" readingOrder="0"/>
    </xf>
    <xf borderId="0" fillId="0" fontId="2" numFmtId="1" xfId="0" applyAlignment="1" applyFont="1" applyNumberFormat="1">
      <alignment horizontal="center" readingOrder="0"/>
    </xf>
    <xf borderId="0" fillId="0" fontId="2" numFmtId="0" xfId="0" applyAlignment="1" applyFont="1">
      <alignment horizontal="center" readingOrder="0"/>
    </xf>
    <xf borderId="0" fillId="0" fontId="2" numFmtId="165" xfId="0" applyAlignment="1" applyFont="1" applyNumberFormat="1">
      <alignment horizontal="center" readingOrder="0"/>
    </xf>
    <xf borderId="1" fillId="0" fontId="2" numFmtId="1" xfId="0" applyAlignment="1" applyBorder="1" applyFont="1" applyNumberFormat="1">
      <alignment horizontal="center" readingOrder="0"/>
    </xf>
    <xf borderId="1" fillId="0" fontId="2" numFmtId="0" xfId="0" applyAlignment="1" applyBorder="1" applyFont="1">
      <alignment readingOrder="0"/>
    </xf>
    <xf borderId="1" fillId="0" fontId="2" numFmtId="0" xfId="0" applyAlignment="1" applyBorder="1" applyFont="1">
      <alignment horizontal="center" readingOrder="0"/>
    </xf>
    <xf borderId="1" fillId="0" fontId="2" numFmtId="0" xfId="0" applyAlignment="1" applyBorder="1" applyFont="1">
      <alignment horizontal="center" readingOrder="0"/>
    </xf>
    <xf borderId="1" fillId="0" fontId="2" numFmtId="165" xfId="0" applyAlignment="1" applyBorder="1" applyFont="1" applyNumberFormat="1">
      <alignment horizontal="center" readingOrder="0"/>
    </xf>
    <xf borderId="3" fillId="0" fontId="2" numFmtId="1" xfId="0" applyAlignment="1" applyBorder="1" applyFont="1" applyNumberFormat="1">
      <alignment horizontal="center" readingOrder="0"/>
    </xf>
    <xf borderId="3" fillId="0" fontId="2" numFmtId="0" xfId="0" applyAlignment="1" applyBorder="1" applyFont="1">
      <alignment readingOrder="0"/>
    </xf>
    <xf borderId="3" fillId="0" fontId="2" numFmtId="0" xfId="0" applyAlignment="1" applyBorder="1" applyFont="1">
      <alignment horizontal="center" readingOrder="0"/>
    </xf>
    <xf borderId="3" fillId="0" fontId="2" numFmtId="0" xfId="0" applyAlignment="1" applyBorder="1" applyFont="1">
      <alignment horizontal="center" readingOrder="0"/>
    </xf>
    <xf borderId="3" fillId="0" fontId="2" numFmtId="165" xfId="0" applyAlignment="1" applyBorder="1" applyFont="1" applyNumberFormat="1">
      <alignment horizontal="center" readingOrder="0"/>
    </xf>
    <xf borderId="0" fillId="5" fontId="10" numFmtId="164" xfId="0" applyAlignment="1" applyFill="1" applyFont="1" applyNumberFormat="1">
      <alignment horizontal="center" readingOrder="0"/>
    </xf>
    <xf borderId="0" fillId="5" fontId="10" numFmtId="0" xfId="0" applyAlignment="1" applyFill="1" applyFont="1">
      <alignment horizontal="center" readingOrder="0"/>
    </xf>
    <xf borderId="0" fillId="5" fontId="10" numFmtId="165" xfId="0" applyAlignment="1" applyFill="1" applyFont="1" applyNumberFormat="1">
      <alignment horizontal="center" readingOrder="0"/>
    </xf>
    <xf borderId="0" fillId="0" fontId="2" numFmtId="164" xfId="0" applyAlignment="1" applyFont="1" applyNumberFormat="1">
      <alignment horizontal="center" readingOrder="0"/>
    </xf>
    <xf borderId="0" fillId="0" fontId="2" numFmtId="167" xfId="0" applyAlignment="1" applyFont="1" applyNumberFormat="1">
      <alignment horizontal="center" readingOrder="0"/>
    </xf>
    <xf quotePrefix="1" borderId="0" fillId="0" fontId="2" numFmtId="0" xfId="0" applyAlignment="1" applyFont="1">
      <alignment readingOrder="0"/>
    </xf>
    <xf borderId="0" fillId="0" fontId="2" numFmtId="165" xfId="0" applyAlignment="1" applyFont="1" applyNumberFormat="1">
      <alignment horizontal="center"/>
    </xf>
    <xf borderId="0" fillId="6" fontId="5" numFmtId="1" xfId="0" applyAlignment="1" applyFill="1" applyFont="1" applyNumberFormat="1">
      <alignment horizontal="center" readingOrder="0" vertical="bottom"/>
    </xf>
    <xf borderId="0" fillId="6" fontId="5" numFmtId="0" xfId="0" applyAlignment="1" applyFill="1" applyFont="1">
      <alignment readingOrder="0" vertical="bottom"/>
    </xf>
    <xf borderId="0" fillId="6" fontId="5" numFmtId="0" xfId="0" applyAlignment="1" applyFill="1" applyFont="1">
      <alignment horizontal="center" readingOrder="0"/>
    </xf>
    <xf borderId="0" fillId="6" fontId="5" numFmtId="0" xfId="0" applyAlignment="1" applyFill="1" applyFont="1">
      <alignment horizontal="center" readingOrder="0" vertical="bottom"/>
    </xf>
    <xf borderId="0" fillId="6" fontId="5" numFmtId="165" xfId="0" applyAlignment="1" applyFill="1" applyFont="1" applyNumberFormat="1">
      <alignment horizontal="center" readingOrder="0" vertical="bottom"/>
    </xf>
    <xf borderId="0" fillId="6" fontId="5" numFmtId="0" xfId="0" applyAlignment="1" applyFill="1" applyFont="1">
      <alignment horizontal="center" vertical="bottom"/>
    </xf>
    <xf borderId="0" fillId="6" fontId="5" numFmtId="165" xfId="0" applyAlignment="1" applyFill="1" applyFont="1" applyNumberFormat="1">
      <alignment horizontal="center" vertical="bottom"/>
    </xf>
    <xf borderId="1" fillId="6" fontId="5" numFmtId="1" xfId="0" applyAlignment="1" applyBorder="1" applyFill="1" applyFont="1" applyNumberFormat="1">
      <alignment horizontal="center" readingOrder="0" vertical="bottom"/>
    </xf>
    <xf borderId="1" fillId="6" fontId="5" numFmtId="0" xfId="0" applyAlignment="1" applyBorder="1" applyFill="1" applyFont="1">
      <alignment readingOrder="0" vertical="bottom"/>
    </xf>
    <xf borderId="1" fillId="6" fontId="5" numFmtId="0" xfId="0" applyAlignment="1" applyBorder="1" applyFill="1" applyFont="1">
      <alignment vertical="bottom"/>
    </xf>
    <xf borderId="1" fillId="6" fontId="5" numFmtId="0" xfId="0" applyAlignment="1" applyBorder="1" applyFill="1" applyFont="1">
      <alignment horizontal="center" readingOrder="0"/>
    </xf>
    <xf borderId="1" fillId="6" fontId="5" numFmtId="0" xfId="0" applyAlignment="1" applyBorder="1" applyFill="1" applyFont="1">
      <alignment horizontal="center" vertical="bottom"/>
    </xf>
    <xf borderId="1" fillId="6" fontId="5" numFmtId="165" xfId="0" applyAlignment="1" applyBorder="1" applyFill="1" applyFont="1" applyNumberFormat="1">
      <alignment horizontal="center" vertical="bottom"/>
    </xf>
    <xf borderId="3" fillId="6" fontId="5" numFmtId="1" xfId="0" applyAlignment="1" applyBorder="1" applyFill="1" applyFont="1" applyNumberFormat="1">
      <alignment horizontal="center" readingOrder="0" vertical="bottom"/>
    </xf>
    <xf borderId="3" fillId="6" fontId="5" numFmtId="0" xfId="0" applyAlignment="1" applyBorder="1" applyFill="1" applyFont="1">
      <alignment readingOrder="0" vertical="bottom"/>
    </xf>
    <xf borderId="3" fillId="6" fontId="5" numFmtId="0" xfId="0" applyAlignment="1" applyBorder="1" applyFill="1" applyFont="1">
      <alignment horizontal="center" readingOrder="0"/>
    </xf>
    <xf borderId="3" fillId="6" fontId="5" numFmtId="0" xfId="0" applyAlignment="1" applyBorder="1" applyFill="1" applyFont="1">
      <alignment horizontal="center" vertical="bottom"/>
    </xf>
    <xf borderId="3" fillId="6" fontId="5" numFmtId="165" xfId="0" applyAlignment="1" applyBorder="1" applyFill="1" applyFont="1" applyNumberFormat="1">
      <alignment horizontal="center" vertical="bottom"/>
    </xf>
    <xf borderId="0" fillId="0" fontId="2" numFmtId="168" xfId="0" applyAlignment="1" applyFont="1" applyNumberFormat="1">
      <alignment horizontal="center"/>
    </xf>
    <xf borderId="0" fillId="5" fontId="11" numFmtId="0" xfId="0" applyAlignment="1" applyFill="1" applyFont="1">
      <alignment horizontal="center" readingOrder="0"/>
    </xf>
    <xf borderId="0" fillId="5" fontId="11" numFmtId="0" xfId="0" applyAlignment="1" applyFill="1" applyFont="1">
      <alignment readingOrder="0"/>
    </xf>
    <xf borderId="0" fillId="5" fontId="11" numFmtId="0" xfId="0" applyAlignment="1" applyFill="1" applyFont="1">
      <alignment readingOrder="0" shrinkToFit="0" wrapText="1"/>
    </xf>
    <xf borderId="0" fillId="0" fontId="2" numFmtId="164" xfId="0" applyAlignment="1" applyFont="1" applyNumberFormat="1">
      <alignment readingOrder="0"/>
    </xf>
    <xf borderId="0" fillId="0" fontId="2" numFmtId="169" xfId="0" applyAlignment="1" applyFont="1" applyNumberFormat="1">
      <alignment readingOrder="0"/>
    </xf>
    <xf borderId="0" fillId="0" fontId="2" numFmtId="170" xfId="0" applyAlignment="1" applyFont="1" applyNumberFormat="1">
      <alignment readingOrder="0"/>
    </xf>
    <xf borderId="0" fillId="0" fontId="2" numFmtId="0" xfId="0" applyAlignment="1" applyFont="1">
      <alignment readingOrder="0" shrinkToFit="0" wrapText="1"/>
    </xf>
    <xf borderId="0" fillId="0" fontId="2" numFmtId="169" xfId="0" applyFont="1" applyNumberFormat="1"/>
    <xf borderId="0" fillId="0" fontId="2" numFmtId="170" xfId="0" applyFont="1" applyNumberFormat="1"/>
    <xf borderId="0" fillId="0" fontId="2" numFmtId="0" xfId="0" applyAlignment="1" applyFont="1">
      <alignment shrinkToFit="0" wrapText="1"/>
    </xf>
    <xf borderId="0" fillId="0" fontId="2" numFmtId="164" xfId="0" applyFont="1" applyNumberFormat="1"/>
    <xf borderId="0" fillId="2" fontId="1" numFmtId="164" xfId="0" applyAlignment="1" applyFill="1" applyFont="1" applyNumberFormat="1">
      <alignment horizontal="center" readingOrder="0"/>
    </xf>
    <xf borderId="0" fillId="0" fontId="2" numFmtId="164" xfId="0" applyAlignment="1" applyFont="1" applyNumberFormat="1">
      <alignment readingOrder="0"/>
    </xf>
    <xf borderId="0" fillId="0" fontId="12" numFmtId="0" xfId="0" applyAlignment="1" applyFont="1">
      <alignment horizontal="center" readingOrder="0"/>
    </xf>
    <xf borderId="0" fillId="0" fontId="2" numFmtId="164" xfId="0" applyFont="1" applyNumberFormat="1"/>
    <xf borderId="0" fillId="0" fontId="4" numFmtId="0" xfId="0" applyFont="1"/>
    <xf borderId="0" fillId="7" fontId="13" numFmtId="0" xfId="0" applyAlignment="1" applyFill="1" applyFont="1">
      <alignment readingOrder="0"/>
    </xf>
    <xf borderId="0" fillId="8" fontId="13" numFmtId="0" xfId="0" applyAlignment="1" applyFill="1" applyFont="1">
      <alignment readingOrder="0"/>
    </xf>
    <xf borderId="0" fillId="9" fontId="13" numFmtId="0" xfId="0" applyAlignment="1" applyFill="1" applyFont="1">
      <alignment readingOrder="0"/>
    </xf>
    <xf borderId="0" fillId="10" fontId="13" numFmtId="0" xfId="0" applyAlignment="1" applyFill="1" applyFont="1">
      <alignment readingOrder="0"/>
    </xf>
    <xf borderId="0" fillId="11" fontId="13" numFmtId="0" xfId="0" applyAlignment="1" applyFill="1" applyFont="1">
      <alignment readingOrder="0"/>
    </xf>
    <xf borderId="0" fillId="12" fontId="13" numFmtId="0" xfId="0" applyAlignment="1" applyFill="1" applyFont="1">
      <alignment readingOrder="0"/>
    </xf>
    <xf borderId="0" fillId="13" fontId="2" numFmtId="0" xfId="0" applyAlignment="1" applyFill="1" applyFont="1">
      <alignment readingOrder="0"/>
    </xf>
    <xf borderId="0" fillId="14" fontId="2" numFmtId="0" xfId="0" applyAlignment="1" applyFill="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6" fontId="2" numFmtId="0" xfId="0" applyAlignment="1" applyFill="1" applyFont="1">
      <alignment readingOrder="0"/>
    </xf>
    <xf borderId="0" fillId="0" fontId="1" numFmtId="0" xfId="0" applyAlignment="1" applyFont="1">
      <alignment readingOrder="0" vertical="top"/>
    </xf>
    <xf borderId="0" fillId="0" fontId="1" numFmtId="0" xfId="0" applyAlignment="1" applyFont="1">
      <alignment horizontal="center" readingOrder="0" vertical="top"/>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1" numFmtId="0" xfId="0" applyAlignment="1" applyFont="1">
      <alignment readingOrder="0"/>
    </xf>
    <xf borderId="0" fillId="0" fontId="2" numFmtId="0" xfId="0" applyAlignment="1" applyFont="1">
      <alignment readingOrder="0" vertical="top"/>
    </xf>
    <xf borderId="0" fillId="0" fontId="2" numFmtId="0" xfId="0" applyAlignment="1" applyFont="1">
      <alignment horizontal="center" readingOrder="0" vertical="top"/>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167" xfId="0" applyAlignment="1" applyFont="1" applyNumberFormat="1">
      <alignment horizontal="center" shrinkToFit="0" vertical="top" wrapText="1"/>
    </xf>
    <xf borderId="0" fillId="0" fontId="2" numFmtId="169" xfId="0" applyAlignment="1" applyFont="1" applyNumberFormat="1">
      <alignment horizontal="center" shrinkToFit="0" vertical="top" wrapText="1"/>
    </xf>
    <xf borderId="0" fillId="0" fontId="2" numFmtId="0" xfId="0" applyAlignment="1" applyFont="1">
      <alignment shrinkToFit="0" vertical="top" wrapText="1"/>
    </xf>
    <xf borderId="0" fillId="0" fontId="14" numFmtId="0" xfId="0" applyAlignment="1" applyFont="1">
      <alignment readingOrder="0"/>
    </xf>
    <xf borderId="0" fillId="0" fontId="2" numFmtId="167" xfId="0" applyAlignment="1" applyFont="1" applyNumberFormat="1">
      <alignment horizontal="center" readingOrder="0" shrinkToFit="0" vertical="top" wrapText="1"/>
    </xf>
    <xf borderId="0" fillId="0" fontId="2" numFmtId="169" xfId="0" applyAlignment="1" applyFont="1" applyNumberFormat="1">
      <alignment horizontal="center" readingOrder="0" shrinkToFit="0" vertical="top" wrapText="1"/>
    </xf>
    <xf borderId="0" fillId="0" fontId="2" numFmtId="171" xfId="0" applyAlignment="1" applyFont="1" applyNumberFormat="1">
      <alignment horizontal="center" readingOrder="0"/>
    </xf>
  </cellXfs>
  <cellStyles count="1">
    <cellStyle xfId="0" name="Normal" builtinId="0"/>
  </cellStyles>
  <dxfs count="4">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D9D9"/>
          <bgColor rgb="FFD9D9D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409575</xdr:colOff>
      <xdr:row>9</xdr:row>
      <xdr:rowOff>9525</xdr:rowOff>
    </xdr:from>
    <xdr:ext cx="2895600" cy="971550"/>
    <xdr:sp>
      <xdr:nvSpPr>
        <xdr:cNvPr id="3" name="Shape 3"/>
        <xdr:cNvSpPr txBox="1"/>
      </xdr:nvSpPr>
      <xdr:spPr>
        <a:xfrm>
          <a:off x="3172550" y="4003850"/>
          <a:ext cx="2876100" cy="952200"/>
        </a:xfrm>
        <a:prstGeom prst="rect">
          <a:avLst/>
        </a:prstGeom>
        <a:solidFill>
          <a:srgbClr val="B6D7A8"/>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solidFill>
                <a:srgbClr val="38761D"/>
              </a:solidFill>
            </a:rPr>
            <a:t>Cliquez pour actualiser la semaine courante</a:t>
          </a:r>
          <a:endParaRPr b="1" sz="1700">
            <a:solidFill>
              <a:srgbClr val="38761D"/>
            </a:solidFil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drawing" Target="../drawings/drawing19.xml"/><Relationship Id="rId11" Type="http://schemas.openxmlformats.org/officeDocument/2006/relationships/hyperlink" Target="https://docs.google.com/document/d/1PAtsn1rI81OLlwCmNvjM8EvPbd6oAHGrnUE-rzS2jOA/edit" TargetMode="External"/><Relationship Id="rId10" Type="http://schemas.openxmlformats.org/officeDocument/2006/relationships/hyperlink" Target="https://docs.google.com/document/d/1epKkQLkEHy9RhLZycOUt-HNxFwVP8szyh_zhBRv0lGQ/edit" TargetMode="External"/><Relationship Id="rId13" Type="http://schemas.openxmlformats.org/officeDocument/2006/relationships/hyperlink" Target="https://docs.google.com/document/d/1HprPbGwA0B_0eOA4wlTnckxFDZZK-ikCfbklJ_p6RwA/edit" TargetMode="External"/><Relationship Id="rId12" Type="http://schemas.openxmlformats.org/officeDocument/2006/relationships/hyperlink" Target="https://docs.google.com/document/d/1AZpHX8bqLZktW9Y36AI7QiAN_qBkZdxMxdkXYycg7sU/edit" TargetMode="External"/><Relationship Id="rId1" Type="http://schemas.openxmlformats.org/officeDocument/2006/relationships/hyperlink" Target="https://docs.google.com/document/d/1_awmZGCcQ0TgQycHQGRiBXLTr-f6Yjsn4fR7dAMdQvk/edit" TargetMode="External"/><Relationship Id="rId2" Type="http://schemas.openxmlformats.org/officeDocument/2006/relationships/hyperlink" Target="https://docs.google.com/document/d/1Q44ArnKr6qsJIRP9pSVCq_eloSzgMxA1JTqbPl7PP-M/edit" TargetMode="External"/><Relationship Id="rId3" Type="http://schemas.openxmlformats.org/officeDocument/2006/relationships/hyperlink" Target="https://docs.google.com/document/d/1hMA2J9FeE-LfKwdKXy15U6nrpKpdzRZdFg77hqywrzI/edit" TargetMode="External"/><Relationship Id="rId4" Type="http://schemas.openxmlformats.org/officeDocument/2006/relationships/hyperlink" Target="https://docs.google.com/document/d/15ij3H8wqKr-kEAlmHtSSAY1EKslKLudAJT-iM78UERE/edit" TargetMode="External"/><Relationship Id="rId9" Type="http://schemas.openxmlformats.org/officeDocument/2006/relationships/hyperlink" Target="https://docs.google.com/document/d/1OEoAUcDVqnjH22Knnyl8ki4v2ED5UYqdg9P6dqww1Zo/edit" TargetMode="External"/><Relationship Id="rId15" Type="http://schemas.openxmlformats.org/officeDocument/2006/relationships/hyperlink" Target="https://docs.google.com/document/d/19asrJHgFRAu3KDaHkXZjAAggqOI-gyFp5ZJl2jrepU8/edit" TargetMode="External"/><Relationship Id="rId14" Type="http://schemas.openxmlformats.org/officeDocument/2006/relationships/hyperlink" Target="https://docs.google.com/document/d/105KB6YllsBgQr7m_gcOVj74vHQFy30e2ja0omh5BNfE/edit" TargetMode="External"/><Relationship Id="rId17" Type="http://schemas.openxmlformats.org/officeDocument/2006/relationships/hyperlink" Target="https://docs.google.com/document/d/1vvolhoVSss_EEI8cECbNrVdQAgBpjbUbfN_iiZJoYG8/edit" TargetMode="External"/><Relationship Id="rId16" Type="http://schemas.openxmlformats.org/officeDocument/2006/relationships/hyperlink" Target="https://docs.google.com/document/d/1g9mqqedq0iUnzTN7CedVPvyNXLS4L2SiC_fvhbZQstQ/edit" TargetMode="External"/><Relationship Id="rId5" Type="http://schemas.openxmlformats.org/officeDocument/2006/relationships/hyperlink" Target="https://docs.google.com/document/d/1OfwyV6KQynjJS3QyVJyLLbgoTuQc2IP3CoRBSt45soM/edit" TargetMode="External"/><Relationship Id="rId19" Type="http://schemas.openxmlformats.org/officeDocument/2006/relationships/hyperlink" Target="https://docs.google.com/document/d/1Fh_wqNvwbcpyYGCWYwq6hBOw8jdc8mKLBtkYszPnUno/edit" TargetMode="External"/><Relationship Id="rId6" Type="http://schemas.openxmlformats.org/officeDocument/2006/relationships/hyperlink" Target="https://docs.google.com/document/d/1AwLYSziNrCP5oLCyIUAaAauoWmeQVRjvrBcSIBYP000/edit" TargetMode="External"/><Relationship Id="rId18" Type="http://schemas.openxmlformats.org/officeDocument/2006/relationships/hyperlink" Target="https://docs.google.com/document/d/1x9jV2Ijc_4niwHQe4yK3PKmp28fqfWCN4FFuwRTTOzs/edit" TargetMode="External"/><Relationship Id="rId7" Type="http://schemas.openxmlformats.org/officeDocument/2006/relationships/hyperlink" Target="https://docs.google.com/document/d/1u3x3SrbR0IAP3S2hZg-8szrQajtPUBz8dPnLdydb_hE/edit" TargetMode="External"/><Relationship Id="rId8" Type="http://schemas.openxmlformats.org/officeDocument/2006/relationships/hyperlink" Target="https://docs.google.com/document/d/1a2Iq5wEduHZlnoFFMbaOuBNHRG7kfhTQGxHM7PnJR-A/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4</v>
      </c>
      <c r="D1" s="1" t="s">
        <v>6</v>
      </c>
    </row>
    <row r="2">
      <c r="A2" s="2" t="s">
        <v>5</v>
      </c>
      <c r="B2" s="2" t="s">
        <v>10</v>
      </c>
      <c r="C2" s="2" t="s">
        <v>11</v>
      </c>
      <c r="D2" s="2" t="s">
        <v>12</v>
      </c>
    </row>
    <row r="3">
      <c r="A3" s="2" t="s">
        <v>14</v>
      </c>
      <c r="B3" s="2" t="s">
        <v>16</v>
      </c>
      <c r="C3" s="2" t="s">
        <v>17</v>
      </c>
      <c r="D3" s="2"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0</v>
      </c>
      <c r="C1" s="1" t="s">
        <v>2</v>
      </c>
      <c r="D1" s="1" t="s">
        <v>3</v>
      </c>
    </row>
    <row r="2">
      <c r="A2" s="2" t="s">
        <v>5</v>
      </c>
      <c r="B2" s="2" t="s">
        <v>7</v>
      </c>
      <c r="C2" s="2" t="s">
        <v>8</v>
      </c>
      <c r="D2" s="3">
        <v>5.0</v>
      </c>
    </row>
    <row r="3">
      <c r="A3" s="2" t="s">
        <v>5</v>
      </c>
      <c r="B3" s="2" t="s">
        <v>13</v>
      </c>
      <c r="C3" s="2" t="s">
        <v>15</v>
      </c>
      <c r="D3" s="3">
        <v>19.0</v>
      </c>
    </row>
    <row r="4">
      <c r="A4" s="2" t="s">
        <v>5</v>
      </c>
      <c r="B4" s="2" t="s">
        <v>19</v>
      </c>
      <c r="C4" s="2" t="s">
        <v>20</v>
      </c>
      <c r="D4" s="3">
        <v>1.0</v>
      </c>
    </row>
    <row r="5">
      <c r="A5" s="2" t="s">
        <v>5</v>
      </c>
      <c r="B5" s="2" t="s">
        <v>23</v>
      </c>
      <c r="C5" s="2" t="s">
        <v>24</v>
      </c>
      <c r="D5" s="3">
        <v>19.0</v>
      </c>
    </row>
    <row r="6">
      <c r="A6" s="2" t="s">
        <v>5</v>
      </c>
      <c r="B6" s="2" t="s">
        <v>27</v>
      </c>
      <c r="C6" s="2" t="s">
        <v>29</v>
      </c>
      <c r="D6" s="3">
        <v>29.0</v>
      </c>
    </row>
    <row r="7">
      <c r="A7" s="2" t="s">
        <v>5</v>
      </c>
      <c r="B7" s="2" t="s">
        <v>32</v>
      </c>
      <c r="C7" s="2" t="s">
        <v>34</v>
      </c>
      <c r="D7" s="3">
        <v>5.0</v>
      </c>
    </row>
    <row r="8">
      <c r="A8" s="2" t="s">
        <v>5</v>
      </c>
      <c r="B8" s="2" t="s">
        <v>39</v>
      </c>
      <c r="C8" s="2" t="s">
        <v>41</v>
      </c>
      <c r="D8" s="3">
        <v>1.0</v>
      </c>
    </row>
    <row r="9">
      <c r="A9" s="2" t="s">
        <v>5</v>
      </c>
      <c r="B9" s="2" t="s">
        <v>45</v>
      </c>
      <c r="C9" s="2" t="s">
        <v>48</v>
      </c>
      <c r="D9" s="3">
        <v>2.0</v>
      </c>
    </row>
    <row r="10">
      <c r="A10" s="2" t="s">
        <v>5</v>
      </c>
      <c r="B10" s="2" t="s">
        <v>53</v>
      </c>
      <c r="C10" s="2" t="s">
        <v>54</v>
      </c>
      <c r="D10" s="3">
        <v>23.0</v>
      </c>
    </row>
    <row r="11">
      <c r="A11" s="2" t="s">
        <v>5</v>
      </c>
      <c r="B11" s="2" t="s">
        <v>59</v>
      </c>
      <c r="C11" s="2" t="s">
        <v>60</v>
      </c>
      <c r="D11" s="3">
        <v>2.0</v>
      </c>
    </row>
    <row r="12">
      <c r="A12" s="2" t="s">
        <v>5</v>
      </c>
      <c r="B12" s="2" t="s">
        <v>64</v>
      </c>
      <c r="C12" s="2" t="s">
        <v>65</v>
      </c>
      <c r="D12" s="3">
        <v>3.0</v>
      </c>
    </row>
    <row r="13">
      <c r="A13" s="2" t="s">
        <v>5</v>
      </c>
      <c r="B13" s="2" t="s">
        <v>68</v>
      </c>
      <c r="C13" s="2" t="s">
        <v>70</v>
      </c>
      <c r="D13" s="3">
        <v>6.0</v>
      </c>
    </row>
    <row r="14">
      <c r="A14" s="2" t="s">
        <v>5</v>
      </c>
      <c r="B14" s="2" t="s">
        <v>72</v>
      </c>
      <c r="C14" s="2" t="s">
        <v>74</v>
      </c>
      <c r="D14" s="3">
        <v>41.0</v>
      </c>
    </row>
    <row r="15">
      <c r="A15" s="2" t="s">
        <v>5</v>
      </c>
      <c r="B15" s="2" t="s">
        <v>76</v>
      </c>
      <c r="C15" s="2" t="s">
        <v>78</v>
      </c>
      <c r="D15" s="3">
        <v>2.0</v>
      </c>
    </row>
    <row r="16">
      <c r="A16" s="2" t="s">
        <v>5</v>
      </c>
      <c r="B16" s="2" t="s">
        <v>80</v>
      </c>
      <c r="C16" s="2" t="s">
        <v>82</v>
      </c>
      <c r="D16" s="3">
        <v>1.0</v>
      </c>
    </row>
    <row r="17">
      <c r="A17" s="2" t="s">
        <v>5</v>
      </c>
      <c r="B17" s="2" t="s">
        <v>84</v>
      </c>
      <c r="C17" s="2" t="s">
        <v>86</v>
      </c>
      <c r="D17" s="3">
        <v>3.0</v>
      </c>
    </row>
    <row r="18">
      <c r="A18" s="2" t="s">
        <v>5</v>
      </c>
      <c r="B18" s="2" t="s">
        <v>88</v>
      </c>
      <c r="C18" s="2" t="s">
        <v>90</v>
      </c>
      <c r="D18" s="3">
        <v>31.0</v>
      </c>
    </row>
    <row r="19">
      <c r="A19" s="2" t="s">
        <v>5</v>
      </c>
      <c r="B19" s="2" t="s">
        <v>92</v>
      </c>
      <c r="C19" s="2" t="s">
        <v>94</v>
      </c>
      <c r="D19" s="3">
        <v>31.0</v>
      </c>
    </row>
    <row r="20">
      <c r="A20" s="2" t="s">
        <v>5</v>
      </c>
      <c r="B20" s="2" t="s">
        <v>96</v>
      </c>
      <c r="C20" s="2" t="s">
        <v>98</v>
      </c>
      <c r="D20" s="3">
        <v>10.0</v>
      </c>
    </row>
    <row r="21">
      <c r="A21" s="2" t="s">
        <v>5</v>
      </c>
      <c r="B21" s="2" t="s">
        <v>100</v>
      </c>
      <c r="C21" s="2" t="s">
        <v>102</v>
      </c>
      <c r="D21" s="3">
        <v>3.0</v>
      </c>
    </row>
    <row r="22">
      <c r="A22" s="2" t="s">
        <v>5</v>
      </c>
      <c r="B22" s="2" t="s">
        <v>104</v>
      </c>
      <c r="C22" s="2" t="s">
        <v>106</v>
      </c>
      <c r="D22" s="3">
        <v>6.0</v>
      </c>
    </row>
    <row r="23">
      <c r="A23" s="2" t="s">
        <v>5</v>
      </c>
      <c r="B23" s="2" t="s">
        <v>108</v>
      </c>
      <c r="C23" s="2" t="s">
        <v>109</v>
      </c>
      <c r="D23" s="3">
        <v>3.0</v>
      </c>
    </row>
    <row r="24">
      <c r="A24" s="2" t="s">
        <v>5</v>
      </c>
      <c r="B24" s="2" t="s">
        <v>112</v>
      </c>
      <c r="C24" s="2" t="s">
        <v>113</v>
      </c>
      <c r="D24" s="3">
        <v>8.0</v>
      </c>
    </row>
    <row r="25">
      <c r="A25" s="2" t="s">
        <v>14</v>
      </c>
      <c r="B25" s="6"/>
      <c r="C25" s="2" t="s">
        <v>118</v>
      </c>
      <c r="D25" s="3">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v>
      </c>
      <c r="C1" s="1" t="s">
        <v>26</v>
      </c>
    </row>
    <row r="2">
      <c r="A2" s="2" t="s">
        <v>31</v>
      </c>
      <c r="B2" s="2" t="s">
        <v>33</v>
      </c>
      <c r="C2" s="2" t="s">
        <v>36</v>
      </c>
    </row>
    <row r="3">
      <c r="A3" s="2" t="s">
        <v>38</v>
      </c>
      <c r="B3" s="2" t="s">
        <v>40</v>
      </c>
      <c r="C3" s="2" t="s">
        <v>36</v>
      </c>
    </row>
    <row r="4">
      <c r="A4" s="2" t="s">
        <v>44</v>
      </c>
      <c r="B4" s="2" t="s">
        <v>46</v>
      </c>
      <c r="C4" s="2" t="s">
        <v>36</v>
      </c>
    </row>
    <row r="5">
      <c r="A5" s="2" t="s">
        <v>50</v>
      </c>
      <c r="B5" s="2" t="s">
        <v>51</v>
      </c>
      <c r="C5" s="2" t="s">
        <v>36</v>
      </c>
    </row>
    <row r="6">
      <c r="A6" s="2" t="s">
        <v>56</v>
      </c>
      <c r="B6" s="2" t="s">
        <v>57</v>
      </c>
      <c r="C6" s="2" t="s">
        <v>36</v>
      </c>
    </row>
    <row r="7">
      <c r="A7" s="2" t="s">
        <v>62</v>
      </c>
      <c r="B7" s="2" t="s">
        <v>63</v>
      </c>
      <c r="C7" s="2" t="s">
        <v>36</v>
      </c>
    </row>
    <row r="8">
      <c r="A8" s="2" t="s">
        <v>66</v>
      </c>
      <c r="B8" s="2" t="s">
        <v>67</v>
      </c>
      <c r="C8" s="2" t="s">
        <v>36</v>
      </c>
    </row>
    <row r="9">
      <c r="A9" s="2" t="s">
        <v>69</v>
      </c>
      <c r="B9" s="2" t="s">
        <v>71</v>
      </c>
      <c r="C9" s="2" t="s">
        <v>36</v>
      </c>
    </row>
    <row r="10">
      <c r="A10" s="2" t="s">
        <v>73</v>
      </c>
      <c r="B10" s="2" t="s">
        <v>75</v>
      </c>
      <c r="C10" s="2" t="s">
        <v>36</v>
      </c>
    </row>
    <row r="11">
      <c r="A11" s="2" t="s">
        <v>77</v>
      </c>
      <c r="B11" s="2" t="s">
        <v>79</v>
      </c>
      <c r="C11" s="2" t="s">
        <v>36</v>
      </c>
    </row>
    <row r="12">
      <c r="A12" s="2" t="s">
        <v>81</v>
      </c>
      <c r="B12" s="2" t="s">
        <v>83</v>
      </c>
      <c r="C12" s="2" t="s">
        <v>36</v>
      </c>
    </row>
    <row r="13">
      <c r="A13" s="2" t="s">
        <v>85</v>
      </c>
      <c r="B13" s="2" t="s">
        <v>87</v>
      </c>
      <c r="C13" s="2" t="s">
        <v>36</v>
      </c>
    </row>
    <row r="14">
      <c r="A14" s="2" t="s">
        <v>89</v>
      </c>
      <c r="B14" s="2" t="s">
        <v>91</v>
      </c>
      <c r="C14" s="2" t="s">
        <v>36</v>
      </c>
    </row>
    <row r="15">
      <c r="A15" s="2" t="s">
        <v>93</v>
      </c>
      <c r="B15" s="2" t="s">
        <v>95</v>
      </c>
      <c r="C15" s="2" t="s">
        <v>36</v>
      </c>
    </row>
    <row r="16">
      <c r="A16" s="2" t="s">
        <v>97</v>
      </c>
      <c r="B16" s="2" t="s">
        <v>99</v>
      </c>
      <c r="C16" s="2" t="s">
        <v>36</v>
      </c>
    </row>
    <row r="17">
      <c r="A17" s="2" t="s">
        <v>101</v>
      </c>
      <c r="B17" s="2" t="s">
        <v>103</v>
      </c>
      <c r="C17" s="2" t="s">
        <v>36</v>
      </c>
    </row>
    <row r="18">
      <c r="A18" s="2" t="s">
        <v>105</v>
      </c>
      <c r="B18" s="2" t="s">
        <v>107</v>
      </c>
      <c r="C18" s="2" t="s">
        <v>36</v>
      </c>
    </row>
    <row r="19">
      <c r="A19" s="2" t="s">
        <v>110</v>
      </c>
      <c r="B19" s="2" t="s">
        <v>111</v>
      </c>
      <c r="C19" s="2" t="s">
        <v>36</v>
      </c>
    </row>
    <row r="20">
      <c r="A20" s="2" t="s">
        <v>114</v>
      </c>
      <c r="B20" s="2" t="s">
        <v>115</v>
      </c>
      <c r="C20" s="2" t="s">
        <v>36</v>
      </c>
    </row>
    <row r="21">
      <c r="A21" s="2" t="s">
        <v>116</v>
      </c>
      <c r="B21" s="2" t="s">
        <v>117</v>
      </c>
      <c r="C21" s="2" t="s">
        <v>36</v>
      </c>
    </row>
    <row r="22">
      <c r="A22" s="2" t="s">
        <v>119</v>
      </c>
      <c r="B22" s="2" t="s">
        <v>120</v>
      </c>
      <c r="C22" s="2" t="s">
        <v>36</v>
      </c>
    </row>
    <row r="23">
      <c r="A23" s="2" t="s">
        <v>121</v>
      </c>
      <c r="B23" s="2" t="s">
        <v>122</v>
      </c>
      <c r="C23" s="2" t="s">
        <v>36</v>
      </c>
    </row>
    <row r="24">
      <c r="A24" s="2" t="s">
        <v>123</v>
      </c>
      <c r="B24" s="2" t="s">
        <v>124</v>
      </c>
      <c r="C24" s="2" t="s">
        <v>36</v>
      </c>
    </row>
    <row r="25">
      <c r="A25" s="2" t="s">
        <v>125</v>
      </c>
      <c r="B25" s="2" t="s">
        <v>126</v>
      </c>
      <c r="C25" s="2" t="s">
        <v>36</v>
      </c>
    </row>
    <row r="26">
      <c r="A26" s="2" t="s">
        <v>127</v>
      </c>
      <c r="B26" s="2" t="s">
        <v>128</v>
      </c>
      <c r="C26" s="2" t="s">
        <v>36</v>
      </c>
    </row>
    <row r="27">
      <c r="A27" s="2" t="s">
        <v>129</v>
      </c>
      <c r="B27" s="2" t="s">
        <v>130</v>
      </c>
      <c r="C27" s="2" t="s">
        <v>36</v>
      </c>
    </row>
    <row r="28">
      <c r="A28" s="2" t="s">
        <v>131</v>
      </c>
      <c r="B28" s="2" t="s">
        <v>132</v>
      </c>
      <c r="C28" s="2" t="s">
        <v>36</v>
      </c>
    </row>
    <row r="29">
      <c r="A29" s="2" t="s">
        <v>133</v>
      </c>
      <c r="B29" s="2" t="s">
        <v>134</v>
      </c>
      <c r="C29" s="2" t="s">
        <v>36</v>
      </c>
    </row>
    <row r="30">
      <c r="A30" s="2" t="s">
        <v>135</v>
      </c>
      <c r="B30" s="2" t="s">
        <v>136</v>
      </c>
      <c r="C30" s="2" t="s">
        <v>36</v>
      </c>
    </row>
    <row r="31">
      <c r="A31" s="2" t="s">
        <v>137</v>
      </c>
      <c r="B31" s="2" t="s">
        <v>138</v>
      </c>
      <c r="C31" s="2" t="s">
        <v>36</v>
      </c>
    </row>
    <row r="32">
      <c r="A32" s="2" t="s">
        <v>139</v>
      </c>
      <c r="B32" s="2" t="s">
        <v>140</v>
      </c>
      <c r="C32" s="2" t="s">
        <v>36</v>
      </c>
    </row>
    <row r="33">
      <c r="A33" s="2" t="s">
        <v>141</v>
      </c>
      <c r="B33" s="2" t="s">
        <v>142</v>
      </c>
      <c r="C33" s="2" t="s">
        <v>36</v>
      </c>
    </row>
    <row r="34">
      <c r="A34" s="2" t="s">
        <v>143</v>
      </c>
      <c r="B34" s="2" t="s">
        <v>144</v>
      </c>
      <c r="C34" s="2" t="s">
        <v>36</v>
      </c>
    </row>
    <row r="35">
      <c r="A35" s="2" t="s">
        <v>145</v>
      </c>
      <c r="B35" s="2" t="s">
        <v>146</v>
      </c>
      <c r="C35" s="2" t="s">
        <v>36</v>
      </c>
    </row>
    <row r="36">
      <c r="A36" s="2" t="s">
        <v>147</v>
      </c>
      <c r="B36" s="2" t="s">
        <v>148</v>
      </c>
      <c r="C36" s="2" t="s">
        <v>36</v>
      </c>
    </row>
    <row r="37">
      <c r="A37" s="2" t="s">
        <v>149</v>
      </c>
      <c r="B37" s="2" t="s">
        <v>150</v>
      </c>
      <c r="C37" s="2" t="s">
        <v>36</v>
      </c>
    </row>
    <row r="38">
      <c r="A38" s="2" t="s">
        <v>151</v>
      </c>
      <c r="B38" s="2" t="s">
        <v>152</v>
      </c>
      <c r="C38" s="2" t="s">
        <v>36</v>
      </c>
    </row>
    <row r="39">
      <c r="A39" s="2" t="s">
        <v>153</v>
      </c>
      <c r="B39" s="2" t="s">
        <v>154</v>
      </c>
      <c r="C39" s="2" t="s">
        <v>36</v>
      </c>
    </row>
    <row r="40">
      <c r="A40" s="2" t="s">
        <v>155</v>
      </c>
      <c r="B40" s="2" t="s">
        <v>156</v>
      </c>
      <c r="C40" s="2" t="s">
        <v>36</v>
      </c>
    </row>
    <row r="41">
      <c r="A41" s="2" t="s">
        <v>157</v>
      </c>
      <c r="B41" s="2" t="s">
        <v>158</v>
      </c>
      <c r="C41" s="2" t="s">
        <v>36</v>
      </c>
    </row>
    <row r="42">
      <c r="A42" s="2" t="s">
        <v>159</v>
      </c>
      <c r="B42" s="2" t="s">
        <v>160</v>
      </c>
      <c r="C42" s="2" t="s">
        <v>36</v>
      </c>
    </row>
    <row r="43">
      <c r="A43" s="2" t="s">
        <v>161</v>
      </c>
      <c r="B43" s="2" t="s">
        <v>162</v>
      </c>
      <c r="C43" s="2" t="s">
        <v>36</v>
      </c>
    </row>
    <row r="44">
      <c r="A44" s="2" t="s">
        <v>163</v>
      </c>
      <c r="B44" s="2" t="s">
        <v>164</v>
      </c>
      <c r="C44" s="2" t="s">
        <v>36</v>
      </c>
    </row>
    <row r="45">
      <c r="A45" s="2" t="s">
        <v>165</v>
      </c>
      <c r="B45" s="2" t="s">
        <v>166</v>
      </c>
      <c r="C45" s="2" t="s">
        <v>36</v>
      </c>
    </row>
    <row r="46">
      <c r="A46" s="2" t="s">
        <v>167</v>
      </c>
      <c r="B46" s="2" t="s">
        <v>168</v>
      </c>
      <c r="C46" s="2" t="s">
        <v>36</v>
      </c>
    </row>
    <row r="47">
      <c r="A47" s="2" t="s">
        <v>169</v>
      </c>
      <c r="B47" s="2" t="s">
        <v>170</v>
      </c>
      <c r="C47" s="2" t="s">
        <v>36</v>
      </c>
    </row>
    <row r="48">
      <c r="A48" s="2" t="s">
        <v>171</v>
      </c>
      <c r="B48" s="2" t="s">
        <v>172</v>
      </c>
      <c r="C48" s="2" t="s">
        <v>36</v>
      </c>
    </row>
    <row r="49">
      <c r="A49" s="2" t="s">
        <v>173</v>
      </c>
      <c r="B49" s="2" t="s">
        <v>174</v>
      </c>
      <c r="C49" s="2" t="s">
        <v>36</v>
      </c>
    </row>
    <row r="50">
      <c r="A50" s="2" t="s">
        <v>175</v>
      </c>
      <c r="B50" s="2" t="s">
        <v>176</v>
      </c>
      <c r="C50" s="2" t="s">
        <v>36</v>
      </c>
    </row>
    <row r="51">
      <c r="A51" s="2" t="s">
        <v>177</v>
      </c>
      <c r="B51" s="2" t="s">
        <v>178</v>
      </c>
      <c r="C51" s="2" t="s">
        <v>36</v>
      </c>
    </row>
    <row r="52">
      <c r="A52" s="2" t="s">
        <v>179</v>
      </c>
      <c r="B52" s="2" t="s">
        <v>180</v>
      </c>
      <c r="C52" s="2" t="s">
        <v>36</v>
      </c>
    </row>
    <row r="53">
      <c r="A53" s="2" t="s">
        <v>181</v>
      </c>
      <c r="B53" s="2" t="s">
        <v>182</v>
      </c>
      <c r="C53" s="2" t="s">
        <v>36</v>
      </c>
    </row>
    <row r="54">
      <c r="A54" s="2" t="s">
        <v>183</v>
      </c>
      <c r="B54" s="2" t="s">
        <v>184</v>
      </c>
      <c r="C54" s="2" t="s">
        <v>36</v>
      </c>
    </row>
    <row r="55">
      <c r="A55" s="2" t="s">
        <v>185</v>
      </c>
      <c r="B55" s="2" t="s">
        <v>186</v>
      </c>
      <c r="C55" s="2" t="s">
        <v>36</v>
      </c>
    </row>
    <row r="56">
      <c r="A56" s="2" t="s">
        <v>187</v>
      </c>
      <c r="B56" s="2" t="s">
        <v>188</v>
      </c>
      <c r="C56" s="2" t="s">
        <v>36</v>
      </c>
    </row>
    <row r="57">
      <c r="A57" s="2" t="s">
        <v>189</v>
      </c>
      <c r="B57" s="2" t="s">
        <v>190</v>
      </c>
      <c r="C57" s="2" t="s">
        <v>36</v>
      </c>
    </row>
    <row r="58">
      <c r="A58" s="2" t="s">
        <v>191</v>
      </c>
      <c r="B58" s="2" t="s">
        <v>192</v>
      </c>
      <c r="C58" s="2" t="s">
        <v>36</v>
      </c>
    </row>
    <row r="59">
      <c r="A59" s="2" t="s">
        <v>193</v>
      </c>
      <c r="B59" s="2" t="s">
        <v>194</v>
      </c>
      <c r="C59" s="2" t="s">
        <v>36</v>
      </c>
    </row>
    <row r="60">
      <c r="A60" s="2" t="s">
        <v>195</v>
      </c>
      <c r="B60" s="2" t="s">
        <v>196</v>
      </c>
      <c r="C60" s="2" t="s">
        <v>36</v>
      </c>
    </row>
    <row r="61">
      <c r="A61" s="2" t="s">
        <v>197</v>
      </c>
      <c r="B61" s="2" t="s">
        <v>198</v>
      </c>
      <c r="C61" s="2" t="s">
        <v>36</v>
      </c>
    </row>
    <row r="62">
      <c r="A62" s="2" t="s">
        <v>199</v>
      </c>
      <c r="B62" s="2" t="s">
        <v>200</v>
      </c>
      <c r="C62" s="2" t="s">
        <v>36</v>
      </c>
    </row>
    <row r="63">
      <c r="A63" s="2" t="s">
        <v>201</v>
      </c>
      <c r="B63" s="2" t="s">
        <v>202</v>
      </c>
      <c r="C63" s="2" t="s">
        <v>36</v>
      </c>
    </row>
    <row r="64">
      <c r="A64" s="2" t="s">
        <v>203</v>
      </c>
      <c r="B64" s="2" t="s">
        <v>204</v>
      </c>
      <c r="C64" s="2" t="s">
        <v>36</v>
      </c>
    </row>
    <row r="65">
      <c r="A65" s="2" t="s">
        <v>205</v>
      </c>
      <c r="B65" s="2" t="s">
        <v>206</v>
      </c>
      <c r="C65" s="2" t="s">
        <v>36</v>
      </c>
    </row>
    <row r="66">
      <c r="A66" s="2" t="s">
        <v>207</v>
      </c>
      <c r="B66" s="2" t="s">
        <v>208</v>
      </c>
      <c r="C66" s="2" t="s">
        <v>36</v>
      </c>
    </row>
    <row r="67">
      <c r="A67" s="2" t="s">
        <v>209</v>
      </c>
      <c r="B67" s="2" t="s">
        <v>210</v>
      </c>
      <c r="C67" s="2" t="s">
        <v>36</v>
      </c>
    </row>
    <row r="68">
      <c r="A68" s="2" t="s">
        <v>211</v>
      </c>
      <c r="B68" s="2" t="s">
        <v>212</v>
      </c>
      <c r="C68" s="2" t="s">
        <v>36</v>
      </c>
    </row>
    <row r="69">
      <c r="A69" s="2" t="s">
        <v>213</v>
      </c>
      <c r="B69" s="2" t="s">
        <v>214</v>
      </c>
      <c r="C69" s="2" t="s">
        <v>36</v>
      </c>
    </row>
    <row r="70">
      <c r="A70" s="2" t="s">
        <v>215</v>
      </c>
      <c r="B70" s="2" t="s">
        <v>216</v>
      </c>
      <c r="C70" s="2" t="s">
        <v>36</v>
      </c>
    </row>
    <row r="71">
      <c r="A71" s="2" t="s">
        <v>217</v>
      </c>
      <c r="B71" s="2" t="s">
        <v>218</v>
      </c>
      <c r="C71" s="2" t="s">
        <v>36</v>
      </c>
    </row>
    <row r="72">
      <c r="A72" s="2" t="s">
        <v>219</v>
      </c>
      <c r="B72" s="2" t="s">
        <v>220</v>
      </c>
      <c r="C72" s="2" t="s">
        <v>36</v>
      </c>
    </row>
    <row r="73">
      <c r="A73" s="2" t="s">
        <v>221</v>
      </c>
      <c r="B73" s="2" t="s">
        <v>222</v>
      </c>
      <c r="C73" s="2" t="s">
        <v>36</v>
      </c>
    </row>
    <row r="74">
      <c r="A74" s="2" t="s">
        <v>223</v>
      </c>
      <c r="B74" s="2" t="s">
        <v>224</v>
      </c>
      <c r="C74" s="2" t="s">
        <v>36</v>
      </c>
    </row>
    <row r="75">
      <c r="A75" s="2" t="s">
        <v>225</v>
      </c>
      <c r="B75" s="2" t="s">
        <v>226</v>
      </c>
      <c r="C75" s="2" t="s">
        <v>36</v>
      </c>
    </row>
    <row r="76">
      <c r="A76" s="2" t="s">
        <v>227</v>
      </c>
      <c r="B76" s="2" t="s">
        <v>228</v>
      </c>
      <c r="C76" s="2" t="s">
        <v>36</v>
      </c>
    </row>
    <row r="77">
      <c r="A77" s="2" t="s">
        <v>229</v>
      </c>
      <c r="B77" s="2" t="s">
        <v>230</v>
      </c>
      <c r="C77" s="2" t="s">
        <v>36</v>
      </c>
    </row>
    <row r="78">
      <c r="A78" s="2" t="s">
        <v>231</v>
      </c>
      <c r="B78" s="2" t="s">
        <v>232</v>
      </c>
      <c r="C78" s="2" t="s">
        <v>36</v>
      </c>
    </row>
    <row r="79">
      <c r="A79" s="2" t="s">
        <v>233</v>
      </c>
      <c r="B79" s="2" t="s">
        <v>234</v>
      </c>
      <c r="C79" s="2" t="s">
        <v>36</v>
      </c>
    </row>
    <row r="80">
      <c r="A80" s="2" t="s">
        <v>235</v>
      </c>
      <c r="B80" s="2" t="s">
        <v>236</v>
      </c>
      <c r="C80" s="2" t="s">
        <v>36</v>
      </c>
    </row>
    <row r="81">
      <c r="A81" s="2" t="s">
        <v>237</v>
      </c>
      <c r="B81" s="2" t="s">
        <v>238</v>
      </c>
      <c r="C81" s="2" t="s">
        <v>36</v>
      </c>
    </row>
    <row r="82">
      <c r="A82" s="2" t="s">
        <v>239</v>
      </c>
      <c r="B82" s="2" t="s">
        <v>240</v>
      </c>
      <c r="C82" s="2" t="s">
        <v>36</v>
      </c>
    </row>
    <row r="83">
      <c r="A83" s="2" t="s">
        <v>241</v>
      </c>
      <c r="B83" s="2" t="s">
        <v>242</v>
      </c>
      <c r="C83" s="2" t="s">
        <v>36</v>
      </c>
    </row>
    <row r="84">
      <c r="A84" s="2" t="s">
        <v>243</v>
      </c>
      <c r="B84" s="2" t="s">
        <v>244</v>
      </c>
      <c r="C84" s="2" t="s">
        <v>36</v>
      </c>
    </row>
    <row r="85">
      <c r="A85" s="2" t="s">
        <v>245</v>
      </c>
      <c r="B85" s="2" t="s">
        <v>246</v>
      </c>
      <c r="C85" s="2" t="s">
        <v>36</v>
      </c>
    </row>
    <row r="86">
      <c r="A86" s="2" t="s">
        <v>247</v>
      </c>
      <c r="B86" s="2" t="s">
        <v>248</v>
      </c>
      <c r="C86" s="2" t="s">
        <v>36</v>
      </c>
    </row>
    <row r="87">
      <c r="A87" s="2" t="s">
        <v>249</v>
      </c>
      <c r="B87" s="2" t="s">
        <v>250</v>
      </c>
      <c r="C87" s="2" t="s">
        <v>36</v>
      </c>
    </row>
    <row r="88">
      <c r="A88" s="2" t="s">
        <v>251</v>
      </c>
      <c r="B88" s="2" t="s">
        <v>252</v>
      </c>
      <c r="C88" s="2" t="s">
        <v>36</v>
      </c>
    </row>
    <row r="89">
      <c r="A89" s="2" t="s">
        <v>253</v>
      </c>
      <c r="B89" s="2" t="s">
        <v>254</v>
      </c>
      <c r="C89" s="2" t="s">
        <v>36</v>
      </c>
    </row>
    <row r="90">
      <c r="A90" s="2" t="s">
        <v>255</v>
      </c>
      <c r="B90" s="2" t="s">
        <v>256</v>
      </c>
      <c r="C90" s="2" t="s">
        <v>36</v>
      </c>
    </row>
    <row r="91">
      <c r="A91" s="2" t="s">
        <v>257</v>
      </c>
      <c r="B91" s="2" t="s">
        <v>258</v>
      </c>
      <c r="C91" s="2" t="s">
        <v>36</v>
      </c>
    </row>
    <row r="92">
      <c r="A92" s="2" t="s">
        <v>259</v>
      </c>
      <c r="B92" s="2" t="s">
        <v>260</v>
      </c>
      <c r="C92" s="2" t="s">
        <v>36</v>
      </c>
    </row>
    <row r="93">
      <c r="A93" s="2" t="s">
        <v>261</v>
      </c>
      <c r="B93" s="2" t="s">
        <v>262</v>
      </c>
      <c r="C93" s="2" t="s">
        <v>36</v>
      </c>
    </row>
    <row r="94">
      <c r="A94" s="2" t="s">
        <v>263</v>
      </c>
      <c r="B94" s="2" t="s">
        <v>264</v>
      </c>
      <c r="C94" s="2" t="s">
        <v>36</v>
      </c>
    </row>
    <row r="95">
      <c r="A95" s="2" t="s">
        <v>265</v>
      </c>
      <c r="B95" s="2" t="s">
        <v>266</v>
      </c>
      <c r="C95" s="2" t="s">
        <v>36</v>
      </c>
    </row>
    <row r="96">
      <c r="A96" s="2" t="s">
        <v>267</v>
      </c>
      <c r="B96" s="2" t="s">
        <v>268</v>
      </c>
      <c r="C96" s="2" t="s">
        <v>36</v>
      </c>
    </row>
    <row r="97">
      <c r="A97" s="2" t="s">
        <v>269</v>
      </c>
      <c r="B97" s="2" t="s">
        <v>270</v>
      </c>
      <c r="C97" s="2" t="s">
        <v>36</v>
      </c>
    </row>
    <row r="98">
      <c r="A98" s="2" t="s">
        <v>271</v>
      </c>
      <c r="B98" s="2" t="s">
        <v>273</v>
      </c>
      <c r="C98" s="2" t="s">
        <v>36</v>
      </c>
    </row>
    <row r="99">
      <c r="A99" s="2" t="s">
        <v>275</v>
      </c>
      <c r="B99" s="2" t="s">
        <v>277</v>
      </c>
      <c r="C99" s="2" t="s">
        <v>36</v>
      </c>
    </row>
    <row r="100">
      <c r="A100" s="2" t="s">
        <v>279</v>
      </c>
      <c r="B100" s="2" t="s">
        <v>280</v>
      </c>
      <c r="C100" s="2" t="s">
        <v>36</v>
      </c>
    </row>
    <row r="101">
      <c r="A101" s="2" t="s">
        <v>282</v>
      </c>
      <c r="B101" s="2" t="s">
        <v>285</v>
      </c>
      <c r="C101" s="2" t="s">
        <v>36</v>
      </c>
    </row>
    <row r="102">
      <c r="A102" s="2" t="s">
        <v>288</v>
      </c>
      <c r="B102" s="2" t="s">
        <v>290</v>
      </c>
      <c r="C102" s="2" t="s">
        <v>36</v>
      </c>
    </row>
    <row r="103">
      <c r="A103" s="2" t="s">
        <v>296</v>
      </c>
      <c r="B103" s="2" t="s">
        <v>300</v>
      </c>
      <c r="C103" s="2" t="s">
        <v>36</v>
      </c>
    </row>
    <row r="104">
      <c r="A104" s="2" t="s">
        <v>305</v>
      </c>
      <c r="B104" s="2" t="s">
        <v>307</v>
      </c>
      <c r="C104" s="2" t="s">
        <v>36</v>
      </c>
    </row>
    <row r="105">
      <c r="A105" s="2" t="s">
        <v>309</v>
      </c>
      <c r="B105" s="2" t="s">
        <v>311</v>
      </c>
      <c r="C105" s="2" t="s">
        <v>36</v>
      </c>
    </row>
    <row r="106">
      <c r="A106" s="2" t="s">
        <v>314</v>
      </c>
      <c r="B106" s="2" t="s">
        <v>315</v>
      </c>
      <c r="C106" s="2" t="s">
        <v>36</v>
      </c>
    </row>
    <row r="107">
      <c r="A107" s="2" t="s">
        <v>318</v>
      </c>
      <c r="B107" s="2" t="s">
        <v>320</v>
      </c>
      <c r="C107" s="2" t="s">
        <v>36</v>
      </c>
    </row>
    <row r="108">
      <c r="A108" s="2" t="s">
        <v>323</v>
      </c>
      <c r="B108" s="2" t="s">
        <v>325</v>
      </c>
      <c r="C108" s="2" t="s">
        <v>36</v>
      </c>
    </row>
    <row r="109">
      <c r="A109" s="2" t="s">
        <v>327</v>
      </c>
      <c r="B109" s="2" t="s">
        <v>329</v>
      </c>
      <c r="C109" s="2" t="s">
        <v>36</v>
      </c>
    </row>
    <row r="110">
      <c r="A110" s="2" t="s">
        <v>331</v>
      </c>
      <c r="B110" s="2" t="s">
        <v>332</v>
      </c>
      <c r="C110" s="2" t="s">
        <v>36</v>
      </c>
    </row>
    <row r="111">
      <c r="A111" s="2" t="s">
        <v>335</v>
      </c>
      <c r="B111" s="2" t="s">
        <v>336</v>
      </c>
      <c r="C111" s="2" t="s">
        <v>36</v>
      </c>
    </row>
    <row r="112">
      <c r="A112" s="2" t="s">
        <v>338</v>
      </c>
      <c r="B112" s="2" t="s">
        <v>340</v>
      </c>
      <c r="C112" s="2" t="s">
        <v>36</v>
      </c>
    </row>
    <row r="113">
      <c r="A113" s="2" t="s">
        <v>342</v>
      </c>
      <c r="B113" s="2" t="s">
        <v>343</v>
      </c>
      <c r="C113" s="2" t="s">
        <v>36</v>
      </c>
    </row>
    <row r="114">
      <c r="A114" s="2" t="s">
        <v>346</v>
      </c>
      <c r="B114" s="2" t="s">
        <v>347</v>
      </c>
      <c r="C114" s="2" t="s">
        <v>36</v>
      </c>
    </row>
    <row r="115">
      <c r="A115" s="2" t="s">
        <v>349</v>
      </c>
      <c r="B115" s="2" t="s">
        <v>351</v>
      </c>
      <c r="C115" s="2" t="s">
        <v>36</v>
      </c>
    </row>
    <row r="116">
      <c r="A116" s="2" t="s">
        <v>353</v>
      </c>
      <c r="B116" s="2" t="s">
        <v>355</v>
      </c>
      <c r="C116" s="2" t="s">
        <v>36</v>
      </c>
    </row>
    <row r="117">
      <c r="A117" s="2" t="s">
        <v>357</v>
      </c>
      <c r="B117" s="2" t="s">
        <v>358</v>
      </c>
      <c r="C117" s="2" t="s">
        <v>36</v>
      </c>
    </row>
    <row r="118">
      <c r="A118" s="2" t="s">
        <v>361</v>
      </c>
      <c r="B118" s="2" t="s">
        <v>362</v>
      </c>
      <c r="C118" s="2" t="s">
        <v>36</v>
      </c>
    </row>
    <row r="119">
      <c r="A119" s="2" t="s">
        <v>364</v>
      </c>
      <c r="B119" s="2" t="s">
        <v>362</v>
      </c>
      <c r="C119" s="2" t="s">
        <v>36</v>
      </c>
    </row>
    <row r="120">
      <c r="A120" s="2" t="s">
        <v>367</v>
      </c>
      <c r="B120" s="2" t="s">
        <v>369</v>
      </c>
      <c r="C120" s="2" t="s">
        <v>36</v>
      </c>
    </row>
    <row r="121">
      <c r="A121" s="2" t="s">
        <v>371</v>
      </c>
      <c r="B121" s="2" t="s">
        <v>372</v>
      </c>
      <c r="C121" s="2" t="s">
        <v>36</v>
      </c>
    </row>
    <row r="122">
      <c r="A122" s="2" t="s">
        <v>375</v>
      </c>
      <c r="B122" s="2" t="s">
        <v>376</v>
      </c>
      <c r="C122" s="2" t="s">
        <v>36</v>
      </c>
    </row>
    <row r="123">
      <c r="A123" s="2" t="s">
        <v>378</v>
      </c>
      <c r="B123" s="2" t="s">
        <v>379</v>
      </c>
      <c r="C123" s="2" t="s">
        <v>36</v>
      </c>
    </row>
    <row r="124">
      <c r="A124" s="2" t="s">
        <v>381</v>
      </c>
      <c r="B124" s="2" t="s">
        <v>382</v>
      </c>
      <c r="C124" s="2" t="s">
        <v>36</v>
      </c>
    </row>
    <row r="125">
      <c r="A125" s="2" t="s">
        <v>383</v>
      </c>
      <c r="B125" s="2" t="s">
        <v>384</v>
      </c>
      <c r="C125" s="2" t="s">
        <v>36</v>
      </c>
    </row>
    <row r="126">
      <c r="A126" s="2" t="s">
        <v>386</v>
      </c>
      <c r="B126" s="2" t="s">
        <v>388</v>
      </c>
      <c r="C126" s="2" t="s">
        <v>36</v>
      </c>
    </row>
    <row r="127">
      <c r="A127" s="2" t="s">
        <v>390</v>
      </c>
      <c r="B127" s="2" t="s">
        <v>391</v>
      </c>
      <c r="C127" s="2" t="s">
        <v>36</v>
      </c>
    </row>
    <row r="128">
      <c r="A128" s="2" t="s">
        <v>393</v>
      </c>
      <c r="B128" s="2" t="s">
        <v>395</v>
      </c>
      <c r="C128" s="2" t="s">
        <v>36</v>
      </c>
    </row>
    <row r="129">
      <c r="A129" s="2" t="s">
        <v>398</v>
      </c>
      <c r="B129" s="2" t="s">
        <v>400</v>
      </c>
      <c r="C129" s="2" t="s">
        <v>36</v>
      </c>
    </row>
    <row r="130">
      <c r="A130" s="2" t="s">
        <v>403</v>
      </c>
      <c r="B130" s="2" t="s">
        <v>405</v>
      </c>
      <c r="C130" s="2" t="s">
        <v>36</v>
      </c>
    </row>
    <row r="131">
      <c r="A131" s="2" t="s">
        <v>407</v>
      </c>
      <c r="B131" s="2" t="s">
        <v>409</v>
      </c>
      <c r="C131" s="2" t="s">
        <v>36</v>
      </c>
    </row>
    <row r="132">
      <c r="A132" s="2" t="s">
        <v>411</v>
      </c>
      <c r="B132" s="2" t="s">
        <v>412</v>
      </c>
      <c r="C132" s="2" t="s">
        <v>36</v>
      </c>
    </row>
    <row r="133">
      <c r="A133" s="2" t="s">
        <v>415</v>
      </c>
      <c r="B133" s="2" t="s">
        <v>416</v>
      </c>
      <c r="C133" s="2" t="s">
        <v>36</v>
      </c>
    </row>
    <row r="134">
      <c r="A134" s="2" t="s">
        <v>419</v>
      </c>
      <c r="B134" s="2" t="s">
        <v>420</v>
      </c>
      <c r="C134" s="2" t="s">
        <v>36</v>
      </c>
    </row>
    <row r="135">
      <c r="A135" s="2" t="s">
        <v>423</v>
      </c>
      <c r="B135" s="2" t="s">
        <v>425</v>
      </c>
      <c r="C135" s="2" t="s">
        <v>36</v>
      </c>
    </row>
    <row r="136">
      <c r="A136" s="2" t="s">
        <v>428</v>
      </c>
      <c r="B136" s="2" t="s">
        <v>429</v>
      </c>
      <c r="C136" s="2" t="s">
        <v>36</v>
      </c>
    </row>
    <row r="137">
      <c r="A137" s="2" t="s">
        <v>431</v>
      </c>
      <c r="B137" s="2" t="s">
        <v>432</v>
      </c>
      <c r="C137" s="2" t="s">
        <v>36</v>
      </c>
    </row>
    <row r="138">
      <c r="A138" s="2" t="s">
        <v>435</v>
      </c>
      <c r="B138" s="2" t="s">
        <v>432</v>
      </c>
      <c r="C138" s="2" t="s">
        <v>36</v>
      </c>
    </row>
    <row r="139">
      <c r="A139" s="2" t="s">
        <v>437</v>
      </c>
      <c r="B139" s="2" t="s">
        <v>432</v>
      </c>
      <c r="C139" s="2" t="s">
        <v>36</v>
      </c>
    </row>
    <row r="140">
      <c r="A140" s="2" t="s">
        <v>440</v>
      </c>
      <c r="B140" s="2" t="s">
        <v>432</v>
      </c>
      <c r="C140" s="2" t="s">
        <v>36</v>
      </c>
    </row>
    <row r="141">
      <c r="A141" s="2" t="s">
        <v>443</v>
      </c>
      <c r="B141" s="2" t="s">
        <v>432</v>
      </c>
      <c r="C141" s="2" t="s">
        <v>36</v>
      </c>
    </row>
    <row r="142">
      <c r="A142" s="2" t="s">
        <v>446</v>
      </c>
      <c r="B142" s="2" t="s">
        <v>449</v>
      </c>
      <c r="C142" s="2" t="s">
        <v>36</v>
      </c>
    </row>
    <row r="143">
      <c r="A143" s="2" t="s">
        <v>452</v>
      </c>
      <c r="B143" s="2" t="s">
        <v>453</v>
      </c>
      <c r="C143" s="2" t="s">
        <v>36</v>
      </c>
    </row>
    <row r="144">
      <c r="A144" s="2" t="s">
        <v>456</v>
      </c>
      <c r="B144" s="2" t="s">
        <v>458</v>
      </c>
      <c r="C144" s="2" t="s">
        <v>36</v>
      </c>
    </row>
    <row r="145">
      <c r="A145" s="2" t="s">
        <v>461</v>
      </c>
      <c r="B145" s="2" t="s">
        <v>463</v>
      </c>
      <c r="C145" s="2" t="s">
        <v>36</v>
      </c>
    </row>
    <row r="146">
      <c r="A146" s="2" t="s">
        <v>467</v>
      </c>
      <c r="B146" s="2" t="s">
        <v>469</v>
      </c>
      <c r="C146" s="2" t="s">
        <v>36</v>
      </c>
    </row>
    <row r="147">
      <c r="A147" s="2" t="s">
        <v>473</v>
      </c>
      <c r="B147" s="2" t="s">
        <v>476</v>
      </c>
      <c r="C147" s="2" t="s">
        <v>36</v>
      </c>
    </row>
    <row r="148">
      <c r="A148" s="2" t="s">
        <v>479</v>
      </c>
      <c r="B148" s="2" t="s">
        <v>482</v>
      </c>
      <c r="C148" s="2" t="s">
        <v>36</v>
      </c>
    </row>
    <row r="149">
      <c r="A149" s="2" t="s">
        <v>484</v>
      </c>
      <c r="B149" s="2" t="s">
        <v>487</v>
      </c>
      <c r="C149" s="2" t="s">
        <v>36</v>
      </c>
    </row>
    <row r="150">
      <c r="A150" s="2" t="s">
        <v>489</v>
      </c>
      <c r="B150" s="2" t="s">
        <v>491</v>
      </c>
      <c r="C150" s="2" t="s">
        <v>36</v>
      </c>
    </row>
    <row r="151">
      <c r="A151" s="2" t="s">
        <v>494</v>
      </c>
      <c r="B151" s="2" t="s">
        <v>495</v>
      </c>
      <c r="C151" s="2" t="s">
        <v>36</v>
      </c>
    </row>
    <row r="152">
      <c r="A152" s="2" t="s">
        <v>498</v>
      </c>
      <c r="B152" s="2" t="s">
        <v>499</v>
      </c>
      <c r="C152" s="2" t="s">
        <v>36</v>
      </c>
    </row>
    <row r="153">
      <c r="A153" s="2" t="s">
        <v>502</v>
      </c>
      <c r="B153" s="2" t="s">
        <v>503</v>
      </c>
      <c r="C153" s="2" t="s">
        <v>36</v>
      </c>
    </row>
    <row r="154">
      <c r="A154" s="2" t="s">
        <v>507</v>
      </c>
      <c r="B154" s="2" t="s">
        <v>509</v>
      </c>
      <c r="C154" s="2" t="s">
        <v>36</v>
      </c>
    </row>
    <row r="155">
      <c r="A155" s="2" t="s">
        <v>511</v>
      </c>
      <c r="B155" s="2" t="s">
        <v>512</v>
      </c>
      <c r="C155" s="2" t="s">
        <v>36</v>
      </c>
    </row>
    <row r="156">
      <c r="A156" s="2" t="s">
        <v>515</v>
      </c>
      <c r="B156" s="2" t="s">
        <v>516</v>
      </c>
      <c r="C156" s="2" t="s">
        <v>36</v>
      </c>
    </row>
    <row r="157">
      <c r="A157" s="2" t="s">
        <v>518</v>
      </c>
      <c r="B157" s="2" t="s">
        <v>520</v>
      </c>
      <c r="C157" s="2" t="s">
        <v>36</v>
      </c>
    </row>
    <row r="158">
      <c r="A158" s="2" t="s">
        <v>524</v>
      </c>
      <c r="B158" s="2" t="s">
        <v>525</v>
      </c>
      <c r="C158" s="2" t="s">
        <v>36</v>
      </c>
    </row>
    <row r="159">
      <c r="A159" s="2" t="s">
        <v>528</v>
      </c>
      <c r="B159" s="2" t="s">
        <v>529</v>
      </c>
      <c r="C159" s="2" t="s">
        <v>36</v>
      </c>
    </row>
    <row r="160">
      <c r="A160" s="2" t="s">
        <v>532</v>
      </c>
      <c r="B160" s="2" t="s">
        <v>534</v>
      </c>
      <c r="C160" s="2" t="s">
        <v>36</v>
      </c>
    </row>
    <row r="161">
      <c r="A161" s="2" t="s">
        <v>536</v>
      </c>
      <c r="B161" s="2" t="s">
        <v>538</v>
      </c>
      <c r="C161" s="2" t="s">
        <v>36</v>
      </c>
    </row>
    <row r="162">
      <c r="A162" s="2" t="s">
        <v>540</v>
      </c>
      <c r="B162" s="2" t="s">
        <v>541</v>
      </c>
      <c r="C162" s="2" t="s">
        <v>36</v>
      </c>
    </row>
    <row r="163">
      <c r="A163" s="2" t="s">
        <v>545</v>
      </c>
      <c r="B163" s="2" t="s">
        <v>548</v>
      </c>
      <c r="C163" s="2" t="s">
        <v>36</v>
      </c>
    </row>
    <row r="164">
      <c r="A164" s="2" t="s">
        <v>551</v>
      </c>
      <c r="B164" s="2" t="s">
        <v>552</v>
      </c>
      <c r="C164" s="2" t="s">
        <v>36</v>
      </c>
    </row>
    <row r="165">
      <c r="A165" s="2" t="s">
        <v>555</v>
      </c>
      <c r="B165" s="2" t="s">
        <v>559</v>
      </c>
      <c r="C165" s="2" t="s">
        <v>36</v>
      </c>
    </row>
    <row r="166">
      <c r="A166" s="2" t="s">
        <v>561</v>
      </c>
      <c r="B166" s="2" t="s">
        <v>562</v>
      </c>
      <c r="C166" s="2" t="s">
        <v>36</v>
      </c>
    </row>
    <row r="167">
      <c r="A167" s="2" t="s">
        <v>565</v>
      </c>
      <c r="B167" s="2" t="s">
        <v>566</v>
      </c>
      <c r="C167" s="2" t="s">
        <v>36</v>
      </c>
    </row>
    <row r="168">
      <c r="A168" s="2" t="s">
        <v>569</v>
      </c>
      <c r="B168" s="2" t="s">
        <v>572</v>
      </c>
      <c r="C168" s="2" t="s">
        <v>36</v>
      </c>
    </row>
    <row r="169">
      <c r="A169" s="2" t="s">
        <v>575</v>
      </c>
      <c r="B169" s="2" t="s">
        <v>576</v>
      </c>
      <c r="C169" s="2" t="s">
        <v>36</v>
      </c>
    </row>
    <row r="170">
      <c r="A170" s="2" t="s">
        <v>579</v>
      </c>
      <c r="B170" s="2" t="s">
        <v>581</v>
      </c>
      <c r="C170" s="2" t="s">
        <v>36</v>
      </c>
    </row>
    <row r="171">
      <c r="A171" s="2" t="s">
        <v>583</v>
      </c>
      <c r="B171" s="2" t="s">
        <v>584</v>
      </c>
      <c r="C171" s="2" t="s">
        <v>36</v>
      </c>
    </row>
    <row r="172">
      <c r="A172" s="2" t="s">
        <v>587</v>
      </c>
      <c r="B172" s="2" t="s">
        <v>588</v>
      </c>
      <c r="C172" s="2" t="s">
        <v>36</v>
      </c>
    </row>
    <row r="173">
      <c r="A173" s="2" t="s">
        <v>591</v>
      </c>
      <c r="B173" s="2" t="s">
        <v>592</v>
      </c>
      <c r="C173" s="2" t="s">
        <v>36</v>
      </c>
    </row>
    <row r="174">
      <c r="A174" s="2" t="s">
        <v>597</v>
      </c>
      <c r="B174" s="2" t="s">
        <v>598</v>
      </c>
      <c r="C174" s="2" t="s">
        <v>36</v>
      </c>
    </row>
    <row r="175">
      <c r="A175" s="2" t="s">
        <v>600</v>
      </c>
      <c r="B175" s="2" t="s">
        <v>603</v>
      </c>
      <c r="C175" s="2" t="s">
        <v>36</v>
      </c>
    </row>
    <row r="176">
      <c r="A176" s="2" t="s">
        <v>605</v>
      </c>
      <c r="B176" s="2" t="s">
        <v>607</v>
      </c>
      <c r="C176" s="2" t="s">
        <v>36</v>
      </c>
    </row>
    <row r="177">
      <c r="A177" s="2" t="s">
        <v>609</v>
      </c>
      <c r="B177" s="2" t="s">
        <v>611</v>
      </c>
      <c r="C177" s="2" t="s">
        <v>36</v>
      </c>
    </row>
    <row r="178">
      <c r="A178" s="2" t="s">
        <v>614</v>
      </c>
      <c r="B178" s="2" t="s">
        <v>615</v>
      </c>
      <c r="C178" s="2" t="s">
        <v>36</v>
      </c>
    </row>
    <row r="179">
      <c r="A179" s="2" t="s">
        <v>619</v>
      </c>
      <c r="B179" s="2" t="s">
        <v>621</v>
      </c>
      <c r="C179" s="2" t="s">
        <v>36</v>
      </c>
    </row>
    <row r="180">
      <c r="A180" s="2" t="s">
        <v>625</v>
      </c>
      <c r="B180" s="2" t="s">
        <v>626</v>
      </c>
      <c r="C180" s="2" t="s">
        <v>36</v>
      </c>
    </row>
    <row r="181">
      <c r="A181" s="2" t="s">
        <v>630</v>
      </c>
      <c r="B181" s="2" t="s">
        <v>631</v>
      </c>
      <c r="C181" s="2" t="s">
        <v>36</v>
      </c>
    </row>
    <row r="182">
      <c r="A182" s="2" t="s">
        <v>634</v>
      </c>
      <c r="B182" s="2" t="s">
        <v>636</v>
      </c>
      <c r="C182" s="2" t="s">
        <v>36</v>
      </c>
    </row>
    <row r="183">
      <c r="A183" s="2" t="s">
        <v>638</v>
      </c>
      <c r="B183" s="2" t="s">
        <v>639</v>
      </c>
      <c r="C183" s="2" t="s">
        <v>36</v>
      </c>
    </row>
    <row r="184">
      <c r="A184" s="2" t="s">
        <v>640</v>
      </c>
      <c r="B184" s="2" t="s">
        <v>641</v>
      </c>
      <c r="C184" s="2" t="s">
        <v>36</v>
      </c>
    </row>
    <row r="185">
      <c r="A185" s="2" t="s">
        <v>642</v>
      </c>
      <c r="B185" s="2" t="s">
        <v>643</v>
      </c>
      <c r="C185" s="2" t="s">
        <v>36</v>
      </c>
    </row>
    <row r="186">
      <c r="A186" s="2" t="s">
        <v>646</v>
      </c>
      <c r="B186" s="2" t="s">
        <v>647</v>
      </c>
      <c r="C186" s="2" t="s">
        <v>36</v>
      </c>
    </row>
    <row r="187">
      <c r="A187" s="2" t="s">
        <v>651</v>
      </c>
      <c r="B187" s="2" t="s">
        <v>652</v>
      </c>
      <c r="C187" s="2" t="s">
        <v>36</v>
      </c>
    </row>
    <row r="188">
      <c r="A188" s="2" t="s">
        <v>654</v>
      </c>
      <c r="B188" s="2" t="s">
        <v>655</v>
      </c>
      <c r="C188" s="2" t="s">
        <v>36</v>
      </c>
    </row>
    <row r="189">
      <c r="A189" s="2" t="s">
        <v>658</v>
      </c>
      <c r="B189" s="2" t="s">
        <v>659</v>
      </c>
      <c r="C189" s="2" t="s">
        <v>36</v>
      </c>
    </row>
    <row r="190">
      <c r="A190" s="2" t="s">
        <v>662</v>
      </c>
      <c r="B190" s="2" t="s">
        <v>664</v>
      </c>
      <c r="C190" s="2" t="s">
        <v>36</v>
      </c>
    </row>
    <row r="191">
      <c r="A191" s="2" t="s">
        <v>667</v>
      </c>
      <c r="B191" s="2" t="s">
        <v>670</v>
      </c>
      <c r="C191" s="2" t="s">
        <v>36</v>
      </c>
    </row>
    <row r="192">
      <c r="A192" s="2" t="s">
        <v>674</v>
      </c>
      <c r="B192" s="2" t="s">
        <v>675</v>
      </c>
      <c r="C192" s="2" t="s">
        <v>36</v>
      </c>
    </row>
    <row r="193">
      <c r="A193" s="2" t="s">
        <v>677</v>
      </c>
      <c r="B193" s="2" t="s">
        <v>680</v>
      </c>
      <c r="C193" s="2" t="s">
        <v>36</v>
      </c>
    </row>
    <row r="194">
      <c r="A194" s="2" t="s">
        <v>682</v>
      </c>
      <c r="B194" s="2" t="s">
        <v>684</v>
      </c>
      <c r="C194" s="2" t="s">
        <v>36</v>
      </c>
    </row>
    <row r="195">
      <c r="A195" s="2" t="s">
        <v>686</v>
      </c>
      <c r="B195" s="2" t="s">
        <v>687</v>
      </c>
      <c r="C195" s="2" t="s">
        <v>36</v>
      </c>
    </row>
    <row r="196">
      <c r="A196" s="2" t="s">
        <v>690</v>
      </c>
      <c r="B196" s="2" t="s">
        <v>691</v>
      </c>
      <c r="C196" s="2" t="s">
        <v>36</v>
      </c>
    </row>
    <row r="197">
      <c r="A197" s="2" t="s">
        <v>693</v>
      </c>
      <c r="B197" s="2" t="s">
        <v>694</v>
      </c>
      <c r="C197" s="2" t="s">
        <v>36</v>
      </c>
    </row>
    <row r="198">
      <c r="A198" s="2" t="s">
        <v>697</v>
      </c>
      <c r="B198" s="2" t="s">
        <v>699</v>
      </c>
      <c r="C198" s="2" t="s">
        <v>36</v>
      </c>
    </row>
    <row r="199">
      <c r="A199" s="2" t="s">
        <v>701</v>
      </c>
      <c r="B199" s="2" t="s">
        <v>703</v>
      </c>
      <c r="C199" s="2" t="s">
        <v>36</v>
      </c>
    </row>
    <row r="200">
      <c r="A200" s="2" t="s">
        <v>707</v>
      </c>
      <c r="B200" s="2" t="s">
        <v>709</v>
      </c>
      <c r="C200" s="2" t="s">
        <v>36</v>
      </c>
    </row>
    <row r="201">
      <c r="A201" s="2" t="s">
        <v>711</v>
      </c>
      <c r="B201" s="2" t="s">
        <v>713</v>
      </c>
      <c r="C201" s="2" t="s">
        <v>36</v>
      </c>
    </row>
    <row r="202">
      <c r="A202" s="2" t="s">
        <v>715</v>
      </c>
      <c r="B202" s="2" t="s">
        <v>716</v>
      </c>
      <c r="C202" s="2" t="s">
        <v>36</v>
      </c>
    </row>
    <row r="203">
      <c r="A203" s="2" t="s">
        <v>719</v>
      </c>
      <c r="B203" s="2" t="s">
        <v>720</v>
      </c>
      <c r="C203" s="2" t="s">
        <v>36</v>
      </c>
    </row>
    <row r="204">
      <c r="A204" s="2" t="s">
        <v>725</v>
      </c>
      <c r="B204" s="2" t="s">
        <v>727</v>
      </c>
      <c r="C204" s="2" t="s">
        <v>36</v>
      </c>
    </row>
    <row r="205">
      <c r="A205" s="2" t="s">
        <v>729</v>
      </c>
      <c r="B205" s="2" t="s">
        <v>730</v>
      </c>
      <c r="C205" s="2" t="s">
        <v>36</v>
      </c>
    </row>
    <row r="206">
      <c r="A206" s="2" t="s">
        <v>733</v>
      </c>
      <c r="B206" s="2" t="s">
        <v>734</v>
      </c>
      <c r="C206" s="2" t="s">
        <v>36</v>
      </c>
    </row>
    <row r="207">
      <c r="A207" s="2" t="s">
        <v>738</v>
      </c>
      <c r="B207" s="2" t="s">
        <v>739</v>
      </c>
      <c r="C207" s="2" t="s">
        <v>36</v>
      </c>
    </row>
    <row r="208">
      <c r="A208" s="2" t="s">
        <v>741</v>
      </c>
      <c r="B208" s="2" t="s">
        <v>743</v>
      </c>
      <c r="C208" s="2" t="s">
        <v>36</v>
      </c>
    </row>
    <row r="209">
      <c r="A209" s="2" t="s">
        <v>745</v>
      </c>
      <c r="B209" s="2" t="s">
        <v>746</v>
      </c>
      <c r="C209" s="2" t="s">
        <v>36</v>
      </c>
    </row>
    <row r="210">
      <c r="A210" s="2" t="s">
        <v>750</v>
      </c>
      <c r="B210" s="2" t="s">
        <v>752</v>
      </c>
      <c r="C210" s="2" t="s">
        <v>36</v>
      </c>
    </row>
    <row r="211">
      <c r="A211" s="2" t="s">
        <v>754</v>
      </c>
      <c r="B211" s="2" t="s">
        <v>756</v>
      </c>
      <c r="C211" s="2" t="s">
        <v>36</v>
      </c>
    </row>
    <row r="212">
      <c r="A212" s="2" t="s">
        <v>758</v>
      </c>
      <c r="B212" s="2" t="s">
        <v>759</v>
      </c>
      <c r="C212" s="2" t="s">
        <v>36</v>
      </c>
    </row>
    <row r="213">
      <c r="A213" s="2" t="s">
        <v>761</v>
      </c>
      <c r="B213" s="2" t="s">
        <v>763</v>
      </c>
      <c r="C213" s="2" t="s">
        <v>36</v>
      </c>
    </row>
    <row r="214">
      <c r="A214" s="2" t="s">
        <v>765</v>
      </c>
      <c r="B214" s="2" t="s">
        <v>767</v>
      </c>
      <c r="C214" s="2" t="s">
        <v>36</v>
      </c>
    </row>
    <row r="215">
      <c r="A215" s="2" t="s">
        <v>774</v>
      </c>
      <c r="B215" s="2" t="s">
        <v>777</v>
      </c>
      <c r="C215" s="2" t="s">
        <v>36</v>
      </c>
    </row>
    <row r="216">
      <c r="A216" s="2" t="s">
        <v>781</v>
      </c>
      <c r="B216" s="2" t="s">
        <v>783</v>
      </c>
      <c r="C216" s="2" t="s">
        <v>36</v>
      </c>
    </row>
    <row r="217">
      <c r="A217" s="2" t="s">
        <v>786</v>
      </c>
      <c r="B217" s="2" t="s">
        <v>787</v>
      </c>
      <c r="C217" s="2" t="s">
        <v>36</v>
      </c>
    </row>
    <row r="218">
      <c r="A218" s="2" t="s">
        <v>789</v>
      </c>
      <c r="B218" s="2" t="s">
        <v>791</v>
      </c>
      <c r="C218" s="2" t="s">
        <v>36</v>
      </c>
    </row>
    <row r="219">
      <c r="A219" s="2" t="s">
        <v>793</v>
      </c>
      <c r="B219" s="2" t="s">
        <v>794</v>
      </c>
      <c r="C219" s="2" t="s">
        <v>36</v>
      </c>
    </row>
    <row r="220">
      <c r="A220" s="2" t="s">
        <v>796</v>
      </c>
      <c r="B220" s="2" t="s">
        <v>797</v>
      </c>
      <c r="C220" s="2" t="s">
        <v>36</v>
      </c>
    </row>
    <row r="221">
      <c r="A221" s="2" t="s">
        <v>799</v>
      </c>
      <c r="B221" s="2" t="s">
        <v>801</v>
      </c>
      <c r="C221" s="2" t="s">
        <v>36</v>
      </c>
    </row>
    <row r="222">
      <c r="A222" s="2" t="s">
        <v>803</v>
      </c>
      <c r="B222" s="2" t="s">
        <v>805</v>
      </c>
      <c r="C222" s="2" t="s">
        <v>36</v>
      </c>
    </row>
    <row r="223">
      <c r="A223" s="2" t="s">
        <v>808</v>
      </c>
      <c r="B223" s="2" t="s">
        <v>809</v>
      </c>
      <c r="C223" s="2" t="s">
        <v>36</v>
      </c>
    </row>
    <row r="224">
      <c r="A224" s="2" t="s">
        <v>812</v>
      </c>
      <c r="B224" s="2" t="s">
        <v>813</v>
      </c>
      <c r="C224" s="2" t="s">
        <v>36</v>
      </c>
    </row>
    <row r="225">
      <c r="A225" s="2" t="s">
        <v>815</v>
      </c>
      <c r="B225" s="2" t="s">
        <v>817</v>
      </c>
      <c r="C225" s="2" t="s">
        <v>36</v>
      </c>
    </row>
    <row r="226">
      <c r="A226" s="2" t="s">
        <v>819</v>
      </c>
      <c r="B226" s="2" t="s">
        <v>820</v>
      </c>
      <c r="C226" s="2" t="s">
        <v>36</v>
      </c>
    </row>
    <row r="227">
      <c r="A227" s="2" t="s">
        <v>823</v>
      </c>
      <c r="B227" s="2" t="s">
        <v>824</v>
      </c>
      <c r="C227" s="2" t="s">
        <v>36</v>
      </c>
    </row>
    <row r="228">
      <c r="A228" s="2" t="s">
        <v>826</v>
      </c>
      <c r="B228" s="2" t="s">
        <v>828</v>
      </c>
      <c r="C228" s="2" t="s">
        <v>36</v>
      </c>
    </row>
    <row r="229">
      <c r="A229" s="2" t="s">
        <v>832</v>
      </c>
      <c r="B229" s="2" t="s">
        <v>834</v>
      </c>
      <c r="C229" s="2" t="s">
        <v>36</v>
      </c>
    </row>
    <row r="230">
      <c r="A230" s="2" t="s">
        <v>836</v>
      </c>
      <c r="B230" s="2" t="s">
        <v>838</v>
      </c>
      <c r="C230" s="2" t="s">
        <v>36</v>
      </c>
    </row>
    <row r="231">
      <c r="A231" s="2" t="s">
        <v>840</v>
      </c>
      <c r="B231" s="2" t="s">
        <v>841</v>
      </c>
      <c r="C231" s="2" t="s">
        <v>36</v>
      </c>
    </row>
    <row r="232">
      <c r="A232" s="2" t="s">
        <v>843</v>
      </c>
      <c r="B232" s="2" t="s">
        <v>846</v>
      </c>
      <c r="C232" s="2" t="s">
        <v>36</v>
      </c>
    </row>
    <row r="233">
      <c r="A233" s="2" t="s">
        <v>849</v>
      </c>
      <c r="B233" s="2" t="s">
        <v>851</v>
      </c>
      <c r="C233" s="2" t="s">
        <v>36</v>
      </c>
    </row>
    <row r="234">
      <c r="A234" s="2" t="s">
        <v>853</v>
      </c>
      <c r="B234" s="2" t="s">
        <v>854</v>
      </c>
      <c r="C234" s="2" t="s">
        <v>36</v>
      </c>
    </row>
    <row r="235">
      <c r="A235" s="2" t="s">
        <v>857</v>
      </c>
      <c r="B235" s="2" t="s">
        <v>858</v>
      </c>
      <c r="C235" s="2" t="s">
        <v>36</v>
      </c>
    </row>
    <row r="236">
      <c r="A236" s="2" t="s">
        <v>860</v>
      </c>
      <c r="B236" s="2" t="s">
        <v>862</v>
      </c>
      <c r="C236" s="2" t="s">
        <v>36</v>
      </c>
    </row>
    <row r="237">
      <c r="A237" s="2" t="s">
        <v>864</v>
      </c>
      <c r="B237" s="2" t="s">
        <v>866</v>
      </c>
      <c r="C237" s="2" t="s">
        <v>36</v>
      </c>
    </row>
    <row r="238">
      <c r="A238" s="2" t="s">
        <v>868</v>
      </c>
      <c r="B238" s="2" t="s">
        <v>869</v>
      </c>
      <c r="C238" s="2" t="s">
        <v>36</v>
      </c>
    </row>
    <row r="239">
      <c r="A239" s="2" t="s">
        <v>872</v>
      </c>
      <c r="B239" s="2" t="s">
        <v>873</v>
      </c>
      <c r="C239" s="2" t="s">
        <v>36</v>
      </c>
    </row>
    <row r="240">
      <c r="A240" s="2" t="s">
        <v>876</v>
      </c>
      <c r="B240" s="2" t="s">
        <v>877</v>
      </c>
      <c r="C240" s="2" t="s">
        <v>36</v>
      </c>
    </row>
    <row r="241">
      <c r="A241" s="2" t="s">
        <v>880</v>
      </c>
      <c r="B241" s="2" t="s">
        <v>881</v>
      </c>
      <c r="C241" s="2" t="s">
        <v>36</v>
      </c>
    </row>
    <row r="242">
      <c r="A242" s="2" t="s">
        <v>883</v>
      </c>
      <c r="B242" s="2" t="s">
        <v>885</v>
      </c>
      <c r="C242" s="2" t="s">
        <v>36</v>
      </c>
    </row>
    <row r="243">
      <c r="A243" s="2" t="s">
        <v>887</v>
      </c>
      <c r="B243" s="2" t="s">
        <v>889</v>
      </c>
      <c r="C243" s="2" t="s">
        <v>36</v>
      </c>
    </row>
    <row r="244">
      <c r="A244" s="2" t="s">
        <v>891</v>
      </c>
      <c r="B244" s="2" t="s">
        <v>893</v>
      </c>
      <c r="C244" s="2" t="s">
        <v>36</v>
      </c>
    </row>
    <row r="245">
      <c r="A245" s="2" t="s">
        <v>895</v>
      </c>
      <c r="B245" s="2" t="s">
        <v>897</v>
      </c>
      <c r="C245" s="2" t="s">
        <v>36</v>
      </c>
    </row>
    <row r="246">
      <c r="A246" s="2" t="s">
        <v>899</v>
      </c>
      <c r="B246" s="2" t="s">
        <v>901</v>
      </c>
      <c r="C246" s="2" t="s">
        <v>36</v>
      </c>
    </row>
    <row r="247">
      <c r="A247" s="2" t="s">
        <v>903</v>
      </c>
      <c r="B247" s="2" t="s">
        <v>905</v>
      </c>
      <c r="C247" s="2" t="s">
        <v>36</v>
      </c>
    </row>
    <row r="248">
      <c r="A248" s="2" t="s">
        <v>907</v>
      </c>
      <c r="B248" s="2" t="s">
        <v>908</v>
      </c>
      <c r="C248" s="2" t="s">
        <v>36</v>
      </c>
    </row>
    <row r="249">
      <c r="A249" s="2" t="s">
        <v>910</v>
      </c>
      <c r="B249" s="2" t="s">
        <v>912</v>
      </c>
      <c r="C249" s="2" t="s">
        <v>36</v>
      </c>
    </row>
    <row r="250">
      <c r="A250" s="2" t="s">
        <v>913</v>
      </c>
      <c r="B250" s="2" t="s">
        <v>915</v>
      </c>
      <c r="C250" s="2" t="s">
        <v>36</v>
      </c>
    </row>
    <row r="251">
      <c r="A251" s="2" t="s">
        <v>917</v>
      </c>
      <c r="B251" s="2" t="s">
        <v>919</v>
      </c>
      <c r="C251" s="2" t="s">
        <v>36</v>
      </c>
    </row>
    <row r="252">
      <c r="A252" s="2" t="s">
        <v>923</v>
      </c>
      <c r="B252" s="2" t="s">
        <v>924</v>
      </c>
      <c r="C252" s="2" t="s">
        <v>36</v>
      </c>
    </row>
    <row r="253">
      <c r="A253" s="2" t="s">
        <v>927</v>
      </c>
      <c r="B253" s="2" t="s">
        <v>928</v>
      </c>
      <c r="C253" s="2" t="s">
        <v>36</v>
      </c>
    </row>
    <row r="254">
      <c r="A254" s="2" t="s">
        <v>931</v>
      </c>
      <c r="B254" s="2" t="s">
        <v>932</v>
      </c>
      <c r="C254" s="2" t="s">
        <v>36</v>
      </c>
    </row>
    <row r="255">
      <c r="A255" s="2" t="s">
        <v>936</v>
      </c>
      <c r="B255" s="2" t="s">
        <v>938</v>
      </c>
      <c r="C255" s="2" t="s">
        <v>36</v>
      </c>
    </row>
    <row r="256">
      <c r="A256" s="2" t="s">
        <v>941</v>
      </c>
      <c r="B256" s="2" t="s">
        <v>943</v>
      </c>
      <c r="C256" s="2" t="s">
        <v>36</v>
      </c>
    </row>
    <row r="257">
      <c r="A257" s="2" t="s">
        <v>945</v>
      </c>
      <c r="B257" s="2" t="s">
        <v>946</v>
      </c>
      <c r="C257" s="2" t="s">
        <v>36</v>
      </c>
    </row>
    <row r="258">
      <c r="A258" s="2" t="s">
        <v>949</v>
      </c>
      <c r="B258" s="2" t="s">
        <v>950</v>
      </c>
      <c r="C258" s="2" t="s">
        <v>36</v>
      </c>
    </row>
    <row r="259">
      <c r="A259" s="2" t="s">
        <v>952</v>
      </c>
      <c r="B259" s="2" t="s">
        <v>954</v>
      </c>
      <c r="C259" s="2" t="s">
        <v>36</v>
      </c>
    </row>
    <row r="260">
      <c r="A260" s="2" t="s">
        <v>956</v>
      </c>
      <c r="B260" s="2" t="s">
        <v>958</v>
      </c>
      <c r="C260" s="2" t="s">
        <v>36</v>
      </c>
    </row>
    <row r="261">
      <c r="A261" s="2" t="s">
        <v>962</v>
      </c>
      <c r="B261" s="2" t="s">
        <v>963</v>
      </c>
      <c r="C261" s="2" t="s">
        <v>36</v>
      </c>
    </row>
    <row r="262">
      <c r="A262" s="2" t="s">
        <v>967</v>
      </c>
      <c r="B262" s="2" t="s">
        <v>969</v>
      </c>
      <c r="C262" s="2" t="s">
        <v>36</v>
      </c>
    </row>
    <row r="263">
      <c r="A263" s="2" t="s">
        <v>971</v>
      </c>
      <c r="B263" s="2" t="s">
        <v>973</v>
      </c>
      <c r="C263" s="2" t="s">
        <v>36</v>
      </c>
    </row>
    <row r="264">
      <c r="A264" s="2" t="s">
        <v>974</v>
      </c>
      <c r="B264" s="2" t="s">
        <v>975</v>
      </c>
      <c r="C264" s="2" t="s">
        <v>36</v>
      </c>
    </row>
    <row r="265">
      <c r="A265" s="2" t="s">
        <v>976</v>
      </c>
      <c r="B265" s="2" t="s">
        <v>977</v>
      </c>
      <c r="C265" s="2" t="s">
        <v>36</v>
      </c>
    </row>
    <row r="266">
      <c r="A266" s="2" t="s">
        <v>978</v>
      </c>
      <c r="B266" s="2" t="s">
        <v>979</v>
      </c>
      <c r="C266" s="2" t="s">
        <v>36</v>
      </c>
    </row>
    <row r="267">
      <c r="A267" s="2" t="s">
        <v>980</v>
      </c>
      <c r="B267" s="2" t="s">
        <v>981</v>
      </c>
      <c r="C267" s="2" t="s">
        <v>36</v>
      </c>
    </row>
    <row r="268">
      <c r="A268" s="2" t="s">
        <v>983</v>
      </c>
      <c r="B268" s="2" t="s">
        <v>985</v>
      </c>
      <c r="C268" s="2" t="s">
        <v>36</v>
      </c>
    </row>
    <row r="269">
      <c r="A269" s="2" t="s">
        <v>989</v>
      </c>
      <c r="B269" s="2" t="s">
        <v>990</v>
      </c>
      <c r="C269" s="2" t="s">
        <v>36</v>
      </c>
    </row>
    <row r="270">
      <c r="A270" s="2" t="s">
        <v>992</v>
      </c>
      <c r="B270" s="2" t="s">
        <v>990</v>
      </c>
      <c r="C270" s="2" t="s">
        <v>36</v>
      </c>
    </row>
    <row r="271">
      <c r="A271" s="2" t="s">
        <v>995</v>
      </c>
      <c r="B271" s="2" t="s">
        <v>996</v>
      </c>
      <c r="C271" s="2" t="s">
        <v>36</v>
      </c>
    </row>
    <row r="272">
      <c r="A272" s="2" t="s">
        <v>999</v>
      </c>
      <c r="B272" s="2" t="s">
        <v>1000</v>
      </c>
      <c r="C272" s="2" t="s">
        <v>36</v>
      </c>
    </row>
    <row r="273">
      <c r="A273" s="2" t="s">
        <v>1002</v>
      </c>
      <c r="B273" s="2" t="s">
        <v>1003</v>
      </c>
      <c r="C273" s="2" t="s">
        <v>36</v>
      </c>
    </row>
    <row r="274">
      <c r="A274" s="2" t="s">
        <v>1006</v>
      </c>
      <c r="B274" s="2" t="s">
        <v>1007</v>
      </c>
      <c r="C274" s="2" t="s">
        <v>36</v>
      </c>
    </row>
    <row r="275">
      <c r="A275" s="2" t="s">
        <v>1010</v>
      </c>
      <c r="B275" s="2" t="s">
        <v>1012</v>
      </c>
      <c r="C275" s="2" t="s">
        <v>36</v>
      </c>
    </row>
    <row r="276">
      <c r="A276" s="2" t="s">
        <v>1014</v>
      </c>
      <c r="B276" s="2" t="s">
        <v>1016</v>
      </c>
      <c r="C276" s="2" t="s">
        <v>36</v>
      </c>
    </row>
    <row r="277">
      <c r="A277" s="2" t="s">
        <v>1018</v>
      </c>
      <c r="B277" s="2" t="s">
        <v>1019</v>
      </c>
      <c r="C277" s="2" t="s">
        <v>36</v>
      </c>
    </row>
    <row r="278">
      <c r="A278" s="2" t="s">
        <v>1022</v>
      </c>
      <c r="B278" s="2" t="s">
        <v>1023</v>
      </c>
      <c r="C278" s="2" t="s">
        <v>36</v>
      </c>
    </row>
    <row r="279">
      <c r="A279" s="2" t="s">
        <v>1024</v>
      </c>
      <c r="B279" s="2" t="s">
        <v>1026</v>
      </c>
      <c r="C279" s="2" t="s">
        <v>36</v>
      </c>
    </row>
    <row r="280">
      <c r="A280" s="2" t="s">
        <v>1028</v>
      </c>
      <c r="B280" s="2" t="s">
        <v>1030</v>
      </c>
      <c r="C280" s="2" t="s">
        <v>36</v>
      </c>
    </row>
    <row r="281">
      <c r="A281" s="2" t="s">
        <v>1032</v>
      </c>
      <c r="B281" s="2" t="s">
        <v>1033</v>
      </c>
      <c r="C281" s="2" t="s">
        <v>36</v>
      </c>
    </row>
    <row r="282">
      <c r="A282" s="2" t="s">
        <v>1035</v>
      </c>
      <c r="B282" s="2" t="s">
        <v>1037</v>
      </c>
      <c r="C282" s="2" t="s">
        <v>36</v>
      </c>
    </row>
    <row r="283">
      <c r="A283" s="2" t="s">
        <v>1040</v>
      </c>
      <c r="B283" s="2" t="s">
        <v>1041</v>
      </c>
      <c r="C283" s="2" t="s">
        <v>36</v>
      </c>
    </row>
    <row r="284">
      <c r="A284" s="2" t="s">
        <v>1043</v>
      </c>
      <c r="B284" s="2" t="s">
        <v>1045</v>
      </c>
      <c r="C284" s="2" t="s">
        <v>36</v>
      </c>
    </row>
    <row r="285">
      <c r="A285" s="2" t="s">
        <v>1047</v>
      </c>
      <c r="B285" s="2" t="s">
        <v>1048</v>
      </c>
      <c r="C285" s="2" t="s">
        <v>36</v>
      </c>
    </row>
    <row r="286">
      <c r="A286" s="2" t="s">
        <v>1049</v>
      </c>
      <c r="B286" s="2" t="s">
        <v>1050</v>
      </c>
      <c r="C286" s="2" t="s">
        <v>36</v>
      </c>
    </row>
    <row r="287">
      <c r="A287" s="2" t="s">
        <v>1051</v>
      </c>
      <c r="B287" s="2" t="s">
        <v>1050</v>
      </c>
      <c r="C287" s="2" t="s">
        <v>36</v>
      </c>
    </row>
    <row r="288">
      <c r="A288" s="2" t="s">
        <v>1054</v>
      </c>
      <c r="B288" s="2" t="s">
        <v>1050</v>
      </c>
      <c r="C288" s="2" t="s">
        <v>36</v>
      </c>
    </row>
    <row r="289">
      <c r="A289" s="2" t="s">
        <v>1057</v>
      </c>
      <c r="B289" s="2" t="s">
        <v>1050</v>
      </c>
      <c r="C289" s="2" t="s">
        <v>36</v>
      </c>
    </row>
    <row r="290">
      <c r="A290" s="2" t="s">
        <v>1059</v>
      </c>
      <c r="B290" s="2" t="s">
        <v>1050</v>
      </c>
      <c r="C290" s="2" t="s">
        <v>36</v>
      </c>
    </row>
    <row r="291">
      <c r="A291" s="2" t="s">
        <v>1063</v>
      </c>
      <c r="B291" s="2" t="s">
        <v>1050</v>
      </c>
      <c r="C291" s="2" t="s">
        <v>36</v>
      </c>
    </row>
    <row r="292">
      <c r="A292" s="2" t="s">
        <v>1067</v>
      </c>
      <c r="B292" s="2" t="s">
        <v>1069</v>
      </c>
      <c r="C292" s="2" t="s">
        <v>36</v>
      </c>
    </row>
    <row r="293">
      <c r="A293" s="2" t="s">
        <v>1072</v>
      </c>
      <c r="B293" s="2" t="s">
        <v>1073</v>
      </c>
      <c r="C293" s="2" t="s">
        <v>36</v>
      </c>
    </row>
    <row r="294">
      <c r="A294" s="2" t="s">
        <v>1076</v>
      </c>
      <c r="B294" s="2" t="s">
        <v>1077</v>
      </c>
      <c r="C294" s="2" t="s">
        <v>36</v>
      </c>
    </row>
    <row r="295">
      <c r="A295" s="2" t="s">
        <v>1079</v>
      </c>
      <c r="B295" s="2" t="s">
        <v>1080</v>
      </c>
      <c r="C295" s="2" t="s">
        <v>36</v>
      </c>
    </row>
    <row r="296">
      <c r="A296" s="2" t="s">
        <v>1083</v>
      </c>
      <c r="B296" s="2" t="s">
        <v>1085</v>
      </c>
      <c r="C296" s="2" t="s">
        <v>36</v>
      </c>
    </row>
    <row r="297">
      <c r="A297" s="2" t="s">
        <v>1091</v>
      </c>
      <c r="B297" s="2" t="s">
        <v>1093</v>
      </c>
      <c r="C297" s="2" t="s">
        <v>36</v>
      </c>
    </row>
    <row r="298">
      <c r="A298" s="2" t="s">
        <v>1095</v>
      </c>
      <c r="B298" s="2" t="s">
        <v>1097</v>
      </c>
      <c r="C298" s="2" t="s">
        <v>36</v>
      </c>
    </row>
    <row r="299">
      <c r="A299" s="2" t="s">
        <v>1099</v>
      </c>
      <c r="B299" s="2" t="s">
        <v>1100</v>
      </c>
      <c r="C299" s="2" t="s">
        <v>36</v>
      </c>
    </row>
    <row r="300">
      <c r="A300" s="2" t="s">
        <v>1103</v>
      </c>
      <c r="B300" s="2" t="s">
        <v>1104</v>
      </c>
      <c r="C300" s="2" t="s">
        <v>36</v>
      </c>
    </row>
    <row r="301">
      <c r="A301" s="2" t="s">
        <v>1109</v>
      </c>
      <c r="B301" s="2" t="s">
        <v>1110</v>
      </c>
      <c r="C301" s="2" t="s">
        <v>36</v>
      </c>
    </row>
    <row r="302">
      <c r="A302" s="2" t="s">
        <v>1112</v>
      </c>
      <c r="B302" s="2" t="s">
        <v>1114</v>
      </c>
      <c r="C302" s="2" t="s">
        <v>36</v>
      </c>
    </row>
    <row r="303">
      <c r="A303" s="2" t="s">
        <v>1116</v>
      </c>
      <c r="B303" s="2" t="s">
        <v>1117</v>
      </c>
      <c r="C303" s="2" t="s">
        <v>36</v>
      </c>
    </row>
    <row r="304">
      <c r="A304" s="2" t="s">
        <v>1119</v>
      </c>
      <c r="B304" s="2" t="s">
        <v>1121</v>
      </c>
      <c r="C304" s="2" t="s">
        <v>36</v>
      </c>
    </row>
    <row r="305">
      <c r="A305" s="2" t="s">
        <v>1127</v>
      </c>
      <c r="B305" s="2" t="s">
        <v>1128</v>
      </c>
      <c r="C305" s="2" t="s">
        <v>36</v>
      </c>
    </row>
    <row r="306">
      <c r="A306" s="2" t="s">
        <v>1131</v>
      </c>
      <c r="B306" s="2" t="s">
        <v>1132</v>
      </c>
      <c r="C306" s="2" t="s">
        <v>36</v>
      </c>
    </row>
    <row r="307">
      <c r="A307" s="2" t="s">
        <v>1135</v>
      </c>
      <c r="B307" s="2" t="s">
        <v>1137</v>
      </c>
      <c r="C307" s="2" t="s">
        <v>36</v>
      </c>
    </row>
    <row r="308">
      <c r="A308" s="2" t="s">
        <v>1140</v>
      </c>
      <c r="B308" s="2" t="s">
        <v>1141</v>
      </c>
      <c r="C308" s="2" t="s">
        <v>36</v>
      </c>
    </row>
    <row r="309">
      <c r="A309" s="2" t="s">
        <v>1144</v>
      </c>
      <c r="B309" s="2" t="s">
        <v>1146</v>
      </c>
      <c r="C309" s="2" t="s">
        <v>36</v>
      </c>
    </row>
    <row r="310">
      <c r="A310" s="2" t="s">
        <v>1149</v>
      </c>
      <c r="B310" s="2" t="s">
        <v>1151</v>
      </c>
      <c r="C310" s="2" t="s">
        <v>36</v>
      </c>
    </row>
    <row r="311">
      <c r="A311" s="2" t="s">
        <v>1153</v>
      </c>
      <c r="B311" s="2" t="s">
        <v>1155</v>
      </c>
      <c r="C311" s="2" t="s">
        <v>36</v>
      </c>
    </row>
    <row r="312">
      <c r="A312" s="2" t="s">
        <v>1157</v>
      </c>
      <c r="B312" s="2" t="s">
        <v>1158</v>
      </c>
      <c r="C312" s="2" t="s">
        <v>36</v>
      </c>
    </row>
    <row r="313">
      <c r="A313" s="2" t="s">
        <v>1162</v>
      </c>
      <c r="B313" s="2" t="s">
        <v>1163</v>
      </c>
      <c r="C313" s="2" t="s">
        <v>36</v>
      </c>
    </row>
    <row r="314">
      <c r="A314" s="2" t="s">
        <v>1166</v>
      </c>
      <c r="B314" s="2" t="s">
        <v>1168</v>
      </c>
      <c r="C314" s="2" t="s">
        <v>36</v>
      </c>
    </row>
    <row r="315">
      <c r="A315" s="2" t="s">
        <v>1172</v>
      </c>
      <c r="B315" s="2" t="s">
        <v>1173</v>
      </c>
      <c r="C315" s="2" t="s">
        <v>36</v>
      </c>
    </row>
    <row r="316">
      <c r="A316" s="2" t="s">
        <v>1176</v>
      </c>
      <c r="B316" s="2" t="s">
        <v>1177</v>
      </c>
      <c r="C316" s="2" t="s">
        <v>36</v>
      </c>
    </row>
    <row r="317">
      <c r="A317" s="2" t="s">
        <v>1179</v>
      </c>
      <c r="B317" s="2" t="s">
        <v>1181</v>
      </c>
      <c r="C317" s="2" t="s">
        <v>36</v>
      </c>
    </row>
    <row r="318">
      <c r="A318" s="2" t="s">
        <v>1184</v>
      </c>
      <c r="B318" s="2" t="s">
        <v>1186</v>
      </c>
      <c r="C318" s="2" t="s">
        <v>36</v>
      </c>
    </row>
    <row r="319">
      <c r="A319" s="2" t="s">
        <v>1187</v>
      </c>
      <c r="B319" s="2" t="s">
        <v>1189</v>
      </c>
      <c r="C319" s="2" t="s">
        <v>36</v>
      </c>
    </row>
    <row r="320">
      <c r="A320" s="2" t="s">
        <v>1192</v>
      </c>
      <c r="B320" s="2" t="s">
        <v>1194</v>
      </c>
      <c r="C320" s="2" t="s">
        <v>36</v>
      </c>
    </row>
    <row r="321">
      <c r="A321" s="2" t="s">
        <v>1196</v>
      </c>
      <c r="B321" s="2" t="s">
        <v>1197</v>
      </c>
      <c r="C321" s="2" t="s">
        <v>36</v>
      </c>
    </row>
    <row r="322">
      <c r="A322" s="2" t="s">
        <v>1200</v>
      </c>
      <c r="B322" s="2" t="s">
        <v>1201</v>
      </c>
      <c r="C322" s="2" t="s">
        <v>36</v>
      </c>
    </row>
    <row r="323">
      <c r="A323" s="2" t="s">
        <v>1203</v>
      </c>
      <c r="B323" s="2" t="s">
        <v>1205</v>
      </c>
      <c r="C323" s="2" t="s">
        <v>36</v>
      </c>
    </row>
    <row r="324">
      <c r="A324" s="2" t="s">
        <v>1208</v>
      </c>
      <c r="B324" s="2" t="s">
        <v>1210</v>
      </c>
      <c r="C324" s="2" t="s">
        <v>36</v>
      </c>
    </row>
    <row r="325">
      <c r="A325" s="2" t="s">
        <v>1212</v>
      </c>
      <c r="B325" s="2" t="s">
        <v>1214</v>
      </c>
      <c r="C325" s="2" t="s">
        <v>36</v>
      </c>
    </row>
    <row r="326">
      <c r="A326" s="2" t="s">
        <v>1217</v>
      </c>
      <c r="B326" s="2" t="s">
        <v>1218</v>
      </c>
      <c r="C326" s="2" t="s">
        <v>36</v>
      </c>
    </row>
    <row r="327">
      <c r="A327" s="2" t="s">
        <v>1222</v>
      </c>
      <c r="B327" s="2" t="s">
        <v>1224</v>
      </c>
      <c r="C327" s="2" t="s">
        <v>36</v>
      </c>
    </row>
    <row r="328">
      <c r="A328" s="2" t="s">
        <v>1227</v>
      </c>
      <c r="B328" s="2" t="s">
        <v>1229</v>
      </c>
      <c r="C328" s="2" t="s">
        <v>36</v>
      </c>
    </row>
    <row r="329">
      <c r="A329" s="2" t="s">
        <v>1230</v>
      </c>
      <c r="B329" s="2" t="s">
        <v>1232</v>
      </c>
      <c r="C329" s="2" t="s">
        <v>36</v>
      </c>
    </row>
    <row r="330">
      <c r="A330" s="2" t="s">
        <v>1234</v>
      </c>
      <c r="B330" s="2" t="s">
        <v>1236</v>
      </c>
      <c r="C330" s="2" t="s">
        <v>36</v>
      </c>
    </row>
    <row r="331">
      <c r="A331" s="2" t="s">
        <v>1237</v>
      </c>
      <c r="B331" s="2" t="s">
        <v>1239</v>
      </c>
      <c r="C331" s="2" t="s">
        <v>36</v>
      </c>
    </row>
    <row r="332">
      <c r="A332" s="2" t="s">
        <v>1241</v>
      </c>
      <c r="B332" s="2" t="s">
        <v>1243</v>
      </c>
      <c r="C332" s="2" t="s">
        <v>36</v>
      </c>
    </row>
    <row r="333">
      <c r="A333" s="2" t="s">
        <v>1247</v>
      </c>
      <c r="B333" s="2" t="s">
        <v>1249</v>
      </c>
      <c r="C333" s="2" t="s">
        <v>36</v>
      </c>
    </row>
    <row r="334">
      <c r="A334" s="2" t="s">
        <v>1251</v>
      </c>
      <c r="B334" s="2" t="s">
        <v>1253</v>
      </c>
      <c r="C334" s="2" t="s">
        <v>36</v>
      </c>
    </row>
    <row r="335">
      <c r="A335" s="2" t="s">
        <v>1254</v>
      </c>
      <c r="B335" s="2" t="s">
        <v>1255</v>
      </c>
      <c r="C335" s="2" t="s">
        <v>36</v>
      </c>
    </row>
    <row r="336">
      <c r="A336" s="2" t="s">
        <v>1258</v>
      </c>
      <c r="B336" s="2" t="s">
        <v>1260</v>
      </c>
      <c r="C336" s="2" t="s">
        <v>36</v>
      </c>
    </row>
    <row r="337">
      <c r="A337" s="2" t="s">
        <v>1263</v>
      </c>
      <c r="B337" s="2" t="s">
        <v>1265</v>
      </c>
      <c r="C337" s="2" t="s">
        <v>36</v>
      </c>
    </row>
    <row r="338">
      <c r="A338" s="2" t="s">
        <v>1267</v>
      </c>
      <c r="B338" s="2" t="s">
        <v>1269</v>
      </c>
      <c r="C338" s="2" t="s">
        <v>36</v>
      </c>
    </row>
    <row r="339">
      <c r="A339" s="2" t="s">
        <v>1270</v>
      </c>
      <c r="B339" s="2" t="s">
        <v>1271</v>
      </c>
      <c r="C339" s="2" t="s">
        <v>36</v>
      </c>
    </row>
    <row r="340">
      <c r="A340" s="2" t="s">
        <v>1274</v>
      </c>
      <c r="B340" s="2" t="s">
        <v>1275</v>
      </c>
      <c r="C340" s="2" t="s">
        <v>36</v>
      </c>
    </row>
    <row r="341">
      <c r="A341" s="2" t="s">
        <v>1278</v>
      </c>
      <c r="B341" s="2" t="s">
        <v>1279</v>
      </c>
      <c r="C341" s="2" t="s">
        <v>36</v>
      </c>
    </row>
    <row r="342">
      <c r="A342" s="2" t="s">
        <v>1280</v>
      </c>
      <c r="B342" s="2" t="s">
        <v>1281</v>
      </c>
      <c r="C342" s="2" t="s">
        <v>36</v>
      </c>
    </row>
    <row r="343">
      <c r="A343" s="2" t="s">
        <v>1284</v>
      </c>
      <c r="B343" s="2" t="s">
        <v>1286</v>
      </c>
      <c r="C343" s="2" t="s">
        <v>36</v>
      </c>
    </row>
    <row r="344">
      <c r="A344" s="2" t="s">
        <v>1288</v>
      </c>
      <c r="B344" s="2" t="s">
        <v>1290</v>
      </c>
      <c r="C344" s="2" t="s">
        <v>36</v>
      </c>
    </row>
    <row r="345">
      <c r="A345" s="2" t="s">
        <v>1293</v>
      </c>
      <c r="B345" s="2" t="s">
        <v>1294</v>
      </c>
      <c r="C345" s="2" t="s">
        <v>36</v>
      </c>
    </row>
    <row r="346">
      <c r="A346" s="2" t="s">
        <v>1297</v>
      </c>
      <c r="B346" s="2" t="s">
        <v>1298</v>
      </c>
      <c r="C346" s="2" t="s">
        <v>36</v>
      </c>
    </row>
    <row r="347">
      <c r="A347" s="2" t="s">
        <v>1299</v>
      </c>
      <c r="B347" s="2" t="s">
        <v>1301</v>
      </c>
      <c r="C347" s="2" t="s">
        <v>36</v>
      </c>
    </row>
    <row r="348">
      <c r="A348" s="2" t="s">
        <v>1303</v>
      </c>
      <c r="B348" s="2" t="s">
        <v>1305</v>
      </c>
      <c r="C348" s="2" t="s">
        <v>36</v>
      </c>
    </row>
    <row r="349">
      <c r="A349" s="2" t="s">
        <v>1307</v>
      </c>
      <c r="B349" s="2" t="s">
        <v>1309</v>
      </c>
      <c r="C349" s="2" t="s">
        <v>36</v>
      </c>
    </row>
    <row r="350">
      <c r="A350" s="2" t="s">
        <v>1312</v>
      </c>
      <c r="B350" s="2" t="s">
        <v>1314</v>
      </c>
      <c r="C350" s="2" t="s">
        <v>36</v>
      </c>
    </row>
    <row r="351">
      <c r="A351" s="2" t="s">
        <v>1316</v>
      </c>
      <c r="B351" s="2" t="s">
        <v>1318</v>
      </c>
      <c r="C351" s="2" t="s">
        <v>36</v>
      </c>
    </row>
    <row r="352">
      <c r="A352" s="2" t="s">
        <v>1321</v>
      </c>
      <c r="B352" s="2" t="s">
        <v>1323</v>
      </c>
      <c r="C352" s="2" t="s">
        <v>36</v>
      </c>
    </row>
    <row r="353">
      <c r="A353" s="2" t="s">
        <v>1326</v>
      </c>
      <c r="B353" s="2" t="s">
        <v>1323</v>
      </c>
      <c r="C353" s="2" t="s">
        <v>36</v>
      </c>
    </row>
    <row r="354">
      <c r="A354" s="2" t="s">
        <v>1328</v>
      </c>
      <c r="B354" s="2" t="s">
        <v>1330</v>
      </c>
      <c r="C354" s="2" t="s">
        <v>36</v>
      </c>
    </row>
    <row r="355">
      <c r="A355" s="2" t="s">
        <v>1331</v>
      </c>
      <c r="B355" s="2" t="s">
        <v>1330</v>
      </c>
      <c r="C355" s="2" t="s">
        <v>36</v>
      </c>
    </row>
    <row r="356">
      <c r="A356" s="2" t="s">
        <v>1333</v>
      </c>
      <c r="B356" s="2" t="s">
        <v>1335</v>
      </c>
      <c r="C356" s="2" t="s">
        <v>36</v>
      </c>
    </row>
    <row r="357">
      <c r="A357" s="2" t="s">
        <v>1337</v>
      </c>
      <c r="B357" s="2" t="s">
        <v>1339</v>
      </c>
      <c r="C357" s="2" t="s">
        <v>36</v>
      </c>
    </row>
    <row r="358">
      <c r="A358" s="2" t="s">
        <v>1340</v>
      </c>
      <c r="B358" s="2" t="s">
        <v>1339</v>
      </c>
      <c r="C358" s="2" t="s">
        <v>36</v>
      </c>
    </row>
    <row r="359">
      <c r="A359" s="2" t="s">
        <v>1342</v>
      </c>
      <c r="B359" s="2" t="s">
        <v>1343</v>
      </c>
      <c r="C359" s="2" t="s">
        <v>36</v>
      </c>
    </row>
    <row r="360">
      <c r="A360" s="2" t="s">
        <v>1346</v>
      </c>
      <c r="B360" s="2" t="s">
        <v>1347</v>
      </c>
      <c r="C360" s="2" t="s">
        <v>36</v>
      </c>
    </row>
    <row r="361">
      <c r="A361" s="2" t="s">
        <v>1348</v>
      </c>
      <c r="B361" s="2" t="s">
        <v>1349</v>
      </c>
      <c r="C361" s="2" t="s">
        <v>36</v>
      </c>
    </row>
    <row r="362">
      <c r="A362" s="2" t="s">
        <v>1350</v>
      </c>
      <c r="B362" s="2" t="s">
        <v>1352</v>
      </c>
      <c r="C362" s="2" t="s">
        <v>36</v>
      </c>
    </row>
    <row r="363">
      <c r="A363" s="2" t="s">
        <v>1354</v>
      </c>
      <c r="B363" s="2" t="s">
        <v>1356</v>
      </c>
      <c r="C363" s="2" t="s">
        <v>36</v>
      </c>
    </row>
    <row r="364">
      <c r="A364" s="2" t="s">
        <v>1357</v>
      </c>
      <c r="B364" s="2" t="s">
        <v>1356</v>
      </c>
      <c r="C364" s="2" t="s">
        <v>36</v>
      </c>
    </row>
    <row r="365">
      <c r="A365" s="2" t="s">
        <v>1359</v>
      </c>
      <c r="B365" s="2" t="s">
        <v>1362</v>
      </c>
      <c r="C365" s="2" t="s">
        <v>36</v>
      </c>
    </row>
    <row r="366">
      <c r="A366" s="2" t="s">
        <v>1363</v>
      </c>
      <c r="B366" s="2" t="s">
        <v>1364</v>
      </c>
      <c r="C366" s="2" t="s">
        <v>36</v>
      </c>
    </row>
    <row r="367">
      <c r="A367" s="2" t="s">
        <v>1366</v>
      </c>
      <c r="B367" s="2" t="s">
        <v>1364</v>
      </c>
      <c r="C367" s="2" t="s">
        <v>36</v>
      </c>
    </row>
    <row r="368">
      <c r="A368" s="2" t="s">
        <v>1369</v>
      </c>
      <c r="B368" s="2" t="s">
        <v>1370</v>
      </c>
      <c r="C368" s="2" t="s">
        <v>36</v>
      </c>
    </row>
    <row r="369">
      <c r="A369" s="2" t="s">
        <v>1376</v>
      </c>
      <c r="B369" s="2" t="s">
        <v>1370</v>
      </c>
      <c r="C369" s="2" t="s">
        <v>36</v>
      </c>
    </row>
    <row r="370">
      <c r="A370" s="2" t="s">
        <v>1378</v>
      </c>
      <c r="B370" s="2" t="s">
        <v>1379</v>
      </c>
      <c r="C370" s="2" t="s">
        <v>36</v>
      </c>
    </row>
    <row r="371">
      <c r="A371" s="2" t="s">
        <v>1382</v>
      </c>
      <c r="B371" s="2" t="s">
        <v>1379</v>
      </c>
      <c r="C371" s="2" t="s">
        <v>36</v>
      </c>
    </row>
    <row r="372">
      <c r="A372" s="2" t="s">
        <v>1383</v>
      </c>
      <c r="B372" s="2" t="s">
        <v>1385</v>
      </c>
      <c r="C372" s="2" t="s">
        <v>36</v>
      </c>
    </row>
    <row r="373">
      <c r="A373" s="2" t="s">
        <v>1388</v>
      </c>
      <c r="B373" s="2" t="s">
        <v>1385</v>
      </c>
      <c r="C373" s="2" t="s">
        <v>36</v>
      </c>
    </row>
    <row r="374">
      <c r="A374" s="2" t="s">
        <v>1390</v>
      </c>
      <c r="B374" s="2" t="s">
        <v>1393</v>
      </c>
      <c r="C374" s="2" t="s">
        <v>36</v>
      </c>
    </row>
    <row r="375">
      <c r="A375" s="2" t="s">
        <v>1395</v>
      </c>
      <c r="B375" s="2" t="s">
        <v>1397</v>
      </c>
      <c r="C375" s="2" t="s">
        <v>36</v>
      </c>
    </row>
    <row r="376">
      <c r="A376" s="2" t="s">
        <v>1398</v>
      </c>
      <c r="B376" s="2" t="s">
        <v>1399</v>
      </c>
      <c r="C376" s="2" t="s">
        <v>36</v>
      </c>
    </row>
    <row r="377">
      <c r="A377" s="2" t="s">
        <v>1402</v>
      </c>
      <c r="B377" s="2" t="s">
        <v>1404</v>
      </c>
      <c r="C377" s="2" t="s">
        <v>36</v>
      </c>
    </row>
    <row r="378">
      <c r="A378" s="2" t="s">
        <v>1405</v>
      </c>
      <c r="B378" s="2" t="s">
        <v>1406</v>
      </c>
      <c r="C378" s="2" t="s">
        <v>36</v>
      </c>
    </row>
    <row r="379">
      <c r="A379" s="2" t="s">
        <v>1411</v>
      </c>
      <c r="B379" s="2" t="s">
        <v>1413</v>
      </c>
      <c r="C379" s="2" t="s">
        <v>36</v>
      </c>
    </row>
    <row r="380">
      <c r="A380" s="2" t="s">
        <v>1414</v>
      </c>
      <c r="B380" s="2" t="s">
        <v>1415</v>
      </c>
      <c r="C380" s="2" t="s">
        <v>36</v>
      </c>
    </row>
    <row r="381">
      <c r="A381" s="2" t="s">
        <v>1417</v>
      </c>
      <c r="B381" s="2" t="s">
        <v>1419</v>
      </c>
      <c r="C381" s="2" t="s">
        <v>36</v>
      </c>
    </row>
    <row r="382">
      <c r="A382" s="2" t="s">
        <v>1421</v>
      </c>
      <c r="B382" s="2" t="s">
        <v>1422</v>
      </c>
      <c r="C382" s="2" t="s">
        <v>36</v>
      </c>
    </row>
    <row r="383">
      <c r="A383" s="2" t="s">
        <v>1424</v>
      </c>
      <c r="B383" s="2" t="s">
        <v>1425</v>
      </c>
      <c r="C383" s="2" t="s">
        <v>36</v>
      </c>
    </row>
    <row r="384">
      <c r="A384" s="2" t="s">
        <v>1428</v>
      </c>
      <c r="B384" s="2" t="s">
        <v>1425</v>
      </c>
      <c r="C384" s="2" t="s">
        <v>36</v>
      </c>
    </row>
    <row r="385">
      <c r="A385" s="2" t="s">
        <v>1429</v>
      </c>
      <c r="B385" s="2" t="s">
        <v>1430</v>
      </c>
      <c r="C385" s="2" t="s">
        <v>36</v>
      </c>
    </row>
    <row r="386">
      <c r="A386" s="2" t="s">
        <v>1432</v>
      </c>
      <c r="B386" s="2" t="s">
        <v>1434</v>
      </c>
      <c r="C386" s="2" t="s">
        <v>36</v>
      </c>
    </row>
    <row r="387">
      <c r="A387" s="2" t="s">
        <v>1436</v>
      </c>
      <c r="B387" s="2" t="s">
        <v>1437</v>
      </c>
      <c r="C387" s="2" t="s">
        <v>36</v>
      </c>
    </row>
    <row r="388">
      <c r="A388" s="2" t="s">
        <v>1440</v>
      </c>
      <c r="B388" s="2" t="s">
        <v>1441</v>
      </c>
      <c r="C388" s="2" t="s">
        <v>36</v>
      </c>
    </row>
    <row r="389">
      <c r="A389" s="2" t="s">
        <v>1443</v>
      </c>
      <c r="B389" s="2" t="s">
        <v>1445</v>
      </c>
      <c r="C389" s="2" t="s">
        <v>36</v>
      </c>
    </row>
    <row r="390">
      <c r="A390" s="2" t="s">
        <v>1446</v>
      </c>
      <c r="B390" s="2" t="s">
        <v>1447</v>
      </c>
      <c r="C390" s="2" t="s">
        <v>36</v>
      </c>
    </row>
    <row r="391">
      <c r="A391" s="2" t="s">
        <v>1448</v>
      </c>
      <c r="B391" s="2" t="s">
        <v>1449</v>
      </c>
      <c r="C391" s="2" t="s">
        <v>36</v>
      </c>
    </row>
    <row r="392">
      <c r="A392" s="2" t="s">
        <v>1451</v>
      </c>
      <c r="B392" s="2" t="s">
        <v>1453</v>
      </c>
      <c r="C392" s="2" t="s">
        <v>36</v>
      </c>
    </row>
    <row r="393">
      <c r="A393" s="2" t="s">
        <v>1455</v>
      </c>
      <c r="B393" s="2" t="s">
        <v>1457</v>
      </c>
      <c r="C393" s="2" t="s">
        <v>36</v>
      </c>
    </row>
    <row r="394">
      <c r="A394" s="2" t="s">
        <v>1458</v>
      </c>
      <c r="B394" s="2" t="s">
        <v>1459</v>
      </c>
      <c r="C394" s="2" t="s">
        <v>36</v>
      </c>
    </row>
    <row r="395">
      <c r="A395" s="2" t="s">
        <v>1461</v>
      </c>
      <c r="B395" s="2" t="s">
        <v>1463</v>
      </c>
      <c r="C395" s="2" t="s">
        <v>36</v>
      </c>
    </row>
    <row r="396">
      <c r="A396" s="2" t="s">
        <v>1466</v>
      </c>
      <c r="B396" s="2" t="s">
        <v>1468</v>
      </c>
      <c r="C396" s="2" t="s">
        <v>36</v>
      </c>
    </row>
    <row r="397">
      <c r="A397" s="2" t="s">
        <v>1469</v>
      </c>
      <c r="B397" s="2" t="s">
        <v>1470</v>
      </c>
      <c r="C397" s="2" t="s">
        <v>36</v>
      </c>
    </row>
    <row r="398">
      <c r="A398" s="2" t="s">
        <v>1472</v>
      </c>
      <c r="B398" s="2" t="s">
        <v>1473</v>
      </c>
      <c r="C398" s="2" t="s">
        <v>36</v>
      </c>
    </row>
    <row r="399">
      <c r="A399" s="2" t="s">
        <v>1476</v>
      </c>
      <c r="B399" s="2" t="s">
        <v>1477</v>
      </c>
      <c r="C399" s="2" t="s">
        <v>36</v>
      </c>
    </row>
    <row r="400">
      <c r="A400" s="2" t="s">
        <v>1479</v>
      </c>
      <c r="B400" s="2" t="s">
        <v>1481</v>
      </c>
      <c r="C400" s="2" t="s">
        <v>36</v>
      </c>
    </row>
    <row r="401">
      <c r="A401" s="2" t="s">
        <v>1484</v>
      </c>
      <c r="B401" s="2" t="s">
        <v>1485</v>
      </c>
      <c r="C401" s="2" t="s">
        <v>36</v>
      </c>
    </row>
    <row r="402">
      <c r="A402" s="2" t="s">
        <v>1486</v>
      </c>
      <c r="B402" s="2" t="s">
        <v>1488</v>
      </c>
      <c r="C402" s="2" t="s">
        <v>36</v>
      </c>
    </row>
    <row r="403">
      <c r="A403" s="2" t="s">
        <v>1490</v>
      </c>
      <c r="B403" s="2" t="s">
        <v>1492</v>
      </c>
      <c r="C403" s="2" t="s">
        <v>36</v>
      </c>
    </row>
    <row r="404">
      <c r="A404" s="2" t="s">
        <v>1495</v>
      </c>
      <c r="B404" s="2" t="s">
        <v>1492</v>
      </c>
      <c r="C404" s="2" t="s">
        <v>36</v>
      </c>
    </row>
    <row r="405">
      <c r="A405" s="2" t="s">
        <v>1497</v>
      </c>
      <c r="B405" s="2" t="s">
        <v>1492</v>
      </c>
      <c r="C405" s="2" t="s">
        <v>36</v>
      </c>
    </row>
    <row r="406">
      <c r="A406" s="2" t="s">
        <v>1499</v>
      </c>
      <c r="B406" s="2" t="s">
        <v>1492</v>
      </c>
      <c r="C406" s="2" t="s">
        <v>36</v>
      </c>
    </row>
    <row r="407">
      <c r="A407" s="2" t="s">
        <v>1503</v>
      </c>
      <c r="B407" s="2" t="s">
        <v>1492</v>
      </c>
      <c r="C407" s="2" t="s">
        <v>36</v>
      </c>
    </row>
    <row r="408">
      <c r="A408" s="2" t="s">
        <v>1506</v>
      </c>
      <c r="B408" s="2" t="s">
        <v>1508</v>
      </c>
      <c r="C408" s="2" t="s">
        <v>36</v>
      </c>
    </row>
    <row r="409">
      <c r="A409" s="2" t="s">
        <v>1511</v>
      </c>
      <c r="B409" s="2" t="s">
        <v>1512</v>
      </c>
      <c r="C409" s="2" t="s">
        <v>36</v>
      </c>
    </row>
    <row r="410">
      <c r="A410" s="2" t="s">
        <v>1514</v>
      </c>
      <c r="B410" s="2" t="s">
        <v>1515</v>
      </c>
      <c r="C410" s="2" t="s">
        <v>36</v>
      </c>
    </row>
    <row r="411">
      <c r="A411" s="2" t="s">
        <v>1517</v>
      </c>
      <c r="B411" s="2" t="s">
        <v>1518</v>
      </c>
      <c r="C411" s="2" t="s">
        <v>36</v>
      </c>
    </row>
    <row r="412">
      <c r="A412" s="2" t="s">
        <v>1521</v>
      </c>
      <c r="B412" s="2" t="s">
        <v>1522</v>
      </c>
      <c r="C412" s="2" t="s">
        <v>36</v>
      </c>
    </row>
    <row r="413">
      <c r="A413" s="2" t="s">
        <v>1524</v>
      </c>
      <c r="B413" s="2" t="s">
        <v>1526</v>
      </c>
      <c r="C413" s="2" t="s">
        <v>36</v>
      </c>
    </row>
    <row r="414">
      <c r="A414" s="2" t="s">
        <v>1529</v>
      </c>
      <c r="B414" s="2" t="s">
        <v>1531</v>
      </c>
      <c r="C414" s="2" t="s">
        <v>36</v>
      </c>
    </row>
    <row r="415">
      <c r="A415" s="2" t="s">
        <v>1534</v>
      </c>
      <c r="B415" s="2" t="s">
        <v>1536</v>
      </c>
      <c r="C415" s="2" t="s">
        <v>36</v>
      </c>
    </row>
    <row r="416">
      <c r="A416" s="2" t="s">
        <v>1537</v>
      </c>
      <c r="B416" s="2" t="s">
        <v>1538</v>
      </c>
      <c r="C416" s="2" t="s">
        <v>36</v>
      </c>
    </row>
    <row r="417">
      <c r="A417" s="2" t="s">
        <v>1539</v>
      </c>
      <c r="B417" s="2" t="s">
        <v>1540</v>
      </c>
      <c r="C417" s="2" t="s">
        <v>36</v>
      </c>
    </row>
    <row r="418">
      <c r="A418" s="2" t="s">
        <v>1541</v>
      </c>
      <c r="B418" s="2" t="s">
        <v>1540</v>
      </c>
      <c r="C418" s="2" t="s">
        <v>36</v>
      </c>
    </row>
    <row r="419">
      <c r="A419" s="2" t="s">
        <v>1542</v>
      </c>
      <c r="B419" s="2" t="s">
        <v>1543</v>
      </c>
      <c r="C419" s="2" t="s">
        <v>36</v>
      </c>
    </row>
    <row r="420">
      <c r="A420" s="2" t="s">
        <v>1544</v>
      </c>
      <c r="B420" s="2" t="s">
        <v>1546</v>
      </c>
      <c r="C420" s="2" t="s">
        <v>36</v>
      </c>
    </row>
    <row r="421">
      <c r="A421" s="2" t="s">
        <v>1548</v>
      </c>
      <c r="B421" s="2" t="s">
        <v>1549</v>
      </c>
      <c r="C421" s="2" t="s">
        <v>36</v>
      </c>
    </row>
    <row r="422">
      <c r="A422" s="2" t="s">
        <v>1550</v>
      </c>
      <c r="B422" s="2" t="s">
        <v>1551</v>
      </c>
      <c r="C422" s="2" t="s">
        <v>36</v>
      </c>
    </row>
    <row r="423">
      <c r="A423" s="2" t="s">
        <v>1552</v>
      </c>
      <c r="B423" s="2" t="s">
        <v>1553</v>
      </c>
      <c r="C423" s="2" t="s">
        <v>36</v>
      </c>
    </row>
    <row r="424">
      <c r="A424" s="2" t="s">
        <v>1558</v>
      </c>
      <c r="B424" s="2" t="s">
        <v>1559</v>
      </c>
      <c r="C424" s="2" t="s">
        <v>36</v>
      </c>
    </row>
    <row r="425">
      <c r="A425" s="2" t="s">
        <v>1562</v>
      </c>
      <c r="B425" s="2" t="s">
        <v>1564</v>
      </c>
      <c r="C425" s="2" t="s">
        <v>36</v>
      </c>
    </row>
    <row r="426">
      <c r="A426" s="2" t="s">
        <v>1566</v>
      </c>
      <c r="B426" s="2" t="s">
        <v>1564</v>
      </c>
      <c r="C426" s="2" t="s">
        <v>36</v>
      </c>
    </row>
    <row r="427">
      <c r="A427" s="2" t="s">
        <v>1569</v>
      </c>
      <c r="B427" s="2" t="s">
        <v>1571</v>
      </c>
      <c r="C427" s="2" t="s">
        <v>36</v>
      </c>
    </row>
    <row r="428">
      <c r="A428" s="2" t="s">
        <v>1574</v>
      </c>
      <c r="B428" s="2" t="s">
        <v>1575</v>
      </c>
      <c r="C428" s="2" t="s">
        <v>36</v>
      </c>
    </row>
    <row r="429">
      <c r="A429" s="2" t="s">
        <v>1578</v>
      </c>
      <c r="B429" s="2" t="s">
        <v>1580</v>
      </c>
      <c r="C429" s="2" t="s">
        <v>36</v>
      </c>
    </row>
    <row r="430">
      <c r="A430" s="2" t="s">
        <v>1583</v>
      </c>
      <c r="B430" s="2" t="s">
        <v>1580</v>
      </c>
      <c r="C430" s="2" t="s">
        <v>36</v>
      </c>
    </row>
    <row r="431">
      <c r="A431" s="2" t="s">
        <v>1586</v>
      </c>
      <c r="B431" s="2" t="s">
        <v>1588</v>
      </c>
      <c r="C431" s="2" t="s">
        <v>36</v>
      </c>
    </row>
    <row r="432">
      <c r="A432" s="2" t="s">
        <v>1589</v>
      </c>
      <c r="B432" s="2" t="s">
        <v>1590</v>
      </c>
      <c r="C432" s="2" t="s">
        <v>36</v>
      </c>
    </row>
    <row r="433">
      <c r="A433" s="2" t="s">
        <v>1592</v>
      </c>
      <c r="B433" s="2" t="s">
        <v>1594</v>
      </c>
      <c r="C433" s="2" t="s">
        <v>36</v>
      </c>
    </row>
    <row r="434">
      <c r="A434" s="2" t="s">
        <v>1596</v>
      </c>
      <c r="B434" s="2" t="s">
        <v>1597</v>
      </c>
      <c r="C434" s="2" t="s">
        <v>36</v>
      </c>
    </row>
    <row r="435">
      <c r="A435" s="2" t="s">
        <v>1599</v>
      </c>
      <c r="B435" s="2" t="s">
        <v>1600</v>
      </c>
      <c r="C435" s="2" t="s">
        <v>36</v>
      </c>
    </row>
    <row r="436">
      <c r="A436" s="2" t="s">
        <v>1603</v>
      </c>
      <c r="B436" s="2" t="s">
        <v>1600</v>
      </c>
      <c r="C436" s="2" t="s">
        <v>36</v>
      </c>
    </row>
    <row r="437">
      <c r="A437" s="2" t="s">
        <v>1604</v>
      </c>
      <c r="B437" s="2" t="s">
        <v>1600</v>
      </c>
      <c r="C437" s="2" t="s">
        <v>36</v>
      </c>
    </row>
    <row r="438">
      <c r="A438" s="2" t="s">
        <v>1608</v>
      </c>
      <c r="B438" s="2" t="s">
        <v>1600</v>
      </c>
      <c r="C438" s="2" t="s">
        <v>36</v>
      </c>
    </row>
    <row r="439">
      <c r="A439" s="2" t="s">
        <v>1613</v>
      </c>
      <c r="B439" s="2" t="s">
        <v>1600</v>
      </c>
      <c r="C439" s="2" t="s">
        <v>36</v>
      </c>
    </row>
    <row r="440">
      <c r="A440" s="2" t="s">
        <v>1617</v>
      </c>
      <c r="B440" s="2" t="s">
        <v>1619</v>
      </c>
      <c r="C440" s="2" t="s">
        <v>36</v>
      </c>
    </row>
    <row r="441">
      <c r="A441" s="2" t="s">
        <v>1622</v>
      </c>
      <c r="B441" s="2" t="s">
        <v>1623</v>
      </c>
      <c r="C441" s="2" t="s">
        <v>36</v>
      </c>
    </row>
    <row r="442">
      <c r="A442" s="2" t="s">
        <v>1627</v>
      </c>
      <c r="B442" s="2" t="s">
        <v>1628</v>
      </c>
      <c r="C442" s="2" t="s">
        <v>36</v>
      </c>
    </row>
    <row r="443">
      <c r="A443" s="2" t="s">
        <v>1631</v>
      </c>
      <c r="B443" s="2" t="s">
        <v>1633</v>
      </c>
      <c r="C443" s="2" t="s">
        <v>36</v>
      </c>
    </row>
    <row r="444">
      <c r="A444" s="2" t="s">
        <v>1636</v>
      </c>
      <c r="B444" s="2" t="s">
        <v>1638</v>
      </c>
      <c r="C444" s="2" t="s">
        <v>36</v>
      </c>
    </row>
    <row r="445">
      <c r="A445" s="2" t="s">
        <v>1639</v>
      </c>
      <c r="B445" s="2" t="s">
        <v>1642</v>
      </c>
      <c r="C445" s="2" t="s">
        <v>36</v>
      </c>
    </row>
    <row r="446">
      <c r="A446" s="2" t="s">
        <v>76</v>
      </c>
      <c r="B446" s="2" t="s">
        <v>78</v>
      </c>
      <c r="C446" s="2" t="s">
        <v>36</v>
      </c>
    </row>
    <row r="447">
      <c r="A447" s="2" t="s">
        <v>80</v>
      </c>
      <c r="B447" s="2" t="s">
        <v>82</v>
      </c>
      <c r="C447" s="2" t="s">
        <v>36</v>
      </c>
    </row>
    <row r="448">
      <c r="A448" s="2" t="s">
        <v>84</v>
      </c>
      <c r="B448" s="2" t="s">
        <v>86</v>
      </c>
      <c r="C448" s="2" t="s">
        <v>36</v>
      </c>
    </row>
    <row r="449">
      <c r="A449" s="2" t="s">
        <v>1647</v>
      </c>
      <c r="B449" s="2" t="s">
        <v>1649</v>
      </c>
      <c r="C449" s="2" t="s">
        <v>36</v>
      </c>
    </row>
    <row r="450">
      <c r="A450" s="2" t="s">
        <v>1651</v>
      </c>
      <c r="B450" s="2" t="s">
        <v>1652</v>
      </c>
      <c r="C450" s="2" t="s">
        <v>36</v>
      </c>
    </row>
    <row r="451">
      <c r="A451" s="2" t="s">
        <v>1654</v>
      </c>
      <c r="B451" s="2" t="s">
        <v>1655</v>
      </c>
      <c r="C451" s="2" t="s">
        <v>36</v>
      </c>
    </row>
    <row r="452">
      <c r="A452" s="2" t="s">
        <v>1658</v>
      </c>
      <c r="B452" s="2" t="s">
        <v>1659</v>
      </c>
      <c r="C452" s="2" t="s">
        <v>36</v>
      </c>
    </row>
    <row r="453">
      <c r="A453" s="2" t="s">
        <v>1661</v>
      </c>
      <c r="B453" s="2" t="s">
        <v>1662</v>
      </c>
      <c r="C453" s="2" t="s">
        <v>36</v>
      </c>
    </row>
    <row r="454">
      <c r="A454" s="2" t="s">
        <v>1664</v>
      </c>
      <c r="B454" s="2" t="s">
        <v>1665</v>
      </c>
      <c r="C454" s="2" t="s">
        <v>36</v>
      </c>
    </row>
    <row r="455">
      <c r="A455" s="2" t="s">
        <v>1667</v>
      </c>
      <c r="B455" s="2" t="s">
        <v>1668</v>
      </c>
      <c r="C455" s="2" t="s">
        <v>36</v>
      </c>
    </row>
    <row r="456">
      <c r="A456" s="2" t="s">
        <v>1670</v>
      </c>
      <c r="B456" s="2" t="s">
        <v>1671</v>
      </c>
      <c r="C456" s="2" t="s">
        <v>36</v>
      </c>
    </row>
    <row r="457">
      <c r="A457" s="2" t="s">
        <v>1674</v>
      </c>
      <c r="B457" s="2" t="s">
        <v>1675</v>
      </c>
      <c r="C457" s="2" t="s">
        <v>36</v>
      </c>
    </row>
    <row r="458">
      <c r="A458" s="2" t="s">
        <v>1677</v>
      </c>
      <c r="B458" s="2" t="s">
        <v>1679</v>
      </c>
      <c r="C458" s="2" t="s">
        <v>36</v>
      </c>
    </row>
    <row r="459">
      <c r="A459" s="2" t="s">
        <v>1681</v>
      </c>
      <c r="B459" s="2" t="s">
        <v>1679</v>
      </c>
      <c r="C459" s="2" t="s">
        <v>36</v>
      </c>
    </row>
    <row r="460">
      <c r="A460" s="2" t="s">
        <v>1684</v>
      </c>
      <c r="B460" s="2" t="s">
        <v>1679</v>
      </c>
      <c r="C460" s="2" t="s">
        <v>36</v>
      </c>
    </row>
    <row r="461">
      <c r="A461" s="2" t="s">
        <v>1687</v>
      </c>
      <c r="B461" s="2" t="s">
        <v>1679</v>
      </c>
      <c r="C461" s="2" t="s">
        <v>36</v>
      </c>
    </row>
    <row r="462">
      <c r="A462" s="2" t="s">
        <v>1689</v>
      </c>
      <c r="B462" s="2" t="s">
        <v>1679</v>
      </c>
      <c r="C462" s="2" t="s">
        <v>36</v>
      </c>
    </row>
    <row r="463">
      <c r="A463" s="2" t="s">
        <v>1692</v>
      </c>
      <c r="B463" s="2" t="s">
        <v>1679</v>
      </c>
      <c r="C463" s="2" t="s">
        <v>36</v>
      </c>
    </row>
    <row r="464">
      <c r="A464" s="2" t="s">
        <v>1694</v>
      </c>
      <c r="B464" s="2" t="s">
        <v>1696</v>
      </c>
      <c r="C464" s="2" t="s">
        <v>36</v>
      </c>
    </row>
    <row r="465">
      <c r="A465" s="2" t="s">
        <v>88</v>
      </c>
      <c r="B465" s="2" t="s">
        <v>90</v>
      </c>
      <c r="C465" s="2" t="s">
        <v>36</v>
      </c>
    </row>
    <row r="466">
      <c r="A466" s="2" t="s">
        <v>1699</v>
      </c>
      <c r="B466" s="2" t="s">
        <v>1701</v>
      </c>
      <c r="C466" s="2" t="s">
        <v>36</v>
      </c>
    </row>
    <row r="467">
      <c r="A467" s="2" t="s">
        <v>1703</v>
      </c>
      <c r="B467" s="2" t="s">
        <v>1705</v>
      </c>
      <c r="C467" s="2" t="s">
        <v>36</v>
      </c>
    </row>
    <row r="468">
      <c r="A468" s="2" t="s">
        <v>1707</v>
      </c>
      <c r="B468" s="2" t="s">
        <v>1708</v>
      </c>
      <c r="C468" s="2" t="s">
        <v>36</v>
      </c>
    </row>
    <row r="469">
      <c r="A469" s="2" t="s">
        <v>1712</v>
      </c>
      <c r="B469" s="2" t="s">
        <v>1714</v>
      </c>
      <c r="C469" s="2" t="s">
        <v>36</v>
      </c>
    </row>
    <row r="470">
      <c r="A470" s="2" t="s">
        <v>1718</v>
      </c>
      <c r="B470" s="2" t="s">
        <v>1720</v>
      </c>
      <c r="C470" s="2" t="s">
        <v>36</v>
      </c>
    </row>
    <row r="471">
      <c r="A471" s="2" t="s">
        <v>1723</v>
      </c>
      <c r="B471" s="2" t="s">
        <v>1725</v>
      </c>
      <c r="C471" s="2" t="s">
        <v>36</v>
      </c>
    </row>
    <row r="472">
      <c r="A472" s="2" t="s">
        <v>1728</v>
      </c>
      <c r="B472" s="2" t="s">
        <v>1729</v>
      </c>
      <c r="C472" s="2" t="s">
        <v>36</v>
      </c>
    </row>
    <row r="473">
      <c r="A473" s="2" t="s">
        <v>1732</v>
      </c>
      <c r="B473" s="2" t="s">
        <v>1733</v>
      </c>
      <c r="C473" s="2" t="s">
        <v>36</v>
      </c>
    </row>
    <row r="474">
      <c r="A474" s="2" t="s">
        <v>1735</v>
      </c>
      <c r="B474" s="2" t="s">
        <v>1737</v>
      </c>
      <c r="C474" s="2" t="s">
        <v>36</v>
      </c>
    </row>
    <row r="475">
      <c r="A475" s="2" t="s">
        <v>1739</v>
      </c>
      <c r="B475" s="2" t="s">
        <v>1740</v>
      </c>
      <c r="C475" s="2" t="s">
        <v>36</v>
      </c>
    </row>
    <row r="476">
      <c r="A476" s="2" t="s">
        <v>1742</v>
      </c>
      <c r="B476" s="2" t="s">
        <v>1744</v>
      </c>
      <c r="C476" s="2" t="s">
        <v>36</v>
      </c>
    </row>
    <row r="477">
      <c r="A477" s="2" t="s">
        <v>1746</v>
      </c>
      <c r="B477" s="2" t="s">
        <v>1747</v>
      </c>
      <c r="C477" s="2" t="s">
        <v>36</v>
      </c>
    </row>
    <row r="478">
      <c r="A478" s="2" t="s">
        <v>1749</v>
      </c>
      <c r="B478" s="2" t="s">
        <v>1751</v>
      </c>
      <c r="C478" s="2" t="s">
        <v>36</v>
      </c>
    </row>
    <row r="479">
      <c r="A479" s="2" t="s">
        <v>1754</v>
      </c>
      <c r="B479" s="2" t="s">
        <v>1755</v>
      </c>
      <c r="C479" s="2" t="s">
        <v>36</v>
      </c>
    </row>
    <row r="480">
      <c r="A480" s="2" t="s">
        <v>1757</v>
      </c>
      <c r="B480" s="2" t="s">
        <v>1758</v>
      </c>
      <c r="C480" s="2" t="s">
        <v>36</v>
      </c>
    </row>
    <row r="481">
      <c r="A481" s="2" t="s">
        <v>1761</v>
      </c>
      <c r="B481" s="2" t="s">
        <v>1762</v>
      </c>
      <c r="C481" s="2" t="s">
        <v>36</v>
      </c>
    </row>
    <row r="482">
      <c r="A482" s="2" t="s">
        <v>1764</v>
      </c>
      <c r="B482" s="2" t="s">
        <v>1766</v>
      </c>
      <c r="C482" s="2" t="s">
        <v>36</v>
      </c>
    </row>
    <row r="483">
      <c r="A483" s="2" t="s">
        <v>1768</v>
      </c>
      <c r="B483" s="2" t="s">
        <v>1770</v>
      </c>
      <c r="C483" s="2" t="s">
        <v>36</v>
      </c>
    </row>
    <row r="484">
      <c r="A484" s="2" t="s">
        <v>1771</v>
      </c>
      <c r="B484" s="2" t="s">
        <v>1772</v>
      </c>
      <c r="C484" s="2" t="s">
        <v>36</v>
      </c>
    </row>
    <row r="485">
      <c r="A485" s="2" t="s">
        <v>1774</v>
      </c>
      <c r="B485" s="2" t="s">
        <v>1776</v>
      </c>
      <c r="C485" s="2" t="s">
        <v>36</v>
      </c>
    </row>
    <row r="486">
      <c r="A486" s="2" t="s">
        <v>1778</v>
      </c>
      <c r="B486" s="2" t="s">
        <v>1779</v>
      </c>
      <c r="C486" s="2" t="s">
        <v>36</v>
      </c>
    </row>
    <row r="487">
      <c r="A487" s="2" t="s">
        <v>1781</v>
      </c>
      <c r="B487" s="2" t="s">
        <v>1783</v>
      </c>
      <c r="C487" s="2" t="s">
        <v>36</v>
      </c>
    </row>
    <row r="488">
      <c r="A488" s="2" t="s">
        <v>1785</v>
      </c>
      <c r="B488" s="2" t="s">
        <v>1786</v>
      </c>
      <c r="C488" s="2" t="s">
        <v>36</v>
      </c>
    </row>
    <row r="489">
      <c r="A489" s="2" t="s">
        <v>1787</v>
      </c>
      <c r="B489" s="2" t="s">
        <v>1788</v>
      </c>
      <c r="C489" s="2" t="s">
        <v>36</v>
      </c>
    </row>
    <row r="490">
      <c r="A490" s="2" t="s">
        <v>1790</v>
      </c>
      <c r="B490" s="2" t="s">
        <v>1792</v>
      </c>
      <c r="C490" s="2" t="s">
        <v>36</v>
      </c>
    </row>
    <row r="491">
      <c r="A491" s="2" t="s">
        <v>1794</v>
      </c>
      <c r="B491" s="2" t="s">
        <v>1795</v>
      </c>
      <c r="C491" s="2" t="s">
        <v>36</v>
      </c>
    </row>
    <row r="492">
      <c r="A492" s="2" t="s">
        <v>1797</v>
      </c>
      <c r="B492" s="2" t="s">
        <v>1798</v>
      </c>
      <c r="C492" s="2" t="s">
        <v>36</v>
      </c>
    </row>
    <row r="493">
      <c r="A493" s="2" t="s">
        <v>1800</v>
      </c>
      <c r="B493" s="2" t="s">
        <v>1801</v>
      </c>
      <c r="C493" s="2" t="s">
        <v>36</v>
      </c>
    </row>
    <row r="494">
      <c r="A494" s="2" t="s">
        <v>1803</v>
      </c>
      <c r="B494" s="2" t="s">
        <v>1804</v>
      </c>
      <c r="C494" s="2" t="s">
        <v>36</v>
      </c>
    </row>
    <row r="495">
      <c r="A495" s="2" t="s">
        <v>1805</v>
      </c>
      <c r="B495" s="2" t="s">
        <v>1807</v>
      </c>
      <c r="C495" s="2" t="s">
        <v>36</v>
      </c>
    </row>
    <row r="496">
      <c r="A496" s="2" t="s">
        <v>1812</v>
      </c>
      <c r="B496" s="2" t="s">
        <v>1813</v>
      </c>
      <c r="C496" s="2" t="s">
        <v>36</v>
      </c>
    </row>
    <row r="497">
      <c r="A497" s="2" t="s">
        <v>1814</v>
      </c>
      <c r="B497" s="2" t="s">
        <v>1815</v>
      </c>
      <c r="C497" s="2" t="s">
        <v>36</v>
      </c>
    </row>
    <row r="498">
      <c r="A498" s="2" t="s">
        <v>1816</v>
      </c>
      <c r="B498" s="2" t="s">
        <v>1817</v>
      </c>
      <c r="C498" s="2" t="s">
        <v>36</v>
      </c>
    </row>
    <row r="499">
      <c r="A499" s="2" t="s">
        <v>1820</v>
      </c>
      <c r="B499" s="2" t="s">
        <v>1821</v>
      </c>
      <c r="C499" s="2" t="s">
        <v>36</v>
      </c>
    </row>
    <row r="500">
      <c r="A500" s="2" t="s">
        <v>1823</v>
      </c>
      <c r="B500" s="2" t="s">
        <v>1824</v>
      </c>
      <c r="C500" s="2" t="s">
        <v>36</v>
      </c>
    </row>
    <row r="501">
      <c r="A501" s="2" t="s">
        <v>1828</v>
      </c>
      <c r="B501" s="2" t="s">
        <v>1830</v>
      </c>
      <c r="C501" s="2" t="s">
        <v>36</v>
      </c>
    </row>
    <row r="502">
      <c r="A502" s="2" t="s">
        <v>1832</v>
      </c>
      <c r="B502" s="2" t="s">
        <v>1833</v>
      </c>
      <c r="C502" s="2" t="s">
        <v>36</v>
      </c>
    </row>
    <row r="503">
      <c r="A503" s="2" t="s">
        <v>1835</v>
      </c>
      <c r="B503" s="2" t="s">
        <v>1837</v>
      </c>
      <c r="C503" s="2" t="s">
        <v>36</v>
      </c>
    </row>
    <row r="504">
      <c r="A504" s="2" t="s">
        <v>1839</v>
      </c>
      <c r="B504" s="2" t="s">
        <v>1840</v>
      </c>
      <c r="C504" s="2" t="s">
        <v>36</v>
      </c>
    </row>
    <row r="505">
      <c r="A505" s="2" t="s">
        <v>1841</v>
      </c>
      <c r="B505" s="2" t="s">
        <v>1842</v>
      </c>
      <c r="C505" s="2" t="s">
        <v>36</v>
      </c>
    </row>
    <row r="506">
      <c r="A506" s="2" t="s">
        <v>1845</v>
      </c>
      <c r="B506" s="2" t="s">
        <v>1847</v>
      </c>
      <c r="C506" s="2" t="s">
        <v>36</v>
      </c>
    </row>
    <row r="507">
      <c r="A507" s="2" t="s">
        <v>1850</v>
      </c>
      <c r="B507" s="2" t="s">
        <v>1851</v>
      </c>
      <c r="C507" s="2" t="s">
        <v>36</v>
      </c>
    </row>
    <row r="508">
      <c r="A508" s="2" t="s">
        <v>1853</v>
      </c>
      <c r="B508" s="2" t="s">
        <v>1854</v>
      </c>
      <c r="C508" s="2" t="s">
        <v>36</v>
      </c>
    </row>
    <row r="509">
      <c r="A509" s="2" t="s">
        <v>1857</v>
      </c>
      <c r="B509" s="2" t="s">
        <v>1858</v>
      </c>
      <c r="C509" s="2" t="s">
        <v>36</v>
      </c>
    </row>
    <row r="510">
      <c r="A510" s="2" t="s">
        <v>1859</v>
      </c>
      <c r="B510" s="2" t="s">
        <v>1860</v>
      </c>
      <c r="C510" s="2" t="s">
        <v>36</v>
      </c>
    </row>
    <row r="511">
      <c r="A511" s="2" t="s">
        <v>1862</v>
      </c>
      <c r="B511" s="2" t="s">
        <v>1864</v>
      </c>
      <c r="C511" s="2" t="s">
        <v>36</v>
      </c>
    </row>
    <row r="512">
      <c r="A512" s="2" t="s">
        <v>1866</v>
      </c>
      <c r="B512" s="2" t="s">
        <v>1868</v>
      </c>
      <c r="C512" s="2" t="s">
        <v>36</v>
      </c>
    </row>
    <row r="513">
      <c r="A513" s="2" t="s">
        <v>1871</v>
      </c>
      <c r="B513" s="2" t="s">
        <v>1872</v>
      </c>
      <c r="C513" s="2" t="s">
        <v>36</v>
      </c>
    </row>
    <row r="514">
      <c r="A514" s="2" t="s">
        <v>1873</v>
      </c>
      <c r="B514" s="2" t="s">
        <v>1874</v>
      </c>
      <c r="C514" s="2" t="s">
        <v>36</v>
      </c>
    </row>
    <row r="515">
      <c r="A515" s="2" t="s">
        <v>1876</v>
      </c>
      <c r="B515" s="2" t="s">
        <v>1878</v>
      </c>
      <c r="C515" s="2" t="s">
        <v>36</v>
      </c>
    </row>
    <row r="516">
      <c r="A516" s="2" t="s">
        <v>1880</v>
      </c>
      <c r="B516" s="2" t="s">
        <v>1881</v>
      </c>
      <c r="C516" s="2" t="s">
        <v>36</v>
      </c>
    </row>
    <row r="517">
      <c r="A517" s="2" t="s">
        <v>1883</v>
      </c>
      <c r="B517" s="2" t="s">
        <v>1884</v>
      </c>
      <c r="C517" s="2" t="s">
        <v>36</v>
      </c>
    </row>
    <row r="518">
      <c r="A518" s="2" t="s">
        <v>1887</v>
      </c>
      <c r="B518" s="2" t="s">
        <v>1890</v>
      </c>
      <c r="C518" s="2" t="s">
        <v>36</v>
      </c>
    </row>
    <row r="519">
      <c r="A519" s="2" t="s">
        <v>1891</v>
      </c>
      <c r="B519" s="2" t="s">
        <v>1893</v>
      </c>
      <c r="C519" s="2" t="s">
        <v>36</v>
      </c>
    </row>
    <row r="520">
      <c r="A520" s="2" t="s">
        <v>1895</v>
      </c>
      <c r="B520" s="2" t="s">
        <v>1897</v>
      </c>
      <c r="C520" s="2" t="s">
        <v>36</v>
      </c>
    </row>
    <row r="521">
      <c r="A521" s="2" t="s">
        <v>1898</v>
      </c>
      <c r="B521" s="2" t="s">
        <v>1899</v>
      </c>
      <c r="C521" s="2" t="s">
        <v>36</v>
      </c>
    </row>
    <row r="522">
      <c r="A522" s="2" t="s">
        <v>1900</v>
      </c>
      <c r="B522" s="2" t="s">
        <v>1901</v>
      </c>
      <c r="C522" s="2" t="s">
        <v>36</v>
      </c>
    </row>
    <row r="523">
      <c r="A523" s="2" t="s">
        <v>1905</v>
      </c>
      <c r="B523" s="2" t="s">
        <v>1906</v>
      </c>
      <c r="C523" s="2" t="s">
        <v>36</v>
      </c>
    </row>
    <row r="524">
      <c r="A524" s="2" t="s">
        <v>1907</v>
      </c>
      <c r="B524" s="2" t="s">
        <v>1909</v>
      </c>
      <c r="C524" s="2" t="s">
        <v>36</v>
      </c>
    </row>
    <row r="525">
      <c r="A525" s="2" t="s">
        <v>1911</v>
      </c>
      <c r="B525" s="2" t="s">
        <v>1913</v>
      </c>
      <c r="C525" s="2" t="s">
        <v>36</v>
      </c>
    </row>
    <row r="526">
      <c r="A526" s="2" t="s">
        <v>1915</v>
      </c>
      <c r="B526" s="2" t="s">
        <v>1916</v>
      </c>
      <c r="C526" s="2" t="s">
        <v>36</v>
      </c>
    </row>
    <row r="527">
      <c r="A527" s="2" t="s">
        <v>1919</v>
      </c>
      <c r="B527" s="2" t="s">
        <v>1920</v>
      </c>
      <c r="C527" s="2" t="s">
        <v>36</v>
      </c>
    </row>
    <row r="528">
      <c r="A528" s="2" t="s">
        <v>1922</v>
      </c>
      <c r="B528" s="2" t="s">
        <v>1924</v>
      </c>
      <c r="C528" s="2" t="s">
        <v>36</v>
      </c>
    </row>
    <row r="529">
      <c r="A529" s="2" t="s">
        <v>1928</v>
      </c>
      <c r="B529" s="2" t="s">
        <v>1929</v>
      </c>
      <c r="C529" s="2" t="s">
        <v>36</v>
      </c>
    </row>
    <row r="530">
      <c r="A530" s="2" t="s">
        <v>1930</v>
      </c>
      <c r="B530" s="2" t="s">
        <v>1931</v>
      </c>
      <c r="C530" s="2" t="s">
        <v>36</v>
      </c>
    </row>
    <row r="531">
      <c r="A531" s="2" t="s">
        <v>1933</v>
      </c>
      <c r="B531" s="2" t="s">
        <v>1934</v>
      </c>
      <c r="C531" s="2" t="s">
        <v>36</v>
      </c>
    </row>
    <row r="532">
      <c r="A532" s="2" t="s">
        <v>1937</v>
      </c>
      <c r="B532" s="2" t="s">
        <v>1938</v>
      </c>
      <c r="C532" s="2" t="s">
        <v>36</v>
      </c>
    </row>
    <row r="533">
      <c r="A533" s="2" t="s">
        <v>1939</v>
      </c>
      <c r="B533" s="2" t="s">
        <v>1940</v>
      </c>
      <c r="C533" s="2" t="s">
        <v>36</v>
      </c>
    </row>
    <row r="534">
      <c r="A534" s="2" t="s">
        <v>1944</v>
      </c>
      <c r="B534" s="2" t="s">
        <v>1946</v>
      </c>
      <c r="C534" s="2" t="s">
        <v>36</v>
      </c>
    </row>
    <row r="535">
      <c r="A535" s="2" t="s">
        <v>1947</v>
      </c>
      <c r="B535" s="2" t="s">
        <v>1948</v>
      </c>
      <c r="C535" s="2" t="s">
        <v>36</v>
      </c>
    </row>
    <row r="536">
      <c r="A536" s="2" t="s">
        <v>1950</v>
      </c>
      <c r="B536" s="2" t="s">
        <v>1952</v>
      </c>
      <c r="C536" s="2" t="s">
        <v>36</v>
      </c>
    </row>
    <row r="537">
      <c r="A537" s="2" t="s">
        <v>1953</v>
      </c>
      <c r="B537" s="2" t="s">
        <v>1954</v>
      </c>
      <c r="C537" s="2" t="s">
        <v>36</v>
      </c>
    </row>
    <row r="538">
      <c r="A538" s="2" t="s">
        <v>1956</v>
      </c>
      <c r="B538" s="2" t="s">
        <v>1958</v>
      </c>
      <c r="C538" s="2" t="s">
        <v>36</v>
      </c>
    </row>
    <row r="539">
      <c r="A539" s="2" t="s">
        <v>1961</v>
      </c>
      <c r="B539" s="2" t="s">
        <v>1962</v>
      </c>
      <c r="C539" s="2" t="s">
        <v>36</v>
      </c>
    </row>
    <row r="540">
      <c r="A540" s="2" t="s">
        <v>1964</v>
      </c>
      <c r="B540" s="2" t="s">
        <v>1965</v>
      </c>
      <c r="C540" s="2" t="s">
        <v>36</v>
      </c>
    </row>
    <row r="541">
      <c r="A541" s="2" t="s">
        <v>1968</v>
      </c>
      <c r="B541" s="2" t="s">
        <v>1969</v>
      </c>
      <c r="C541" s="2" t="s">
        <v>36</v>
      </c>
    </row>
    <row r="542">
      <c r="A542" s="2" t="s">
        <v>1972</v>
      </c>
      <c r="B542" s="2" t="s">
        <v>1973</v>
      </c>
      <c r="C542" s="2" t="s">
        <v>36</v>
      </c>
    </row>
    <row r="543">
      <c r="A543" s="2" t="s">
        <v>1976</v>
      </c>
      <c r="B543" s="2" t="s">
        <v>1977</v>
      </c>
      <c r="C543" s="2" t="s">
        <v>36</v>
      </c>
    </row>
    <row r="544">
      <c r="A544" s="2" t="s">
        <v>1979</v>
      </c>
      <c r="B544" s="2" t="s">
        <v>1980</v>
      </c>
      <c r="C544" s="2" t="s">
        <v>36</v>
      </c>
    </row>
    <row r="545">
      <c r="A545" s="2" t="s">
        <v>1982</v>
      </c>
      <c r="B545" s="2" t="s">
        <v>1984</v>
      </c>
      <c r="C545" s="2" t="s">
        <v>36</v>
      </c>
    </row>
    <row r="546">
      <c r="A546" s="2" t="s">
        <v>1985</v>
      </c>
      <c r="B546" s="2" t="s">
        <v>1986</v>
      </c>
      <c r="C546" s="2" t="s">
        <v>36</v>
      </c>
    </row>
    <row r="547">
      <c r="A547" s="2" t="s">
        <v>1987</v>
      </c>
      <c r="B547" s="2" t="s">
        <v>1988</v>
      </c>
      <c r="C547" s="2" t="s">
        <v>36</v>
      </c>
    </row>
    <row r="548">
      <c r="A548" s="2" t="s">
        <v>1989</v>
      </c>
      <c r="B548" s="2" t="s">
        <v>1991</v>
      </c>
      <c r="C548" s="2" t="s">
        <v>36</v>
      </c>
    </row>
    <row r="549">
      <c r="A549" s="2" t="s">
        <v>1993</v>
      </c>
      <c r="B549" s="2" t="s">
        <v>1994</v>
      </c>
      <c r="C549" s="2" t="s">
        <v>36</v>
      </c>
    </row>
    <row r="550">
      <c r="A550" s="2" t="s">
        <v>1995</v>
      </c>
      <c r="B550" s="2" t="s">
        <v>1996</v>
      </c>
      <c r="C550" s="2" t="s">
        <v>36</v>
      </c>
    </row>
    <row r="551">
      <c r="A551" s="2" t="s">
        <v>1997</v>
      </c>
      <c r="B551" s="2" t="s">
        <v>1998</v>
      </c>
      <c r="C551" s="2" t="s">
        <v>36</v>
      </c>
    </row>
    <row r="552">
      <c r="A552" s="2" t="s">
        <v>1999</v>
      </c>
      <c r="B552" s="2" t="s">
        <v>2000</v>
      </c>
      <c r="C552" s="2" t="s">
        <v>36</v>
      </c>
    </row>
    <row r="553">
      <c r="A553" s="2" t="s">
        <v>2002</v>
      </c>
      <c r="B553" s="2" t="s">
        <v>2003</v>
      </c>
      <c r="C553" s="2" t="s">
        <v>36</v>
      </c>
    </row>
    <row r="554">
      <c r="A554" s="2" t="s">
        <v>2006</v>
      </c>
      <c r="B554" s="2" t="s">
        <v>2007</v>
      </c>
      <c r="C554" s="2" t="s">
        <v>36</v>
      </c>
    </row>
    <row r="555">
      <c r="A555" s="2" t="s">
        <v>2009</v>
      </c>
      <c r="B555" s="2" t="s">
        <v>2011</v>
      </c>
      <c r="C555" s="2" t="s">
        <v>36</v>
      </c>
    </row>
    <row r="556">
      <c r="A556" s="2" t="s">
        <v>2013</v>
      </c>
      <c r="B556" s="2" t="s">
        <v>2014</v>
      </c>
      <c r="C556" s="2" t="s">
        <v>36</v>
      </c>
    </row>
    <row r="557">
      <c r="A557" s="2" t="s">
        <v>2017</v>
      </c>
      <c r="B557" s="2" t="s">
        <v>2018</v>
      </c>
      <c r="C557" s="2" t="s">
        <v>36</v>
      </c>
    </row>
    <row r="558">
      <c r="A558" s="2" t="s">
        <v>2020</v>
      </c>
      <c r="B558" s="2" t="s">
        <v>2021</v>
      </c>
      <c r="C558" s="2" t="s">
        <v>36</v>
      </c>
    </row>
    <row r="559">
      <c r="A559" s="2" t="s">
        <v>2024</v>
      </c>
      <c r="B559" s="2" t="s">
        <v>2026</v>
      </c>
      <c r="C559" s="2" t="s">
        <v>36</v>
      </c>
    </row>
    <row r="560">
      <c r="A560" s="2" t="s">
        <v>2029</v>
      </c>
      <c r="B560" s="2" t="s">
        <v>2031</v>
      </c>
      <c r="C560" s="2" t="s">
        <v>36</v>
      </c>
    </row>
    <row r="561">
      <c r="A561" s="2" t="s">
        <v>2032</v>
      </c>
      <c r="B561" s="2" t="s">
        <v>2034</v>
      </c>
      <c r="C561" s="2" t="s">
        <v>36</v>
      </c>
    </row>
    <row r="562">
      <c r="A562" s="2" t="s">
        <v>2038</v>
      </c>
      <c r="B562" s="2" t="s">
        <v>2039</v>
      </c>
      <c r="C562" s="2" t="s">
        <v>36</v>
      </c>
    </row>
    <row r="563">
      <c r="A563" s="2" t="s">
        <v>2041</v>
      </c>
      <c r="B563" s="2" t="s">
        <v>2043</v>
      </c>
      <c r="C563" s="2" t="s">
        <v>36</v>
      </c>
    </row>
    <row r="564">
      <c r="A564" s="2" t="s">
        <v>2048</v>
      </c>
      <c r="B564" s="2" t="s">
        <v>2050</v>
      </c>
      <c r="C564" s="2" t="s">
        <v>36</v>
      </c>
    </row>
    <row r="565">
      <c r="A565" s="2" t="s">
        <v>2053</v>
      </c>
      <c r="B565" s="2" t="s">
        <v>2054</v>
      </c>
      <c r="C565" s="2" t="s">
        <v>36</v>
      </c>
    </row>
    <row r="566">
      <c r="A566" s="2" t="s">
        <v>2057</v>
      </c>
      <c r="B566" s="2" t="s">
        <v>2059</v>
      </c>
      <c r="C566" s="2" t="s">
        <v>36</v>
      </c>
    </row>
    <row r="567">
      <c r="A567" s="2" t="s">
        <v>2062</v>
      </c>
      <c r="B567" s="2" t="s">
        <v>2064</v>
      </c>
      <c r="C567" s="2" t="s">
        <v>36</v>
      </c>
    </row>
    <row r="568">
      <c r="A568" s="2" t="s">
        <v>2067</v>
      </c>
      <c r="B568" s="2" t="s">
        <v>2068</v>
      </c>
      <c r="C568" s="2" t="s">
        <v>36</v>
      </c>
    </row>
    <row r="569">
      <c r="A569" s="2" t="s">
        <v>2070</v>
      </c>
      <c r="B569" s="2" t="s">
        <v>2072</v>
      </c>
      <c r="C569" s="2" t="s">
        <v>36</v>
      </c>
    </row>
    <row r="570">
      <c r="A570" s="2" t="s">
        <v>2076</v>
      </c>
      <c r="B570" s="2" t="s">
        <v>2078</v>
      </c>
      <c r="C570" s="2" t="s">
        <v>36</v>
      </c>
    </row>
    <row r="571">
      <c r="A571" s="2" t="s">
        <v>2081</v>
      </c>
      <c r="B571" s="2" t="s">
        <v>2083</v>
      </c>
      <c r="C571" s="2" t="s">
        <v>36</v>
      </c>
    </row>
    <row r="572">
      <c r="A572" s="2" t="s">
        <v>2085</v>
      </c>
      <c r="B572" s="2" t="s">
        <v>2087</v>
      </c>
      <c r="C572" s="2" t="s">
        <v>36</v>
      </c>
    </row>
    <row r="573">
      <c r="A573" s="2" t="s">
        <v>2089</v>
      </c>
      <c r="B573" s="2" t="s">
        <v>2091</v>
      </c>
      <c r="C573" s="2" t="s">
        <v>36</v>
      </c>
    </row>
    <row r="574">
      <c r="A574" s="2" t="s">
        <v>2093</v>
      </c>
      <c r="B574" s="2" t="s">
        <v>2095</v>
      </c>
      <c r="C574" s="2" t="s">
        <v>36</v>
      </c>
    </row>
    <row r="575">
      <c r="A575" s="2" t="s">
        <v>2099</v>
      </c>
      <c r="B575" s="2" t="s">
        <v>2101</v>
      </c>
      <c r="C575" s="2" t="s">
        <v>36</v>
      </c>
    </row>
    <row r="576">
      <c r="A576" s="2" t="s">
        <v>2103</v>
      </c>
      <c r="B576" s="2" t="s">
        <v>2104</v>
      </c>
      <c r="C576" s="2" t="s">
        <v>36</v>
      </c>
    </row>
    <row r="577">
      <c r="A577" s="2" t="s">
        <v>2107</v>
      </c>
      <c r="B577" s="2" t="s">
        <v>2108</v>
      </c>
      <c r="C577" s="2" t="s">
        <v>36</v>
      </c>
    </row>
    <row r="578">
      <c r="A578" s="2" t="s">
        <v>2111</v>
      </c>
      <c r="B578" s="2" t="s">
        <v>2113</v>
      </c>
      <c r="C578" s="2" t="s">
        <v>36</v>
      </c>
    </row>
    <row r="579">
      <c r="A579" s="2" t="s">
        <v>2116</v>
      </c>
      <c r="B579" s="2" t="s">
        <v>2118</v>
      </c>
      <c r="C579" s="2" t="s">
        <v>36</v>
      </c>
    </row>
    <row r="580">
      <c r="A580" s="2" t="s">
        <v>2122</v>
      </c>
      <c r="B580" s="2" t="s">
        <v>2123</v>
      </c>
      <c r="C580" s="2" t="s">
        <v>36</v>
      </c>
    </row>
    <row r="581">
      <c r="A581" s="2" t="s">
        <v>2124</v>
      </c>
      <c r="B581" s="2" t="s">
        <v>2125</v>
      </c>
      <c r="C581" s="2" t="s">
        <v>36</v>
      </c>
    </row>
    <row r="582">
      <c r="A582" s="2" t="s">
        <v>2126</v>
      </c>
      <c r="B582" s="2" t="s">
        <v>2128</v>
      </c>
      <c r="C582" s="2" t="s">
        <v>36</v>
      </c>
    </row>
    <row r="583">
      <c r="A583" s="2" t="s">
        <v>2133</v>
      </c>
      <c r="B583" s="2" t="s">
        <v>2134</v>
      </c>
      <c r="C583" s="2" t="s">
        <v>36</v>
      </c>
    </row>
    <row r="584">
      <c r="A584" s="2" t="s">
        <v>2135</v>
      </c>
      <c r="B584" s="2" t="s">
        <v>2137</v>
      </c>
      <c r="C584" s="2" t="s">
        <v>36</v>
      </c>
    </row>
    <row r="585">
      <c r="A585" s="2" t="s">
        <v>2140</v>
      </c>
      <c r="B585" s="2" t="s">
        <v>2141</v>
      </c>
      <c r="C585" s="2" t="s">
        <v>36</v>
      </c>
    </row>
    <row r="586">
      <c r="A586" s="2" t="s">
        <v>2143</v>
      </c>
      <c r="B586" s="2" t="s">
        <v>2144</v>
      </c>
      <c r="C586" s="2" t="s">
        <v>36</v>
      </c>
    </row>
    <row r="587">
      <c r="A587" s="2" t="s">
        <v>2146</v>
      </c>
      <c r="B587" s="2" t="s">
        <v>2148</v>
      </c>
      <c r="C587" s="2" t="s">
        <v>36</v>
      </c>
    </row>
    <row r="588">
      <c r="A588" s="2" t="s">
        <v>2151</v>
      </c>
      <c r="B588" s="2" t="s">
        <v>2153</v>
      </c>
      <c r="C588" s="2" t="s">
        <v>36</v>
      </c>
    </row>
    <row r="589">
      <c r="A589" s="2" t="s">
        <v>2155</v>
      </c>
      <c r="B589" s="2" t="s">
        <v>2156</v>
      </c>
      <c r="C589" s="2" t="s">
        <v>36</v>
      </c>
    </row>
    <row r="590">
      <c r="A590" s="2" t="s">
        <v>2158</v>
      </c>
      <c r="B590" s="2" t="s">
        <v>2160</v>
      </c>
      <c r="C590" s="2" t="s">
        <v>36</v>
      </c>
    </row>
    <row r="591">
      <c r="A591" s="2" t="s">
        <v>2164</v>
      </c>
      <c r="B591" s="2" t="s">
        <v>2165</v>
      </c>
      <c r="C591" s="2" t="s">
        <v>36</v>
      </c>
    </row>
    <row r="592">
      <c r="A592" s="2" t="s">
        <v>2166</v>
      </c>
      <c r="B592" s="2" t="s">
        <v>2168</v>
      </c>
      <c r="C592" s="2" t="s">
        <v>36</v>
      </c>
    </row>
    <row r="593">
      <c r="A593" s="2" t="s">
        <v>2170</v>
      </c>
      <c r="B593" s="2" t="s">
        <v>2173</v>
      </c>
      <c r="C593" s="2" t="s">
        <v>36</v>
      </c>
    </row>
    <row r="594">
      <c r="A594" s="2" t="s">
        <v>2177</v>
      </c>
      <c r="B594" s="2" t="s">
        <v>2179</v>
      </c>
      <c r="C594" s="2" t="s">
        <v>36</v>
      </c>
    </row>
    <row r="595">
      <c r="A595" s="2" t="s">
        <v>2181</v>
      </c>
      <c r="B595" s="2" t="s">
        <v>2184</v>
      </c>
      <c r="C595" s="2" t="s">
        <v>36</v>
      </c>
    </row>
    <row r="596">
      <c r="A596" s="2" t="s">
        <v>2187</v>
      </c>
      <c r="B596" s="2" t="s">
        <v>2188</v>
      </c>
      <c r="C596" s="2" t="s">
        <v>36</v>
      </c>
    </row>
    <row r="597">
      <c r="A597" s="2" t="s">
        <v>2191</v>
      </c>
      <c r="B597" s="2" t="s">
        <v>2193</v>
      </c>
      <c r="C597" s="2" t="s">
        <v>36</v>
      </c>
    </row>
    <row r="598">
      <c r="A598" s="2" t="s">
        <v>2195</v>
      </c>
      <c r="B598" s="2" t="s">
        <v>2197</v>
      </c>
      <c r="C598" s="2" t="s">
        <v>36</v>
      </c>
    </row>
    <row r="599">
      <c r="A599" s="2" t="s">
        <v>2200</v>
      </c>
      <c r="B599" s="2" t="s">
        <v>2202</v>
      </c>
      <c r="C599" s="2" t="s">
        <v>36</v>
      </c>
    </row>
    <row r="600">
      <c r="A600" s="2" t="s">
        <v>2205</v>
      </c>
      <c r="B600" s="2" t="s">
        <v>2207</v>
      </c>
      <c r="C600" s="2" t="s">
        <v>36</v>
      </c>
    </row>
    <row r="601">
      <c r="A601" s="2" t="s">
        <v>2209</v>
      </c>
      <c r="B601" s="2" t="s">
        <v>2211</v>
      </c>
      <c r="C601" s="2" t="s">
        <v>36</v>
      </c>
    </row>
    <row r="602">
      <c r="A602" s="2" t="s">
        <v>2213</v>
      </c>
      <c r="B602" s="2" t="s">
        <v>2216</v>
      </c>
      <c r="C602" s="2" t="s">
        <v>36</v>
      </c>
    </row>
    <row r="603">
      <c r="A603" s="2" t="s">
        <v>2220</v>
      </c>
      <c r="B603" s="2" t="s">
        <v>2222</v>
      </c>
      <c r="C603" s="2" t="s">
        <v>36</v>
      </c>
    </row>
    <row r="604">
      <c r="A604" s="2" t="s">
        <v>2224</v>
      </c>
      <c r="B604" s="2" t="s">
        <v>2227</v>
      </c>
      <c r="C604" s="2" t="s">
        <v>36</v>
      </c>
    </row>
    <row r="605">
      <c r="A605" s="2" t="s">
        <v>2230</v>
      </c>
      <c r="B605" s="2" t="s">
        <v>2233</v>
      </c>
      <c r="C605" s="2" t="s">
        <v>36</v>
      </c>
    </row>
    <row r="606">
      <c r="A606" s="2" t="s">
        <v>2237</v>
      </c>
      <c r="B606" s="2" t="s">
        <v>2238</v>
      </c>
      <c r="C606" s="2" t="s">
        <v>36</v>
      </c>
    </row>
    <row r="607">
      <c r="A607" s="2" t="s">
        <v>2242</v>
      </c>
      <c r="B607" s="2" t="s">
        <v>2244</v>
      </c>
      <c r="C607" s="2" t="s">
        <v>36</v>
      </c>
    </row>
    <row r="608">
      <c r="A608" s="2" t="s">
        <v>2247</v>
      </c>
      <c r="B608" s="2" t="s">
        <v>2248</v>
      </c>
      <c r="C608" s="2" t="s">
        <v>36</v>
      </c>
    </row>
    <row r="609">
      <c r="A609" s="2" t="s">
        <v>2251</v>
      </c>
      <c r="B609" s="2" t="s">
        <v>2253</v>
      </c>
      <c r="C609" s="2" t="s">
        <v>36</v>
      </c>
    </row>
    <row r="610">
      <c r="A610" s="2" t="s">
        <v>2256</v>
      </c>
      <c r="B610" s="2" t="s">
        <v>2258</v>
      </c>
      <c r="C610" s="2" t="s">
        <v>36</v>
      </c>
    </row>
    <row r="611">
      <c r="A611" s="2" t="s">
        <v>2261</v>
      </c>
      <c r="B611" s="2" t="s">
        <v>2262</v>
      </c>
      <c r="C611" s="2" t="s">
        <v>36</v>
      </c>
    </row>
    <row r="612">
      <c r="A612" s="2" t="s">
        <v>2266</v>
      </c>
      <c r="B612" s="2" t="s">
        <v>2267</v>
      </c>
      <c r="C612" s="2" t="s">
        <v>36</v>
      </c>
    </row>
    <row r="613">
      <c r="A613" s="2" t="s">
        <v>2271</v>
      </c>
      <c r="B613" s="2" t="s">
        <v>2272</v>
      </c>
      <c r="C613" s="2" t="s">
        <v>36</v>
      </c>
    </row>
    <row r="614">
      <c r="A614" s="2" t="s">
        <v>2275</v>
      </c>
      <c r="B614" s="2" t="s">
        <v>2276</v>
      </c>
      <c r="C614" s="2" t="s">
        <v>36</v>
      </c>
    </row>
    <row r="615">
      <c r="A615" s="2" t="s">
        <v>2279</v>
      </c>
      <c r="B615" s="2" t="s">
        <v>2280</v>
      </c>
      <c r="C615" s="2" t="s">
        <v>36</v>
      </c>
    </row>
    <row r="616">
      <c r="A616" s="2" t="s">
        <v>2281</v>
      </c>
      <c r="B616" s="2" t="s">
        <v>2282</v>
      </c>
      <c r="C616" s="2" t="s">
        <v>36</v>
      </c>
    </row>
    <row r="617">
      <c r="A617" s="2" t="s">
        <v>2283</v>
      </c>
      <c r="B617" s="2" t="s">
        <v>2284</v>
      </c>
      <c r="C617" s="2" t="s">
        <v>36</v>
      </c>
    </row>
    <row r="618">
      <c r="A618" s="2" t="s">
        <v>2285</v>
      </c>
      <c r="B618" s="2" t="s">
        <v>2286</v>
      </c>
      <c r="C618" s="2" t="s">
        <v>36</v>
      </c>
    </row>
    <row r="619">
      <c r="A619" s="2" t="s">
        <v>2287</v>
      </c>
      <c r="B619" s="2" t="s">
        <v>2288</v>
      </c>
      <c r="C619" s="2" t="s">
        <v>36</v>
      </c>
    </row>
    <row r="620">
      <c r="A620" s="2" t="s">
        <v>2289</v>
      </c>
      <c r="B620" s="2" t="s">
        <v>2290</v>
      </c>
      <c r="C620" s="2" t="s">
        <v>36</v>
      </c>
    </row>
    <row r="621">
      <c r="A621" s="2" t="s">
        <v>2291</v>
      </c>
      <c r="B621" s="2" t="s">
        <v>2292</v>
      </c>
      <c r="C621" s="2" t="s">
        <v>36</v>
      </c>
    </row>
    <row r="622">
      <c r="A622" s="2" t="s">
        <v>2293</v>
      </c>
      <c r="B622" s="2" t="s">
        <v>2294</v>
      </c>
      <c r="C622" s="2" t="s">
        <v>36</v>
      </c>
    </row>
    <row r="623">
      <c r="A623" s="2" t="s">
        <v>2295</v>
      </c>
      <c r="B623" s="2" t="s">
        <v>2296</v>
      </c>
      <c r="C623" s="2" t="s">
        <v>36</v>
      </c>
    </row>
    <row r="624">
      <c r="A624" s="2" t="s">
        <v>2297</v>
      </c>
      <c r="B624" s="2" t="s">
        <v>2298</v>
      </c>
      <c r="C624" s="2" t="s">
        <v>36</v>
      </c>
    </row>
    <row r="625">
      <c r="A625" s="2" t="s">
        <v>2299</v>
      </c>
      <c r="B625" s="2" t="s">
        <v>2300</v>
      </c>
      <c r="C625" s="2" t="s">
        <v>36</v>
      </c>
    </row>
    <row r="626">
      <c r="A626" s="2" t="s">
        <v>2301</v>
      </c>
      <c r="B626" s="2" t="s">
        <v>2302</v>
      </c>
      <c r="C626" s="2" t="s">
        <v>36</v>
      </c>
    </row>
    <row r="627">
      <c r="A627" s="2" t="s">
        <v>2303</v>
      </c>
      <c r="B627" s="2" t="s">
        <v>2304</v>
      </c>
      <c r="C627" s="2" t="s">
        <v>36</v>
      </c>
    </row>
    <row r="628">
      <c r="A628" s="2" t="s">
        <v>2305</v>
      </c>
      <c r="B628" s="2" t="s">
        <v>2306</v>
      </c>
      <c r="C628" s="2" t="s">
        <v>36</v>
      </c>
    </row>
    <row r="629">
      <c r="A629" s="2" t="s">
        <v>2307</v>
      </c>
      <c r="B629" s="2" t="s">
        <v>2308</v>
      </c>
      <c r="C629" s="2" t="s">
        <v>36</v>
      </c>
    </row>
    <row r="630">
      <c r="A630" s="2" t="s">
        <v>2309</v>
      </c>
      <c r="B630" s="2" t="s">
        <v>2310</v>
      </c>
      <c r="C630" s="2" t="s">
        <v>36</v>
      </c>
    </row>
    <row r="631">
      <c r="A631" s="2" t="s">
        <v>2311</v>
      </c>
      <c r="B631" s="2" t="s">
        <v>2312</v>
      </c>
      <c r="C631" s="2" t="s">
        <v>36</v>
      </c>
    </row>
    <row r="632">
      <c r="A632" s="2" t="s">
        <v>2313</v>
      </c>
      <c r="B632" s="2" t="s">
        <v>2314</v>
      </c>
      <c r="C632" s="2" t="s">
        <v>36</v>
      </c>
    </row>
    <row r="633">
      <c r="A633" s="2" t="s">
        <v>2315</v>
      </c>
      <c r="B633" s="2" t="s">
        <v>2316</v>
      </c>
      <c r="C633" s="2" t="s">
        <v>36</v>
      </c>
    </row>
    <row r="634">
      <c r="A634" s="2" t="s">
        <v>2317</v>
      </c>
      <c r="B634" s="2" t="s">
        <v>2318</v>
      </c>
      <c r="C634" s="2" t="s">
        <v>36</v>
      </c>
    </row>
    <row r="635">
      <c r="A635" s="2" t="s">
        <v>2319</v>
      </c>
      <c r="B635" s="2" t="s">
        <v>2320</v>
      </c>
      <c r="C635" s="2" t="s">
        <v>36</v>
      </c>
    </row>
    <row r="636">
      <c r="A636" s="2" t="s">
        <v>2321</v>
      </c>
      <c r="B636" s="2" t="s">
        <v>2322</v>
      </c>
      <c r="C636" s="2" t="s">
        <v>36</v>
      </c>
    </row>
    <row r="637">
      <c r="A637" s="2" t="s">
        <v>2323</v>
      </c>
      <c r="B637" s="2" t="s">
        <v>2324</v>
      </c>
      <c r="C637" s="2" t="s">
        <v>36</v>
      </c>
    </row>
    <row r="638">
      <c r="A638" s="2" t="s">
        <v>2325</v>
      </c>
      <c r="B638" s="2" t="s">
        <v>2326</v>
      </c>
      <c r="C638" s="2" t="s">
        <v>36</v>
      </c>
    </row>
    <row r="639">
      <c r="A639" s="2" t="s">
        <v>2327</v>
      </c>
      <c r="B639" s="2" t="s">
        <v>2328</v>
      </c>
      <c r="C639" s="2" t="s">
        <v>36</v>
      </c>
    </row>
    <row r="640">
      <c r="A640" s="2" t="s">
        <v>2329</v>
      </c>
      <c r="B640" s="2" t="s">
        <v>2330</v>
      </c>
      <c r="C640" s="2" t="s">
        <v>36</v>
      </c>
    </row>
    <row r="641">
      <c r="A641" s="2" t="s">
        <v>2331</v>
      </c>
      <c r="B641" s="2" t="s">
        <v>2332</v>
      </c>
      <c r="C641" s="2" t="s">
        <v>36</v>
      </c>
    </row>
    <row r="642">
      <c r="A642" s="2" t="s">
        <v>2333</v>
      </c>
      <c r="B642" s="2" t="s">
        <v>2334</v>
      </c>
      <c r="C642" s="2" t="s">
        <v>36</v>
      </c>
    </row>
    <row r="643">
      <c r="A643" s="2" t="s">
        <v>2335</v>
      </c>
      <c r="B643" s="2" t="s">
        <v>2336</v>
      </c>
      <c r="C643" s="2" t="s">
        <v>36</v>
      </c>
    </row>
    <row r="644">
      <c r="A644" s="2" t="s">
        <v>2337</v>
      </c>
      <c r="B644" s="2" t="s">
        <v>2338</v>
      </c>
      <c r="C644" s="2" t="s">
        <v>36</v>
      </c>
    </row>
    <row r="645">
      <c r="A645" s="2" t="s">
        <v>2339</v>
      </c>
      <c r="B645" s="2" t="s">
        <v>2340</v>
      </c>
      <c r="C645" s="2" t="s">
        <v>36</v>
      </c>
    </row>
    <row r="646">
      <c r="A646" s="2" t="s">
        <v>2341</v>
      </c>
      <c r="B646" s="2" t="s">
        <v>2342</v>
      </c>
      <c r="C646" s="2" t="s">
        <v>36</v>
      </c>
    </row>
    <row r="647">
      <c r="A647" s="2" t="s">
        <v>2343</v>
      </c>
      <c r="B647" s="2" t="s">
        <v>2344</v>
      </c>
      <c r="C647" s="2" t="s">
        <v>36</v>
      </c>
    </row>
    <row r="648">
      <c r="A648" s="2" t="s">
        <v>2345</v>
      </c>
      <c r="B648" s="2" t="s">
        <v>2346</v>
      </c>
      <c r="C648" s="2" t="s">
        <v>36</v>
      </c>
    </row>
    <row r="649">
      <c r="A649" s="2" t="s">
        <v>2347</v>
      </c>
      <c r="B649" s="2" t="s">
        <v>2348</v>
      </c>
      <c r="C649" s="2" t="s">
        <v>36</v>
      </c>
    </row>
    <row r="650">
      <c r="A650" s="2" t="s">
        <v>2349</v>
      </c>
      <c r="B650" s="2" t="s">
        <v>2350</v>
      </c>
      <c r="C650" s="2" t="s">
        <v>36</v>
      </c>
    </row>
    <row r="651">
      <c r="A651" s="2" t="s">
        <v>2351</v>
      </c>
      <c r="B651" s="2" t="s">
        <v>2352</v>
      </c>
      <c r="C651" s="2" t="s">
        <v>36</v>
      </c>
    </row>
    <row r="652">
      <c r="A652" s="2" t="s">
        <v>2353</v>
      </c>
      <c r="B652" s="2" t="s">
        <v>2354</v>
      </c>
      <c r="C652" s="2" t="s">
        <v>36</v>
      </c>
    </row>
    <row r="653">
      <c r="A653" s="2" t="s">
        <v>2355</v>
      </c>
      <c r="B653" s="2" t="s">
        <v>2357</v>
      </c>
      <c r="C653" s="2" t="s">
        <v>36</v>
      </c>
    </row>
    <row r="654">
      <c r="A654" s="2" t="s">
        <v>2358</v>
      </c>
      <c r="B654" s="2" t="s">
        <v>2359</v>
      </c>
      <c r="C654" s="2" t="s">
        <v>36</v>
      </c>
    </row>
    <row r="655">
      <c r="A655" s="2" t="s">
        <v>2360</v>
      </c>
      <c r="B655" s="2" t="s">
        <v>2361</v>
      </c>
      <c r="C655" s="2" t="s">
        <v>36</v>
      </c>
    </row>
    <row r="656">
      <c r="A656" s="2" t="s">
        <v>2362</v>
      </c>
      <c r="B656" s="2" t="s">
        <v>2363</v>
      </c>
      <c r="C656" s="2" t="s">
        <v>36</v>
      </c>
    </row>
    <row r="657">
      <c r="A657" s="2" t="s">
        <v>2364</v>
      </c>
      <c r="B657" s="2" t="s">
        <v>2365</v>
      </c>
      <c r="C657" s="2" t="s">
        <v>36</v>
      </c>
    </row>
    <row r="658">
      <c r="A658" s="2" t="s">
        <v>2366</v>
      </c>
      <c r="B658" s="2" t="s">
        <v>2367</v>
      </c>
      <c r="C658" s="2" t="s">
        <v>36</v>
      </c>
    </row>
    <row r="659">
      <c r="A659" s="2" t="s">
        <v>2368</v>
      </c>
      <c r="B659" s="2" t="s">
        <v>2369</v>
      </c>
      <c r="C659" s="2" t="s">
        <v>36</v>
      </c>
    </row>
    <row r="660">
      <c r="A660" s="2" t="s">
        <v>2370</v>
      </c>
      <c r="B660" s="2" t="s">
        <v>2371</v>
      </c>
      <c r="C660" s="2" t="s">
        <v>36</v>
      </c>
    </row>
    <row r="661">
      <c r="A661" s="2" t="s">
        <v>2372</v>
      </c>
      <c r="B661" s="2" t="s">
        <v>2373</v>
      </c>
      <c r="C661" s="2" t="s">
        <v>36</v>
      </c>
    </row>
    <row r="662">
      <c r="A662" s="2" t="s">
        <v>2374</v>
      </c>
      <c r="B662" s="2" t="s">
        <v>2375</v>
      </c>
      <c r="C662" s="2" t="s">
        <v>36</v>
      </c>
    </row>
    <row r="663">
      <c r="A663" s="2" t="s">
        <v>2376</v>
      </c>
      <c r="B663" s="2" t="s">
        <v>2377</v>
      </c>
      <c r="C663" s="2" t="s">
        <v>36</v>
      </c>
    </row>
    <row r="664">
      <c r="A664" s="2" t="s">
        <v>2378</v>
      </c>
      <c r="B664" s="2" t="s">
        <v>2379</v>
      </c>
      <c r="C664" s="2" t="s">
        <v>36</v>
      </c>
    </row>
    <row r="665">
      <c r="A665" s="2" t="s">
        <v>2380</v>
      </c>
      <c r="B665" s="2" t="s">
        <v>2381</v>
      </c>
      <c r="C665" s="2" t="s">
        <v>36</v>
      </c>
    </row>
    <row r="666">
      <c r="A666" s="2" t="s">
        <v>2382</v>
      </c>
      <c r="B666" s="2" t="s">
        <v>2383</v>
      </c>
      <c r="C666" s="2" t="s">
        <v>36</v>
      </c>
    </row>
    <row r="667">
      <c r="A667" s="2" t="s">
        <v>2384</v>
      </c>
      <c r="B667" s="2" t="s">
        <v>2385</v>
      </c>
      <c r="C667" s="2" t="s">
        <v>36</v>
      </c>
    </row>
    <row r="668">
      <c r="A668" s="2" t="s">
        <v>2386</v>
      </c>
      <c r="B668" s="2" t="s">
        <v>2387</v>
      </c>
      <c r="C668" s="2" t="s">
        <v>36</v>
      </c>
    </row>
    <row r="669">
      <c r="A669" s="2" t="s">
        <v>2388</v>
      </c>
      <c r="B669" s="2" t="s">
        <v>2389</v>
      </c>
      <c r="C669" s="2" t="s">
        <v>36</v>
      </c>
    </row>
    <row r="670">
      <c r="A670" s="2" t="s">
        <v>2390</v>
      </c>
      <c r="B670" s="2" t="s">
        <v>2391</v>
      </c>
      <c r="C670" s="2" t="s">
        <v>36</v>
      </c>
    </row>
    <row r="671">
      <c r="A671" s="2" t="s">
        <v>2392</v>
      </c>
      <c r="B671" s="2" t="s">
        <v>2393</v>
      </c>
      <c r="C671" s="2" t="s">
        <v>36</v>
      </c>
    </row>
    <row r="672">
      <c r="A672" s="2" t="s">
        <v>2394</v>
      </c>
      <c r="B672" s="2" t="s">
        <v>2395</v>
      </c>
      <c r="C672" s="2" t="s">
        <v>36</v>
      </c>
    </row>
    <row r="673">
      <c r="A673" s="2" t="s">
        <v>2396</v>
      </c>
      <c r="B673" s="2" t="s">
        <v>2397</v>
      </c>
      <c r="C673" s="2" t="s">
        <v>36</v>
      </c>
    </row>
    <row r="674">
      <c r="A674" s="2" t="s">
        <v>2398</v>
      </c>
      <c r="B674" s="2" t="s">
        <v>2399</v>
      </c>
      <c r="C674" s="2" t="s">
        <v>36</v>
      </c>
    </row>
    <row r="675">
      <c r="A675" s="2" t="s">
        <v>2400</v>
      </c>
      <c r="B675" s="2" t="s">
        <v>2401</v>
      </c>
      <c r="C675" s="2" t="s">
        <v>36</v>
      </c>
    </row>
    <row r="676">
      <c r="A676" s="2" t="s">
        <v>2402</v>
      </c>
      <c r="B676" s="2" t="s">
        <v>2403</v>
      </c>
      <c r="C676" s="2" t="s">
        <v>36</v>
      </c>
    </row>
    <row r="677">
      <c r="A677" s="2" t="s">
        <v>2404</v>
      </c>
      <c r="B677" s="2" t="s">
        <v>2405</v>
      </c>
      <c r="C677" s="2" t="s">
        <v>36</v>
      </c>
    </row>
    <row r="678">
      <c r="A678" s="2" t="s">
        <v>2406</v>
      </c>
      <c r="B678" s="2" t="s">
        <v>2407</v>
      </c>
      <c r="C678" s="2" t="s">
        <v>36</v>
      </c>
    </row>
    <row r="679">
      <c r="A679" s="2" t="s">
        <v>2408</v>
      </c>
      <c r="B679" s="2" t="s">
        <v>2409</v>
      </c>
      <c r="C679" s="2" t="s">
        <v>36</v>
      </c>
    </row>
    <row r="680">
      <c r="A680" s="2" t="s">
        <v>2411</v>
      </c>
      <c r="B680" s="2" t="s">
        <v>2413</v>
      </c>
      <c r="C680" s="2" t="s">
        <v>36</v>
      </c>
    </row>
    <row r="681">
      <c r="A681" s="2" t="s">
        <v>2414</v>
      </c>
      <c r="B681" s="2" t="s">
        <v>2415</v>
      </c>
      <c r="C681" s="2" t="s">
        <v>36</v>
      </c>
    </row>
    <row r="682">
      <c r="A682" s="2" t="s">
        <v>2416</v>
      </c>
      <c r="B682" s="2" t="s">
        <v>2417</v>
      </c>
      <c r="C682" s="2" t="s">
        <v>36</v>
      </c>
    </row>
    <row r="683">
      <c r="A683" s="2" t="s">
        <v>2418</v>
      </c>
      <c r="B683" s="2" t="s">
        <v>2419</v>
      </c>
      <c r="C683" s="2" t="s">
        <v>36</v>
      </c>
    </row>
    <row r="684">
      <c r="A684" s="2" t="s">
        <v>2420</v>
      </c>
      <c r="B684" s="2" t="s">
        <v>2421</v>
      </c>
      <c r="C684" s="2" t="s">
        <v>36</v>
      </c>
    </row>
    <row r="685">
      <c r="A685" s="2" t="s">
        <v>2422</v>
      </c>
      <c r="B685" s="2" t="s">
        <v>2423</v>
      </c>
      <c r="C685" s="2" t="s">
        <v>36</v>
      </c>
    </row>
    <row r="686">
      <c r="A686" s="2" t="s">
        <v>2424</v>
      </c>
      <c r="B686" s="2" t="s">
        <v>2425</v>
      </c>
      <c r="C686" s="2" t="s">
        <v>36</v>
      </c>
    </row>
    <row r="687">
      <c r="A687" s="2" t="s">
        <v>2426</v>
      </c>
      <c r="B687" s="2" t="s">
        <v>2427</v>
      </c>
      <c r="C687" s="2" t="s">
        <v>36</v>
      </c>
    </row>
    <row r="688">
      <c r="A688" s="2" t="s">
        <v>2428</v>
      </c>
      <c r="B688" s="2" t="s">
        <v>2429</v>
      </c>
      <c r="C688" s="2" t="s">
        <v>36</v>
      </c>
    </row>
    <row r="689">
      <c r="A689" s="2" t="s">
        <v>2430</v>
      </c>
      <c r="B689" s="2" t="s">
        <v>2431</v>
      </c>
      <c r="C689" s="2" t="s">
        <v>36</v>
      </c>
    </row>
    <row r="690">
      <c r="A690" s="2" t="s">
        <v>2432</v>
      </c>
      <c r="B690" s="2" t="s">
        <v>2434</v>
      </c>
      <c r="C690" s="2" t="s">
        <v>36</v>
      </c>
    </row>
    <row r="691">
      <c r="A691" s="2" t="s">
        <v>2436</v>
      </c>
      <c r="B691" s="2" t="s">
        <v>2437</v>
      </c>
      <c r="C691" s="2" t="s">
        <v>36</v>
      </c>
    </row>
    <row r="692">
      <c r="A692" s="2" t="s">
        <v>2438</v>
      </c>
      <c r="B692" s="2" t="s">
        <v>2439</v>
      </c>
      <c r="C692" s="2" t="s">
        <v>36</v>
      </c>
    </row>
    <row r="693">
      <c r="A693" s="2" t="s">
        <v>2440</v>
      </c>
      <c r="B693" s="2" t="s">
        <v>2441</v>
      </c>
      <c r="C693" s="2" t="s">
        <v>36</v>
      </c>
    </row>
    <row r="694">
      <c r="A694" s="2" t="s">
        <v>2442</v>
      </c>
      <c r="B694" s="2" t="s">
        <v>2443</v>
      </c>
      <c r="C694" s="2" t="s">
        <v>36</v>
      </c>
    </row>
    <row r="695">
      <c r="A695" s="2" t="s">
        <v>2444</v>
      </c>
      <c r="B695" s="2" t="s">
        <v>2445</v>
      </c>
      <c r="C695" s="2" t="s">
        <v>36</v>
      </c>
    </row>
    <row r="696">
      <c r="A696" s="2" t="s">
        <v>2447</v>
      </c>
      <c r="B696" s="2" t="s">
        <v>2449</v>
      </c>
      <c r="C696" s="2" t="s">
        <v>36</v>
      </c>
    </row>
    <row r="697">
      <c r="A697" s="2" t="s">
        <v>2450</v>
      </c>
      <c r="B697" s="2" t="s">
        <v>2451</v>
      </c>
      <c r="C697" s="2" t="s">
        <v>36</v>
      </c>
    </row>
    <row r="698">
      <c r="A698" s="2" t="s">
        <v>2452</v>
      </c>
      <c r="B698" s="2" t="s">
        <v>2453</v>
      </c>
      <c r="C698" s="2" t="s">
        <v>36</v>
      </c>
    </row>
    <row r="699">
      <c r="A699" s="2" t="s">
        <v>2454</v>
      </c>
      <c r="B699" s="2" t="s">
        <v>2455</v>
      </c>
      <c r="C699" s="2" t="s">
        <v>36</v>
      </c>
    </row>
    <row r="700">
      <c r="A700" s="2" t="s">
        <v>2456</v>
      </c>
      <c r="B700" s="2" t="s">
        <v>2457</v>
      </c>
      <c r="C700" s="2" t="s">
        <v>36</v>
      </c>
    </row>
    <row r="701">
      <c r="A701" s="2" t="s">
        <v>2458</v>
      </c>
      <c r="B701" s="2" t="s">
        <v>2459</v>
      </c>
      <c r="C701" s="2" t="s">
        <v>36</v>
      </c>
    </row>
    <row r="702">
      <c r="A702" s="2" t="s">
        <v>2462</v>
      </c>
      <c r="B702" s="2" t="s">
        <v>2463</v>
      </c>
      <c r="C702" s="2" t="s">
        <v>36</v>
      </c>
    </row>
    <row r="703">
      <c r="A703" s="2" t="s">
        <v>2464</v>
      </c>
      <c r="B703" s="2" t="s">
        <v>2465</v>
      </c>
      <c r="C703" s="2" t="s">
        <v>36</v>
      </c>
    </row>
    <row r="704">
      <c r="A704" s="2" t="s">
        <v>2466</v>
      </c>
      <c r="B704" s="2" t="s">
        <v>2467</v>
      </c>
      <c r="C704" s="2" t="s">
        <v>36</v>
      </c>
    </row>
    <row r="705">
      <c r="A705" s="2" t="s">
        <v>2468</v>
      </c>
      <c r="B705" s="2" t="s">
        <v>2469</v>
      </c>
      <c r="C705" s="2" t="s">
        <v>36</v>
      </c>
    </row>
    <row r="706">
      <c r="A706" s="2" t="s">
        <v>2470</v>
      </c>
      <c r="B706" s="2" t="s">
        <v>2471</v>
      </c>
      <c r="C706" s="2" t="s">
        <v>36</v>
      </c>
    </row>
    <row r="707">
      <c r="A707" s="2" t="s">
        <v>2472</v>
      </c>
      <c r="B707" s="2" t="s">
        <v>2474</v>
      </c>
      <c r="C707" s="2" t="s">
        <v>36</v>
      </c>
    </row>
    <row r="708">
      <c r="A708" s="2" t="s">
        <v>2476</v>
      </c>
      <c r="B708" s="2" t="s">
        <v>2477</v>
      </c>
      <c r="C708" s="2" t="s">
        <v>36</v>
      </c>
    </row>
    <row r="709">
      <c r="A709" s="2" t="s">
        <v>2478</v>
      </c>
      <c r="B709" s="2" t="s">
        <v>2479</v>
      </c>
      <c r="C709" s="2" t="s">
        <v>36</v>
      </c>
    </row>
    <row r="710">
      <c r="A710" s="2" t="s">
        <v>2480</v>
      </c>
      <c r="B710" s="2" t="s">
        <v>2481</v>
      </c>
      <c r="C710" s="2" t="s">
        <v>36</v>
      </c>
    </row>
    <row r="711">
      <c r="A711" s="2" t="s">
        <v>2482</v>
      </c>
      <c r="B711" s="2" t="s">
        <v>2483</v>
      </c>
      <c r="C711" s="2" t="s">
        <v>36</v>
      </c>
    </row>
    <row r="712">
      <c r="A712" s="2" t="s">
        <v>2484</v>
      </c>
      <c r="B712" s="2" t="s">
        <v>2485</v>
      </c>
      <c r="C712" s="2" t="s">
        <v>36</v>
      </c>
    </row>
    <row r="713">
      <c r="A713" s="2" t="s">
        <v>2486</v>
      </c>
      <c r="B713" s="2" t="s">
        <v>2488</v>
      </c>
      <c r="C713" s="2" t="s">
        <v>36</v>
      </c>
    </row>
    <row r="714">
      <c r="A714" s="2" t="s">
        <v>2490</v>
      </c>
      <c r="B714" s="2" t="s">
        <v>2491</v>
      </c>
      <c r="C714" s="2" t="s">
        <v>36</v>
      </c>
    </row>
    <row r="715">
      <c r="A715" s="2" t="s">
        <v>2492</v>
      </c>
      <c r="B715" s="2" t="s">
        <v>2493</v>
      </c>
      <c r="C715" s="2" t="s">
        <v>36</v>
      </c>
    </row>
    <row r="716">
      <c r="A716" s="2" t="s">
        <v>2494</v>
      </c>
      <c r="B716" s="2" t="s">
        <v>2495</v>
      </c>
      <c r="C716" s="2" t="s">
        <v>36</v>
      </c>
    </row>
    <row r="717">
      <c r="A717" s="2" t="s">
        <v>2496</v>
      </c>
      <c r="B717" s="2" t="s">
        <v>2497</v>
      </c>
      <c r="C717" s="2" t="s">
        <v>36</v>
      </c>
    </row>
    <row r="718">
      <c r="A718" s="2" t="s">
        <v>2498</v>
      </c>
      <c r="B718" s="2" t="s">
        <v>2499</v>
      </c>
      <c r="C718" s="2" t="s">
        <v>36</v>
      </c>
    </row>
    <row r="719">
      <c r="A719" s="2" t="s">
        <v>2500</v>
      </c>
      <c r="B719" s="2" t="s">
        <v>2501</v>
      </c>
      <c r="C719" s="2" t="s">
        <v>36</v>
      </c>
    </row>
    <row r="720">
      <c r="A720" s="2" t="s">
        <v>2502</v>
      </c>
      <c r="B720" s="2" t="s">
        <v>2503</v>
      </c>
      <c r="C720" s="2" t="s">
        <v>36</v>
      </c>
    </row>
    <row r="721">
      <c r="A721" s="2" t="s">
        <v>2504</v>
      </c>
      <c r="B721" s="2" t="s">
        <v>2505</v>
      </c>
      <c r="C721" s="2" t="s">
        <v>36</v>
      </c>
    </row>
    <row r="722">
      <c r="A722" s="2" t="s">
        <v>2506</v>
      </c>
      <c r="B722" s="2" t="s">
        <v>2507</v>
      </c>
      <c r="C722" s="2" t="s">
        <v>36</v>
      </c>
    </row>
    <row r="723">
      <c r="A723" s="2" t="s">
        <v>2508</v>
      </c>
      <c r="B723" s="2" t="s">
        <v>2509</v>
      </c>
      <c r="C723" s="2" t="s">
        <v>36</v>
      </c>
    </row>
    <row r="724">
      <c r="A724" s="2" t="s">
        <v>2510</v>
      </c>
      <c r="B724" s="2" t="s">
        <v>2511</v>
      </c>
      <c r="C724" s="2" t="s">
        <v>36</v>
      </c>
    </row>
    <row r="725">
      <c r="A725" s="2" t="s">
        <v>2512</v>
      </c>
      <c r="B725" s="2" t="s">
        <v>2513</v>
      </c>
      <c r="C725" s="2" t="s">
        <v>36</v>
      </c>
    </row>
    <row r="726">
      <c r="A726" s="2" t="s">
        <v>2514</v>
      </c>
      <c r="B726" s="2" t="s">
        <v>2515</v>
      </c>
      <c r="C726" s="2" t="s">
        <v>36</v>
      </c>
    </row>
    <row r="727">
      <c r="A727" s="2" t="s">
        <v>2516</v>
      </c>
      <c r="B727" s="2" t="s">
        <v>2517</v>
      </c>
      <c r="C727" s="2" t="s">
        <v>36</v>
      </c>
    </row>
    <row r="728">
      <c r="A728" s="2" t="s">
        <v>2518</v>
      </c>
      <c r="B728" s="2" t="s">
        <v>2519</v>
      </c>
      <c r="C728" s="2" t="s">
        <v>36</v>
      </c>
    </row>
    <row r="729">
      <c r="A729" s="2" t="s">
        <v>2520</v>
      </c>
      <c r="B729" s="2" t="s">
        <v>2521</v>
      </c>
      <c r="C729" s="2" t="s">
        <v>36</v>
      </c>
    </row>
    <row r="730">
      <c r="A730" s="2" t="s">
        <v>2522</v>
      </c>
      <c r="B730" s="2" t="s">
        <v>2523</v>
      </c>
      <c r="C730" s="2" t="s">
        <v>36</v>
      </c>
    </row>
    <row r="731">
      <c r="A731" s="2" t="s">
        <v>2525</v>
      </c>
      <c r="B731" s="2" t="s">
        <v>2526</v>
      </c>
      <c r="C731" s="2" t="s">
        <v>36</v>
      </c>
    </row>
    <row r="732">
      <c r="A732" s="2" t="s">
        <v>2527</v>
      </c>
      <c r="B732" s="2" t="s">
        <v>2528</v>
      </c>
      <c r="C732" s="2" t="s">
        <v>36</v>
      </c>
    </row>
    <row r="733">
      <c r="A733" s="2" t="s">
        <v>2529</v>
      </c>
      <c r="B733" s="2" t="s">
        <v>2530</v>
      </c>
      <c r="C733" s="2" t="s">
        <v>36</v>
      </c>
    </row>
    <row r="734">
      <c r="A734" s="2" t="s">
        <v>2531</v>
      </c>
      <c r="B734" s="2" t="s">
        <v>2532</v>
      </c>
      <c r="C734" s="2" t="s">
        <v>36</v>
      </c>
    </row>
    <row r="735">
      <c r="A735" s="2" t="s">
        <v>2533</v>
      </c>
      <c r="B735" s="2" t="s">
        <v>2534</v>
      </c>
      <c r="C735" s="2" t="s">
        <v>36</v>
      </c>
    </row>
    <row r="736">
      <c r="A736" s="2" t="s">
        <v>2535</v>
      </c>
      <c r="B736" s="2" t="s">
        <v>2536</v>
      </c>
      <c r="C736" s="2" t="s">
        <v>36</v>
      </c>
    </row>
    <row r="737">
      <c r="A737" s="2" t="s">
        <v>2538</v>
      </c>
      <c r="B737" s="2" t="s">
        <v>2539</v>
      </c>
      <c r="C737" s="2" t="s">
        <v>36</v>
      </c>
    </row>
    <row r="738">
      <c r="A738" s="2" t="s">
        <v>2540</v>
      </c>
      <c r="B738" s="2" t="s">
        <v>2541</v>
      </c>
      <c r="C738" s="2" t="s">
        <v>36</v>
      </c>
    </row>
    <row r="739">
      <c r="A739" s="2" t="s">
        <v>2542</v>
      </c>
      <c r="B739" s="2" t="s">
        <v>2543</v>
      </c>
      <c r="C739" s="2" t="s">
        <v>36</v>
      </c>
    </row>
    <row r="740">
      <c r="A740" s="2" t="s">
        <v>2545</v>
      </c>
      <c r="B740" s="2" t="s">
        <v>2546</v>
      </c>
      <c r="C740" s="2" t="s">
        <v>36</v>
      </c>
    </row>
    <row r="741">
      <c r="A741" s="2" t="s">
        <v>2547</v>
      </c>
      <c r="B741" s="2" t="s">
        <v>2549</v>
      </c>
      <c r="C741" s="2" t="s">
        <v>36</v>
      </c>
    </row>
    <row r="742">
      <c r="A742" s="2" t="s">
        <v>2550</v>
      </c>
      <c r="B742" s="2" t="s">
        <v>2552</v>
      </c>
      <c r="C742" s="2" t="s">
        <v>36</v>
      </c>
    </row>
    <row r="743">
      <c r="A743" s="2" t="s">
        <v>2555</v>
      </c>
      <c r="B743" s="2" t="s">
        <v>2556</v>
      </c>
      <c r="C743" s="2" t="s">
        <v>36</v>
      </c>
    </row>
    <row r="744">
      <c r="A744" s="2" t="s">
        <v>2557</v>
      </c>
      <c r="B744" s="2" t="s">
        <v>2558</v>
      </c>
      <c r="C744" s="2" t="s">
        <v>36</v>
      </c>
    </row>
    <row r="745">
      <c r="A745" s="2" t="s">
        <v>2559</v>
      </c>
      <c r="B745" s="2" t="s">
        <v>2560</v>
      </c>
      <c r="C745" s="2" t="s">
        <v>36</v>
      </c>
    </row>
    <row r="746">
      <c r="A746" s="2" t="s">
        <v>2561</v>
      </c>
      <c r="B746" s="2" t="s">
        <v>2562</v>
      </c>
      <c r="C746" s="2" t="s">
        <v>36</v>
      </c>
    </row>
    <row r="747">
      <c r="A747" s="2" t="s">
        <v>2563</v>
      </c>
      <c r="B747" s="2" t="s">
        <v>2564</v>
      </c>
      <c r="C747" s="2" t="s">
        <v>36</v>
      </c>
    </row>
    <row r="748">
      <c r="A748" s="2" t="s">
        <v>2565</v>
      </c>
      <c r="B748" s="2" t="s">
        <v>2566</v>
      </c>
      <c r="C748" s="2" t="s">
        <v>36</v>
      </c>
    </row>
    <row r="749">
      <c r="A749" s="2" t="s">
        <v>2567</v>
      </c>
      <c r="B749" s="2" t="s">
        <v>2568</v>
      </c>
      <c r="C749" s="2" t="s">
        <v>36</v>
      </c>
    </row>
    <row r="750">
      <c r="A750" s="2" t="s">
        <v>2569</v>
      </c>
      <c r="B750" s="2" t="s">
        <v>2570</v>
      </c>
      <c r="C750" s="2" t="s">
        <v>36</v>
      </c>
    </row>
    <row r="751">
      <c r="A751" s="2" t="s">
        <v>2571</v>
      </c>
      <c r="B751" s="2" t="s">
        <v>2572</v>
      </c>
      <c r="C751" s="2" t="s">
        <v>36</v>
      </c>
    </row>
    <row r="752">
      <c r="A752" s="2" t="s">
        <v>2573</v>
      </c>
      <c r="B752" s="2" t="s">
        <v>2574</v>
      </c>
      <c r="C752" s="2" t="s">
        <v>36</v>
      </c>
    </row>
    <row r="753">
      <c r="A753" s="2" t="s">
        <v>2575</v>
      </c>
      <c r="B753" s="2" t="s">
        <v>2576</v>
      </c>
      <c r="C753" s="2" t="s">
        <v>36</v>
      </c>
    </row>
    <row r="754">
      <c r="A754" s="2" t="s">
        <v>2577</v>
      </c>
      <c r="B754" s="2" t="s">
        <v>2578</v>
      </c>
      <c r="C754" s="2" t="s">
        <v>36</v>
      </c>
    </row>
    <row r="755">
      <c r="A755" s="2" t="s">
        <v>2579</v>
      </c>
      <c r="B755" s="2" t="s">
        <v>2580</v>
      </c>
      <c r="C755" s="2" t="s">
        <v>36</v>
      </c>
    </row>
    <row r="756">
      <c r="A756" s="2" t="s">
        <v>2581</v>
      </c>
      <c r="B756" s="2" t="s">
        <v>2582</v>
      </c>
      <c r="C756" s="2" t="s">
        <v>36</v>
      </c>
    </row>
    <row r="757">
      <c r="A757" s="2" t="s">
        <v>2583</v>
      </c>
      <c r="B757" s="2" t="s">
        <v>2584</v>
      </c>
      <c r="C757" s="2" t="s">
        <v>36</v>
      </c>
    </row>
    <row r="758">
      <c r="A758" s="2" t="s">
        <v>2585</v>
      </c>
      <c r="B758" s="2" t="s">
        <v>2586</v>
      </c>
      <c r="C758" s="2" t="s">
        <v>36</v>
      </c>
    </row>
    <row r="759">
      <c r="A759" s="2" t="s">
        <v>2587</v>
      </c>
      <c r="B759" s="2" t="s">
        <v>2588</v>
      </c>
      <c r="C759" s="2" t="s">
        <v>36</v>
      </c>
    </row>
    <row r="760">
      <c r="A760" s="2" t="s">
        <v>2589</v>
      </c>
      <c r="B760" s="2" t="s">
        <v>2590</v>
      </c>
      <c r="C760" s="2" t="s">
        <v>36</v>
      </c>
    </row>
    <row r="761">
      <c r="A761" s="2" t="s">
        <v>2591</v>
      </c>
      <c r="B761" s="2" t="s">
        <v>2592</v>
      </c>
      <c r="C761" s="2" t="s">
        <v>36</v>
      </c>
    </row>
    <row r="762">
      <c r="A762" s="2" t="s">
        <v>2593</v>
      </c>
      <c r="B762" s="2" t="s">
        <v>2594</v>
      </c>
      <c r="C762" s="2" t="s">
        <v>36</v>
      </c>
    </row>
    <row r="763">
      <c r="A763" s="2" t="s">
        <v>2595</v>
      </c>
      <c r="B763" s="2" t="s">
        <v>2596</v>
      </c>
      <c r="C763" s="2" t="s">
        <v>36</v>
      </c>
    </row>
    <row r="764">
      <c r="A764" s="2" t="s">
        <v>2597</v>
      </c>
      <c r="B764" s="2" t="s">
        <v>2598</v>
      </c>
      <c r="C764" s="2" t="s">
        <v>36</v>
      </c>
    </row>
    <row r="765">
      <c r="A765" s="2" t="s">
        <v>2599</v>
      </c>
      <c r="B765" s="2" t="s">
        <v>2600</v>
      </c>
      <c r="C765" s="2" t="s">
        <v>36</v>
      </c>
    </row>
    <row r="766">
      <c r="A766" s="2" t="s">
        <v>2601</v>
      </c>
      <c r="B766" s="2" t="s">
        <v>2602</v>
      </c>
      <c r="C766" s="2" t="s">
        <v>36</v>
      </c>
    </row>
    <row r="767">
      <c r="A767" s="2" t="s">
        <v>2603</v>
      </c>
      <c r="B767" s="2" t="s">
        <v>2604</v>
      </c>
      <c r="C767" s="2" t="s">
        <v>36</v>
      </c>
    </row>
    <row r="768">
      <c r="A768" s="2" t="s">
        <v>2605</v>
      </c>
      <c r="B768" s="2" t="s">
        <v>2606</v>
      </c>
      <c r="C768" s="2" t="s">
        <v>36</v>
      </c>
    </row>
    <row r="769">
      <c r="A769" s="2" t="s">
        <v>2607</v>
      </c>
      <c r="B769" s="2" t="s">
        <v>2608</v>
      </c>
      <c r="C769" s="2" t="s">
        <v>36</v>
      </c>
    </row>
    <row r="770">
      <c r="A770" s="2" t="s">
        <v>2609</v>
      </c>
      <c r="B770" s="2" t="s">
        <v>2610</v>
      </c>
      <c r="C770" s="2" t="s">
        <v>36</v>
      </c>
    </row>
    <row r="771">
      <c r="A771" s="2" t="s">
        <v>2611</v>
      </c>
      <c r="B771" s="2" t="s">
        <v>2612</v>
      </c>
      <c r="C771" s="2" t="s">
        <v>36</v>
      </c>
    </row>
    <row r="772">
      <c r="A772" s="2" t="s">
        <v>2613</v>
      </c>
      <c r="B772" s="2" t="s">
        <v>2614</v>
      </c>
      <c r="C772" s="2" t="s">
        <v>36</v>
      </c>
    </row>
    <row r="773">
      <c r="A773" s="2" t="s">
        <v>2615</v>
      </c>
      <c r="B773" s="2" t="s">
        <v>2616</v>
      </c>
      <c r="C773" s="2" t="s">
        <v>36</v>
      </c>
    </row>
    <row r="774">
      <c r="A774" s="2" t="s">
        <v>2617</v>
      </c>
      <c r="B774" s="2" t="s">
        <v>2618</v>
      </c>
      <c r="C774" s="2" t="s">
        <v>36</v>
      </c>
    </row>
    <row r="775">
      <c r="A775" s="2" t="s">
        <v>2619</v>
      </c>
      <c r="B775" s="2" t="s">
        <v>2620</v>
      </c>
      <c r="C775" s="2" t="s">
        <v>36</v>
      </c>
    </row>
    <row r="776">
      <c r="A776" s="2" t="s">
        <v>2621</v>
      </c>
      <c r="B776" s="2" t="s">
        <v>2622</v>
      </c>
      <c r="C776" s="2" t="s">
        <v>36</v>
      </c>
    </row>
    <row r="777">
      <c r="A777" s="2" t="s">
        <v>2623</v>
      </c>
      <c r="B777" s="2" t="s">
        <v>2624</v>
      </c>
      <c r="C777" s="2" t="s">
        <v>36</v>
      </c>
    </row>
    <row r="778">
      <c r="A778" s="2" t="s">
        <v>2625</v>
      </c>
      <c r="B778" s="2" t="s">
        <v>2626</v>
      </c>
      <c r="C778" s="2" t="s">
        <v>36</v>
      </c>
    </row>
    <row r="779">
      <c r="A779" s="2" t="s">
        <v>2627</v>
      </c>
      <c r="B779" s="2" t="s">
        <v>2628</v>
      </c>
      <c r="C779" s="2" t="s">
        <v>36</v>
      </c>
    </row>
    <row r="780">
      <c r="A780" s="2" t="s">
        <v>2629</v>
      </c>
      <c r="B780" s="2" t="s">
        <v>2630</v>
      </c>
      <c r="C780" s="2" t="s">
        <v>36</v>
      </c>
    </row>
    <row r="781">
      <c r="A781" s="2" t="s">
        <v>2631</v>
      </c>
      <c r="B781" s="2" t="s">
        <v>2632</v>
      </c>
      <c r="C781" s="2" t="s">
        <v>36</v>
      </c>
    </row>
    <row r="782">
      <c r="A782" s="2" t="s">
        <v>2633</v>
      </c>
      <c r="B782" s="2" t="s">
        <v>2634</v>
      </c>
      <c r="C782" s="2" t="s">
        <v>36</v>
      </c>
    </row>
    <row r="783">
      <c r="A783" s="2" t="s">
        <v>2635</v>
      </c>
      <c r="B783" s="2" t="s">
        <v>2636</v>
      </c>
      <c r="C783" s="2" t="s">
        <v>36</v>
      </c>
    </row>
    <row r="784">
      <c r="A784" s="2" t="s">
        <v>2637</v>
      </c>
      <c r="B784" s="2" t="s">
        <v>2638</v>
      </c>
      <c r="C784" s="2" t="s">
        <v>36</v>
      </c>
    </row>
    <row r="785">
      <c r="A785" s="2" t="s">
        <v>2639</v>
      </c>
      <c r="B785" s="2" t="s">
        <v>2640</v>
      </c>
      <c r="C785" s="2" t="s">
        <v>36</v>
      </c>
    </row>
    <row r="786">
      <c r="A786" s="2" t="s">
        <v>2641</v>
      </c>
      <c r="B786" s="2" t="s">
        <v>2642</v>
      </c>
      <c r="C786" s="2" t="s">
        <v>36</v>
      </c>
    </row>
    <row r="787">
      <c r="A787" s="2" t="s">
        <v>2643</v>
      </c>
      <c r="B787" s="2" t="s">
        <v>2644</v>
      </c>
      <c r="C787" s="2" t="s">
        <v>36</v>
      </c>
    </row>
    <row r="788">
      <c r="A788" s="2" t="s">
        <v>2645</v>
      </c>
      <c r="B788" s="2" t="s">
        <v>2646</v>
      </c>
      <c r="C788" s="2" t="s">
        <v>36</v>
      </c>
    </row>
    <row r="789">
      <c r="A789" s="2" t="s">
        <v>2647</v>
      </c>
      <c r="B789" s="2" t="s">
        <v>2648</v>
      </c>
      <c r="C789" s="2" t="s">
        <v>36</v>
      </c>
    </row>
    <row r="790">
      <c r="A790" s="2" t="s">
        <v>2649</v>
      </c>
      <c r="B790" s="2" t="s">
        <v>2650</v>
      </c>
      <c r="C790" s="2" t="s">
        <v>36</v>
      </c>
    </row>
    <row r="791">
      <c r="A791" s="2" t="s">
        <v>2651</v>
      </c>
      <c r="B791" s="2" t="s">
        <v>2652</v>
      </c>
      <c r="C791" s="2" t="s">
        <v>36</v>
      </c>
    </row>
    <row r="792">
      <c r="A792" s="2" t="s">
        <v>2653</v>
      </c>
      <c r="B792" s="2" t="s">
        <v>2654</v>
      </c>
      <c r="C792" s="2" t="s">
        <v>36</v>
      </c>
    </row>
    <row r="793">
      <c r="A793" s="2" t="s">
        <v>2655</v>
      </c>
      <c r="B793" s="2" t="s">
        <v>2656</v>
      </c>
      <c r="C793" s="2" t="s">
        <v>36</v>
      </c>
    </row>
    <row r="794">
      <c r="A794" s="2" t="s">
        <v>2657</v>
      </c>
      <c r="B794" s="2" t="s">
        <v>2658</v>
      </c>
      <c r="C794" s="2" t="s">
        <v>36</v>
      </c>
    </row>
    <row r="795">
      <c r="A795" s="2" t="s">
        <v>2659</v>
      </c>
      <c r="B795" s="2" t="s">
        <v>2660</v>
      </c>
      <c r="C795" s="2" t="s">
        <v>36</v>
      </c>
    </row>
    <row r="796">
      <c r="A796" s="2" t="s">
        <v>2661</v>
      </c>
      <c r="B796" s="2" t="s">
        <v>2662</v>
      </c>
      <c r="C796" s="2" t="s">
        <v>36</v>
      </c>
    </row>
    <row r="797">
      <c r="A797" s="2" t="s">
        <v>2664</v>
      </c>
      <c r="B797" s="2" t="s">
        <v>2665</v>
      </c>
      <c r="C797" s="2" t="s">
        <v>36</v>
      </c>
    </row>
    <row r="798">
      <c r="A798" s="2" t="s">
        <v>2666</v>
      </c>
      <c r="B798" s="2" t="s">
        <v>2667</v>
      </c>
      <c r="C798" s="2" t="s">
        <v>36</v>
      </c>
    </row>
    <row r="799">
      <c r="A799" s="2" t="s">
        <v>2668</v>
      </c>
      <c r="B799" s="2" t="s">
        <v>2669</v>
      </c>
      <c r="C799" s="2" t="s">
        <v>36</v>
      </c>
    </row>
    <row r="800">
      <c r="A800" s="2" t="s">
        <v>2670</v>
      </c>
      <c r="B800" s="2" t="s">
        <v>2671</v>
      </c>
      <c r="C800" s="2" t="s">
        <v>36</v>
      </c>
    </row>
    <row r="801">
      <c r="A801" s="2" t="s">
        <v>2672</v>
      </c>
      <c r="B801" s="2" t="s">
        <v>2673</v>
      </c>
      <c r="C801" s="2" t="s">
        <v>36</v>
      </c>
    </row>
    <row r="802">
      <c r="A802" s="2" t="s">
        <v>2674</v>
      </c>
      <c r="B802" s="2" t="s">
        <v>2675</v>
      </c>
      <c r="C802" s="2" t="s">
        <v>36</v>
      </c>
    </row>
    <row r="803">
      <c r="A803" s="2" t="s">
        <v>2676</v>
      </c>
      <c r="B803" s="2" t="s">
        <v>2677</v>
      </c>
      <c r="C803" s="2" t="s">
        <v>36</v>
      </c>
    </row>
    <row r="804">
      <c r="A804" s="2" t="s">
        <v>2678</v>
      </c>
      <c r="B804" s="2" t="s">
        <v>2679</v>
      </c>
      <c r="C804" s="2" t="s">
        <v>36</v>
      </c>
    </row>
    <row r="805">
      <c r="A805" s="2" t="s">
        <v>2680</v>
      </c>
      <c r="B805" s="2" t="s">
        <v>2681</v>
      </c>
      <c r="C805" s="2" t="s">
        <v>36</v>
      </c>
    </row>
    <row r="806">
      <c r="A806" s="2" t="s">
        <v>2682</v>
      </c>
      <c r="B806" s="2" t="s">
        <v>2683</v>
      </c>
      <c r="C806" s="2" t="s">
        <v>36</v>
      </c>
    </row>
    <row r="807">
      <c r="A807" s="2" t="s">
        <v>2684</v>
      </c>
      <c r="B807" s="2" t="s">
        <v>2685</v>
      </c>
      <c r="C807" s="2" t="s">
        <v>36</v>
      </c>
    </row>
    <row r="808">
      <c r="A808" s="2" t="s">
        <v>2686</v>
      </c>
      <c r="B808" s="2" t="s">
        <v>2687</v>
      </c>
      <c r="C808" s="2" t="s">
        <v>36</v>
      </c>
    </row>
    <row r="809">
      <c r="A809" s="2" t="s">
        <v>2688</v>
      </c>
      <c r="B809" s="2" t="s">
        <v>2689</v>
      </c>
      <c r="C809" s="2" t="s">
        <v>36</v>
      </c>
    </row>
    <row r="810">
      <c r="A810" s="2" t="s">
        <v>2690</v>
      </c>
      <c r="B810" s="2" t="s">
        <v>2691</v>
      </c>
      <c r="C810" s="2" t="s">
        <v>36</v>
      </c>
    </row>
    <row r="811">
      <c r="A811" s="2" t="s">
        <v>2692</v>
      </c>
      <c r="B811" s="2" t="s">
        <v>2693</v>
      </c>
      <c r="C811" s="2" t="s">
        <v>36</v>
      </c>
    </row>
    <row r="812">
      <c r="A812" s="2" t="s">
        <v>2694</v>
      </c>
      <c r="B812" s="2" t="s">
        <v>2695</v>
      </c>
      <c r="C812" s="2" t="s">
        <v>36</v>
      </c>
    </row>
    <row r="813">
      <c r="A813" s="2" t="s">
        <v>2696</v>
      </c>
      <c r="B813" s="2" t="s">
        <v>2697</v>
      </c>
      <c r="C813" s="2" t="s">
        <v>36</v>
      </c>
    </row>
    <row r="814">
      <c r="A814" s="2" t="s">
        <v>2698</v>
      </c>
      <c r="B814" s="2" t="s">
        <v>2699</v>
      </c>
      <c r="C814" s="2" t="s">
        <v>36</v>
      </c>
    </row>
    <row r="815">
      <c r="A815" s="2" t="s">
        <v>2700</v>
      </c>
      <c r="B815" s="2" t="s">
        <v>2701</v>
      </c>
      <c r="C815" s="2" t="s">
        <v>36</v>
      </c>
    </row>
    <row r="816">
      <c r="A816" s="2" t="s">
        <v>2702</v>
      </c>
      <c r="B816" s="2" t="s">
        <v>2703</v>
      </c>
      <c r="C816" s="2" t="s">
        <v>36</v>
      </c>
    </row>
    <row r="817">
      <c r="A817" s="2" t="s">
        <v>2704</v>
      </c>
      <c r="B817" s="2" t="s">
        <v>2705</v>
      </c>
      <c r="C817" s="2" t="s">
        <v>36</v>
      </c>
    </row>
    <row r="818">
      <c r="A818" s="2" t="s">
        <v>2706</v>
      </c>
      <c r="B818" s="2" t="s">
        <v>2707</v>
      </c>
      <c r="C818" s="2" t="s">
        <v>36</v>
      </c>
    </row>
    <row r="819">
      <c r="A819" s="2" t="s">
        <v>2708</v>
      </c>
      <c r="B819" s="2" t="s">
        <v>2709</v>
      </c>
      <c r="C819" s="2" t="s">
        <v>36</v>
      </c>
    </row>
    <row r="820">
      <c r="A820" s="2" t="s">
        <v>2710</v>
      </c>
      <c r="B820" s="2" t="s">
        <v>2711</v>
      </c>
      <c r="C820" s="2" t="s">
        <v>36</v>
      </c>
    </row>
    <row r="821">
      <c r="A821" s="2" t="s">
        <v>2712</v>
      </c>
      <c r="B821" s="2" t="s">
        <v>2713</v>
      </c>
      <c r="C821" s="2" t="s">
        <v>36</v>
      </c>
    </row>
    <row r="822">
      <c r="A822" s="2" t="s">
        <v>2714</v>
      </c>
      <c r="B822" s="2" t="s">
        <v>2715</v>
      </c>
      <c r="C822" s="2" t="s">
        <v>36</v>
      </c>
    </row>
    <row r="823">
      <c r="A823" s="2" t="s">
        <v>2716</v>
      </c>
      <c r="B823" s="2" t="s">
        <v>2717</v>
      </c>
      <c r="C823" s="2" t="s">
        <v>36</v>
      </c>
    </row>
    <row r="824">
      <c r="A824" s="2" t="s">
        <v>2718</v>
      </c>
      <c r="B824" s="2" t="s">
        <v>2719</v>
      </c>
      <c r="C824" s="2" t="s">
        <v>36</v>
      </c>
    </row>
    <row r="825">
      <c r="A825" s="2" t="s">
        <v>2720</v>
      </c>
      <c r="B825" s="2" t="s">
        <v>2721</v>
      </c>
      <c r="C825" s="2" t="s">
        <v>36</v>
      </c>
    </row>
    <row r="826">
      <c r="A826" s="2" t="s">
        <v>2722</v>
      </c>
      <c r="B826" s="2" t="s">
        <v>2723</v>
      </c>
      <c r="C826" s="2" t="s">
        <v>36</v>
      </c>
    </row>
    <row r="827">
      <c r="A827" s="2" t="s">
        <v>2724</v>
      </c>
      <c r="B827" s="2" t="s">
        <v>2725</v>
      </c>
      <c r="C827" s="2" t="s">
        <v>36</v>
      </c>
    </row>
    <row r="828">
      <c r="A828" s="2" t="s">
        <v>2726</v>
      </c>
      <c r="B828" s="2" t="s">
        <v>2727</v>
      </c>
      <c r="C828" s="2" t="s">
        <v>36</v>
      </c>
    </row>
    <row r="829">
      <c r="A829" s="2" t="s">
        <v>2728</v>
      </c>
      <c r="B829" s="2" t="s">
        <v>2729</v>
      </c>
      <c r="C829" s="2" t="s">
        <v>36</v>
      </c>
    </row>
    <row r="830">
      <c r="A830" s="2" t="s">
        <v>2730</v>
      </c>
      <c r="B830" s="2" t="s">
        <v>2731</v>
      </c>
      <c r="C830" s="2" t="s">
        <v>36</v>
      </c>
    </row>
    <row r="831">
      <c r="A831" s="2" t="s">
        <v>2732</v>
      </c>
      <c r="B831" s="2" t="s">
        <v>2733</v>
      </c>
      <c r="C831" s="2" t="s">
        <v>36</v>
      </c>
    </row>
    <row r="832">
      <c r="A832" s="2" t="s">
        <v>2734</v>
      </c>
      <c r="B832" s="2" t="s">
        <v>2735</v>
      </c>
      <c r="C832" s="2" t="s">
        <v>36</v>
      </c>
    </row>
    <row r="833">
      <c r="A833" s="2" t="s">
        <v>2738</v>
      </c>
      <c r="B833" s="2" t="s">
        <v>2735</v>
      </c>
      <c r="C833" s="2" t="s">
        <v>36</v>
      </c>
    </row>
    <row r="834">
      <c r="A834" s="2" t="s">
        <v>2739</v>
      </c>
      <c r="B834" s="2" t="s">
        <v>2740</v>
      </c>
      <c r="C834" s="2" t="s">
        <v>36</v>
      </c>
    </row>
    <row r="835">
      <c r="A835" s="2" t="s">
        <v>2741</v>
      </c>
      <c r="B835" s="2" t="s">
        <v>2742</v>
      </c>
      <c r="C835" s="2" t="s">
        <v>36</v>
      </c>
    </row>
    <row r="836">
      <c r="A836" s="2" t="s">
        <v>2743</v>
      </c>
      <c r="B836" s="2" t="s">
        <v>2744</v>
      </c>
      <c r="C836" s="2" t="s">
        <v>36</v>
      </c>
    </row>
    <row r="837">
      <c r="A837" s="2" t="s">
        <v>2745</v>
      </c>
      <c r="B837" s="2" t="s">
        <v>2746</v>
      </c>
      <c r="C837" s="2" t="s">
        <v>36</v>
      </c>
    </row>
    <row r="838">
      <c r="A838" s="2" t="s">
        <v>2747</v>
      </c>
      <c r="B838" s="2" t="s">
        <v>2748</v>
      </c>
      <c r="C838" s="2" t="s">
        <v>36</v>
      </c>
    </row>
    <row r="839">
      <c r="A839" s="2" t="s">
        <v>2749</v>
      </c>
      <c r="B839" s="2" t="s">
        <v>2750</v>
      </c>
      <c r="C839" s="2" t="s">
        <v>36</v>
      </c>
    </row>
    <row r="840">
      <c r="A840" s="2" t="s">
        <v>2751</v>
      </c>
      <c r="B840" s="2" t="s">
        <v>2752</v>
      </c>
      <c r="C840" s="2" t="s">
        <v>36</v>
      </c>
    </row>
    <row r="841">
      <c r="A841" s="2" t="s">
        <v>2753</v>
      </c>
      <c r="B841" s="2" t="s">
        <v>2754</v>
      </c>
      <c r="C841" s="2" t="s">
        <v>36</v>
      </c>
    </row>
    <row r="842">
      <c r="A842" s="2" t="s">
        <v>2755</v>
      </c>
      <c r="B842" s="2" t="s">
        <v>2756</v>
      </c>
      <c r="C842" s="2" t="s">
        <v>36</v>
      </c>
    </row>
    <row r="843">
      <c r="A843" s="2" t="s">
        <v>2757</v>
      </c>
      <c r="B843" s="2" t="s">
        <v>2758</v>
      </c>
      <c r="C843" s="2" t="s">
        <v>36</v>
      </c>
    </row>
    <row r="844">
      <c r="A844" s="2" t="s">
        <v>2759</v>
      </c>
      <c r="B844" s="2" t="s">
        <v>2760</v>
      </c>
      <c r="C844" s="2" t="s">
        <v>36</v>
      </c>
    </row>
    <row r="845">
      <c r="A845" s="2" t="s">
        <v>2761</v>
      </c>
      <c r="B845" s="2" t="s">
        <v>2762</v>
      </c>
      <c r="C845" s="2" t="s">
        <v>36</v>
      </c>
    </row>
    <row r="846">
      <c r="A846" s="2" t="s">
        <v>2763</v>
      </c>
      <c r="B846" s="2" t="s">
        <v>2764</v>
      </c>
      <c r="C846" s="2" t="s">
        <v>36</v>
      </c>
    </row>
    <row r="847">
      <c r="A847" s="2" t="s">
        <v>2765</v>
      </c>
      <c r="B847" s="2" t="s">
        <v>2766</v>
      </c>
      <c r="C847" s="2" t="s">
        <v>36</v>
      </c>
    </row>
    <row r="848">
      <c r="A848" s="2" t="s">
        <v>2767</v>
      </c>
      <c r="B848" s="2" t="s">
        <v>2768</v>
      </c>
      <c r="C848" s="2" t="s">
        <v>36</v>
      </c>
    </row>
    <row r="849">
      <c r="A849" s="2" t="s">
        <v>2769</v>
      </c>
      <c r="B849" s="2" t="s">
        <v>2770</v>
      </c>
      <c r="C849" s="2" t="s">
        <v>36</v>
      </c>
    </row>
    <row r="850">
      <c r="A850" s="2" t="s">
        <v>2771</v>
      </c>
      <c r="B850" s="2" t="s">
        <v>2772</v>
      </c>
      <c r="C850" s="2" t="s">
        <v>36</v>
      </c>
    </row>
    <row r="851">
      <c r="A851" s="2" t="s">
        <v>2773</v>
      </c>
      <c r="B851" s="2" t="s">
        <v>2774</v>
      </c>
      <c r="C851" s="2" t="s">
        <v>36</v>
      </c>
    </row>
    <row r="852">
      <c r="A852" s="2" t="s">
        <v>2775</v>
      </c>
      <c r="B852" s="2" t="s">
        <v>2776</v>
      </c>
      <c r="C852" s="2" t="s">
        <v>36</v>
      </c>
    </row>
    <row r="853">
      <c r="A853" s="2" t="s">
        <v>2777</v>
      </c>
      <c r="B853" s="2" t="s">
        <v>2778</v>
      </c>
      <c r="C853" s="2" t="s">
        <v>36</v>
      </c>
    </row>
    <row r="854">
      <c r="A854" s="2" t="s">
        <v>2779</v>
      </c>
      <c r="B854" s="2" t="s">
        <v>2780</v>
      </c>
      <c r="C854" s="2" t="s">
        <v>36</v>
      </c>
    </row>
    <row r="855">
      <c r="A855" s="2" t="s">
        <v>2781</v>
      </c>
      <c r="B855" s="2" t="s">
        <v>2782</v>
      </c>
      <c r="C855" s="2" t="s">
        <v>36</v>
      </c>
    </row>
    <row r="856">
      <c r="A856" s="2" t="s">
        <v>2785</v>
      </c>
      <c r="B856" s="2" t="s">
        <v>2786</v>
      </c>
      <c r="C856" s="2" t="s">
        <v>36</v>
      </c>
    </row>
    <row r="857">
      <c r="A857" s="2" t="s">
        <v>2787</v>
      </c>
      <c r="B857" s="2" t="s">
        <v>2788</v>
      </c>
      <c r="C857" s="2" t="s">
        <v>36</v>
      </c>
    </row>
    <row r="858">
      <c r="A858" s="2" t="s">
        <v>2789</v>
      </c>
      <c r="B858" s="2" t="s">
        <v>2788</v>
      </c>
      <c r="C858" s="2" t="s">
        <v>36</v>
      </c>
    </row>
    <row r="859">
      <c r="A859" s="2" t="s">
        <v>2790</v>
      </c>
      <c r="B859" s="2" t="s">
        <v>2788</v>
      </c>
      <c r="C859" s="2" t="s">
        <v>36</v>
      </c>
    </row>
    <row r="860">
      <c r="A860" s="2" t="s">
        <v>2791</v>
      </c>
      <c r="B860" s="2" t="s">
        <v>2792</v>
      </c>
      <c r="C860" s="2" t="s">
        <v>36</v>
      </c>
    </row>
    <row r="861">
      <c r="A861" s="2" t="s">
        <v>2793</v>
      </c>
      <c r="B861" s="2" t="s">
        <v>2794</v>
      </c>
      <c r="C861" s="2" t="s">
        <v>36</v>
      </c>
    </row>
    <row r="862">
      <c r="A862" s="2" t="s">
        <v>2795</v>
      </c>
      <c r="B862" s="2" t="s">
        <v>2796</v>
      </c>
      <c r="C862" s="2" t="s">
        <v>36</v>
      </c>
    </row>
    <row r="863">
      <c r="A863" s="2" t="s">
        <v>2797</v>
      </c>
      <c r="B863" s="2" t="s">
        <v>2798</v>
      </c>
      <c r="C863" s="2" t="s">
        <v>36</v>
      </c>
    </row>
    <row r="864">
      <c r="A864" s="2" t="s">
        <v>2799</v>
      </c>
      <c r="B864" s="2" t="s">
        <v>2800</v>
      </c>
      <c r="C864" s="2" t="s">
        <v>36</v>
      </c>
    </row>
    <row r="865">
      <c r="A865" s="2" t="s">
        <v>2801</v>
      </c>
      <c r="B865" s="2" t="s">
        <v>2802</v>
      </c>
      <c r="C865" s="2" t="s">
        <v>36</v>
      </c>
    </row>
    <row r="866">
      <c r="A866" s="2" t="s">
        <v>2805</v>
      </c>
      <c r="B866" s="2" t="s">
        <v>2806</v>
      </c>
      <c r="C866" s="2" t="s">
        <v>36</v>
      </c>
    </row>
    <row r="867">
      <c r="A867" s="2" t="s">
        <v>2807</v>
      </c>
      <c r="B867" s="2" t="s">
        <v>2808</v>
      </c>
      <c r="C867" s="2" t="s">
        <v>36</v>
      </c>
    </row>
    <row r="868">
      <c r="A868" s="2" t="s">
        <v>2809</v>
      </c>
      <c r="B868" s="2" t="s">
        <v>2810</v>
      </c>
      <c r="C868" s="2" t="s">
        <v>36</v>
      </c>
    </row>
    <row r="869">
      <c r="A869" s="2" t="s">
        <v>2811</v>
      </c>
      <c r="B869" s="2" t="s">
        <v>2812</v>
      </c>
      <c r="C869" s="2" t="s">
        <v>36</v>
      </c>
    </row>
    <row r="870">
      <c r="A870" s="2" t="s">
        <v>2813</v>
      </c>
      <c r="B870" s="2" t="s">
        <v>2814</v>
      </c>
      <c r="C870" s="2" t="s">
        <v>36</v>
      </c>
    </row>
    <row r="871">
      <c r="A871" s="2" t="s">
        <v>2815</v>
      </c>
      <c r="B871" s="2" t="s">
        <v>2816</v>
      </c>
      <c r="C871" s="2" t="s">
        <v>36</v>
      </c>
    </row>
    <row r="872">
      <c r="A872" s="2" t="s">
        <v>2817</v>
      </c>
      <c r="B872" s="2" t="s">
        <v>2818</v>
      </c>
      <c r="C872" s="2" t="s">
        <v>36</v>
      </c>
    </row>
    <row r="873">
      <c r="A873" s="2" t="s">
        <v>2819</v>
      </c>
      <c r="B873" s="2" t="s">
        <v>2820</v>
      </c>
      <c r="C873" s="2" t="s">
        <v>36</v>
      </c>
    </row>
    <row r="874">
      <c r="A874" s="2" t="s">
        <v>2821</v>
      </c>
      <c r="B874" s="2" t="s">
        <v>2822</v>
      </c>
      <c r="C874" s="2" t="s">
        <v>36</v>
      </c>
    </row>
    <row r="875">
      <c r="A875" s="2" t="s">
        <v>2823</v>
      </c>
      <c r="B875" s="2" t="s">
        <v>2824</v>
      </c>
      <c r="C875" s="2" t="s">
        <v>36</v>
      </c>
    </row>
    <row r="876">
      <c r="A876" s="2" t="s">
        <v>2825</v>
      </c>
      <c r="B876" s="2" t="s">
        <v>2826</v>
      </c>
      <c r="C876" s="2" t="s">
        <v>36</v>
      </c>
    </row>
    <row r="877">
      <c r="A877" s="2" t="s">
        <v>2827</v>
      </c>
      <c r="B877" s="2" t="s">
        <v>2828</v>
      </c>
      <c r="C877" s="2" t="s">
        <v>36</v>
      </c>
    </row>
    <row r="878">
      <c r="A878" s="2" t="s">
        <v>2829</v>
      </c>
      <c r="B878" s="2" t="s">
        <v>2830</v>
      </c>
      <c r="C878" s="2" t="s">
        <v>36</v>
      </c>
    </row>
    <row r="879">
      <c r="A879" s="2" t="s">
        <v>2831</v>
      </c>
      <c r="B879" s="2" t="s">
        <v>2832</v>
      </c>
      <c r="C879" s="2" t="s">
        <v>36</v>
      </c>
    </row>
    <row r="880">
      <c r="A880" s="2" t="s">
        <v>2833</v>
      </c>
      <c r="B880" s="2" t="s">
        <v>2834</v>
      </c>
      <c r="C880" s="2" t="s">
        <v>36</v>
      </c>
    </row>
    <row r="881">
      <c r="A881" s="2" t="s">
        <v>2836</v>
      </c>
      <c r="B881" s="2" t="s">
        <v>2838</v>
      </c>
      <c r="C881" s="2" t="s">
        <v>36</v>
      </c>
    </row>
    <row r="882">
      <c r="A882" s="2" t="s">
        <v>2839</v>
      </c>
      <c r="B882" s="2" t="s">
        <v>2840</v>
      </c>
      <c r="C882" s="2" t="s">
        <v>36</v>
      </c>
    </row>
    <row r="883">
      <c r="A883" s="2" t="s">
        <v>2841</v>
      </c>
      <c r="B883" s="2" t="s">
        <v>2842</v>
      </c>
      <c r="C883" s="2" t="s">
        <v>36</v>
      </c>
    </row>
    <row r="884">
      <c r="A884" s="2" t="s">
        <v>2843</v>
      </c>
      <c r="B884" s="2" t="s">
        <v>2844</v>
      </c>
      <c r="C884" s="2" t="s">
        <v>36</v>
      </c>
    </row>
    <row r="885">
      <c r="A885" s="2" t="s">
        <v>2845</v>
      </c>
      <c r="B885" s="2" t="s">
        <v>2846</v>
      </c>
      <c r="C885" s="2" t="s">
        <v>36</v>
      </c>
    </row>
    <row r="886">
      <c r="A886" s="2" t="s">
        <v>2847</v>
      </c>
      <c r="B886" s="2" t="s">
        <v>2848</v>
      </c>
      <c r="C886" s="2" t="s">
        <v>36</v>
      </c>
    </row>
    <row r="887">
      <c r="A887" s="2" t="s">
        <v>2850</v>
      </c>
      <c r="B887" s="2" t="s">
        <v>2852</v>
      </c>
      <c r="C887" s="2" t="s">
        <v>36</v>
      </c>
    </row>
    <row r="888">
      <c r="A888" s="2" t="s">
        <v>2853</v>
      </c>
      <c r="B888" s="2" t="s">
        <v>2854</v>
      </c>
      <c r="C888" s="2" t="s">
        <v>36</v>
      </c>
    </row>
    <row r="889">
      <c r="A889" s="2" t="s">
        <v>2855</v>
      </c>
      <c r="B889" s="2" t="s">
        <v>2856</v>
      </c>
      <c r="C889" s="2" t="s">
        <v>36</v>
      </c>
    </row>
    <row r="890">
      <c r="A890" s="2" t="s">
        <v>2857</v>
      </c>
      <c r="B890" s="2" t="s">
        <v>2858</v>
      </c>
      <c r="C890" s="2" t="s">
        <v>36</v>
      </c>
    </row>
    <row r="891">
      <c r="A891" s="2" t="s">
        <v>2859</v>
      </c>
      <c r="B891" s="2" t="s">
        <v>2860</v>
      </c>
      <c r="C891" s="2" t="s">
        <v>36</v>
      </c>
    </row>
    <row r="892">
      <c r="A892" s="2" t="s">
        <v>2861</v>
      </c>
      <c r="B892" s="2" t="s">
        <v>2862</v>
      </c>
      <c r="C892" s="2" t="s">
        <v>36</v>
      </c>
    </row>
    <row r="893">
      <c r="A893" s="2" t="s">
        <v>2863</v>
      </c>
      <c r="B893" s="2" t="s">
        <v>2864</v>
      </c>
      <c r="C893" s="2" t="s">
        <v>36</v>
      </c>
    </row>
    <row r="894">
      <c r="A894" s="2" t="s">
        <v>2865</v>
      </c>
      <c r="B894" s="2" t="s">
        <v>2866</v>
      </c>
      <c r="C894" s="2" t="s">
        <v>36</v>
      </c>
    </row>
    <row r="895">
      <c r="A895" s="2" t="s">
        <v>2867</v>
      </c>
      <c r="B895" s="2" t="s">
        <v>2868</v>
      </c>
      <c r="C895" s="2" t="s">
        <v>36</v>
      </c>
    </row>
    <row r="896">
      <c r="A896" s="2" t="s">
        <v>2869</v>
      </c>
      <c r="B896" s="2" t="s">
        <v>2870</v>
      </c>
      <c r="C896" s="2" t="s">
        <v>36</v>
      </c>
    </row>
    <row r="897">
      <c r="A897" s="2" t="s">
        <v>2871</v>
      </c>
      <c r="B897" s="2" t="s">
        <v>2872</v>
      </c>
      <c r="C897" s="2" t="s">
        <v>36</v>
      </c>
    </row>
    <row r="898">
      <c r="A898" s="2" t="s">
        <v>2875</v>
      </c>
      <c r="B898" s="2" t="s">
        <v>2876</v>
      </c>
      <c r="C898" s="2" t="s">
        <v>36</v>
      </c>
    </row>
    <row r="899">
      <c r="A899" s="2" t="s">
        <v>2877</v>
      </c>
      <c r="B899" s="2" t="s">
        <v>2878</v>
      </c>
      <c r="C899" s="2" t="s">
        <v>36</v>
      </c>
    </row>
    <row r="900">
      <c r="A900" s="2" t="s">
        <v>2879</v>
      </c>
      <c r="B900" s="2" t="s">
        <v>2880</v>
      </c>
      <c r="C900" s="2" t="s">
        <v>36</v>
      </c>
    </row>
    <row r="901">
      <c r="A901" s="2" t="s">
        <v>2881</v>
      </c>
      <c r="B901" s="2" t="s">
        <v>2882</v>
      </c>
      <c r="C901" s="2" t="s">
        <v>36</v>
      </c>
    </row>
    <row r="902">
      <c r="A902" s="2" t="s">
        <v>2883</v>
      </c>
      <c r="B902" s="2" t="s">
        <v>2884</v>
      </c>
      <c r="C902" s="2" t="s">
        <v>36</v>
      </c>
    </row>
    <row r="903">
      <c r="A903" s="2" t="s">
        <v>2885</v>
      </c>
      <c r="B903" s="2" t="s">
        <v>2886</v>
      </c>
      <c r="C903" s="2" t="s">
        <v>36</v>
      </c>
    </row>
    <row r="904">
      <c r="A904" s="2" t="s">
        <v>2887</v>
      </c>
      <c r="B904" s="2" t="s">
        <v>2888</v>
      </c>
      <c r="C904" s="2" t="s">
        <v>36</v>
      </c>
    </row>
    <row r="905">
      <c r="A905" s="2" t="s">
        <v>2889</v>
      </c>
      <c r="B905" s="2" t="s">
        <v>2890</v>
      </c>
      <c r="C905" s="2" t="s">
        <v>36</v>
      </c>
    </row>
    <row r="906">
      <c r="A906" s="2" t="s">
        <v>2891</v>
      </c>
      <c r="B906" s="2" t="s">
        <v>2892</v>
      </c>
      <c r="C906" s="2" t="s">
        <v>36</v>
      </c>
    </row>
    <row r="907">
      <c r="A907" s="2" t="s">
        <v>2893</v>
      </c>
      <c r="B907" s="2" t="s">
        <v>2894</v>
      </c>
      <c r="C907" s="2" t="s">
        <v>36</v>
      </c>
    </row>
    <row r="908">
      <c r="A908" s="2" t="s">
        <v>2895</v>
      </c>
      <c r="B908" s="2" t="s">
        <v>2896</v>
      </c>
      <c r="C908" s="2" t="s">
        <v>36</v>
      </c>
    </row>
    <row r="909">
      <c r="A909" s="2" t="s">
        <v>2897</v>
      </c>
      <c r="B909" s="2" t="s">
        <v>2898</v>
      </c>
      <c r="C909" s="2" t="s">
        <v>36</v>
      </c>
    </row>
    <row r="910">
      <c r="A910" s="2" t="s">
        <v>2899</v>
      </c>
      <c r="B910" s="2" t="s">
        <v>2900</v>
      </c>
      <c r="C910" s="2" t="s">
        <v>36</v>
      </c>
    </row>
    <row r="911">
      <c r="A911" s="2" t="s">
        <v>2901</v>
      </c>
      <c r="B911" s="2" t="s">
        <v>2902</v>
      </c>
      <c r="C911" s="2" t="s">
        <v>36</v>
      </c>
    </row>
    <row r="912">
      <c r="A912" s="2" t="s">
        <v>2903</v>
      </c>
      <c r="B912" s="2" t="s">
        <v>2904</v>
      </c>
      <c r="C912" s="2" t="s">
        <v>36</v>
      </c>
    </row>
    <row r="913">
      <c r="A913" s="2" t="s">
        <v>2905</v>
      </c>
      <c r="B913" s="2" t="s">
        <v>2906</v>
      </c>
      <c r="C913" s="2" t="s">
        <v>36</v>
      </c>
    </row>
    <row r="914">
      <c r="A914" s="2" t="s">
        <v>2907</v>
      </c>
      <c r="B914" s="2" t="s">
        <v>2908</v>
      </c>
      <c r="C914" s="2" t="s">
        <v>36</v>
      </c>
    </row>
    <row r="915">
      <c r="A915" s="2" t="s">
        <v>2909</v>
      </c>
      <c r="B915" s="2" t="s">
        <v>2910</v>
      </c>
      <c r="C915" s="2" t="s">
        <v>36</v>
      </c>
    </row>
    <row r="916">
      <c r="A916" s="2" t="s">
        <v>2911</v>
      </c>
      <c r="B916" s="2" t="s">
        <v>2912</v>
      </c>
      <c r="C916" s="2" t="s">
        <v>36</v>
      </c>
    </row>
    <row r="917">
      <c r="A917" s="2" t="s">
        <v>2913</v>
      </c>
      <c r="B917" s="2" t="s">
        <v>2914</v>
      </c>
      <c r="C917" s="2" t="s">
        <v>36</v>
      </c>
    </row>
    <row r="918">
      <c r="A918" s="2" t="s">
        <v>2915</v>
      </c>
      <c r="B918" s="2" t="s">
        <v>2916</v>
      </c>
      <c r="C918" s="2" t="s">
        <v>36</v>
      </c>
    </row>
    <row r="919">
      <c r="A919" s="2" t="s">
        <v>2917</v>
      </c>
      <c r="B919" s="2" t="s">
        <v>2918</v>
      </c>
      <c r="C919" s="2" t="s">
        <v>36</v>
      </c>
    </row>
    <row r="920">
      <c r="A920" s="2" t="s">
        <v>2919</v>
      </c>
      <c r="B920" s="2" t="s">
        <v>2920</v>
      </c>
      <c r="C920" s="2" t="s">
        <v>36</v>
      </c>
    </row>
    <row r="921">
      <c r="A921" s="2" t="s">
        <v>2921</v>
      </c>
      <c r="B921" s="2" t="s">
        <v>2922</v>
      </c>
      <c r="C921" s="2" t="s">
        <v>36</v>
      </c>
    </row>
    <row r="922">
      <c r="A922" s="2" t="s">
        <v>2923</v>
      </c>
      <c r="B922" s="2" t="s">
        <v>2924</v>
      </c>
      <c r="C922" s="2" t="s">
        <v>36</v>
      </c>
    </row>
    <row r="923">
      <c r="A923" s="2" t="s">
        <v>2925</v>
      </c>
      <c r="B923" s="2" t="s">
        <v>2926</v>
      </c>
      <c r="C923" s="2" t="s">
        <v>36</v>
      </c>
    </row>
    <row r="924">
      <c r="A924" s="2" t="s">
        <v>2927</v>
      </c>
      <c r="B924" s="2" t="s">
        <v>2928</v>
      </c>
      <c r="C924" s="2" t="s">
        <v>36</v>
      </c>
    </row>
    <row r="925">
      <c r="A925" s="2" t="s">
        <v>2929</v>
      </c>
      <c r="B925" s="2" t="s">
        <v>2930</v>
      </c>
      <c r="C925" s="2" t="s">
        <v>36</v>
      </c>
    </row>
    <row r="926">
      <c r="A926" s="2" t="s">
        <v>2931</v>
      </c>
      <c r="B926" s="2" t="s">
        <v>2932</v>
      </c>
      <c r="C926" s="2" t="s">
        <v>36</v>
      </c>
    </row>
    <row r="927">
      <c r="A927" s="2" t="s">
        <v>2933</v>
      </c>
      <c r="B927" s="2" t="s">
        <v>2934</v>
      </c>
      <c r="C927" s="2" t="s">
        <v>36</v>
      </c>
    </row>
    <row r="928">
      <c r="A928" s="2" t="s">
        <v>2935</v>
      </c>
      <c r="B928" s="2" t="s">
        <v>2936</v>
      </c>
      <c r="C928" s="2" t="s">
        <v>36</v>
      </c>
    </row>
    <row r="929">
      <c r="A929" s="2" t="s">
        <v>2937</v>
      </c>
      <c r="B929" s="2" t="s">
        <v>2938</v>
      </c>
      <c r="C929" s="2" t="s">
        <v>36</v>
      </c>
    </row>
    <row r="930">
      <c r="A930" s="2" t="s">
        <v>2939</v>
      </c>
      <c r="B930" s="2" t="s">
        <v>2940</v>
      </c>
      <c r="C930" s="2" t="s">
        <v>36</v>
      </c>
    </row>
    <row r="931">
      <c r="A931" s="2" t="s">
        <v>2941</v>
      </c>
      <c r="B931" s="2" t="s">
        <v>2942</v>
      </c>
      <c r="C931" s="2" t="s">
        <v>36</v>
      </c>
    </row>
    <row r="932">
      <c r="A932" s="2" t="s">
        <v>2943</v>
      </c>
      <c r="B932" s="2" t="s">
        <v>2944</v>
      </c>
      <c r="C932" s="2" t="s">
        <v>36</v>
      </c>
    </row>
    <row r="933">
      <c r="A933" s="2" t="s">
        <v>2945</v>
      </c>
      <c r="B933" s="2" t="s">
        <v>2946</v>
      </c>
      <c r="C933" s="2" t="s">
        <v>36</v>
      </c>
    </row>
    <row r="934">
      <c r="A934" s="2" t="s">
        <v>2947</v>
      </c>
      <c r="B934" s="2" t="s">
        <v>2948</v>
      </c>
      <c r="C934" s="2" t="s">
        <v>36</v>
      </c>
    </row>
    <row r="935">
      <c r="A935" s="2" t="s">
        <v>2949</v>
      </c>
      <c r="B935" s="2" t="s">
        <v>2950</v>
      </c>
      <c r="C935" s="2" t="s">
        <v>36</v>
      </c>
    </row>
    <row r="936">
      <c r="A936" s="2" t="s">
        <v>2951</v>
      </c>
      <c r="B936" s="2" t="s">
        <v>2952</v>
      </c>
      <c r="C936" s="2" t="s">
        <v>36</v>
      </c>
    </row>
    <row r="937">
      <c r="A937" s="2" t="s">
        <v>2953</v>
      </c>
      <c r="B937" s="2" t="s">
        <v>2954</v>
      </c>
      <c r="C937" s="2" t="s">
        <v>36</v>
      </c>
    </row>
    <row r="938">
      <c r="A938" s="2" t="s">
        <v>2955</v>
      </c>
      <c r="B938" s="2" t="s">
        <v>2956</v>
      </c>
      <c r="C938" s="2" t="s">
        <v>36</v>
      </c>
    </row>
    <row r="939">
      <c r="A939" s="2" t="s">
        <v>2957</v>
      </c>
      <c r="B939" s="2" t="s">
        <v>2958</v>
      </c>
      <c r="C939" s="2" t="s">
        <v>36</v>
      </c>
    </row>
    <row r="940">
      <c r="A940" s="2" t="s">
        <v>2959</v>
      </c>
      <c r="B940" s="2" t="s">
        <v>2960</v>
      </c>
      <c r="C940" s="2" t="s">
        <v>36</v>
      </c>
    </row>
    <row r="941">
      <c r="A941" s="2" t="s">
        <v>2962</v>
      </c>
      <c r="B941" s="2" t="s">
        <v>2963</v>
      </c>
      <c r="C941" s="2" t="s">
        <v>36</v>
      </c>
    </row>
    <row r="942">
      <c r="A942" s="2" t="s">
        <v>2964</v>
      </c>
      <c r="B942" s="2" t="s">
        <v>2965</v>
      </c>
      <c r="C942" s="2" t="s">
        <v>36</v>
      </c>
    </row>
    <row r="943">
      <c r="A943" s="2" t="s">
        <v>2966</v>
      </c>
      <c r="B943" s="2" t="s">
        <v>2967</v>
      </c>
      <c r="C943" s="2" t="s">
        <v>36</v>
      </c>
    </row>
    <row r="944">
      <c r="A944" s="2" t="s">
        <v>2968</v>
      </c>
      <c r="B944" s="2" t="s">
        <v>2969</v>
      </c>
      <c r="C944" s="2" t="s">
        <v>36</v>
      </c>
    </row>
    <row r="945">
      <c r="A945" s="2" t="s">
        <v>2970</v>
      </c>
      <c r="B945" s="2" t="s">
        <v>2971</v>
      </c>
      <c r="C945" s="2" t="s">
        <v>36</v>
      </c>
    </row>
    <row r="946">
      <c r="A946" s="2" t="s">
        <v>2972</v>
      </c>
      <c r="B946" s="2" t="s">
        <v>2973</v>
      </c>
      <c r="C946" s="2" t="s">
        <v>36</v>
      </c>
    </row>
    <row r="947">
      <c r="A947" s="2" t="s">
        <v>2974</v>
      </c>
      <c r="B947" s="2" t="s">
        <v>2975</v>
      </c>
      <c r="C947" s="2" t="s">
        <v>36</v>
      </c>
    </row>
    <row r="948">
      <c r="A948" s="2" t="s">
        <v>2976</v>
      </c>
      <c r="B948" s="2" t="s">
        <v>2977</v>
      </c>
      <c r="C948" s="2" t="s">
        <v>36</v>
      </c>
    </row>
    <row r="949">
      <c r="A949" s="2" t="s">
        <v>2978</v>
      </c>
      <c r="B949" s="2" t="s">
        <v>2979</v>
      </c>
      <c r="C949" s="2" t="s">
        <v>36</v>
      </c>
    </row>
    <row r="950">
      <c r="A950" s="2" t="s">
        <v>2980</v>
      </c>
      <c r="B950" s="2" t="s">
        <v>2981</v>
      </c>
      <c r="C950" s="2" t="s">
        <v>36</v>
      </c>
    </row>
    <row r="951">
      <c r="A951" s="2" t="s">
        <v>2982</v>
      </c>
      <c r="B951" s="2" t="s">
        <v>2983</v>
      </c>
      <c r="C951" s="2" t="s">
        <v>36</v>
      </c>
    </row>
    <row r="952">
      <c r="A952" s="2" t="s">
        <v>2984</v>
      </c>
      <c r="B952" s="2" t="s">
        <v>2985</v>
      </c>
      <c r="C952" s="2" t="s">
        <v>36</v>
      </c>
    </row>
    <row r="953">
      <c r="A953" s="2" t="s">
        <v>2986</v>
      </c>
      <c r="B953" s="2" t="s">
        <v>2987</v>
      </c>
      <c r="C953" s="2" t="s">
        <v>36</v>
      </c>
    </row>
    <row r="954">
      <c r="A954" s="2" t="s">
        <v>2988</v>
      </c>
      <c r="B954" s="2" t="s">
        <v>2989</v>
      </c>
      <c r="C954" s="2" t="s">
        <v>36</v>
      </c>
    </row>
    <row r="955">
      <c r="A955" s="2" t="s">
        <v>2990</v>
      </c>
      <c r="B955" s="2" t="s">
        <v>2991</v>
      </c>
      <c r="C955" s="2" t="s">
        <v>36</v>
      </c>
    </row>
    <row r="956">
      <c r="A956" s="2" t="s">
        <v>2992</v>
      </c>
      <c r="B956" s="2" t="s">
        <v>2993</v>
      </c>
      <c r="C956" s="2" t="s">
        <v>36</v>
      </c>
    </row>
    <row r="957">
      <c r="A957" s="2" t="s">
        <v>2994</v>
      </c>
      <c r="B957" s="2" t="s">
        <v>2995</v>
      </c>
      <c r="C957" s="2" t="s">
        <v>36</v>
      </c>
    </row>
    <row r="958">
      <c r="A958" s="2" t="s">
        <v>2996</v>
      </c>
      <c r="B958" s="2" t="s">
        <v>2997</v>
      </c>
      <c r="C958" s="2" t="s">
        <v>36</v>
      </c>
    </row>
    <row r="959">
      <c r="A959" s="2" t="s">
        <v>2998</v>
      </c>
      <c r="B959" s="2" t="s">
        <v>2999</v>
      </c>
      <c r="C959" s="2" t="s">
        <v>36</v>
      </c>
    </row>
    <row r="960">
      <c r="A960" s="2" t="s">
        <v>3000</v>
      </c>
      <c r="B960" s="2" t="s">
        <v>3001</v>
      </c>
      <c r="C960" s="2" t="s">
        <v>36</v>
      </c>
    </row>
    <row r="961">
      <c r="A961" s="2" t="s">
        <v>3002</v>
      </c>
      <c r="B961" s="2" t="s">
        <v>3003</v>
      </c>
      <c r="C961" s="2" t="s">
        <v>36</v>
      </c>
    </row>
    <row r="962">
      <c r="A962" s="2" t="s">
        <v>3004</v>
      </c>
      <c r="B962" s="2" t="s">
        <v>3005</v>
      </c>
      <c r="C962" s="2" t="s">
        <v>36</v>
      </c>
    </row>
    <row r="963">
      <c r="A963" s="2" t="s">
        <v>3006</v>
      </c>
      <c r="B963" s="2" t="s">
        <v>3007</v>
      </c>
      <c r="C963" s="2" t="s">
        <v>36</v>
      </c>
    </row>
    <row r="964">
      <c r="A964" s="2" t="s">
        <v>3008</v>
      </c>
      <c r="B964" s="2" t="s">
        <v>3009</v>
      </c>
      <c r="C964" s="2" t="s">
        <v>36</v>
      </c>
    </row>
    <row r="965">
      <c r="A965" s="2" t="s">
        <v>3010</v>
      </c>
      <c r="B965" s="2" t="s">
        <v>3011</v>
      </c>
      <c r="C965" s="2" t="s">
        <v>36</v>
      </c>
    </row>
    <row r="966">
      <c r="A966" s="2" t="s">
        <v>3012</v>
      </c>
      <c r="B966" s="2" t="s">
        <v>3013</v>
      </c>
      <c r="C966" s="2" t="s">
        <v>36</v>
      </c>
    </row>
    <row r="967">
      <c r="A967" s="2" t="s">
        <v>3014</v>
      </c>
      <c r="B967" s="2" t="s">
        <v>3015</v>
      </c>
      <c r="C967" s="2" t="s">
        <v>36</v>
      </c>
    </row>
    <row r="968">
      <c r="A968" s="2" t="s">
        <v>3016</v>
      </c>
      <c r="B968" s="2" t="s">
        <v>3015</v>
      </c>
      <c r="C968" s="2" t="s">
        <v>36</v>
      </c>
    </row>
    <row r="969">
      <c r="A969" s="2" t="s">
        <v>3017</v>
      </c>
      <c r="B969" s="2" t="s">
        <v>3015</v>
      </c>
      <c r="C969" s="2" t="s">
        <v>36</v>
      </c>
    </row>
    <row r="970">
      <c r="A970" s="2" t="s">
        <v>3018</v>
      </c>
      <c r="B970" s="2" t="s">
        <v>3019</v>
      </c>
      <c r="C970" s="2" t="s">
        <v>36</v>
      </c>
    </row>
    <row r="971">
      <c r="A971" s="2" t="s">
        <v>3020</v>
      </c>
      <c r="B971" s="2" t="s">
        <v>3021</v>
      </c>
      <c r="C971" s="2" t="s">
        <v>36</v>
      </c>
    </row>
    <row r="972">
      <c r="A972" s="2" t="s">
        <v>3022</v>
      </c>
      <c r="B972" s="2" t="s">
        <v>3023</v>
      </c>
      <c r="C972" s="2" t="s">
        <v>36</v>
      </c>
    </row>
    <row r="973">
      <c r="A973" s="2" t="s">
        <v>3024</v>
      </c>
      <c r="B973" s="2" t="s">
        <v>3025</v>
      </c>
      <c r="C973" s="2" t="s">
        <v>36</v>
      </c>
    </row>
    <row r="974">
      <c r="A974" s="2" t="s">
        <v>3026</v>
      </c>
      <c r="B974" s="2" t="s">
        <v>3027</v>
      </c>
      <c r="C974" s="2" t="s">
        <v>36</v>
      </c>
    </row>
    <row r="975">
      <c r="A975" s="2" t="s">
        <v>3028</v>
      </c>
      <c r="B975" s="2" t="s">
        <v>3029</v>
      </c>
      <c r="C975" s="2" t="s">
        <v>36</v>
      </c>
    </row>
    <row r="976">
      <c r="A976" s="2" t="s">
        <v>3030</v>
      </c>
      <c r="B976" s="2" t="s">
        <v>3031</v>
      </c>
      <c r="C976" s="2" t="s">
        <v>36</v>
      </c>
    </row>
    <row r="977">
      <c r="A977" s="2" t="s">
        <v>3032</v>
      </c>
      <c r="B977" s="2" t="s">
        <v>3033</v>
      </c>
      <c r="C977" s="2" t="s">
        <v>36</v>
      </c>
    </row>
    <row r="978">
      <c r="A978" s="2" t="s">
        <v>3034</v>
      </c>
      <c r="B978" s="2" t="s">
        <v>3035</v>
      </c>
      <c r="C978" s="2" t="s">
        <v>36</v>
      </c>
    </row>
    <row r="979">
      <c r="A979" s="2" t="s">
        <v>3036</v>
      </c>
      <c r="B979" s="2" t="s">
        <v>3037</v>
      </c>
      <c r="C979" s="2" t="s">
        <v>36</v>
      </c>
    </row>
    <row r="980">
      <c r="A980" s="2" t="s">
        <v>3038</v>
      </c>
      <c r="B980" s="2" t="s">
        <v>3039</v>
      </c>
      <c r="C980" s="2" t="s">
        <v>36</v>
      </c>
    </row>
    <row r="981">
      <c r="A981" s="2" t="s">
        <v>3040</v>
      </c>
      <c r="B981" s="2" t="s">
        <v>3041</v>
      </c>
      <c r="C981" s="2" t="s">
        <v>36</v>
      </c>
    </row>
    <row r="982">
      <c r="A982" s="2" t="s">
        <v>3042</v>
      </c>
      <c r="B982" s="2" t="s">
        <v>3043</v>
      </c>
      <c r="C982" s="2" t="s">
        <v>36</v>
      </c>
    </row>
    <row r="983">
      <c r="A983" s="2" t="s">
        <v>3044</v>
      </c>
      <c r="B983" s="2" t="s">
        <v>3043</v>
      </c>
      <c r="C983" s="2" t="s">
        <v>36</v>
      </c>
    </row>
    <row r="984">
      <c r="A984" s="2" t="s">
        <v>3045</v>
      </c>
      <c r="B984" s="2" t="s">
        <v>3043</v>
      </c>
      <c r="C984" s="2" t="s">
        <v>36</v>
      </c>
    </row>
    <row r="985">
      <c r="A985" s="2" t="s">
        <v>3046</v>
      </c>
      <c r="B985" s="2" t="s">
        <v>3047</v>
      </c>
      <c r="C985" s="2" t="s">
        <v>36</v>
      </c>
    </row>
    <row r="986">
      <c r="A986" s="2" t="s">
        <v>3048</v>
      </c>
      <c r="B986" s="2" t="s">
        <v>3049</v>
      </c>
      <c r="C986" s="2" t="s">
        <v>36</v>
      </c>
    </row>
    <row r="987">
      <c r="A987" s="2" t="s">
        <v>3050</v>
      </c>
      <c r="B987" s="2" t="s">
        <v>3049</v>
      </c>
      <c r="C987" s="2" t="s">
        <v>36</v>
      </c>
    </row>
    <row r="988">
      <c r="A988" s="2" t="s">
        <v>3051</v>
      </c>
      <c r="B988" s="2" t="s">
        <v>3049</v>
      </c>
      <c r="C988" s="2" t="s">
        <v>36</v>
      </c>
    </row>
    <row r="989">
      <c r="A989" s="2" t="s">
        <v>3052</v>
      </c>
      <c r="B989" s="2" t="s">
        <v>3049</v>
      </c>
      <c r="C989" s="2" t="s">
        <v>36</v>
      </c>
    </row>
    <row r="990">
      <c r="A990" s="2" t="s">
        <v>3053</v>
      </c>
      <c r="B990" s="2" t="s">
        <v>3049</v>
      </c>
      <c r="C990" s="2" t="s">
        <v>36</v>
      </c>
    </row>
    <row r="991">
      <c r="A991" s="2" t="s">
        <v>3054</v>
      </c>
      <c r="B991" s="2" t="s">
        <v>3055</v>
      </c>
      <c r="C991" s="2" t="s">
        <v>36</v>
      </c>
    </row>
    <row r="992">
      <c r="A992" s="2" t="s">
        <v>3056</v>
      </c>
      <c r="B992" s="2" t="s">
        <v>3057</v>
      </c>
      <c r="C992" s="2" t="s">
        <v>36</v>
      </c>
    </row>
    <row r="993">
      <c r="A993" s="2" t="s">
        <v>3058</v>
      </c>
      <c r="B993" s="2" t="s">
        <v>3059</v>
      </c>
      <c r="C993" s="2" t="s">
        <v>36</v>
      </c>
    </row>
    <row r="994">
      <c r="A994" s="2" t="s">
        <v>3060</v>
      </c>
      <c r="B994" s="2" t="s">
        <v>3061</v>
      </c>
      <c r="C994" s="2" t="s">
        <v>36</v>
      </c>
    </row>
    <row r="995">
      <c r="A995" s="2" t="s">
        <v>3062</v>
      </c>
      <c r="B995" s="2" t="s">
        <v>3063</v>
      </c>
      <c r="C995" s="2" t="s">
        <v>36</v>
      </c>
    </row>
    <row r="996">
      <c r="A996" s="2" t="s">
        <v>3064</v>
      </c>
      <c r="B996" s="2" t="s">
        <v>3065</v>
      </c>
      <c r="C996" s="2" t="s">
        <v>36</v>
      </c>
    </row>
    <row r="997">
      <c r="A997" s="2" t="s">
        <v>3066</v>
      </c>
      <c r="B997" s="2" t="s">
        <v>3067</v>
      </c>
      <c r="C997" s="2" t="s">
        <v>36</v>
      </c>
    </row>
    <row r="998">
      <c r="A998" s="2" t="s">
        <v>3068</v>
      </c>
      <c r="B998" s="2" t="s">
        <v>3069</v>
      </c>
      <c r="C998" s="2" t="s">
        <v>36</v>
      </c>
    </row>
    <row r="999">
      <c r="A999" s="2" t="s">
        <v>3070</v>
      </c>
      <c r="B999" s="2" t="s">
        <v>3071</v>
      </c>
      <c r="C999" s="2" t="s">
        <v>36</v>
      </c>
    </row>
    <row r="1000">
      <c r="A1000" s="2" t="s">
        <v>3072</v>
      </c>
      <c r="B1000" s="2" t="s">
        <v>3073</v>
      </c>
      <c r="C1000" s="2" t="s">
        <v>36</v>
      </c>
    </row>
    <row r="1001">
      <c r="A1001" s="2" t="s">
        <v>3074</v>
      </c>
      <c r="B1001" s="2" t="s">
        <v>3075</v>
      </c>
      <c r="C1001" s="2" t="s">
        <v>36</v>
      </c>
    </row>
    <row r="1002">
      <c r="A1002" s="2" t="s">
        <v>3076</v>
      </c>
      <c r="B1002" s="2" t="s">
        <v>3077</v>
      </c>
      <c r="C1002" s="2" t="s">
        <v>36</v>
      </c>
    </row>
    <row r="1003">
      <c r="A1003" s="2" t="s">
        <v>3078</v>
      </c>
      <c r="B1003" s="2" t="s">
        <v>3079</v>
      </c>
      <c r="C1003" s="2" t="s">
        <v>36</v>
      </c>
    </row>
    <row r="1004">
      <c r="A1004" s="2" t="s">
        <v>3080</v>
      </c>
      <c r="B1004" s="2" t="s">
        <v>3081</v>
      </c>
      <c r="C1004" s="2" t="s">
        <v>36</v>
      </c>
    </row>
    <row r="1005">
      <c r="A1005" s="2" t="s">
        <v>3082</v>
      </c>
      <c r="B1005" s="2" t="s">
        <v>3083</v>
      </c>
      <c r="C1005" s="2" t="s">
        <v>36</v>
      </c>
    </row>
    <row r="1006">
      <c r="A1006" s="2" t="s">
        <v>3084</v>
      </c>
      <c r="B1006" s="2" t="s">
        <v>3085</v>
      </c>
      <c r="C1006" s="2" t="s">
        <v>36</v>
      </c>
    </row>
    <row r="1007">
      <c r="A1007" s="2" t="s">
        <v>3086</v>
      </c>
      <c r="B1007" s="2" t="s">
        <v>3087</v>
      </c>
      <c r="C1007" s="2" t="s">
        <v>36</v>
      </c>
    </row>
    <row r="1008">
      <c r="A1008" s="2" t="s">
        <v>3088</v>
      </c>
      <c r="B1008" s="2" t="s">
        <v>3089</v>
      </c>
      <c r="C1008" s="2" t="s">
        <v>36</v>
      </c>
    </row>
    <row r="1009">
      <c r="A1009" s="2" t="s">
        <v>3090</v>
      </c>
      <c r="B1009" s="2" t="s">
        <v>3091</v>
      </c>
      <c r="C1009" s="2" t="s">
        <v>36</v>
      </c>
    </row>
    <row r="1010">
      <c r="A1010" s="2" t="s">
        <v>3092</v>
      </c>
      <c r="B1010" s="2" t="s">
        <v>3093</v>
      </c>
      <c r="C1010" s="2" t="s">
        <v>36</v>
      </c>
    </row>
    <row r="1011">
      <c r="A1011" s="2" t="s">
        <v>3094</v>
      </c>
      <c r="B1011" s="2" t="s">
        <v>3095</v>
      </c>
      <c r="C1011" s="2" t="s">
        <v>36</v>
      </c>
    </row>
    <row r="1012">
      <c r="A1012" s="2" t="s">
        <v>3096</v>
      </c>
      <c r="B1012" s="2" t="s">
        <v>3097</v>
      </c>
      <c r="C1012" s="2" t="s">
        <v>36</v>
      </c>
    </row>
    <row r="1013">
      <c r="A1013" s="2" t="s">
        <v>3098</v>
      </c>
      <c r="B1013" s="2" t="s">
        <v>3099</v>
      </c>
      <c r="C1013" s="2" t="s">
        <v>36</v>
      </c>
    </row>
    <row r="1014">
      <c r="A1014" s="2" t="s">
        <v>3100</v>
      </c>
      <c r="B1014" s="2" t="s">
        <v>3101</v>
      </c>
      <c r="C1014" s="2" t="s">
        <v>36</v>
      </c>
    </row>
    <row r="1015">
      <c r="A1015" s="2" t="s">
        <v>3102</v>
      </c>
      <c r="B1015" s="2" t="s">
        <v>3103</v>
      </c>
      <c r="C1015" s="2" t="s">
        <v>36</v>
      </c>
    </row>
    <row r="1016">
      <c r="A1016" s="2" t="s">
        <v>3104</v>
      </c>
      <c r="B1016" s="2" t="s">
        <v>3105</v>
      </c>
      <c r="C1016" s="2" t="s">
        <v>36</v>
      </c>
    </row>
    <row r="1017">
      <c r="A1017" s="2" t="s">
        <v>3106</v>
      </c>
      <c r="B1017" s="2" t="s">
        <v>3107</v>
      </c>
      <c r="C1017" s="2" t="s">
        <v>36</v>
      </c>
    </row>
    <row r="1018">
      <c r="A1018" s="2" t="s">
        <v>3108</v>
      </c>
      <c r="B1018" s="2" t="s">
        <v>3109</v>
      </c>
      <c r="C1018" s="2" t="s">
        <v>36</v>
      </c>
    </row>
    <row r="1019">
      <c r="A1019" s="2" t="s">
        <v>3110</v>
      </c>
      <c r="B1019" s="2" t="s">
        <v>3111</v>
      </c>
      <c r="C1019" s="2" t="s">
        <v>36</v>
      </c>
    </row>
    <row r="1020">
      <c r="A1020" s="2" t="s">
        <v>3112</v>
      </c>
      <c r="B1020" s="2" t="s">
        <v>3113</v>
      </c>
      <c r="C1020" s="2" t="s">
        <v>36</v>
      </c>
    </row>
    <row r="1021">
      <c r="A1021" s="2" t="s">
        <v>3114</v>
      </c>
      <c r="B1021" s="2" t="s">
        <v>3115</v>
      </c>
      <c r="C1021" s="2" t="s">
        <v>36</v>
      </c>
    </row>
    <row r="1022">
      <c r="A1022" s="2" t="s">
        <v>3116</v>
      </c>
      <c r="B1022" s="2" t="s">
        <v>3117</v>
      </c>
      <c r="C1022" s="2" t="s">
        <v>36</v>
      </c>
    </row>
    <row r="1023">
      <c r="A1023" s="2" t="s">
        <v>3118</v>
      </c>
      <c r="B1023" s="2" t="s">
        <v>3119</v>
      </c>
      <c r="C1023" s="2" t="s">
        <v>36</v>
      </c>
    </row>
    <row r="1024">
      <c r="A1024" s="2" t="s">
        <v>3120</v>
      </c>
      <c r="B1024" s="2" t="s">
        <v>3121</v>
      </c>
      <c r="C1024" s="2" t="s">
        <v>36</v>
      </c>
    </row>
    <row r="1025">
      <c r="A1025" s="2" t="s">
        <v>3122</v>
      </c>
      <c r="B1025" s="2" t="s">
        <v>3123</v>
      </c>
      <c r="C1025" s="2" t="s">
        <v>36</v>
      </c>
    </row>
    <row r="1026">
      <c r="A1026" s="2" t="s">
        <v>3124</v>
      </c>
      <c r="B1026" s="2" t="s">
        <v>3125</v>
      </c>
      <c r="C1026" s="2" t="s">
        <v>36</v>
      </c>
    </row>
    <row r="1027">
      <c r="A1027" s="2" t="s">
        <v>3126</v>
      </c>
      <c r="B1027" s="2" t="s">
        <v>3127</v>
      </c>
      <c r="C1027" s="2" t="s">
        <v>36</v>
      </c>
    </row>
    <row r="1028">
      <c r="A1028" s="2" t="s">
        <v>3128</v>
      </c>
      <c r="B1028" s="2" t="s">
        <v>3129</v>
      </c>
      <c r="C1028" s="2" t="s">
        <v>36</v>
      </c>
    </row>
    <row r="1029">
      <c r="A1029" s="2" t="s">
        <v>3130</v>
      </c>
      <c r="B1029" s="2" t="s">
        <v>3131</v>
      </c>
      <c r="C1029" s="2" t="s">
        <v>36</v>
      </c>
    </row>
    <row r="1030">
      <c r="A1030" s="2" t="s">
        <v>3132</v>
      </c>
      <c r="B1030" s="2" t="s">
        <v>3133</v>
      </c>
      <c r="C1030" s="2" t="s">
        <v>36</v>
      </c>
    </row>
    <row r="1031">
      <c r="A1031" s="2" t="s">
        <v>3134</v>
      </c>
      <c r="B1031" s="2" t="s">
        <v>3135</v>
      </c>
      <c r="C1031" s="2" t="s">
        <v>36</v>
      </c>
    </row>
    <row r="1032">
      <c r="A1032" s="2" t="s">
        <v>3136</v>
      </c>
      <c r="B1032" s="2" t="s">
        <v>3137</v>
      </c>
      <c r="C1032" s="2" t="s">
        <v>36</v>
      </c>
    </row>
    <row r="1033">
      <c r="A1033" s="2" t="s">
        <v>3138</v>
      </c>
      <c r="B1033" s="2" t="s">
        <v>3139</v>
      </c>
      <c r="C1033" s="2" t="s">
        <v>36</v>
      </c>
    </row>
    <row r="1034">
      <c r="A1034" s="2" t="s">
        <v>3140</v>
      </c>
      <c r="B1034" s="2" t="s">
        <v>3141</v>
      </c>
      <c r="C1034" s="2" t="s">
        <v>36</v>
      </c>
    </row>
    <row r="1035">
      <c r="A1035" s="2" t="s">
        <v>3142</v>
      </c>
      <c r="B1035" s="2" t="s">
        <v>3143</v>
      </c>
      <c r="C1035" s="2" t="s">
        <v>36</v>
      </c>
    </row>
    <row r="1036">
      <c r="A1036" s="2" t="s">
        <v>3144</v>
      </c>
      <c r="B1036" s="2" t="s">
        <v>3145</v>
      </c>
      <c r="C1036" s="2" t="s">
        <v>36</v>
      </c>
    </row>
    <row r="1037">
      <c r="A1037" s="2" t="s">
        <v>3146</v>
      </c>
      <c r="B1037" s="2" t="s">
        <v>3147</v>
      </c>
      <c r="C1037" s="2" t="s">
        <v>36</v>
      </c>
    </row>
    <row r="1038">
      <c r="A1038" s="2" t="s">
        <v>3148</v>
      </c>
      <c r="B1038" s="2" t="s">
        <v>3149</v>
      </c>
      <c r="C1038" s="2" t="s">
        <v>36</v>
      </c>
    </row>
    <row r="1039">
      <c r="A1039" s="2" t="s">
        <v>3150</v>
      </c>
      <c r="B1039" s="2" t="s">
        <v>3151</v>
      </c>
      <c r="C1039" s="2" t="s">
        <v>36</v>
      </c>
    </row>
    <row r="1040">
      <c r="A1040" s="2" t="s">
        <v>3152</v>
      </c>
      <c r="B1040" s="2" t="s">
        <v>3153</v>
      </c>
      <c r="C1040" s="2" t="s">
        <v>36</v>
      </c>
    </row>
    <row r="1041">
      <c r="A1041" s="2" t="s">
        <v>3154</v>
      </c>
      <c r="B1041" s="2" t="s">
        <v>3155</v>
      </c>
      <c r="C1041" s="2" t="s">
        <v>36</v>
      </c>
    </row>
    <row r="1042">
      <c r="A1042" s="2" t="s">
        <v>3156</v>
      </c>
      <c r="B1042" s="2" t="s">
        <v>3157</v>
      </c>
      <c r="C1042" s="2" t="s">
        <v>36</v>
      </c>
    </row>
    <row r="1043">
      <c r="A1043" s="2" t="s">
        <v>3158</v>
      </c>
      <c r="B1043" s="2" t="s">
        <v>3159</v>
      </c>
      <c r="C1043" s="2" t="s">
        <v>36</v>
      </c>
    </row>
    <row r="1044">
      <c r="A1044" s="2" t="s">
        <v>3160</v>
      </c>
      <c r="B1044" s="2" t="s">
        <v>3161</v>
      </c>
      <c r="C1044" s="2" t="s">
        <v>36</v>
      </c>
    </row>
    <row r="1045">
      <c r="A1045" s="2" t="s">
        <v>3162</v>
      </c>
      <c r="B1045" s="2" t="s">
        <v>3163</v>
      </c>
      <c r="C1045" s="2" t="s">
        <v>36</v>
      </c>
    </row>
    <row r="1046">
      <c r="A1046" s="2" t="s">
        <v>3164</v>
      </c>
      <c r="B1046" s="2" t="s">
        <v>3165</v>
      </c>
      <c r="C1046" s="2" t="s">
        <v>36</v>
      </c>
    </row>
    <row r="1047">
      <c r="A1047" s="2" t="s">
        <v>3166</v>
      </c>
      <c r="B1047" s="2" t="s">
        <v>3167</v>
      </c>
      <c r="C1047" s="2" t="s">
        <v>36</v>
      </c>
    </row>
    <row r="1048">
      <c r="A1048" s="2" t="s">
        <v>3168</v>
      </c>
      <c r="B1048" s="2" t="s">
        <v>3169</v>
      </c>
      <c r="C1048" s="2" t="s">
        <v>36</v>
      </c>
    </row>
    <row r="1049">
      <c r="A1049" s="2" t="s">
        <v>3170</v>
      </c>
      <c r="B1049" s="2" t="s">
        <v>3171</v>
      </c>
      <c r="C1049" s="2" t="s">
        <v>36</v>
      </c>
    </row>
    <row r="1050">
      <c r="A1050" s="2" t="s">
        <v>3172</v>
      </c>
      <c r="B1050" s="2" t="s">
        <v>3173</v>
      </c>
      <c r="C1050" s="2" t="s">
        <v>36</v>
      </c>
    </row>
    <row r="1051">
      <c r="A1051" s="2" t="s">
        <v>3174</v>
      </c>
      <c r="B1051" s="2" t="s">
        <v>3175</v>
      </c>
      <c r="C1051" s="2" t="s">
        <v>36</v>
      </c>
    </row>
    <row r="1052">
      <c r="A1052" s="2" t="s">
        <v>3176</v>
      </c>
      <c r="B1052" s="2" t="s">
        <v>3177</v>
      </c>
      <c r="C1052" s="2" t="s">
        <v>36</v>
      </c>
    </row>
    <row r="1053">
      <c r="A1053" s="2" t="s">
        <v>3178</v>
      </c>
      <c r="B1053" s="2" t="s">
        <v>3179</v>
      </c>
      <c r="C1053" s="2" t="s">
        <v>36</v>
      </c>
    </row>
    <row r="1054">
      <c r="A1054" s="2" t="s">
        <v>3180</v>
      </c>
      <c r="B1054" s="2" t="s">
        <v>3181</v>
      </c>
      <c r="C1054" s="2" t="s">
        <v>36</v>
      </c>
    </row>
    <row r="1055">
      <c r="A1055" s="2" t="s">
        <v>3182</v>
      </c>
      <c r="B1055" s="2" t="s">
        <v>3183</v>
      </c>
      <c r="C1055" s="2" t="s">
        <v>36</v>
      </c>
    </row>
    <row r="1056">
      <c r="A1056" s="2" t="s">
        <v>3184</v>
      </c>
      <c r="B1056" s="2" t="s">
        <v>3185</v>
      </c>
      <c r="C1056" s="2" t="s">
        <v>36</v>
      </c>
    </row>
    <row r="1057">
      <c r="A1057" s="2" t="s">
        <v>3186</v>
      </c>
      <c r="B1057" s="2" t="s">
        <v>3187</v>
      </c>
      <c r="C1057" s="2" t="s">
        <v>36</v>
      </c>
    </row>
    <row r="1058">
      <c r="A1058" s="2" t="s">
        <v>3188</v>
      </c>
      <c r="B1058" s="2" t="s">
        <v>3189</v>
      </c>
      <c r="C1058" s="2" t="s">
        <v>36</v>
      </c>
    </row>
    <row r="1059">
      <c r="A1059" s="2" t="s">
        <v>3190</v>
      </c>
      <c r="B1059" s="2" t="s">
        <v>3191</v>
      </c>
      <c r="C1059" s="2" t="s">
        <v>36</v>
      </c>
    </row>
    <row r="1060">
      <c r="A1060" s="2" t="s">
        <v>3192</v>
      </c>
      <c r="B1060" s="2" t="s">
        <v>3193</v>
      </c>
      <c r="C1060" s="2" t="s">
        <v>36</v>
      </c>
    </row>
    <row r="1061">
      <c r="A1061" s="2" t="s">
        <v>3194</v>
      </c>
      <c r="B1061" s="2" t="s">
        <v>3195</v>
      </c>
      <c r="C1061" s="2" t="s">
        <v>36</v>
      </c>
    </row>
    <row r="1062">
      <c r="A1062" s="2" t="s">
        <v>3196</v>
      </c>
      <c r="B1062" s="2" t="s">
        <v>3197</v>
      </c>
      <c r="C1062" s="2" t="s">
        <v>36</v>
      </c>
    </row>
    <row r="1063">
      <c r="A1063" s="2" t="s">
        <v>3198</v>
      </c>
      <c r="B1063" s="2" t="s">
        <v>3199</v>
      </c>
      <c r="C1063" s="2" t="s">
        <v>36</v>
      </c>
    </row>
    <row r="1064">
      <c r="A1064" s="2" t="s">
        <v>3200</v>
      </c>
      <c r="B1064" s="2" t="s">
        <v>3201</v>
      </c>
      <c r="C1064" s="2" t="s">
        <v>36</v>
      </c>
    </row>
    <row r="1065">
      <c r="A1065" s="2" t="s">
        <v>3202</v>
      </c>
      <c r="B1065" s="2" t="s">
        <v>3203</v>
      </c>
      <c r="C1065" s="2" t="s">
        <v>36</v>
      </c>
    </row>
    <row r="1066">
      <c r="A1066" s="2" t="s">
        <v>3204</v>
      </c>
      <c r="B1066" s="2" t="s">
        <v>3205</v>
      </c>
      <c r="C1066" s="2" t="s">
        <v>36</v>
      </c>
    </row>
    <row r="1067">
      <c r="A1067" s="2" t="s">
        <v>3206</v>
      </c>
      <c r="B1067" s="2" t="s">
        <v>3207</v>
      </c>
      <c r="C1067" s="2" t="s">
        <v>36</v>
      </c>
    </row>
    <row r="1068">
      <c r="A1068" s="2" t="s">
        <v>3208</v>
      </c>
      <c r="B1068" s="2" t="s">
        <v>3209</v>
      </c>
      <c r="C1068" s="2" t="s">
        <v>36</v>
      </c>
    </row>
    <row r="1069">
      <c r="A1069" s="2" t="s">
        <v>3210</v>
      </c>
      <c r="B1069" s="2" t="s">
        <v>3211</v>
      </c>
      <c r="C1069" s="2" t="s">
        <v>36</v>
      </c>
    </row>
    <row r="1070">
      <c r="A1070" s="2" t="s">
        <v>3212</v>
      </c>
      <c r="B1070" s="2" t="s">
        <v>3213</v>
      </c>
      <c r="C1070" s="2" t="s">
        <v>36</v>
      </c>
    </row>
    <row r="1071">
      <c r="A1071" s="2" t="s">
        <v>3214</v>
      </c>
      <c r="B1071" s="2" t="s">
        <v>3215</v>
      </c>
      <c r="C1071" s="2" t="s">
        <v>36</v>
      </c>
    </row>
    <row r="1072">
      <c r="A1072" s="2" t="s">
        <v>3216</v>
      </c>
      <c r="B1072" s="2" t="s">
        <v>3217</v>
      </c>
      <c r="C1072" s="2" t="s">
        <v>36</v>
      </c>
    </row>
    <row r="1073">
      <c r="A1073" s="2" t="s">
        <v>3218</v>
      </c>
      <c r="B1073" s="2" t="s">
        <v>3219</v>
      </c>
      <c r="C1073" s="2" t="s">
        <v>36</v>
      </c>
    </row>
    <row r="1074">
      <c r="A1074" s="2" t="s">
        <v>3220</v>
      </c>
      <c r="B1074" s="2" t="s">
        <v>3221</v>
      </c>
      <c r="C1074" s="2" t="s">
        <v>36</v>
      </c>
    </row>
    <row r="1075">
      <c r="A1075" s="2" t="s">
        <v>3222</v>
      </c>
      <c r="B1075" s="2" t="s">
        <v>3223</v>
      </c>
      <c r="C1075" s="2" t="s">
        <v>36</v>
      </c>
    </row>
    <row r="1076">
      <c r="A1076" s="2" t="s">
        <v>3224</v>
      </c>
      <c r="B1076" s="2" t="s">
        <v>3225</v>
      </c>
      <c r="C1076" s="2" t="s">
        <v>36</v>
      </c>
    </row>
    <row r="1077">
      <c r="A1077" s="2" t="s">
        <v>3226</v>
      </c>
      <c r="B1077" s="2" t="s">
        <v>3227</v>
      </c>
      <c r="C1077" s="2" t="s">
        <v>36</v>
      </c>
    </row>
    <row r="1078">
      <c r="A1078" s="2" t="s">
        <v>3228</v>
      </c>
      <c r="B1078" s="2" t="s">
        <v>3229</v>
      </c>
      <c r="C1078" s="2" t="s">
        <v>36</v>
      </c>
    </row>
    <row r="1079">
      <c r="A1079" s="2" t="s">
        <v>3230</v>
      </c>
      <c r="B1079" s="2" t="s">
        <v>3231</v>
      </c>
      <c r="C1079" s="2" t="s">
        <v>36</v>
      </c>
    </row>
    <row r="1080">
      <c r="A1080" s="2" t="s">
        <v>3232</v>
      </c>
      <c r="B1080" s="2" t="s">
        <v>3233</v>
      </c>
      <c r="C1080" s="2" t="s">
        <v>36</v>
      </c>
    </row>
    <row r="1081">
      <c r="A1081" s="2" t="s">
        <v>3234</v>
      </c>
      <c r="B1081" s="2" t="s">
        <v>3235</v>
      </c>
      <c r="C1081" s="2" t="s">
        <v>36</v>
      </c>
    </row>
    <row r="1082">
      <c r="A1082" s="2" t="s">
        <v>3236</v>
      </c>
      <c r="B1082" s="2" t="s">
        <v>3237</v>
      </c>
      <c r="C1082" s="2" t="s">
        <v>36</v>
      </c>
    </row>
    <row r="1083">
      <c r="A1083" s="2" t="s">
        <v>3238</v>
      </c>
      <c r="B1083" s="2" t="s">
        <v>3239</v>
      </c>
      <c r="C1083" s="2" t="s">
        <v>36</v>
      </c>
    </row>
    <row r="1084">
      <c r="A1084" s="2" t="s">
        <v>3240</v>
      </c>
      <c r="B1084" s="2" t="s">
        <v>3241</v>
      </c>
      <c r="C1084" s="2" t="s">
        <v>36</v>
      </c>
    </row>
    <row r="1085">
      <c r="A1085" s="2" t="s">
        <v>3242</v>
      </c>
      <c r="B1085" s="2" t="s">
        <v>3243</v>
      </c>
      <c r="C1085" s="2" t="s">
        <v>36</v>
      </c>
    </row>
    <row r="1086">
      <c r="A1086" s="2" t="s">
        <v>3244</v>
      </c>
      <c r="B1086" s="2" t="s">
        <v>3245</v>
      </c>
      <c r="C1086" s="2" t="s">
        <v>36</v>
      </c>
    </row>
    <row r="1087">
      <c r="A1087" s="2" t="s">
        <v>3246</v>
      </c>
      <c r="B1087" s="2" t="s">
        <v>3247</v>
      </c>
      <c r="C1087" s="2" t="s">
        <v>36</v>
      </c>
    </row>
    <row r="1088">
      <c r="A1088" s="2" t="s">
        <v>3248</v>
      </c>
      <c r="B1088" s="2" t="s">
        <v>3249</v>
      </c>
      <c r="C1088" s="2" t="s">
        <v>36</v>
      </c>
    </row>
    <row r="1089">
      <c r="A1089" s="2" t="s">
        <v>3250</v>
      </c>
      <c r="B1089" s="2" t="s">
        <v>3251</v>
      </c>
      <c r="C1089" s="2" t="s">
        <v>36</v>
      </c>
    </row>
    <row r="1090">
      <c r="A1090" s="2" t="s">
        <v>3252</v>
      </c>
      <c r="B1090" s="2" t="s">
        <v>3253</v>
      </c>
      <c r="C1090" s="2" t="s">
        <v>36</v>
      </c>
    </row>
    <row r="1091">
      <c r="A1091" s="2" t="s">
        <v>3254</v>
      </c>
      <c r="B1091" s="2" t="s">
        <v>3255</v>
      </c>
      <c r="C1091" s="2" t="s">
        <v>36</v>
      </c>
    </row>
    <row r="1092">
      <c r="A1092" s="2" t="s">
        <v>3256</v>
      </c>
      <c r="B1092" s="2" t="s">
        <v>3257</v>
      </c>
      <c r="C1092" s="2" t="s">
        <v>36</v>
      </c>
    </row>
    <row r="1093">
      <c r="A1093" s="2" t="s">
        <v>3258</v>
      </c>
      <c r="B1093" s="2" t="s">
        <v>3259</v>
      </c>
      <c r="C1093" s="2" t="s">
        <v>36</v>
      </c>
    </row>
    <row r="1094">
      <c r="A1094" s="2" t="s">
        <v>3260</v>
      </c>
      <c r="B1094" s="2" t="s">
        <v>3261</v>
      </c>
      <c r="C1094" s="2" t="s">
        <v>36</v>
      </c>
    </row>
    <row r="1095">
      <c r="A1095" s="2" t="s">
        <v>3262</v>
      </c>
      <c r="B1095" s="2" t="s">
        <v>3263</v>
      </c>
      <c r="C1095" s="2" t="s">
        <v>36</v>
      </c>
    </row>
    <row r="1096">
      <c r="A1096" s="2" t="s">
        <v>3264</v>
      </c>
      <c r="B1096" s="2" t="s">
        <v>3265</v>
      </c>
      <c r="C1096" s="2" t="s">
        <v>36</v>
      </c>
    </row>
    <row r="1097">
      <c r="A1097" s="2" t="s">
        <v>3266</v>
      </c>
      <c r="B1097" s="2" t="s">
        <v>3267</v>
      </c>
      <c r="C1097" s="2" t="s">
        <v>36</v>
      </c>
    </row>
    <row r="1098">
      <c r="A1098" s="2" t="s">
        <v>3268</v>
      </c>
      <c r="B1098" s="2" t="s">
        <v>3269</v>
      </c>
      <c r="C1098" s="2" t="s">
        <v>36</v>
      </c>
    </row>
    <row r="1099">
      <c r="A1099" s="2" t="s">
        <v>3270</v>
      </c>
      <c r="B1099" s="2" t="s">
        <v>3271</v>
      </c>
      <c r="C1099" s="2" t="s">
        <v>36</v>
      </c>
    </row>
    <row r="1100">
      <c r="A1100" s="2" t="s">
        <v>3272</v>
      </c>
      <c r="B1100" s="2" t="s">
        <v>3273</v>
      </c>
      <c r="C1100" s="2" t="s">
        <v>36</v>
      </c>
    </row>
    <row r="1101">
      <c r="A1101" s="2" t="s">
        <v>3274</v>
      </c>
      <c r="B1101" s="2" t="s">
        <v>3275</v>
      </c>
      <c r="C1101" s="2" t="s">
        <v>36</v>
      </c>
    </row>
    <row r="1102">
      <c r="A1102" s="2" t="s">
        <v>3276</v>
      </c>
      <c r="B1102" s="2" t="s">
        <v>3277</v>
      </c>
      <c r="C1102" s="2" t="s">
        <v>36</v>
      </c>
    </row>
    <row r="1103">
      <c r="A1103" s="2" t="s">
        <v>3278</v>
      </c>
      <c r="B1103" s="2" t="s">
        <v>3279</v>
      </c>
      <c r="C1103" s="2" t="s">
        <v>36</v>
      </c>
    </row>
    <row r="1104">
      <c r="A1104" s="2" t="s">
        <v>3280</v>
      </c>
      <c r="B1104" s="2" t="s">
        <v>3281</v>
      </c>
      <c r="C1104" s="2" t="s">
        <v>36</v>
      </c>
    </row>
    <row r="1105">
      <c r="A1105" s="2" t="s">
        <v>3282</v>
      </c>
      <c r="B1105" s="2" t="s">
        <v>3283</v>
      </c>
      <c r="C1105" s="2" t="s">
        <v>36</v>
      </c>
    </row>
    <row r="1106">
      <c r="A1106" s="2" t="s">
        <v>3284</v>
      </c>
      <c r="B1106" s="2" t="s">
        <v>3285</v>
      </c>
      <c r="C1106" s="2" t="s">
        <v>36</v>
      </c>
    </row>
    <row r="1107">
      <c r="A1107" s="2" t="s">
        <v>3286</v>
      </c>
      <c r="B1107" s="2" t="s">
        <v>3287</v>
      </c>
      <c r="C1107" s="2" t="s">
        <v>36</v>
      </c>
    </row>
    <row r="1108">
      <c r="A1108" s="2" t="s">
        <v>3288</v>
      </c>
      <c r="B1108" s="2" t="s">
        <v>3289</v>
      </c>
      <c r="C1108" s="2" t="s">
        <v>36</v>
      </c>
    </row>
    <row r="1109">
      <c r="A1109" s="2" t="s">
        <v>3290</v>
      </c>
      <c r="B1109" s="2" t="s">
        <v>3291</v>
      </c>
      <c r="C1109" s="2" t="s">
        <v>36</v>
      </c>
    </row>
    <row r="1110">
      <c r="A1110" s="2" t="s">
        <v>3292</v>
      </c>
      <c r="B1110" s="2" t="s">
        <v>3293</v>
      </c>
      <c r="C1110" s="2" t="s">
        <v>36</v>
      </c>
    </row>
    <row r="1111">
      <c r="A1111" s="2" t="s">
        <v>3294</v>
      </c>
      <c r="B1111" s="2" t="s">
        <v>3295</v>
      </c>
      <c r="C1111" s="2" t="s">
        <v>36</v>
      </c>
    </row>
    <row r="1112">
      <c r="A1112" s="2" t="s">
        <v>3296</v>
      </c>
      <c r="B1112" s="2" t="s">
        <v>3297</v>
      </c>
      <c r="C1112" s="2" t="s">
        <v>36</v>
      </c>
    </row>
    <row r="1113">
      <c r="A1113" s="2" t="s">
        <v>3298</v>
      </c>
      <c r="B1113" s="2" t="s">
        <v>3299</v>
      </c>
      <c r="C1113" s="2" t="s">
        <v>36</v>
      </c>
    </row>
    <row r="1114">
      <c r="A1114" s="2" t="s">
        <v>3300</v>
      </c>
      <c r="B1114" s="2" t="s">
        <v>3301</v>
      </c>
      <c r="C1114" s="2" t="s">
        <v>36</v>
      </c>
    </row>
    <row r="1115">
      <c r="A1115" s="2" t="s">
        <v>3302</v>
      </c>
      <c r="B1115" s="2" t="s">
        <v>3303</v>
      </c>
      <c r="C1115" s="2" t="s">
        <v>36</v>
      </c>
    </row>
    <row r="1116">
      <c r="A1116" s="2" t="s">
        <v>3304</v>
      </c>
      <c r="B1116" s="2" t="s">
        <v>3305</v>
      </c>
      <c r="C1116" s="2" t="s">
        <v>36</v>
      </c>
    </row>
    <row r="1117">
      <c r="A1117" s="2" t="s">
        <v>3306</v>
      </c>
      <c r="B1117" s="2" t="s">
        <v>3307</v>
      </c>
      <c r="C1117" s="2" t="s">
        <v>36</v>
      </c>
    </row>
    <row r="1118">
      <c r="A1118" s="2" t="s">
        <v>3308</v>
      </c>
      <c r="B1118" s="2" t="s">
        <v>3309</v>
      </c>
      <c r="C1118" s="2" t="s">
        <v>36</v>
      </c>
    </row>
    <row r="1119">
      <c r="A1119" s="2" t="s">
        <v>3310</v>
      </c>
      <c r="B1119" s="2" t="s">
        <v>3311</v>
      </c>
      <c r="C1119" s="2" t="s">
        <v>36</v>
      </c>
    </row>
    <row r="1120">
      <c r="A1120" s="2" t="s">
        <v>3312</v>
      </c>
      <c r="B1120" s="2" t="s">
        <v>3313</v>
      </c>
      <c r="C1120" s="2" t="s">
        <v>36</v>
      </c>
    </row>
    <row r="1121">
      <c r="A1121" s="2" t="s">
        <v>3314</v>
      </c>
      <c r="B1121" s="2" t="s">
        <v>3315</v>
      </c>
      <c r="C1121" s="2" t="s">
        <v>36</v>
      </c>
    </row>
    <row r="1122">
      <c r="A1122" s="2" t="s">
        <v>3316</v>
      </c>
      <c r="B1122" s="2" t="s">
        <v>3317</v>
      </c>
      <c r="C1122" s="2" t="s">
        <v>36</v>
      </c>
    </row>
    <row r="1123">
      <c r="A1123" s="2" t="s">
        <v>3318</v>
      </c>
      <c r="B1123" s="2" t="s">
        <v>3319</v>
      </c>
      <c r="C1123" s="2" t="s">
        <v>36</v>
      </c>
    </row>
    <row r="1124">
      <c r="A1124" s="2" t="s">
        <v>3320</v>
      </c>
      <c r="B1124" s="2" t="s">
        <v>3321</v>
      </c>
      <c r="C1124" s="2" t="s">
        <v>36</v>
      </c>
    </row>
    <row r="1125">
      <c r="A1125" s="2" t="s">
        <v>3322</v>
      </c>
      <c r="B1125" s="2" t="s">
        <v>3323</v>
      </c>
      <c r="C1125" s="2" t="s">
        <v>36</v>
      </c>
    </row>
    <row r="1126">
      <c r="A1126" s="2" t="s">
        <v>3324</v>
      </c>
      <c r="B1126" s="2" t="s">
        <v>3325</v>
      </c>
      <c r="C1126" s="2" t="s">
        <v>36</v>
      </c>
    </row>
    <row r="1127">
      <c r="A1127" s="2" t="s">
        <v>3326</v>
      </c>
      <c r="B1127" s="2" t="s">
        <v>3327</v>
      </c>
      <c r="C1127" s="2" t="s">
        <v>36</v>
      </c>
    </row>
    <row r="1128">
      <c r="A1128" s="2" t="s">
        <v>3328</v>
      </c>
      <c r="B1128" s="2" t="s">
        <v>3329</v>
      </c>
      <c r="C1128" s="2" t="s">
        <v>36</v>
      </c>
    </row>
    <row r="1129">
      <c r="A1129" s="2" t="s">
        <v>3330</v>
      </c>
      <c r="B1129" s="2" t="s">
        <v>3331</v>
      </c>
      <c r="C1129" s="2" t="s">
        <v>36</v>
      </c>
    </row>
    <row r="1130">
      <c r="A1130" s="2" t="s">
        <v>3332</v>
      </c>
      <c r="B1130" s="2" t="s">
        <v>3333</v>
      </c>
      <c r="C1130" s="2" t="s">
        <v>36</v>
      </c>
    </row>
    <row r="1131">
      <c r="A1131" s="2" t="s">
        <v>3334</v>
      </c>
      <c r="B1131" s="2" t="s">
        <v>3335</v>
      </c>
      <c r="C1131" s="2" t="s">
        <v>36</v>
      </c>
    </row>
    <row r="1132">
      <c r="A1132" s="2" t="s">
        <v>3336</v>
      </c>
      <c r="B1132" s="2" t="s">
        <v>3337</v>
      </c>
      <c r="C1132" s="2" t="s">
        <v>36</v>
      </c>
    </row>
    <row r="1133">
      <c r="A1133" s="2" t="s">
        <v>3338</v>
      </c>
      <c r="B1133" s="2" t="s">
        <v>3339</v>
      </c>
      <c r="C1133" s="2" t="s">
        <v>36</v>
      </c>
    </row>
    <row r="1134">
      <c r="A1134" s="2" t="s">
        <v>3340</v>
      </c>
      <c r="B1134" s="2" t="s">
        <v>3341</v>
      </c>
      <c r="C1134" s="2" t="s">
        <v>36</v>
      </c>
    </row>
    <row r="1135">
      <c r="A1135" s="2" t="s">
        <v>3342</v>
      </c>
      <c r="B1135" s="2" t="s">
        <v>3343</v>
      </c>
      <c r="C1135" s="2" t="s">
        <v>36</v>
      </c>
    </row>
    <row r="1136">
      <c r="A1136" s="2" t="s">
        <v>3344</v>
      </c>
      <c r="B1136" s="2" t="s">
        <v>3345</v>
      </c>
      <c r="C1136" s="2" t="s">
        <v>36</v>
      </c>
    </row>
    <row r="1137">
      <c r="A1137" s="2" t="s">
        <v>3346</v>
      </c>
      <c r="B1137" s="2" t="s">
        <v>3347</v>
      </c>
      <c r="C1137" s="2" t="s">
        <v>36</v>
      </c>
    </row>
    <row r="1138">
      <c r="A1138" s="2" t="s">
        <v>3348</v>
      </c>
      <c r="B1138" s="2" t="s">
        <v>3349</v>
      </c>
      <c r="C1138" s="2" t="s">
        <v>36</v>
      </c>
    </row>
    <row r="1139">
      <c r="A1139" s="2" t="s">
        <v>3350</v>
      </c>
      <c r="B1139" s="2" t="s">
        <v>3351</v>
      </c>
      <c r="C1139" s="2" t="s">
        <v>36</v>
      </c>
    </row>
    <row r="1140">
      <c r="A1140" s="2" t="s">
        <v>3352</v>
      </c>
      <c r="B1140" s="2" t="s">
        <v>3353</v>
      </c>
      <c r="C1140" s="2" t="s">
        <v>36</v>
      </c>
    </row>
    <row r="1141">
      <c r="A1141" s="2" t="s">
        <v>3354</v>
      </c>
      <c r="B1141" s="2" t="s">
        <v>3355</v>
      </c>
      <c r="C1141" s="2" t="s">
        <v>36</v>
      </c>
    </row>
    <row r="1142">
      <c r="A1142" s="2" t="s">
        <v>3356</v>
      </c>
      <c r="B1142" s="2" t="s">
        <v>3357</v>
      </c>
      <c r="C1142" s="2" t="s">
        <v>36</v>
      </c>
    </row>
    <row r="1143">
      <c r="A1143" s="2" t="s">
        <v>3358</v>
      </c>
      <c r="B1143" s="2" t="s">
        <v>3359</v>
      </c>
      <c r="C1143" s="2" t="s">
        <v>36</v>
      </c>
    </row>
    <row r="1144">
      <c r="A1144" s="2" t="s">
        <v>3360</v>
      </c>
      <c r="B1144" s="2" t="s">
        <v>3361</v>
      </c>
      <c r="C1144" s="2" t="s">
        <v>36</v>
      </c>
    </row>
    <row r="1145">
      <c r="A1145" s="2" t="s">
        <v>3362</v>
      </c>
      <c r="B1145" s="2" t="s">
        <v>3363</v>
      </c>
      <c r="C1145" s="2" t="s">
        <v>36</v>
      </c>
    </row>
    <row r="1146">
      <c r="A1146" s="2" t="s">
        <v>3364</v>
      </c>
      <c r="B1146" s="2" t="s">
        <v>3365</v>
      </c>
      <c r="C1146" s="2" t="s">
        <v>36</v>
      </c>
    </row>
    <row r="1147">
      <c r="A1147" s="2" t="s">
        <v>3366</v>
      </c>
      <c r="B1147" s="2" t="s">
        <v>3367</v>
      </c>
      <c r="C1147" s="2" t="s">
        <v>36</v>
      </c>
    </row>
    <row r="1148">
      <c r="A1148" s="2" t="s">
        <v>3368</v>
      </c>
      <c r="B1148" s="2" t="s">
        <v>3369</v>
      </c>
      <c r="C1148" s="2" t="s">
        <v>36</v>
      </c>
    </row>
    <row r="1149">
      <c r="A1149" s="2" t="s">
        <v>3370</v>
      </c>
      <c r="B1149" s="2" t="s">
        <v>3371</v>
      </c>
      <c r="C1149" s="2" t="s">
        <v>36</v>
      </c>
    </row>
    <row r="1150">
      <c r="A1150" s="2" t="s">
        <v>3372</v>
      </c>
      <c r="B1150" s="2" t="s">
        <v>3373</v>
      </c>
      <c r="C1150" s="2" t="s">
        <v>36</v>
      </c>
    </row>
    <row r="1151">
      <c r="A1151" s="2" t="s">
        <v>3374</v>
      </c>
      <c r="B1151" s="2" t="s">
        <v>3375</v>
      </c>
      <c r="C1151" s="2" t="s">
        <v>36</v>
      </c>
    </row>
    <row r="1152">
      <c r="A1152" s="2" t="s">
        <v>3376</v>
      </c>
      <c r="B1152" s="2" t="s">
        <v>3377</v>
      </c>
      <c r="C1152" s="2" t="s">
        <v>36</v>
      </c>
    </row>
    <row r="1153">
      <c r="A1153" s="2" t="s">
        <v>3378</v>
      </c>
      <c r="B1153" s="2" t="s">
        <v>3379</v>
      </c>
      <c r="C1153" s="2" t="s">
        <v>36</v>
      </c>
    </row>
    <row r="1154">
      <c r="A1154" s="2" t="s">
        <v>3380</v>
      </c>
      <c r="B1154" s="2" t="s">
        <v>3381</v>
      </c>
      <c r="C1154" s="2" t="s">
        <v>36</v>
      </c>
    </row>
    <row r="1155">
      <c r="A1155" s="2" t="s">
        <v>3382</v>
      </c>
      <c r="B1155" s="2" t="s">
        <v>3383</v>
      </c>
      <c r="C1155" s="2" t="s">
        <v>36</v>
      </c>
    </row>
    <row r="1156">
      <c r="A1156" s="2" t="s">
        <v>3384</v>
      </c>
      <c r="B1156" s="2" t="s">
        <v>3385</v>
      </c>
      <c r="C1156" s="2" t="s">
        <v>36</v>
      </c>
    </row>
    <row r="1157">
      <c r="A1157" s="2" t="s">
        <v>3386</v>
      </c>
      <c r="B1157" s="2" t="s">
        <v>3387</v>
      </c>
      <c r="C1157" s="2" t="s">
        <v>36</v>
      </c>
    </row>
    <row r="1158">
      <c r="A1158" s="2" t="s">
        <v>3388</v>
      </c>
      <c r="B1158" s="2" t="s">
        <v>3389</v>
      </c>
      <c r="C1158" s="2" t="s">
        <v>36</v>
      </c>
    </row>
    <row r="1159">
      <c r="A1159" s="2" t="s">
        <v>3390</v>
      </c>
      <c r="B1159" s="2" t="s">
        <v>3391</v>
      </c>
      <c r="C1159" s="2" t="s">
        <v>36</v>
      </c>
    </row>
    <row r="1160">
      <c r="A1160" s="2" t="s">
        <v>3392</v>
      </c>
      <c r="B1160" s="2" t="s">
        <v>3393</v>
      </c>
      <c r="C1160" s="2" t="s">
        <v>36</v>
      </c>
    </row>
    <row r="1161">
      <c r="A1161" s="2" t="s">
        <v>3394</v>
      </c>
      <c r="B1161" s="2" t="s">
        <v>3395</v>
      </c>
      <c r="C1161" s="2" t="s">
        <v>36</v>
      </c>
    </row>
    <row r="1162">
      <c r="A1162" s="2" t="s">
        <v>3396</v>
      </c>
      <c r="B1162" s="2" t="s">
        <v>3397</v>
      </c>
      <c r="C1162" s="2" t="s">
        <v>36</v>
      </c>
    </row>
    <row r="1163">
      <c r="A1163" s="2" t="s">
        <v>3398</v>
      </c>
      <c r="B1163" s="2" t="s">
        <v>3399</v>
      </c>
      <c r="C1163" s="2" t="s">
        <v>36</v>
      </c>
    </row>
    <row r="1164">
      <c r="A1164" s="2" t="s">
        <v>3400</v>
      </c>
      <c r="B1164" s="2" t="s">
        <v>3401</v>
      </c>
      <c r="C1164" s="2" t="s">
        <v>36</v>
      </c>
    </row>
    <row r="1165">
      <c r="A1165" s="2" t="s">
        <v>3402</v>
      </c>
      <c r="B1165" s="2" t="s">
        <v>3403</v>
      </c>
      <c r="C1165" s="2" t="s">
        <v>36</v>
      </c>
    </row>
    <row r="1166">
      <c r="A1166" s="2" t="s">
        <v>3404</v>
      </c>
      <c r="B1166" s="2" t="s">
        <v>3405</v>
      </c>
      <c r="C1166" s="2" t="s">
        <v>36</v>
      </c>
    </row>
    <row r="1167">
      <c r="A1167" s="2" t="s">
        <v>3406</v>
      </c>
      <c r="B1167" s="2" t="s">
        <v>3407</v>
      </c>
      <c r="C1167" s="2" t="s">
        <v>36</v>
      </c>
    </row>
    <row r="1168">
      <c r="A1168" s="2" t="s">
        <v>3408</v>
      </c>
      <c r="B1168" s="2" t="s">
        <v>3409</v>
      </c>
      <c r="C1168" s="2" t="s">
        <v>36</v>
      </c>
    </row>
    <row r="1169">
      <c r="A1169" s="2" t="s">
        <v>3410</v>
      </c>
      <c r="B1169" s="2" t="s">
        <v>3411</v>
      </c>
      <c r="C1169" s="2" t="s">
        <v>36</v>
      </c>
    </row>
    <row r="1170">
      <c r="A1170" s="2" t="s">
        <v>3412</v>
      </c>
      <c r="B1170" s="2" t="s">
        <v>3413</v>
      </c>
      <c r="C1170" s="2" t="s">
        <v>36</v>
      </c>
    </row>
    <row r="1171">
      <c r="A1171" s="2" t="s">
        <v>3414</v>
      </c>
      <c r="B1171" s="2" t="s">
        <v>3415</v>
      </c>
      <c r="C1171" s="2" t="s">
        <v>36</v>
      </c>
    </row>
    <row r="1172">
      <c r="A1172" s="2" t="s">
        <v>3416</v>
      </c>
      <c r="B1172" s="2" t="s">
        <v>3417</v>
      </c>
      <c r="C1172" s="2" t="s">
        <v>36</v>
      </c>
    </row>
    <row r="1173">
      <c r="A1173" s="2" t="s">
        <v>3418</v>
      </c>
      <c r="B1173" s="2" t="s">
        <v>3419</v>
      </c>
      <c r="C1173" s="2" t="s">
        <v>36</v>
      </c>
    </row>
    <row r="1174">
      <c r="A1174" s="2" t="s">
        <v>3420</v>
      </c>
      <c r="B1174" s="2" t="s">
        <v>3421</v>
      </c>
      <c r="C1174" s="2" t="s">
        <v>36</v>
      </c>
    </row>
    <row r="1175">
      <c r="A1175" s="2" t="s">
        <v>3422</v>
      </c>
      <c r="B1175" s="2" t="s">
        <v>3423</v>
      </c>
      <c r="C1175" s="2" t="s">
        <v>36</v>
      </c>
    </row>
    <row r="1176">
      <c r="A1176" s="2" t="s">
        <v>3424</v>
      </c>
      <c r="B1176" s="2" t="s">
        <v>3425</v>
      </c>
      <c r="C1176" s="2" t="s">
        <v>36</v>
      </c>
    </row>
    <row r="1177">
      <c r="A1177" s="2" t="s">
        <v>3426</v>
      </c>
      <c r="B1177" s="2" t="s">
        <v>3427</v>
      </c>
      <c r="C1177" s="2" t="s">
        <v>36</v>
      </c>
    </row>
    <row r="1178">
      <c r="A1178" s="2" t="s">
        <v>3428</v>
      </c>
      <c r="B1178" s="2" t="s">
        <v>3429</v>
      </c>
      <c r="C1178" s="2" t="s">
        <v>36</v>
      </c>
    </row>
    <row r="1179">
      <c r="A1179" s="2" t="s">
        <v>3430</v>
      </c>
      <c r="B1179" s="2" t="s">
        <v>3431</v>
      </c>
      <c r="C1179" s="2" t="s">
        <v>36</v>
      </c>
    </row>
    <row r="1180">
      <c r="A1180" s="2" t="s">
        <v>3432</v>
      </c>
      <c r="B1180" s="2" t="s">
        <v>3433</v>
      </c>
      <c r="C1180" s="2" t="s">
        <v>36</v>
      </c>
    </row>
    <row r="1181">
      <c r="A1181" s="2" t="s">
        <v>3434</v>
      </c>
      <c r="B1181" s="2" t="s">
        <v>3435</v>
      </c>
      <c r="C1181" s="2" t="s">
        <v>36</v>
      </c>
    </row>
    <row r="1182">
      <c r="A1182" s="2" t="s">
        <v>3436</v>
      </c>
      <c r="B1182" s="2" t="s">
        <v>3437</v>
      </c>
      <c r="C1182" s="2" t="s">
        <v>36</v>
      </c>
    </row>
    <row r="1183">
      <c r="A1183" s="2" t="s">
        <v>3438</v>
      </c>
      <c r="B1183" s="2" t="s">
        <v>3439</v>
      </c>
      <c r="C1183" s="2" t="s">
        <v>36</v>
      </c>
    </row>
    <row r="1184">
      <c r="A1184" s="2" t="s">
        <v>3440</v>
      </c>
      <c r="B1184" s="2" t="s">
        <v>3441</v>
      </c>
      <c r="C1184" s="2" t="s">
        <v>36</v>
      </c>
    </row>
    <row r="1185">
      <c r="A1185" s="2" t="s">
        <v>3442</v>
      </c>
      <c r="B1185" s="2" t="s">
        <v>3443</v>
      </c>
      <c r="C1185" s="2" t="s">
        <v>36</v>
      </c>
    </row>
    <row r="1186">
      <c r="A1186" s="2" t="s">
        <v>3444</v>
      </c>
      <c r="B1186" s="2" t="s">
        <v>3445</v>
      </c>
      <c r="C1186" s="2" t="s">
        <v>36</v>
      </c>
    </row>
    <row r="1187">
      <c r="A1187" s="2" t="s">
        <v>3446</v>
      </c>
      <c r="B1187" s="2" t="s">
        <v>3447</v>
      </c>
      <c r="C1187" s="2" t="s">
        <v>36</v>
      </c>
    </row>
    <row r="1188">
      <c r="A1188" s="2" t="s">
        <v>3448</v>
      </c>
      <c r="B1188" s="2" t="s">
        <v>3449</v>
      </c>
      <c r="C1188" s="2" t="s">
        <v>36</v>
      </c>
    </row>
    <row r="1189">
      <c r="A1189" s="2" t="s">
        <v>3450</v>
      </c>
      <c r="B1189" s="2" t="s">
        <v>3451</v>
      </c>
      <c r="C1189" s="2" t="s">
        <v>36</v>
      </c>
    </row>
    <row r="1190">
      <c r="A1190" s="2" t="s">
        <v>3452</v>
      </c>
      <c r="B1190" s="2" t="s">
        <v>3453</v>
      </c>
      <c r="C1190" s="2" t="s">
        <v>36</v>
      </c>
    </row>
    <row r="1191">
      <c r="A1191" s="2" t="s">
        <v>3454</v>
      </c>
      <c r="B1191" s="2" t="s">
        <v>3455</v>
      </c>
      <c r="C1191" s="2" t="s">
        <v>36</v>
      </c>
    </row>
    <row r="1192">
      <c r="A1192" s="2" t="s">
        <v>3456</v>
      </c>
      <c r="B1192" s="2" t="s">
        <v>3457</v>
      </c>
      <c r="C1192" s="2" t="s">
        <v>36</v>
      </c>
    </row>
    <row r="1193">
      <c r="A1193" s="2" t="s">
        <v>3458</v>
      </c>
      <c r="B1193" s="2" t="s">
        <v>3459</v>
      </c>
      <c r="C1193" s="2" t="s">
        <v>36</v>
      </c>
    </row>
    <row r="1194">
      <c r="A1194" s="2" t="s">
        <v>3460</v>
      </c>
      <c r="B1194" s="2" t="s">
        <v>3461</v>
      </c>
      <c r="C1194" s="2" t="s">
        <v>36</v>
      </c>
    </row>
    <row r="1195">
      <c r="A1195" s="2" t="s">
        <v>3462</v>
      </c>
      <c r="B1195" s="2" t="s">
        <v>3463</v>
      </c>
      <c r="C1195" s="2" t="s">
        <v>36</v>
      </c>
    </row>
    <row r="1196">
      <c r="A1196" s="2" t="s">
        <v>3464</v>
      </c>
      <c r="B1196" s="2" t="s">
        <v>3465</v>
      </c>
      <c r="C1196" s="2" t="s">
        <v>36</v>
      </c>
    </row>
    <row r="1197">
      <c r="A1197" s="2" t="s">
        <v>3466</v>
      </c>
      <c r="B1197" s="2" t="s">
        <v>3467</v>
      </c>
      <c r="C1197" s="2" t="s">
        <v>36</v>
      </c>
    </row>
    <row r="1198">
      <c r="A1198" s="2" t="s">
        <v>3468</v>
      </c>
      <c r="B1198" s="2" t="s">
        <v>3469</v>
      </c>
      <c r="C1198" s="2" t="s">
        <v>36</v>
      </c>
    </row>
    <row r="1199">
      <c r="A1199" s="2" t="s">
        <v>3470</v>
      </c>
      <c r="B1199" s="2" t="s">
        <v>3471</v>
      </c>
      <c r="C1199" s="2" t="s">
        <v>36</v>
      </c>
    </row>
    <row r="1200">
      <c r="A1200" s="2" t="s">
        <v>3472</v>
      </c>
      <c r="B1200" s="2" t="s">
        <v>3473</v>
      </c>
      <c r="C1200" s="2" t="s">
        <v>36</v>
      </c>
    </row>
    <row r="1201">
      <c r="A1201" s="2" t="s">
        <v>3474</v>
      </c>
      <c r="B1201" s="2" t="s">
        <v>3475</v>
      </c>
      <c r="C1201" s="2" t="s">
        <v>36</v>
      </c>
    </row>
    <row r="1202">
      <c r="A1202" s="2" t="s">
        <v>3476</v>
      </c>
      <c r="B1202" s="2" t="s">
        <v>3477</v>
      </c>
      <c r="C1202" s="2" t="s">
        <v>36</v>
      </c>
    </row>
    <row r="1203">
      <c r="A1203" s="2" t="s">
        <v>3478</v>
      </c>
      <c r="B1203" s="2" t="s">
        <v>3479</v>
      </c>
      <c r="C1203" s="2" t="s">
        <v>36</v>
      </c>
    </row>
    <row r="1204">
      <c r="A1204" s="2" t="s">
        <v>3480</v>
      </c>
      <c r="B1204" s="2" t="s">
        <v>3481</v>
      </c>
      <c r="C1204" s="2" t="s">
        <v>36</v>
      </c>
    </row>
    <row r="1205">
      <c r="A1205" s="2" t="s">
        <v>3482</v>
      </c>
      <c r="B1205" s="2" t="s">
        <v>3483</v>
      </c>
      <c r="C1205" s="2" t="s">
        <v>36</v>
      </c>
    </row>
    <row r="1206">
      <c r="A1206" s="2" t="s">
        <v>3484</v>
      </c>
      <c r="B1206" s="2" t="s">
        <v>3485</v>
      </c>
      <c r="C1206" s="2" t="s">
        <v>36</v>
      </c>
    </row>
    <row r="1207">
      <c r="A1207" s="2" t="s">
        <v>3486</v>
      </c>
      <c r="B1207" s="2" t="s">
        <v>3487</v>
      </c>
      <c r="C1207" s="2" t="s">
        <v>36</v>
      </c>
    </row>
    <row r="1208">
      <c r="A1208" s="2" t="s">
        <v>3488</v>
      </c>
      <c r="B1208" s="2" t="s">
        <v>3489</v>
      </c>
      <c r="C1208" s="2" t="s">
        <v>36</v>
      </c>
    </row>
    <row r="1209">
      <c r="A1209" s="2" t="s">
        <v>3490</v>
      </c>
      <c r="B1209" s="2" t="s">
        <v>3491</v>
      </c>
      <c r="C1209" s="2" t="s">
        <v>36</v>
      </c>
    </row>
    <row r="1210">
      <c r="A1210" s="2" t="s">
        <v>3492</v>
      </c>
      <c r="B1210" s="2" t="s">
        <v>3493</v>
      </c>
      <c r="C1210" s="2" t="s">
        <v>36</v>
      </c>
    </row>
    <row r="1211">
      <c r="A1211" s="2" t="s">
        <v>3494</v>
      </c>
      <c r="B1211" s="2" t="s">
        <v>3495</v>
      </c>
      <c r="C1211" s="2" t="s">
        <v>36</v>
      </c>
    </row>
    <row r="1212">
      <c r="A1212" s="2" t="s">
        <v>3496</v>
      </c>
      <c r="B1212" s="2" t="s">
        <v>3497</v>
      </c>
      <c r="C1212" s="2" t="s">
        <v>36</v>
      </c>
    </row>
    <row r="1213">
      <c r="A1213" s="2" t="s">
        <v>3498</v>
      </c>
      <c r="B1213" s="2" t="s">
        <v>3499</v>
      </c>
      <c r="C1213" s="2" t="s">
        <v>36</v>
      </c>
    </row>
    <row r="1214">
      <c r="A1214" s="2" t="s">
        <v>3500</v>
      </c>
      <c r="B1214" s="2" t="s">
        <v>3501</v>
      </c>
      <c r="C1214" s="2" t="s">
        <v>36</v>
      </c>
    </row>
    <row r="1215">
      <c r="A1215" s="2" t="s">
        <v>3502</v>
      </c>
      <c r="B1215" s="2" t="s">
        <v>3503</v>
      </c>
      <c r="C1215" s="2" t="s">
        <v>36</v>
      </c>
    </row>
    <row r="1216">
      <c r="A1216" s="2" t="s">
        <v>3504</v>
      </c>
      <c r="B1216" s="2" t="s">
        <v>3505</v>
      </c>
      <c r="C1216" s="2" t="s">
        <v>36</v>
      </c>
    </row>
    <row r="1217">
      <c r="A1217" s="2" t="s">
        <v>3506</v>
      </c>
      <c r="B1217" s="2" t="s">
        <v>3507</v>
      </c>
      <c r="C1217" s="2" t="s">
        <v>36</v>
      </c>
    </row>
    <row r="1218">
      <c r="A1218" s="2" t="s">
        <v>3508</v>
      </c>
      <c r="B1218" s="2" t="s">
        <v>3509</v>
      </c>
      <c r="C1218" s="2" t="s">
        <v>36</v>
      </c>
    </row>
    <row r="1219">
      <c r="A1219" s="2" t="s">
        <v>3510</v>
      </c>
      <c r="B1219" s="2" t="s">
        <v>3511</v>
      </c>
      <c r="C1219" s="2" t="s">
        <v>36</v>
      </c>
    </row>
    <row r="1220">
      <c r="A1220" s="2" t="s">
        <v>3512</v>
      </c>
      <c r="B1220" s="2" t="s">
        <v>3513</v>
      </c>
      <c r="C1220" s="2" t="s">
        <v>36</v>
      </c>
    </row>
    <row r="1221">
      <c r="A1221" s="2" t="s">
        <v>3514</v>
      </c>
      <c r="B1221" s="2" t="s">
        <v>3515</v>
      </c>
      <c r="C1221" s="2" t="s">
        <v>36</v>
      </c>
    </row>
    <row r="1222">
      <c r="A1222" s="2" t="s">
        <v>3516</v>
      </c>
      <c r="B1222" s="2" t="s">
        <v>3517</v>
      </c>
      <c r="C1222" s="2" t="s">
        <v>36</v>
      </c>
    </row>
    <row r="1223">
      <c r="A1223" s="2" t="s">
        <v>3518</v>
      </c>
      <c r="B1223" s="2" t="s">
        <v>3519</v>
      </c>
      <c r="C1223" s="2" t="s">
        <v>36</v>
      </c>
    </row>
    <row r="1224">
      <c r="A1224" s="2" t="s">
        <v>3520</v>
      </c>
      <c r="B1224" s="2" t="s">
        <v>3521</v>
      </c>
      <c r="C1224" s="2" t="s">
        <v>36</v>
      </c>
    </row>
    <row r="1225">
      <c r="A1225" s="2" t="s">
        <v>3522</v>
      </c>
      <c r="B1225" s="2" t="s">
        <v>3523</v>
      </c>
      <c r="C1225" s="2" t="s">
        <v>36</v>
      </c>
    </row>
    <row r="1226">
      <c r="A1226" s="2" t="s">
        <v>3524</v>
      </c>
      <c r="B1226" s="2" t="s">
        <v>3525</v>
      </c>
      <c r="C1226" s="2" t="s">
        <v>36</v>
      </c>
    </row>
    <row r="1227">
      <c r="A1227" s="2" t="s">
        <v>3526</v>
      </c>
      <c r="B1227" s="2" t="s">
        <v>3527</v>
      </c>
      <c r="C1227" s="2" t="s">
        <v>36</v>
      </c>
    </row>
    <row r="1228">
      <c r="A1228" s="2" t="s">
        <v>3528</v>
      </c>
      <c r="B1228" s="2" t="s">
        <v>3529</v>
      </c>
      <c r="C1228" s="2" t="s">
        <v>36</v>
      </c>
    </row>
    <row r="1229">
      <c r="A1229" s="2" t="s">
        <v>3530</v>
      </c>
      <c r="B1229" s="2" t="s">
        <v>3531</v>
      </c>
      <c r="C1229" s="2" t="s">
        <v>36</v>
      </c>
    </row>
    <row r="1230">
      <c r="A1230" s="2" t="s">
        <v>3532</v>
      </c>
      <c r="B1230" s="2" t="s">
        <v>3533</v>
      </c>
      <c r="C1230" s="2" t="s">
        <v>36</v>
      </c>
    </row>
    <row r="1231">
      <c r="A1231" s="2" t="s">
        <v>3534</v>
      </c>
      <c r="B1231" s="2" t="s">
        <v>3535</v>
      </c>
      <c r="C1231" s="2" t="s">
        <v>36</v>
      </c>
    </row>
    <row r="1232">
      <c r="A1232" s="2" t="s">
        <v>3536</v>
      </c>
      <c r="B1232" s="2" t="s">
        <v>3537</v>
      </c>
      <c r="C1232" s="2" t="s">
        <v>36</v>
      </c>
    </row>
    <row r="1233">
      <c r="A1233" s="2" t="s">
        <v>3538</v>
      </c>
      <c r="B1233" s="2" t="s">
        <v>3539</v>
      </c>
      <c r="C1233" s="2" t="s">
        <v>36</v>
      </c>
    </row>
    <row r="1234">
      <c r="A1234" s="2" t="s">
        <v>3540</v>
      </c>
      <c r="B1234" s="2" t="s">
        <v>3541</v>
      </c>
      <c r="C1234" s="2" t="s">
        <v>36</v>
      </c>
    </row>
    <row r="1235">
      <c r="A1235" s="2" t="s">
        <v>3542</v>
      </c>
      <c r="B1235" s="2" t="s">
        <v>3543</v>
      </c>
      <c r="C1235" s="2" t="s">
        <v>36</v>
      </c>
    </row>
    <row r="1236">
      <c r="A1236" s="2" t="s">
        <v>3544</v>
      </c>
      <c r="B1236" s="2" t="s">
        <v>3545</v>
      </c>
      <c r="C1236" s="2" t="s">
        <v>36</v>
      </c>
    </row>
    <row r="1237">
      <c r="A1237" s="2" t="s">
        <v>3546</v>
      </c>
      <c r="B1237" s="2" t="s">
        <v>3547</v>
      </c>
      <c r="C1237" s="2" t="s">
        <v>36</v>
      </c>
    </row>
    <row r="1238">
      <c r="A1238" s="2" t="s">
        <v>3548</v>
      </c>
      <c r="B1238" s="2" t="s">
        <v>3549</v>
      </c>
      <c r="C1238" s="2" t="s">
        <v>36</v>
      </c>
    </row>
    <row r="1239">
      <c r="A1239" s="2" t="s">
        <v>3550</v>
      </c>
      <c r="B1239" s="2" t="s">
        <v>3551</v>
      </c>
      <c r="C1239" s="2" t="s">
        <v>36</v>
      </c>
    </row>
    <row r="1240">
      <c r="A1240" s="2" t="s">
        <v>3552</v>
      </c>
      <c r="B1240" s="2" t="s">
        <v>3553</v>
      </c>
      <c r="C1240" s="2" t="s">
        <v>36</v>
      </c>
    </row>
    <row r="1241">
      <c r="A1241" s="2" t="s">
        <v>3554</v>
      </c>
      <c r="B1241" s="2" t="s">
        <v>3555</v>
      </c>
      <c r="C1241" s="2" t="s">
        <v>36</v>
      </c>
    </row>
    <row r="1242">
      <c r="A1242" s="2" t="s">
        <v>3556</v>
      </c>
      <c r="B1242" s="2" t="s">
        <v>3557</v>
      </c>
      <c r="C1242" s="2" t="s">
        <v>36</v>
      </c>
    </row>
    <row r="1243">
      <c r="A1243" s="2" t="s">
        <v>3558</v>
      </c>
      <c r="B1243" s="2" t="s">
        <v>3559</v>
      </c>
      <c r="C1243" s="2" t="s">
        <v>36</v>
      </c>
    </row>
    <row r="1244">
      <c r="A1244" s="2" t="s">
        <v>3560</v>
      </c>
      <c r="B1244" s="2" t="s">
        <v>3561</v>
      </c>
      <c r="C1244" s="2" t="s">
        <v>36</v>
      </c>
    </row>
    <row r="1245">
      <c r="A1245" s="2" t="s">
        <v>3562</v>
      </c>
      <c r="B1245" s="2" t="s">
        <v>3563</v>
      </c>
      <c r="C1245" s="2" t="s">
        <v>36</v>
      </c>
    </row>
    <row r="1246">
      <c r="A1246" s="2" t="s">
        <v>92</v>
      </c>
      <c r="B1246" s="2" t="s">
        <v>94</v>
      </c>
      <c r="C1246" s="2" t="s">
        <v>36</v>
      </c>
    </row>
    <row r="1247">
      <c r="A1247" s="2" t="s">
        <v>3564</v>
      </c>
      <c r="B1247" s="2" t="s">
        <v>3565</v>
      </c>
      <c r="C1247" s="2" t="s">
        <v>36</v>
      </c>
    </row>
    <row r="1248">
      <c r="A1248" s="2" t="s">
        <v>3566</v>
      </c>
      <c r="B1248" s="2" t="s">
        <v>3567</v>
      </c>
      <c r="C1248" s="2" t="s">
        <v>36</v>
      </c>
    </row>
    <row r="1249">
      <c r="A1249" s="2" t="s">
        <v>3568</v>
      </c>
      <c r="B1249" s="2" t="s">
        <v>3569</v>
      </c>
      <c r="C1249" s="2" t="s">
        <v>36</v>
      </c>
    </row>
    <row r="1250">
      <c r="A1250" s="2" t="s">
        <v>3570</v>
      </c>
      <c r="B1250" s="2" t="s">
        <v>3571</v>
      </c>
      <c r="C1250" s="2" t="s">
        <v>36</v>
      </c>
    </row>
    <row r="1251">
      <c r="A1251" s="2" t="s">
        <v>3572</v>
      </c>
      <c r="B1251" s="2" t="s">
        <v>3573</v>
      </c>
      <c r="C1251" s="2" t="s">
        <v>36</v>
      </c>
    </row>
    <row r="1252">
      <c r="A1252" s="2" t="s">
        <v>3574</v>
      </c>
      <c r="B1252" s="2" t="s">
        <v>3575</v>
      </c>
      <c r="C1252" s="2" t="s">
        <v>36</v>
      </c>
    </row>
    <row r="1253">
      <c r="A1253" s="2" t="s">
        <v>3576</v>
      </c>
      <c r="B1253" s="2" t="s">
        <v>3577</v>
      </c>
      <c r="C1253" s="2" t="s">
        <v>36</v>
      </c>
    </row>
    <row r="1254">
      <c r="A1254" s="2" t="s">
        <v>3578</v>
      </c>
      <c r="B1254" s="2" t="s">
        <v>3579</v>
      </c>
      <c r="C1254" s="2" t="s">
        <v>36</v>
      </c>
    </row>
    <row r="1255">
      <c r="A1255" s="2" t="s">
        <v>3580</v>
      </c>
      <c r="B1255" s="2" t="s">
        <v>3581</v>
      </c>
      <c r="C1255" s="2" t="s">
        <v>36</v>
      </c>
    </row>
    <row r="1256">
      <c r="A1256" s="2" t="s">
        <v>3582</v>
      </c>
      <c r="B1256" s="2" t="s">
        <v>3583</v>
      </c>
      <c r="C1256" s="2" t="s">
        <v>36</v>
      </c>
    </row>
    <row r="1257">
      <c r="A1257" s="2" t="s">
        <v>3584</v>
      </c>
      <c r="B1257" s="2" t="s">
        <v>3585</v>
      </c>
      <c r="C1257" s="2" t="s">
        <v>36</v>
      </c>
    </row>
    <row r="1258">
      <c r="A1258" s="2" t="s">
        <v>3586</v>
      </c>
      <c r="B1258" s="2" t="s">
        <v>3587</v>
      </c>
      <c r="C1258" s="2" t="s">
        <v>36</v>
      </c>
    </row>
    <row r="1259">
      <c r="A1259" s="2" t="s">
        <v>3588</v>
      </c>
      <c r="B1259" s="2" t="s">
        <v>3589</v>
      </c>
      <c r="C1259" s="2" t="s">
        <v>36</v>
      </c>
    </row>
    <row r="1260">
      <c r="A1260" s="2" t="s">
        <v>3590</v>
      </c>
      <c r="B1260" s="2" t="s">
        <v>3591</v>
      </c>
      <c r="C1260" s="2" t="s">
        <v>36</v>
      </c>
    </row>
    <row r="1261">
      <c r="A1261" s="2" t="s">
        <v>3592</v>
      </c>
      <c r="B1261" s="2" t="s">
        <v>3593</v>
      </c>
      <c r="C1261" s="2" t="s">
        <v>36</v>
      </c>
    </row>
    <row r="1262">
      <c r="A1262" s="2" t="s">
        <v>3594</v>
      </c>
      <c r="B1262" s="2" t="s">
        <v>3595</v>
      </c>
      <c r="C1262" s="2" t="s">
        <v>36</v>
      </c>
    </row>
    <row r="1263">
      <c r="A1263" s="2" t="s">
        <v>3596</v>
      </c>
      <c r="B1263" s="2" t="s">
        <v>3597</v>
      </c>
      <c r="C1263" s="2" t="s">
        <v>36</v>
      </c>
    </row>
    <row r="1264">
      <c r="A1264" s="2" t="s">
        <v>3598</v>
      </c>
      <c r="B1264" s="2" t="s">
        <v>3599</v>
      </c>
      <c r="C1264" s="2" t="s">
        <v>36</v>
      </c>
    </row>
    <row r="1265">
      <c r="A1265" s="2" t="s">
        <v>3600</v>
      </c>
      <c r="B1265" s="2" t="s">
        <v>3601</v>
      </c>
      <c r="C1265" s="2" t="s">
        <v>36</v>
      </c>
    </row>
    <row r="1266">
      <c r="A1266" s="2" t="s">
        <v>3602</v>
      </c>
      <c r="B1266" s="2" t="s">
        <v>3603</v>
      </c>
      <c r="C1266" s="2" t="s">
        <v>36</v>
      </c>
    </row>
    <row r="1267">
      <c r="A1267" s="2" t="s">
        <v>3604</v>
      </c>
      <c r="B1267" s="2" t="s">
        <v>3605</v>
      </c>
      <c r="C1267" s="2" t="s">
        <v>36</v>
      </c>
    </row>
    <row r="1268">
      <c r="A1268" s="2" t="s">
        <v>3606</v>
      </c>
      <c r="B1268" s="2" t="s">
        <v>3607</v>
      </c>
      <c r="C1268" s="2" t="s">
        <v>36</v>
      </c>
    </row>
    <row r="1269">
      <c r="A1269" s="2" t="s">
        <v>3608</v>
      </c>
      <c r="B1269" s="2" t="s">
        <v>3609</v>
      </c>
      <c r="C1269" s="2" t="s">
        <v>36</v>
      </c>
    </row>
    <row r="1270">
      <c r="A1270" s="2" t="s">
        <v>3610</v>
      </c>
      <c r="B1270" s="2" t="s">
        <v>3611</v>
      </c>
      <c r="C1270" s="2" t="s">
        <v>36</v>
      </c>
    </row>
    <row r="1271">
      <c r="A1271" s="2" t="s">
        <v>3612</v>
      </c>
      <c r="B1271" s="2" t="s">
        <v>3613</v>
      </c>
      <c r="C1271" s="2" t="s">
        <v>36</v>
      </c>
    </row>
    <row r="1272">
      <c r="A1272" s="2" t="s">
        <v>3614</v>
      </c>
      <c r="B1272" s="2" t="s">
        <v>3615</v>
      </c>
      <c r="C1272" s="2" t="s">
        <v>36</v>
      </c>
    </row>
    <row r="1273">
      <c r="A1273" s="2" t="s">
        <v>3616</v>
      </c>
      <c r="B1273" s="2" t="s">
        <v>3617</v>
      </c>
      <c r="C1273" s="2" t="s">
        <v>36</v>
      </c>
    </row>
    <row r="1274">
      <c r="A1274" s="2" t="s">
        <v>3618</v>
      </c>
      <c r="B1274" s="2" t="s">
        <v>3619</v>
      </c>
      <c r="C1274" s="2" t="s">
        <v>36</v>
      </c>
    </row>
    <row r="1275">
      <c r="A1275" s="2" t="s">
        <v>3620</v>
      </c>
      <c r="B1275" s="2" t="s">
        <v>3621</v>
      </c>
      <c r="C1275" s="2" t="s">
        <v>36</v>
      </c>
    </row>
    <row r="1276">
      <c r="A1276" s="2" t="s">
        <v>3622</v>
      </c>
      <c r="B1276" s="2" t="s">
        <v>3623</v>
      </c>
      <c r="C1276" s="2" t="s">
        <v>36</v>
      </c>
    </row>
    <row r="1277">
      <c r="A1277" s="2" t="s">
        <v>3624</v>
      </c>
      <c r="B1277" s="2" t="s">
        <v>3625</v>
      </c>
      <c r="C1277" s="2" t="s">
        <v>36</v>
      </c>
    </row>
    <row r="1278">
      <c r="A1278" s="2" t="s">
        <v>3626</v>
      </c>
      <c r="B1278" s="2" t="s">
        <v>3627</v>
      </c>
      <c r="C1278" s="2" t="s">
        <v>36</v>
      </c>
    </row>
    <row r="1279">
      <c r="A1279" s="2" t="s">
        <v>3628</v>
      </c>
      <c r="B1279" s="2" t="s">
        <v>3629</v>
      </c>
      <c r="C1279" s="2" t="s">
        <v>36</v>
      </c>
    </row>
    <row r="1280">
      <c r="A1280" s="2" t="s">
        <v>3630</v>
      </c>
      <c r="B1280" s="2" t="s">
        <v>3631</v>
      </c>
      <c r="C1280" s="2" t="s">
        <v>36</v>
      </c>
    </row>
    <row r="1281">
      <c r="A1281" s="2" t="s">
        <v>3632</v>
      </c>
      <c r="B1281" s="2" t="s">
        <v>3633</v>
      </c>
      <c r="C1281" s="2" t="s">
        <v>36</v>
      </c>
    </row>
    <row r="1282">
      <c r="A1282" s="2" t="s">
        <v>3634</v>
      </c>
      <c r="B1282" s="2" t="s">
        <v>3635</v>
      </c>
      <c r="C1282" s="2" t="s">
        <v>36</v>
      </c>
    </row>
    <row r="1283">
      <c r="A1283" s="2" t="s">
        <v>3636</v>
      </c>
      <c r="B1283" s="2" t="s">
        <v>3637</v>
      </c>
      <c r="C1283" s="2" t="s">
        <v>36</v>
      </c>
    </row>
    <row r="1284">
      <c r="A1284" s="2" t="s">
        <v>3638</v>
      </c>
      <c r="B1284" s="2" t="s">
        <v>3639</v>
      </c>
      <c r="C1284" s="2" t="s">
        <v>36</v>
      </c>
    </row>
    <row r="1285">
      <c r="A1285" s="2" t="s">
        <v>3640</v>
      </c>
      <c r="B1285" s="2" t="s">
        <v>3641</v>
      </c>
      <c r="C1285" s="2" t="s">
        <v>36</v>
      </c>
    </row>
    <row r="1286">
      <c r="A1286" s="2" t="s">
        <v>3642</v>
      </c>
      <c r="B1286" s="2" t="s">
        <v>3643</v>
      </c>
      <c r="C1286" s="2" t="s">
        <v>36</v>
      </c>
    </row>
    <row r="1287">
      <c r="A1287" s="2" t="s">
        <v>3644</v>
      </c>
      <c r="B1287" s="2" t="s">
        <v>3645</v>
      </c>
      <c r="C1287" s="2" t="s">
        <v>36</v>
      </c>
    </row>
    <row r="1288">
      <c r="A1288" s="2" t="s">
        <v>3646</v>
      </c>
      <c r="B1288" s="2" t="s">
        <v>3647</v>
      </c>
      <c r="C1288" s="2" t="s">
        <v>36</v>
      </c>
    </row>
    <row r="1289">
      <c r="A1289" s="2" t="s">
        <v>3648</v>
      </c>
      <c r="B1289" s="2" t="s">
        <v>3649</v>
      </c>
      <c r="C1289" s="2" t="s">
        <v>36</v>
      </c>
    </row>
    <row r="1290">
      <c r="A1290" s="2" t="s">
        <v>3650</v>
      </c>
      <c r="B1290" s="2" t="s">
        <v>3651</v>
      </c>
      <c r="C1290" s="2" t="s">
        <v>36</v>
      </c>
    </row>
    <row r="1291">
      <c r="A1291" s="2" t="s">
        <v>3652</v>
      </c>
      <c r="B1291" s="2" t="s">
        <v>3653</v>
      </c>
      <c r="C1291" s="2" t="s">
        <v>36</v>
      </c>
    </row>
    <row r="1292">
      <c r="A1292" s="2" t="s">
        <v>3654</v>
      </c>
      <c r="B1292" s="2" t="s">
        <v>3655</v>
      </c>
      <c r="C1292" s="2" t="s">
        <v>36</v>
      </c>
    </row>
    <row r="1293">
      <c r="A1293" s="2" t="s">
        <v>3656</v>
      </c>
      <c r="B1293" s="2" t="s">
        <v>3657</v>
      </c>
      <c r="C1293" s="2" t="s">
        <v>36</v>
      </c>
    </row>
    <row r="1294">
      <c r="A1294" s="2" t="s">
        <v>3658</v>
      </c>
      <c r="B1294" s="2" t="s">
        <v>3659</v>
      </c>
      <c r="C1294" s="2" t="s">
        <v>36</v>
      </c>
    </row>
    <row r="1295">
      <c r="A1295" s="2" t="s">
        <v>3660</v>
      </c>
      <c r="B1295" s="2" t="s">
        <v>3661</v>
      </c>
      <c r="C1295" s="2" t="s">
        <v>36</v>
      </c>
    </row>
    <row r="1296">
      <c r="A1296" s="2" t="s">
        <v>3662</v>
      </c>
      <c r="B1296" s="2" t="s">
        <v>3663</v>
      </c>
      <c r="C1296" s="2" t="s">
        <v>36</v>
      </c>
    </row>
    <row r="1297">
      <c r="A1297" s="2" t="s">
        <v>3664</v>
      </c>
      <c r="B1297" s="2" t="s">
        <v>3665</v>
      </c>
      <c r="C1297" s="2" t="s">
        <v>36</v>
      </c>
    </row>
    <row r="1298">
      <c r="A1298" s="2" t="s">
        <v>3666</v>
      </c>
      <c r="B1298" s="2" t="s">
        <v>3667</v>
      </c>
      <c r="C1298" s="2" t="s">
        <v>36</v>
      </c>
    </row>
    <row r="1299">
      <c r="A1299" s="2" t="s">
        <v>3668</v>
      </c>
      <c r="B1299" s="2" t="s">
        <v>3669</v>
      </c>
      <c r="C1299" s="2" t="s">
        <v>36</v>
      </c>
    </row>
    <row r="1300">
      <c r="A1300" s="2" t="s">
        <v>3670</v>
      </c>
      <c r="B1300" s="2" t="s">
        <v>3671</v>
      </c>
      <c r="C1300" s="2" t="s">
        <v>36</v>
      </c>
    </row>
    <row r="1301">
      <c r="A1301" s="2" t="s">
        <v>3672</v>
      </c>
      <c r="B1301" s="2" t="s">
        <v>3673</v>
      </c>
      <c r="C1301" s="2" t="s">
        <v>36</v>
      </c>
    </row>
    <row r="1302">
      <c r="A1302" s="2" t="s">
        <v>3674</v>
      </c>
      <c r="B1302" s="2" t="s">
        <v>3675</v>
      </c>
      <c r="C1302" s="2" t="s">
        <v>36</v>
      </c>
    </row>
    <row r="1303">
      <c r="A1303" s="2" t="s">
        <v>3676</v>
      </c>
      <c r="B1303" s="2" t="s">
        <v>3677</v>
      </c>
      <c r="C1303" s="2" t="s">
        <v>36</v>
      </c>
    </row>
    <row r="1304">
      <c r="A1304" s="2" t="s">
        <v>3678</v>
      </c>
      <c r="B1304" s="2" t="s">
        <v>3679</v>
      </c>
      <c r="C1304" s="2" t="s">
        <v>36</v>
      </c>
    </row>
    <row r="1305">
      <c r="A1305" s="2" t="s">
        <v>3680</v>
      </c>
      <c r="B1305" s="2" t="s">
        <v>3681</v>
      </c>
      <c r="C1305" s="2" t="s">
        <v>36</v>
      </c>
    </row>
    <row r="1306">
      <c r="A1306" s="2" t="s">
        <v>3682</v>
      </c>
      <c r="B1306" s="2" t="s">
        <v>3683</v>
      </c>
      <c r="C1306" s="2" t="s">
        <v>36</v>
      </c>
    </row>
    <row r="1307">
      <c r="A1307" s="2" t="s">
        <v>3684</v>
      </c>
      <c r="B1307" s="2" t="s">
        <v>3685</v>
      </c>
      <c r="C1307" s="2" t="s">
        <v>36</v>
      </c>
    </row>
    <row r="1308">
      <c r="A1308" s="2" t="s">
        <v>3686</v>
      </c>
      <c r="B1308" s="2" t="s">
        <v>3687</v>
      </c>
      <c r="C1308" s="2" t="s">
        <v>36</v>
      </c>
    </row>
    <row r="1309">
      <c r="A1309" s="2" t="s">
        <v>3688</v>
      </c>
      <c r="B1309" s="2" t="s">
        <v>3689</v>
      </c>
      <c r="C1309" s="2" t="s">
        <v>36</v>
      </c>
    </row>
    <row r="1310">
      <c r="A1310" s="2" t="s">
        <v>3690</v>
      </c>
      <c r="B1310" s="2" t="s">
        <v>3691</v>
      </c>
      <c r="C1310" s="2" t="s">
        <v>36</v>
      </c>
    </row>
    <row r="1311">
      <c r="A1311" s="2" t="s">
        <v>3692</v>
      </c>
      <c r="B1311" s="2" t="s">
        <v>3693</v>
      </c>
      <c r="C1311" s="2" t="s">
        <v>36</v>
      </c>
    </row>
    <row r="1312">
      <c r="A1312" s="2" t="s">
        <v>3694</v>
      </c>
      <c r="B1312" s="2" t="s">
        <v>3695</v>
      </c>
      <c r="C1312" s="2" t="s">
        <v>36</v>
      </c>
    </row>
    <row r="1313">
      <c r="A1313" s="2" t="s">
        <v>3696</v>
      </c>
      <c r="B1313" s="2" t="s">
        <v>3697</v>
      </c>
      <c r="C1313" s="2" t="s">
        <v>36</v>
      </c>
    </row>
    <row r="1314">
      <c r="A1314" s="2" t="s">
        <v>3698</v>
      </c>
      <c r="B1314" s="2" t="s">
        <v>3699</v>
      </c>
      <c r="C1314" s="2" t="s">
        <v>36</v>
      </c>
    </row>
    <row r="1315">
      <c r="A1315" s="2" t="s">
        <v>3700</v>
      </c>
      <c r="B1315" s="2" t="s">
        <v>3701</v>
      </c>
      <c r="C1315" s="2" t="s">
        <v>36</v>
      </c>
    </row>
    <row r="1316">
      <c r="A1316" s="2" t="s">
        <v>3702</v>
      </c>
      <c r="B1316" s="2" t="s">
        <v>3703</v>
      </c>
      <c r="C1316" s="2" t="s">
        <v>36</v>
      </c>
    </row>
    <row r="1317">
      <c r="A1317" s="2" t="s">
        <v>3704</v>
      </c>
      <c r="B1317" s="2" t="s">
        <v>3705</v>
      </c>
      <c r="C1317" s="2" t="s">
        <v>36</v>
      </c>
    </row>
    <row r="1318">
      <c r="A1318" s="2" t="s">
        <v>3706</v>
      </c>
      <c r="B1318" s="2" t="s">
        <v>3707</v>
      </c>
      <c r="C1318" s="2" t="s">
        <v>36</v>
      </c>
    </row>
    <row r="1319">
      <c r="A1319" s="2" t="s">
        <v>3708</v>
      </c>
      <c r="B1319" s="2" t="s">
        <v>3709</v>
      </c>
      <c r="C1319" s="2" t="s">
        <v>36</v>
      </c>
    </row>
    <row r="1320">
      <c r="A1320" s="2" t="s">
        <v>3710</v>
      </c>
      <c r="B1320" s="2" t="s">
        <v>3711</v>
      </c>
      <c r="C1320" s="2" t="s">
        <v>36</v>
      </c>
    </row>
    <row r="1321">
      <c r="A1321" s="2" t="s">
        <v>3712</v>
      </c>
      <c r="B1321" s="2" t="s">
        <v>3713</v>
      </c>
      <c r="C1321" s="2" t="s">
        <v>36</v>
      </c>
    </row>
    <row r="1322">
      <c r="A1322" s="2" t="s">
        <v>3714</v>
      </c>
      <c r="B1322" s="2" t="s">
        <v>3715</v>
      </c>
      <c r="C1322" s="2" t="s">
        <v>36</v>
      </c>
    </row>
    <row r="1323">
      <c r="A1323" s="2" t="s">
        <v>3716</v>
      </c>
      <c r="B1323" s="2" t="s">
        <v>3717</v>
      </c>
      <c r="C1323" s="2" t="s">
        <v>36</v>
      </c>
    </row>
    <row r="1324">
      <c r="A1324" s="2" t="s">
        <v>3718</v>
      </c>
      <c r="B1324" s="2" t="s">
        <v>3719</v>
      </c>
      <c r="C1324" s="2" t="s">
        <v>36</v>
      </c>
    </row>
    <row r="1325">
      <c r="A1325" s="2" t="s">
        <v>3720</v>
      </c>
      <c r="B1325" s="2" t="s">
        <v>3721</v>
      </c>
      <c r="C1325" s="2" t="s">
        <v>36</v>
      </c>
    </row>
    <row r="1326">
      <c r="A1326" s="2" t="s">
        <v>3722</v>
      </c>
      <c r="B1326" s="2" t="s">
        <v>3723</v>
      </c>
      <c r="C1326" s="2" t="s">
        <v>36</v>
      </c>
    </row>
    <row r="1327">
      <c r="A1327" s="2" t="s">
        <v>3724</v>
      </c>
      <c r="B1327" s="2" t="s">
        <v>3725</v>
      </c>
      <c r="C1327" s="2" t="s">
        <v>36</v>
      </c>
    </row>
    <row r="1328">
      <c r="A1328" s="2" t="s">
        <v>3726</v>
      </c>
      <c r="B1328" s="2" t="s">
        <v>3727</v>
      </c>
      <c r="C1328" s="2" t="s">
        <v>36</v>
      </c>
    </row>
    <row r="1329">
      <c r="A1329" s="2" t="s">
        <v>3728</v>
      </c>
      <c r="B1329" s="2" t="s">
        <v>3729</v>
      </c>
      <c r="C1329" s="2" t="s">
        <v>36</v>
      </c>
    </row>
    <row r="1330">
      <c r="A1330" s="2" t="s">
        <v>3730</v>
      </c>
      <c r="B1330" s="2" t="s">
        <v>3731</v>
      </c>
      <c r="C1330" s="2" t="s">
        <v>36</v>
      </c>
    </row>
    <row r="1331">
      <c r="A1331" s="2" t="s">
        <v>3732</v>
      </c>
      <c r="B1331" s="2" t="s">
        <v>3733</v>
      </c>
      <c r="C1331" s="2" t="s">
        <v>36</v>
      </c>
    </row>
    <row r="1332">
      <c r="A1332" s="2" t="s">
        <v>3734</v>
      </c>
      <c r="B1332" s="2" t="s">
        <v>3735</v>
      </c>
      <c r="C1332" s="2" t="s">
        <v>36</v>
      </c>
    </row>
    <row r="1333">
      <c r="A1333" s="2" t="s">
        <v>3736</v>
      </c>
      <c r="B1333" s="2" t="s">
        <v>3737</v>
      </c>
      <c r="C1333" s="2" t="s">
        <v>36</v>
      </c>
    </row>
    <row r="1334">
      <c r="A1334" s="2" t="s">
        <v>3738</v>
      </c>
      <c r="B1334" s="2" t="s">
        <v>3739</v>
      </c>
      <c r="C1334" s="2" t="s">
        <v>36</v>
      </c>
    </row>
    <row r="1335">
      <c r="A1335" s="2" t="s">
        <v>3740</v>
      </c>
      <c r="B1335" s="2" t="s">
        <v>3741</v>
      </c>
      <c r="C1335" s="2" t="s">
        <v>36</v>
      </c>
    </row>
    <row r="1336">
      <c r="A1336" s="2" t="s">
        <v>3742</v>
      </c>
      <c r="B1336" s="2" t="s">
        <v>3743</v>
      </c>
      <c r="C1336" s="2" t="s">
        <v>36</v>
      </c>
    </row>
    <row r="1337">
      <c r="A1337" s="2" t="s">
        <v>3744</v>
      </c>
      <c r="B1337" s="2" t="s">
        <v>3745</v>
      </c>
      <c r="C1337" s="2" t="s">
        <v>36</v>
      </c>
    </row>
    <row r="1338">
      <c r="A1338" s="2" t="s">
        <v>3746</v>
      </c>
      <c r="B1338" s="2" t="s">
        <v>3747</v>
      </c>
      <c r="C1338" s="2" t="s">
        <v>36</v>
      </c>
    </row>
    <row r="1339">
      <c r="A1339" s="2" t="s">
        <v>3748</v>
      </c>
      <c r="B1339" s="2" t="s">
        <v>3749</v>
      </c>
      <c r="C1339" s="2" t="s">
        <v>36</v>
      </c>
    </row>
    <row r="1340">
      <c r="A1340" s="2" t="s">
        <v>3750</v>
      </c>
      <c r="B1340" s="2" t="s">
        <v>3751</v>
      </c>
      <c r="C1340" s="2" t="s">
        <v>36</v>
      </c>
    </row>
    <row r="1341">
      <c r="A1341" s="2" t="s">
        <v>3752</v>
      </c>
      <c r="B1341" s="2" t="s">
        <v>3753</v>
      </c>
      <c r="C1341" s="2" t="s">
        <v>36</v>
      </c>
    </row>
    <row r="1342">
      <c r="A1342" s="2" t="s">
        <v>3754</v>
      </c>
      <c r="B1342" s="2" t="s">
        <v>3755</v>
      </c>
      <c r="C1342" s="2" t="s">
        <v>36</v>
      </c>
    </row>
    <row r="1343">
      <c r="A1343" s="2" t="s">
        <v>3756</v>
      </c>
      <c r="B1343" s="2" t="s">
        <v>3757</v>
      </c>
      <c r="C1343" s="2" t="s">
        <v>36</v>
      </c>
    </row>
    <row r="1344">
      <c r="A1344" s="2" t="s">
        <v>3758</v>
      </c>
      <c r="B1344" s="2" t="s">
        <v>3759</v>
      </c>
      <c r="C1344" s="2" t="s">
        <v>36</v>
      </c>
    </row>
    <row r="1345">
      <c r="A1345" s="2" t="s">
        <v>3760</v>
      </c>
      <c r="B1345" s="2" t="s">
        <v>3761</v>
      </c>
      <c r="C1345" s="2" t="s">
        <v>36</v>
      </c>
    </row>
    <row r="1346">
      <c r="A1346" s="2" t="s">
        <v>3762</v>
      </c>
      <c r="B1346" s="2" t="s">
        <v>3763</v>
      </c>
      <c r="C1346" s="2" t="s">
        <v>36</v>
      </c>
    </row>
    <row r="1347">
      <c r="A1347" s="2" t="s">
        <v>3764</v>
      </c>
      <c r="B1347" s="2" t="s">
        <v>3765</v>
      </c>
      <c r="C1347" s="2" t="s">
        <v>36</v>
      </c>
    </row>
    <row r="1348">
      <c r="A1348" s="2" t="s">
        <v>3766</v>
      </c>
      <c r="B1348" s="2" t="s">
        <v>3767</v>
      </c>
      <c r="C1348" s="2" t="s">
        <v>36</v>
      </c>
    </row>
    <row r="1349">
      <c r="A1349" s="2" t="s">
        <v>3768</v>
      </c>
      <c r="B1349" s="2" t="s">
        <v>3769</v>
      </c>
      <c r="C1349" s="2" t="s">
        <v>36</v>
      </c>
    </row>
    <row r="1350">
      <c r="A1350" s="2" t="s">
        <v>3770</v>
      </c>
      <c r="B1350" s="2" t="s">
        <v>3771</v>
      </c>
      <c r="C1350" s="2" t="s">
        <v>36</v>
      </c>
    </row>
    <row r="1351">
      <c r="A1351" s="2" t="s">
        <v>3772</v>
      </c>
      <c r="B1351" s="2" t="s">
        <v>3773</v>
      </c>
      <c r="C1351" s="2" t="s">
        <v>36</v>
      </c>
    </row>
    <row r="1352">
      <c r="A1352" s="2" t="s">
        <v>3774</v>
      </c>
      <c r="B1352" s="2" t="s">
        <v>3775</v>
      </c>
      <c r="C1352" s="2" t="s">
        <v>36</v>
      </c>
    </row>
    <row r="1353">
      <c r="A1353" s="2" t="s">
        <v>3776</v>
      </c>
      <c r="B1353" s="2" t="s">
        <v>3777</v>
      </c>
      <c r="C1353" s="2" t="s">
        <v>36</v>
      </c>
    </row>
    <row r="1354">
      <c r="A1354" s="2" t="s">
        <v>3778</v>
      </c>
      <c r="B1354" s="2" t="s">
        <v>3779</v>
      </c>
      <c r="C1354" s="2" t="s">
        <v>36</v>
      </c>
    </row>
    <row r="1355">
      <c r="A1355" s="2" t="s">
        <v>3780</v>
      </c>
      <c r="B1355" s="2" t="s">
        <v>3781</v>
      </c>
      <c r="C1355" s="2" t="s">
        <v>36</v>
      </c>
    </row>
    <row r="1356">
      <c r="A1356" s="2" t="s">
        <v>3782</v>
      </c>
      <c r="B1356" s="2" t="s">
        <v>3783</v>
      </c>
      <c r="C1356" s="2" t="s">
        <v>36</v>
      </c>
    </row>
    <row r="1357">
      <c r="A1357" s="2" t="s">
        <v>3784</v>
      </c>
      <c r="B1357" s="2" t="s">
        <v>3785</v>
      </c>
      <c r="C1357" s="2" t="s">
        <v>36</v>
      </c>
    </row>
    <row r="1358">
      <c r="A1358" s="2" t="s">
        <v>3786</v>
      </c>
      <c r="B1358" s="2" t="s">
        <v>3787</v>
      </c>
      <c r="C1358" s="2" t="s">
        <v>36</v>
      </c>
    </row>
    <row r="1359">
      <c r="A1359" s="2" t="s">
        <v>3788</v>
      </c>
      <c r="B1359" s="2" t="s">
        <v>3789</v>
      </c>
      <c r="C1359" s="2" t="s">
        <v>36</v>
      </c>
    </row>
    <row r="1360">
      <c r="A1360" s="2" t="s">
        <v>3790</v>
      </c>
      <c r="B1360" s="2" t="s">
        <v>3791</v>
      </c>
      <c r="C1360" s="2" t="s">
        <v>36</v>
      </c>
    </row>
    <row r="1361">
      <c r="A1361" s="2" t="s">
        <v>3792</v>
      </c>
      <c r="B1361" s="2" t="s">
        <v>3793</v>
      </c>
      <c r="C1361" s="2" t="s">
        <v>36</v>
      </c>
    </row>
    <row r="1362">
      <c r="A1362" s="2" t="s">
        <v>3794</v>
      </c>
      <c r="B1362" s="2" t="s">
        <v>3795</v>
      </c>
      <c r="C1362" s="2" t="s">
        <v>36</v>
      </c>
    </row>
    <row r="1363">
      <c r="A1363" s="2" t="s">
        <v>3796</v>
      </c>
      <c r="B1363" s="2" t="s">
        <v>3797</v>
      </c>
      <c r="C1363" s="2" t="s">
        <v>36</v>
      </c>
    </row>
    <row r="1364">
      <c r="A1364" s="2" t="s">
        <v>3798</v>
      </c>
      <c r="B1364" s="2" t="s">
        <v>3799</v>
      </c>
      <c r="C1364" s="2" t="s">
        <v>36</v>
      </c>
    </row>
    <row r="1365">
      <c r="A1365" s="2" t="s">
        <v>3800</v>
      </c>
      <c r="B1365" s="2" t="s">
        <v>3801</v>
      </c>
      <c r="C1365" s="2" t="s">
        <v>36</v>
      </c>
    </row>
    <row r="1366">
      <c r="A1366" s="2" t="s">
        <v>3802</v>
      </c>
      <c r="B1366" s="2" t="s">
        <v>3803</v>
      </c>
      <c r="C1366" s="2" t="s">
        <v>36</v>
      </c>
    </row>
    <row r="1367">
      <c r="A1367" s="2" t="s">
        <v>3804</v>
      </c>
      <c r="B1367" s="2" t="s">
        <v>3805</v>
      </c>
      <c r="C1367" s="2" t="s">
        <v>36</v>
      </c>
    </row>
    <row r="1368">
      <c r="A1368" s="2" t="s">
        <v>3806</v>
      </c>
      <c r="B1368" s="2" t="s">
        <v>3807</v>
      </c>
      <c r="C1368" s="2" t="s">
        <v>36</v>
      </c>
    </row>
    <row r="1369">
      <c r="A1369" s="2" t="s">
        <v>3808</v>
      </c>
      <c r="B1369" s="2" t="s">
        <v>3809</v>
      </c>
      <c r="C1369" s="2" t="s">
        <v>36</v>
      </c>
    </row>
    <row r="1370">
      <c r="A1370" s="2" t="s">
        <v>3810</v>
      </c>
      <c r="B1370" s="2" t="s">
        <v>3811</v>
      </c>
      <c r="C1370" s="2" t="s">
        <v>36</v>
      </c>
    </row>
    <row r="1371">
      <c r="A1371" s="2" t="s">
        <v>3812</v>
      </c>
      <c r="B1371" s="2" t="s">
        <v>3813</v>
      </c>
      <c r="C1371" s="2" t="s">
        <v>36</v>
      </c>
    </row>
    <row r="1372">
      <c r="A1372" s="2" t="s">
        <v>3814</v>
      </c>
      <c r="B1372" s="2" t="s">
        <v>3815</v>
      </c>
      <c r="C1372" s="2" t="s">
        <v>36</v>
      </c>
    </row>
    <row r="1373">
      <c r="A1373" s="2" t="s">
        <v>3816</v>
      </c>
      <c r="B1373" s="2" t="s">
        <v>3817</v>
      </c>
      <c r="C1373" s="2" t="s">
        <v>36</v>
      </c>
    </row>
    <row r="1374">
      <c r="A1374" s="2" t="s">
        <v>3818</v>
      </c>
      <c r="B1374" s="2" t="s">
        <v>3819</v>
      </c>
      <c r="C1374" s="2" t="s">
        <v>36</v>
      </c>
    </row>
    <row r="1375">
      <c r="A1375" s="2" t="s">
        <v>3820</v>
      </c>
      <c r="B1375" s="2" t="s">
        <v>3821</v>
      </c>
      <c r="C1375" s="2" t="s">
        <v>36</v>
      </c>
    </row>
    <row r="1376">
      <c r="A1376" s="2" t="s">
        <v>3822</v>
      </c>
      <c r="B1376" s="2" t="s">
        <v>3823</v>
      </c>
      <c r="C1376" s="2" t="s">
        <v>36</v>
      </c>
    </row>
    <row r="1377">
      <c r="A1377" s="2" t="s">
        <v>3824</v>
      </c>
      <c r="B1377" s="2" t="s">
        <v>3825</v>
      </c>
      <c r="C1377" s="2" t="s">
        <v>36</v>
      </c>
    </row>
    <row r="1378">
      <c r="A1378" s="2" t="s">
        <v>3826</v>
      </c>
      <c r="B1378" s="2" t="s">
        <v>3827</v>
      </c>
      <c r="C1378" s="2" t="s">
        <v>36</v>
      </c>
    </row>
    <row r="1379">
      <c r="A1379" s="2" t="s">
        <v>3828</v>
      </c>
      <c r="B1379" s="2" t="s">
        <v>3829</v>
      </c>
      <c r="C1379" s="2" t="s">
        <v>36</v>
      </c>
    </row>
    <row r="1380">
      <c r="A1380" s="2" t="s">
        <v>3830</v>
      </c>
      <c r="B1380" s="2" t="s">
        <v>3831</v>
      </c>
      <c r="C1380" s="2" t="s">
        <v>36</v>
      </c>
    </row>
    <row r="1381">
      <c r="A1381" s="2" t="s">
        <v>3832</v>
      </c>
      <c r="B1381" s="2" t="s">
        <v>3833</v>
      </c>
      <c r="C1381" s="2" t="s">
        <v>36</v>
      </c>
    </row>
    <row r="1382">
      <c r="A1382" s="2" t="s">
        <v>3834</v>
      </c>
      <c r="B1382" s="2" t="s">
        <v>3835</v>
      </c>
      <c r="C1382" s="2" t="s">
        <v>36</v>
      </c>
    </row>
    <row r="1383">
      <c r="A1383" s="2" t="s">
        <v>3836</v>
      </c>
      <c r="B1383" s="2" t="s">
        <v>3837</v>
      </c>
      <c r="C1383" s="2" t="s">
        <v>36</v>
      </c>
    </row>
    <row r="1384">
      <c r="A1384" s="2" t="s">
        <v>3838</v>
      </c>
      <c r="B1384" s="2" t="s">
        <v>3839</v>
      </c>
      <c r="C1384" s="2" t="s">
        <v>36</v>
      </c>
    </row>
    <row r="1385">
      <c r="A1385" s="2" t="s">
        <v>3840</v>
      </c>
      <c r="B1385" s="2" t="s">
        <v>3841</v>
      </c>
      <c r="C1385" s="2" t="s">
        <v>36</v>
      </c>
    </row>
    <row r="1386">
      <c r="A1386" s="2" t="s">
        <v>3842</v>
      </c>
      <c r="B1386" s="2" t="s">
        <v>3843</v>
      </c>
      <c r="C1386" s="2" t="s">
        <v>36</v>
      </c>
    </row>
    <row r="1387">
      <c r="A1387" s="2" t="s">
        <v>3844</v>
      </c>
      <c r="B1387" s="2" t="s">
        <v>3845</v>
      </c>
      <c r="C1387" s="2" t="s">
        <v>36</v>
      </c>
    </row>
    <row r="1388">
      <c r="A1388" s="2" t="s">
        <v>3846</v>
      </c>
      <c r="B1388" s="2" t="s">
        <v>3847</v>
      </c>
      <c r="C1388" s="2" t="s">
        <v>36</v>
      </c>
    </row>
    <row r="1389">
      <c r="A1389" s="2" t="s">
        <v>3848</v>
      </c>
      <c r="B1389" s="2" t="s">
        <v>3849</v>
      </c>
      <c r="C1389" s="2" t="s">
        <v>36</v>
      </c>
    </row>
    <row r="1390">
      <c r="A1390" s="2" t="s">
        <v>3850</v>
      </c>
      <c r="B1390" s="2" t="s">
        <v>3851</v>
      </c>
      <c r="C1390" s="2" t="s">
        <v>36</v>
      </c>
    </row>
    <row r="1391">
      <c r="A1391" s="2" t="s">
        <v>3852</v>
      </c>
      <c r="B1391" s="2" t="s">
        <v>3853</v>
      </c>
      <c r="C1391" s="2" t="s">
        <v>36</v>
      </c>
    </row>
    <row r="1392">
      <c r="A1392" s="2" t="s">
        <v>3854</v>
      </c>
      <c r="B1392" s="2" t="s">
        <v>3855</v>
      </c>
      <c r="C1392" s="2" t="s">
        <v>36</v>
      </c>
    </row>
    <row r="1393">
      <c r="A1393" s="2" t="s">
        <v>3856</v>
      </c>
      <c r="B1393" s="2" t="s">
        <v>3857</v>
      </c>
      <c r="C1393" s="2" t="s">
        <v>36</v>
      </c>
    </row>
    <row r="1394">
      <c r="A1394" s="2" t="s">
        <v>3858</v>
      </c>
      <c r="B1394" s="2" t="s">
        <v>3859</v>
      </c>
      <c r="C1394" s="2" t="s">
        <v>36</v>
      </c>
    </row>
    <row r="1395">
      <c r="A1395" s="2" t="s">
        <v>3860</v>
      </c>
      <c r="B1395" s="2" t="s">
        <v>3861</v>
      </c>
      <c r="C1395" s="2" t="s">
        <v>36</v>
      </c>
    </row>
    <row r="1396">
      <c r="A1396" s="2" t="s">
        <v>3862</v>
      </c>
      <c r="B1396" s="2" t="s">
        <v>3863</v>
      </c>
      <c r="C1396" s="2" t="s">
        <v>36</v>
      </c>
    </row>
    <row r="1397">
      <c r="A1397" s="2" t="s">
        <v>3864</v>
      </c>
      <c r="B1397" s="2" t="s">
        <v>3865</v>
      </c>
      <c r="C1397" s="2" t="s">
        <v>36</v>
      </c>
    </row>
    <row r="1398">
      <c r="A1398" s="2" t="s">
        <v>3866</v>
      </c>
      <c r="B1398" s="2" t="s">
        <v>3867</v>
      </c>
      <c r="C1398" s="2" t="s">
        <v>36</v>
      </c>
    </row>
    <row r="1399">
      <c r="A1399" s="2" t="s">
        <v>3868</v>
      </c>
      <c r="B1399" s="2" t="s">
        <v>3869</v>
      </c>
      <c r="C1399" s="2" t="s">
        <v>36</v>
      </c>
    </row>
    <row r="1400">
      <c r="A1400" s="2" t="s">
        <v>3870</v>
      </c>
      <c r="B1400" s="2" t="s">
        <v>3871</v>
      </c>
      <c r="C1400" s="2" t="s">
        <v>36</v>
      </c>
    </row>
    <row r="1401">
      <c r="A1401" s="2" t="s">
        <v>3872</v>
      </c>
      <c r="B1401" s="2" t="s">
        <v>3873</v>
      </c>
      <c r="C1401" s="2" t="s">
        <v>36</v>
      </c>
    </row>
    <row r="1402">
      <c r="A1402" s="2" t="s">
        <v>3874</v>
      </c>
      <c r="B1402" s="2" t="s">
        <v>3875</v>
      </c>
      <c r="C1402" s="2" t="s">
        <v>36</v>
      </c>
    </row>
    <row r="1403">
      <c r="A1403" s="2" t="s">
        <v>3876</v>
      </c>
      <c r="B1403" s="2" t="s">
        <v>3877</v>
      </c>
      <c r="C1403" s="2" t="s">
        <v>36</v>
      </c>
    </row>
    <row r="1404">
      <c r="A1404" s="2" t="s">
        <v>3878</v>
      </c>
      <c r="B1404" s="2" t="s">
        <v>3879</v>
      </c>
      <c r="C1404" s="2" t="s">
        <v>36</v>
      </c>
    </row>
    <row r="1405">
      <c r="A1405" s="2" t="s">
        <v>3880</v>
      </c>
      <c r="B1405" s="2" t="s">
        <v>3881</v>
      </c>
      <c r="C1405" s="2" t="s">
        <v>36</v>
      </c>
    </row>
    <row r="1406">
      <c r="A1406" s="2" t="s">
        <v>3882</v>
      </c>
      <c r="B1406" s="2" t="s">
        <v>3883</v>
      </c>
      <c r="C1406" s="2" t="s">
        <v>36</v>
      </c>
    </row>
    <row r="1407">
      <c r="A1407" s="2" t="s">
        <v>3884</v>
      </c>
      <c r="B1407" s="2" t="s">
        <v>3885</v>
      </c>
      <c r="C1407" s="2" t="s">
        <v>36</v>
      </c>
    </row>
    <row r="1408">
      <c r="A1408" s="2" t="s">
        <v>3886</v>
      </c>
      <c r="B1408" s="2" t="s">
        <v>3887</v>
      </c>
      <c r="C1408" s="2" t="s">
        <v>36</v>
      </c>
    </row>
    <row r="1409">
      <c r="A1409" s="2" t="s">
        <v>3888</v>
      </c>
      <c r="B1409" s="2" t="s">
        <v>3889</v>
      </c>
      <c r="C1409" s="2" t="s">
        <v>36</v>
      </c>
    </row>
    <row r="1410">
      <c r="A1410" s="2" t="s">
        <v>3890</v>
      </c>
      <c r="B1410" s="2" t="s">
        <v>3891</v>
      </c>
      <c r="C1410" s="2" t="s">
        <v>36</v>
      </c>
    </row>
    <row r="1411">
      <c r="A1411" s="2" t="s">
        <v>3892</v>
      </c>
      <c r="B1411" s="2" t="s">
        <v>3893</v>
      </c>
      <c r="C1411" s="2" t="s">
        <v>36</v>
      </c>
    </row>
    <row r="1412">
      <c r="A1412" s="2" t="s">
        <v>3894</v>
      </c>
      <c r="B1412" s="2" t="s">
        <v>3895</v>
      </c>
      <c r="C1412" s="2" t="s">
        <v>36</v>
      </c>
    </row>
    <row r="1413">
      <c r="A1413" s="2" t="s">
        <v>3896</v>
      </c>
      <c r="B1413" s="2" t="s">
        <v>3897</v>
      </c>
      <c r="C1413" s="2" t="s">
        <v>36</v>
      </c>
    </row>
    <row r="1414">
      <c r="A1414" s="2" t="s">
        <v>3898</v>
      </c>
      <c r="B1414" s="2" t="s">
        <v>3899</v>
      </c>
      <c r="C1414" s="2" t="s">
        <v>36</v>
      </c>
    </row>
    <row r="1415">
      <c r="A1415" s="2" t="s">
        <v>3900</v>
      </c>
      <c r="B1415" s="2" t="s">
        <v>3901</v>
      </c>
      <c r="C1415" s="2" t="s">
        <v>36</v>
      </c>
    </row>
    <row r="1416">
      <c r="A1416" s="2" t="s">
        <v>3902</v>
      </c>
      <c r="B1416" s="2" t="s">
        <v>3903</v>
      </c>
      <c r="C1416" s="2" t="s">
        <v>36</v>
      </c>
    </row>
    <row r="1417">
      <c r="A1417" s="2" t="s">
        <v>3904</v>
      </c>
      <c r="B1417" s="2" t="s">
        <v>3905</v>
      </c>
      <c r="C1417" s="2" t="s">
        <v>36</v>
      </c>
    </row>
    <row r="1418">
      <c r="A1418" s="2" t="s">
        <v>3906</v>
      </c>
      <c r="B1418" s="2" t="s">
        <v>3907</v>
      </c>
      <c r="C1418" s="2" t="s">
        <v>36</v>
      </c>
    </row>
    <row r="1419">
      <c r="A1419" s="2" t="s">
        <v>3908</v>
      </c>
      <c r="B1419" s="2" t="s">
        <v>3909</v>
      </c>
      <c r="C1419" s="2" t="s">
        <v>36</v>
      </c>
    </row>
    <row r="1420">
      <c r="A1420" s="2" t="s">
        <v>3910</v>
      </c>
      <c r="B1420" s="2" t="s">
        <v>3911</v>
      </c>
      <c r="C1420" s="2" t="s">
        <v>36</v>
      </c>
    </row>
    <row r="1421">
      <c r="A1421" s="2" t="s">
        <v>3912</v>
      </c>
      <c r="B1421" s="2" t="s">
        <v>3913</v>
      </c>
      <c r="C1421" s="2" t="s">
        <v>36</v>
      </c>
    </row>
    <row r="1422">
      <c r="A1422" s="2" t="s">
        <v>3914</v>
      </c>
      <c r="B1422" s="2" t="s">
        <v>3915</v>
      </c>
      <c r="C1422" s="2" t="s">
        <v>36</v>
      </c>
    </row>
    <row r="1423">
      <c r="A1423" s="2" t="s">
        <v>3916</v>
      </c>
      <c r="B1423" s="2" t="s">
        <v>3917</v>
      </c>
      <c r="C1423" s="2" t="s">
        <v>36</v>
      </c>
    </row>
    <row r="1424">
      <c r="A1424" s="2" t="s">
        <v>3918</v>
      </c>
      <c r="B1424" s="2" t="s">
        <v>3919</v>
      </c>
      <c r="C1424" s="2" t="s">
        <v>36</v>
      </c>
    </row>
    <row r="1425">
      <c r="A1425" s="2" t="s">
        <v>3920</v>
      </c>
      <c r="B1425" s="2" t="s">
        <v>3921</v>
      </c>
      <c r="C1425" s="2" t="s">
        <v>36</v>
      </c>
    </row>
    <row r="1426">
      <c r="A1426" s="2" t="s">
        <v>3922</v>
      </c>
      <c r="B1426" s="2" t="s">
        <v>3923</v>
      </c>
      <c r="C1426" s="2" t="s">
        <v>36</v>
      </c>
    </row>
    <row r="1427">
      <c r="A1427" s="2" t="s">
        <v>3924</v>
      </c>
      <c r="B1427" s="2" t="s">
        <v>3925</v>
      </c>
      <c r="C1427" s="2" t="s">
        <v>36</v>
      </c>
    </row>
    <row r="1428">
      <c r="A1428" s="2" t="s">
        <v>3926</v>
      </c>
      <c r="B1428" s="2" t="s">
        <v>3927</v>
      </c>
      <c r="C1428" s="2" t="s">
        <v>36</v>
      </c>
    </row>
    <row r="1429">
      <c r="A1429" s="2" t="s">
        <v>3928</v>
      </c>
      <c r="B1429" s="2" t="s">
        <v>3929</v>
      </c>
      <c r="C1429" s="2" t="s">
        <v>36</v>
      </c>
    </row>
    <row r="1430">
      <c r="A1430" s="2" t="s">
        <v>3930</v>
      </c>
      <c r="B1430" s="2" t="s">
        <v>3931</v>
      </c>
      <c r="C1430" s="2" t="s">
        <v>36</v>
      </c>
    </row>
    <row r="1431">
      <c r="A1431" s="2" t="s">
        <v>3932</v>
      </c>
      <c r="B1431" s="2" t="s">
        <v>3933</v>
      </c>
      <c r="C1431" s="2" t="s">
        <v>36</v>
      </c>
    </row>
    <row r="1432">
      <c r="A1432" s="2" t="s">
        <v>3934</v>
      </c>
      <c r="B1432" s="2" t="s">
        <v>3935</v>
      </c>
      <c r="C1432" s="2" t="s">
        <v>36</v>
      </c>
    </row>
    <row r="1433">
      <c r="A1433" s="2" t="s">
        <v>3936</v>
      </c>
      <c r="B1433" s="2" t="s">
        <v>3937</v>
      </c>
      <c r="C1433" s="2" t="s">
        <v>36</v>
      </c>
    </row>
    <row r="1434">
      <c r="A1434" s="2" t="s">
        <v>3938</v>
      </c>
      <c r="B1434" s="2" t="s">
        <v>3939</v>
      </c>
      <c r="C1434" s="2" t="s">
        <v>36</v>
      </c>
    </row>
    <row r="1435">
      <c r="A1435" s="2" t="s">
        <v>3940</v>
      </c>
      <c r="B1435" s="2" t="s">
        <v>3941</v>
      </c>
      <c r="C1435" s="2" t="s">
        <v>36</v>
      </c>
    </row>
    <row r="1436">
      <c r="A1436" s="2" t="s">
        <v>3942</v>
      </c>
      <c r="B1436" s="2" t="s">
        <v>3943</v>
      </c>
      <c r="C1436" s="2" t="s">
        <v>36</v>
      </c>
    </row>
    <row r="1437">
      <c r="A1437" s="2" t="s">
        <v>3944</v>
      </c>
      <c r="B1437" s="2" t="s">
        <v>3945</v>
      </c>
      <c r="C1437" s="2" t="s">
        <v>36</v>
      </c>
    </row>
    <row r="1438">
      <c r="A1438" s="2" t="s">
        <v>3946</v>
      </c>
      <c r="B1438" s="2" t="s">
        <v>3947</v>
      </c>
      <c r="C1438" s="2" t="s">
        <v>36</v>
      </c>
    </row>
    <row r="1439">
      <c r="A1439" s="2" t="s">
        <v>3948</v>
      </c>
      <c r="B1439" s="2" t="s">
        <v>3949</v>
      </c>
      <c r="C1439" s="2" t="s">
        <v>36</v>
      </c>
    </row>
    <row r="1440">
      <c r="A1440" s="2" t="s">
        <v>3950</v>
      </c>
      <c r="B1440" s="2" t="s">
        <v>3951</v>
      </c>
      <c r="C1440" s="2" t="s">
        <v>36</v>
      </c>
    </row>
    <row r="1441">
      <c r="A1441" s="2" t="s">
        <v>3952</v>
      </c>
      <c r="B1441" s="2" t="s">
        <v>3953</v>
      </c>
      <c r="C1441" s="2" t="s">
        <v>36</v>
      </c>
    </row>
    <row r="1442">
      <c r="A1442" s="2" t="s">
        <v>3954</v>
      </c>
      <c r="B1442" s="2" t="s">
        <v>3955</v>
      </c>
      <c r="C1442" s="2" t="s">
        <v>36</v>
      </c>
    </row>
    <row r="1443">
      <c r="A1443" s="2" t="s">
        <v>3956</v>
      </c>
      <c r="B1443" s="2" t="s">
        <v>3957</v>
      </c>
      <c r="C1443" s="2" t="s">
        <v>36</v>
      </c>
    </row>
    <row r="1444">
      <c r="A1444" s="2" t="s">
        <v>3958</v>
      </c>
      <c r="B1444" s="2" t="s">
        <v>3959</v>
      </c>
      <c r="C1444" s="2" t="s">
        <v>36</v>
      </c>
    </row>
    <row r="1445">
      <c r="A1445" s="2" t="s">
        <v>3960</v>
      </c>
      <c r="B1445" s="2" t="s">
        <v>3961</v>
      </c>
      <c r="C1445" s="2" t="s">
        <v>36</v>
      </c>
    </row>
    <row r="1446">
      <c r="A1446" s="2" t="s">
        <v>3962</v>
      </c>
      <c r="B1446" s="2" t="s">
        <v>3963</v>
      </c>
      <c r="C1446" s="2" t="s">
        <v>36</v>
      </c>
    </row>
    <row r="1447">
      <c r="A1447" s="2" t="s">
        <v>3964</v>
      </c>
      <c r="B1447" s="2" t="s">
        <v>3965</v>
      </c>
      <c r="C1447" s="2" t="s">
        <v>36</v>
      </c>
    </row>
    <row r="1448">
      <c r="A1448" s="2" t="s">
        <v>3966</v>
      </c>
      <c r="B1448" s="2" t="s">
        <v>3967</v>
      </c>
      <c r="C1448" s="2" t="s">
        <v>36</v>
      </c>
    </row>
    <row r="1449">
      <c r="A1449" s="2" t="s">
        <v>3968</v>
      </c>
      <c r="B1449" s="2" t="s">
        <v>3969</v>
      </c>
      <c r="C1449" s="2" t="s">
        <v>36</v>
      </c>
    </row>
    <row r="1450">
      <c r="A1450" s="2" t="s">
        <v>3970</v>
      </c>
      <c r="B1450" s="2" t="s">
        <v>3971</v>
      </c>
      <c r="C1450" s="2" t="s">
        <v>36</v>
      </c>
    </row>
    <row r="1451">
      <c r="A1451" s="2" t="s">
        <v>3972</v>
      </c>
      <c r="B1451" s="2" t="s">
        <v>3973</v>
      </c>
      <c r="C1451" s="2" t="s">
        <v>36</v>
      </c>
    </row>
    <row r="1452">
      <c r="A1452" s="2" t="s">
        <v>3974</v>
      </c>
      <c r="B1452" s="2" t="s">
        <v>3975</v>
      </c>
      <c r="C1452" s="2" t="s">
        <v>36</v>
      </c>
    </row>
    <row r="1453">
      <c r="A1453" s="2" t="s">
        <v>3976</v>
      </c>
      <c r="B1453" s="2" t="s">
        <v>3977</v>
      </c>
      <c r="C1453" s="2" t="s">
        <v>36</v>
      </c>
    </row>
    <row r="1454">
      <c r="A1454" s="2" t="s">
        <v>3978</v>
      </c>
      <c r="B1454" s="2" t="s">
        <v>3979</v>
      </c>
      <c r="C1454" s="2" t="s">
        <v>36</v>
      </c>
    </row>
    <row r="1455">
      <c r="A1455" s="2" t="s">
        <v>3980</v>
      </c>
      <c r="B1455" s="2" t="s">
        <v>3981</v>
      </c>
      <c r="C1455" s="2" t="s">
        <v>36</v>
      </c>
    </row>
    <row r="1456">
      <c r="A1456" s="2" t="s">
        <v>3982</v>
      </c>
      <c r="B1456" s="2" t="s">
        <v>3983</v>
      </c>
      <c r="C1456" s="2" t="s">
        <v>36</v>
      </c>
    </row>
    <row r="1457">
      <c r="A1457" s="2" t="s">
        <v>3984</v>
      </c>
      <c r="B1457" s="2" t="s">
        <v>3985</v>
      </c>
      <c r="C1457" s="2" t="s">
        <v>36</v>
      </c>
    </row>
    <row r="1458">
      <c r="A1458" s="2" t="s">
        <v>3986</v>
      </c>
      <c r="B1458" s="2" t="s">
        <v>3987</v>
      </c>
      <c r="C1458" s="2" t="s">
        <v>36</v>
      </c>
    </row>
    <row r="1459">
      <c r="A1459" s="2" t="s">
        <v>3988</v>
      </c>
      <c r="B1459" s="2" t="s">
        <v>3989</v>
      </c>
      <c r="C1459" s="2" t="s">
        <v>36</v>
      </c>
    </row>
    <row r="1460">
      <c r="A1460" s="2" t="s">
        <v>3990</v>
      </c>
      <c r="B1460" s="2" t="s">
        <v>3991</v>
      </c>
      <c r="C1460" s="2" t="s">
        <v>36</v>
      </c>
    </row>
    <row r="1461">
      <c r="A1461" s="2" t="s">
        <v>3992</v>
      </c>
      <c r="B1461" s="2" t="s">
        <v>3993</v>
      </c>
      <c r="C1461" s="2" t="s">
        <v>36</v>
      </c>
    </row>
    <row r="1462">
      <c r="A1462" s="2" t="s">
        <v>3994</v>
      </c>
      <c r="B1462" s="2" t="s">
        <v>3995</v>
      </c>
      <c r="C1462" s="2" t="s">
        <v>36</v>
      </c>
    </row>
    <row r="1463">
      <c r="A1463" s="2" t="s">
        <v>3996</v>
      </c>
      <c r="B1463" s="2" t="s">
        <v>3997</v>
      </c>
      <c r="C1463" s="2" t="s">
        <v>36</v>
      </c>
    </row>
    <row r="1464">
      <c r="A1464" s="2" t="s">
        <v>3998</v>
      </c>
      <c r="B1464" s="2" t="s">
        <v>3999</v>
      </c>
      <c r="C1464" s="2" t="s">
        <v>36</v>
      </c>
    </row>
    <row r="1465">
      <c r="A1465" s="2" t="s">
        <v>4000</v>
      </c>
      <c r="B1465" s="2" t="s">
        <v>4001</v>
      </c>
      <c r="C1465" s="2" t="s">
        <v>36</v>
      </c>
    </row>
    <row r="1466">
      <c r="A1466" s="2" t="s">
        <v>4002</v>
      </c>
      <c r="B1466" s="2" t="s">
        <v>4003</v>
      </c>
      <c r="C1466" s="2" t="s">
        <v>36</v>
      </c>
    </row>
    <row r="1467">
      <c r="A1467" s="2" t="s">
        <v>4004</v>
      </c>
      <c r="B1467" s="2" t="s">
        <v>4005</v>
      </c>
      <c r="C1467" s="2" t="s">
        <v>36</v>
      </c>
    </row>
    <row r="1468">
      <c r="A1468" s="2" t="s">
        <v>4006</v>
      </c>
      <c r="B1468" s="2" t="s">
        <v>4007</v>
      </c>
      <c r="C1468" s="2" t="s">
        <v>36</v>
      </c>
    </row>
    <row r="1469">
      <c r="A1469" s="2" t="s">
        <v>4008</v>
      </c>
      <c r="B1469" s="2" t="s">
        <v>4009</v>
      </c>
      <c r="C1469" s="2" t="s">
        <v>36</v>
      </c>
    </row>
    <row r="1470">
      <c r="A1470" s="2" t="s">
        <v>4010</v>
      </c>
      <c r="B1470" s="2" t="s">
        <v>4011</v>
      </c>
      <c r="C1470" s="2" t="s">
        <v>36</v>
      </c>
    </row>
    <row r="1471">
      <c r="A1471" s="2" t="s">
        <v>4012</v>
      </c>
      <c r="B1471" s="2" t="s">
        <v>4013</v>
      </c>
      <c r="C1471" s="2" t="s">
        <v>36</v>
      </c>
    </row>
    <row r="1472">
      <c r="A1472" s="2" t="s">
        <v>4014</v>
      </c>
      <c r="B1472" s="2" t="s">
        <v>4015</v>
      </c>
      <c r="C1472" s="2" t="s">
        <v>36</v>
      </c>
    </row>
    <row r="1473">
      <c r="A1473" s="2" t="s">
        <v>4016</v>
      </c>
      <c r="B1473" s="2" t="s">
        <v>4017</v>
      </c>
      <c r="C1473" s="2" t="s">
        <v>36</v>
      </c>
    </row>
    <row r="1474">
      <c r="A1474" s="2" t="s">
        <v>4018</v>
      </c>
      <c r="B1474" s="2" t="s">
        <v>4019</v>
      </c>
      <c r="C1474" s="2" t="s">
        <v>36</v>
      </c>
    </row>
    <row r="1475">
      <c r="A1475" s="2" t="s">
        <v>4020</v>
      </c>
      <c r="B1475" s="2" t="s">
        <v>4021</v>
      </c>
      <c r="C1475" s="2" t="s">
        <v>36</v>
      </c>
    </row>
    <row r="1476">
      <c r="A1476" s="2" t="s">
        <v>4022</v>
      </c>
      <c r="B1476" s="2" t="s">
        <v>4023</v>
      </c>
      <c r="C1476" s="2" t="s">
        <v>36</v>
      </c>
    </row>
    <row r="1477">
      <c r="A1477" s="2" t="s">
        <v>4024</v>
      </c>
      <c r="B1477" s="2" t="s">
        <v>4025</v>
      </c>
      <c r="C1477" s="2" t="s">
        <v>36</v>
      </c>
    </row>
    <row r="1478">
      <c r="A1478" s="2" t="s">
        <v>4026</v>
      </c>
      <c r="B1478" s="2" t="s">
        <v>4027</v>
      </c>
      <c r="C1478" s="2" t="s">
        <v>36</v>
      </c>
    </row>
    <row r="1479">
      <c r="A1479" s="2" t="s">
        <v>4028</v>
      </c>
      <c r="B1479" s="2" t="s">
        <v>4029</v>
      </c>
      <c r="C1479" s="2" t="s">
        <v>36</v>
      </c>
    </row>
    <row r="1480">
      <c r="A1480" s="2" t="s">
        <v>4030</v>
      </c>
      <c r="B1480" s="2" t="s">
        <v>4031</v>
      </c>
      <c r="C1480" s="2" t="s">
        <v>36</v>
      </c>
    </row>
    <row r="1481">
      <c r="A1481" s="2" t="s">
        <v>4032</v>
      </c>
      <c r="B1481" s="2" t="s">
        <v>4033</v>
      </c>
      <c r="C1481" s="2" t="s">
        <v>36</v>
      </c>
    </row>
    <row r="1482">
      <c r="A1482" s="2" t="s">
        <v>4034</v>
      </c>
      <c r="B1482" s="2" t="s">
        <v>4035</v>
      </c>
      <c r="C1482" s="2" t="s">
        <v>36</v>
      </c>
    </row>
    <row r="1483">
      <c r="A1483" s="2" t="s">
        <v>4036</v>
      </c>
      <c r="B1483" s="2" t="s">
        <v>4037</v>
      </c>
      <c r="C1483" s="2" t="s">
        <v>36</v>
      </c>
    </row>
    <row r="1484">
      <c r="A1484" s="2" t="s">
        <v>4038</v>
      </c>
      <c r="B1484" s="2" t="s">
        <v>4039</v>
      </c>
      <c r="C1484" s="2" t="s">
        <v>36</v>
      </c>
    </row>
    <row r="1485">
      <c r="A1485" s="2" t="s">
        <v>4040</v>
      </c>
      <c r="B1485" s="2" t="s">
        <v>4041</v>
      </c>
      <c r="C1485" s="2" t="s">
        <v>36</v>
      </c>
    </row>
    <row r="1486">
      <c r="A1486" s="2" t="s">
        <v>4042</v>
      </c>
      <c r="B1486" s="2" t="s">
        <v>4043</v>
      </c>
      <c r="C1486" s="2" t="s">
        <v>36</v>
      </c>
    </row>
    <row r="1487">
      <c r="A1487" s="2" t="s">
        <v>4044</v>
      </c>
      <c r="B1487" s="2" t="s">
        <v>4045</v>
      </c>
      <c r="C1487" s="2" t="s">
        <v>36</v>
      </c>
    </row>
    <row r="1488">
      <c r="A1488" s="2" t="s">
        <v>4046</v>
      </c>
      <c r="B1488" s="2" t="s">
        <v>4047</v>
      </c>
      <c r="C1488" s="2" t="s">
        <v>36</v>
      </c>
    </row>
    <row r="1489">
      <c r="A1489" s="2" t="s">
        <v>4048</v>
      </c>
      <c r="B1489" s="2" t="s">
        <v>4049</v>
      </c>
      <c r="C1489" s="2" t="s">
        <v>36</v>
      </c>
    </row>
    <row r="1490">
      <c r="A1490" s="2" t="s">
        <v>4050</v>
      </c>
      <c r="B1490" s="2" t="s">
        <v>4051</v>
      </c>
      <c r="C1490" s="2" t="s">
        <v>36</v>
      </c>
    </row>
    <row r="1491">
      <c r="A1491" s="2" t="s">
        <v>4052</v>
      </c>
      <c r="B1491" s="2" t="s">
        <v>4053</v>
      </c>
      <c r="C1491" s="2" t="s">
        <v>36</v>
      </c>
    </row>
    <row r="1492">
      <c r="A1492" s="2" t="s">
        <v>4054</v>
      </c>
      <c r="B1492" s="2" t="s">
        <v>4055</v>
      </c>
      <c r="C1492" s="2" t="s">
        <v>36</v>
      </c>
    </row>
    <row r="1493">
      <c r="A1493" s="2" t="s">
        <v>4056</v>
      </c>
      <c r="B1493" s="2" t="s">
        <v>4057</v>
      </c>
      <c r="C1493" s="2" t="s">
        <v>36</v>
      </c>
    </row>
    <row r="1494">
      <c r="A1494" s="2" t="s">
        <v>4058</v>
      </c>
      <c r="B1494" s="2" t="s">
        <v>4059</v>
      </c>
      <c r="C1494" s="2" t="s">
        <v>36</v>
      </c>
    </row>
    <row r="1495">
      <c r="A1495" s="2" t="s">
        <v>4060</v>
      </c>
      <c r="B1495" s="2" t="s">
        <v>4061</v>
      </c>
      <c r="C1495" s="2" t="s">
        <v>36</v>
      </c>
    </row>
    <row r="1496">
      <c r="A1496" s="2" t="s">
        <v>4062</v>
      </c>
      <c r="B1496" s="2" t="s">
        <v>4063</v>
      </c>
      <c r="C1496" s="2" t="s">
        <v>36</v>
      </c>
    </row>
    <row r="1497">
      <c r="A1497" s="2" t="s">
        <v>4064</v>
      </c>
      <c r="B1497" s="2" t="s">
        <v>4065</v>
      </c>
      <c r="C1497" s="2" t="s">
        <v>36</v>
      </c>
    </row>
    <row r="1498">
      <c r="A1498" s="2" t="s">
        <v>4067</v>
      </c>
      <c r="B1498" s="2" t="s">
        <v>4068</v>
      </c>
      <c r="C1498" s="2" t="s">
        <v>36</v>
      </c>
    </row>
    <row r="1499">
      <c r="A1499" s="2" t="s">
        <v>4069</v>
      </c>
      <c r="B1499" s="2" t="s">
        <v>4070</v>
      </c>
      <c r="C1499" s="2" t="s">
        <v>36</v>
      </c>
    </row>
    <row r="1500">
      <c r="A1500" s="2" t="s">
        <v>4071</v>
      </c>
      <c r="B1500" s="2" t="s">
        <v>4072</v>
      </c>
      <c r="C1500" s="2" t="s">
        <v>36</v>
      </c>
    </row>
    <row r="1501">
      <c r="A1501" s="2" t="s">
        <v>4073</v>
      </c>
      <c r="B1501" s="2" t="s">
        <v>4074</v>
      </c>
      <c r="C1501" s="2" t="s">
        <v>36</v>
      </c>
    </row>
    <row r="1502">
      <c r="A1502" s="2" t="s">
        <v>4077</v>
      </c>
      <c r="B1502" s="2" t="s">
        <v>4078</v>
      </c>
      <c r="C1502" s="2" t="s">
        <v>36</v>
      </c>
    </row>
    <row r="1503">
      <c r="A1503" s="2" t="s">
        <v>4080</v>
      </c>
      <c r="B1503" s="2" t="s">
        <v>4081</v>
      </c>
      <c r="C1503" s="2" t="s">
        <v>36</v>
      </c>
    </row>
    <row r="1504">
      <c r="A1504" s="2" t="s">
        <v>4082</v>
      </c>
      <c r="B1504" s="2" t="s">
        <v>4083</v>
      </c>
      <c r="C1504" s="2" t="s">
        <v>36</v>
      </c>
    </row>
    <row r="1505">
      <c r="A1505" s="2" t="s">
        <v>4085</v>
      </c>
      <c r="B1505" s="2" t="s">
        <v>4086</v>
      </c>
      <c r="C1505" s="2" t="s">
        <v>36</v>
      </c>
    </row>
    <row r="1506">
      <c r="A1506" s="2" t="s">
        <v>4087</v>
      </c>
      <c r="B1506" s="2" t="s">
        <v>4088</v>
      </c>
      <c r="C1506" s="2" t="s">
        <v>36</v>
      </c>
    </row>
    <row r="1507">
      <c r="A1507" s="2" t="s">
        <v>4089</v>
      </c>
      <c r="B1507" s="2" t="s">
        <v>4090</v>
      </c>
      <c r="C1507" s="2" t="s">
        <v>36</v>
      </c>
    </row>
    <row r="1508">
      <c r="A1508" s="2" t="s">
        <v>4091</v>
      </c>
      <c r="B1508" s="2" t="s">
        <v>4092</v>
      </c>
      <c r="C1508" s="2" t="s">
        <v>36</v>
      </c>
    </row>
    <row r="1509">
      <c r="A1509" s="2" t="s">
        <v>4093</v>
      </c>
      <c r="B1509" s="2" t="s">
        <v>4094</v>
      </c>
      <c r="C1509" s="2" t="s">
        <v>36</v>
      </c>
    </row>
    <row r="1510">
      <c r="A1510" s="2" t="s">
        <v>4095</v>
      </c>
      <c r="B1510" s="2" t="s">
        <v>4096</v>
      </c>
      <c r="C1510" s="2" t="s">
        <v>36</v>
      </c>
    </row>
    <row r="1511">
      <c r="A1511" s="2" t="s">
        <v>4097</v>
      </c>
      <c r="B1511" s="2" t="s">
        <v>4098</v>
      </c>
      <c r="C1511" s="2" t="s">
        <v>36</v>
      </c>
    </row>
    <row r="1512">
      <c r="A1512" s="2" t="s">
        <v>4099</v>
      </c>
      <c r="B1512" s="2" t="s">
        <v>4100</v>
      </c>
      <c r="C1512" s="2" t="s">
        <v>36</v>
      </c>
    </row>
    <row r="1513">
      <c r="A1513" s="2" t="s">
        <v>4101</v>
      </c>
      <c r="B1513" s="2" t="s">
        <v>4102</v>
      </c>
      <c r="C1513" s="2" t="s">
        <v>36</v>
      </c>
    </row>
    <row r="1514">
      <c r="A1514" s="2" t="s">
        <v>4104</v>
      </c>
      <c r="B1514" s="2" t="s">
        <v>4105</v>
      </c>
      <c r="C1514" s="2" t="s">
        <v>36</v>
      </c>
    </row>
    <row r="1515">
      <c r="A1515" s="2" t="s">
        <v>4106</v>
      </c>
      <c r="B1515" s="2" t="s">
        <v>4107</v>
      </c>
      <c r="C1515" s="2" t="s">
        <v>36</v>
      </c>
    </row>
    <row r="1516">
      <c r="A1516" s="2" t="s">
        <v>4108</v>
      </c>
      <c r="B1516" s="2" t="s">
        <v>4110</v>
      </c>
      <c r="C1516" s="2" t="s">
        <v>36</v>
      </c>
    </row>
    <row r="1517">
      <c r="A1517" s="2" t="s">
        <v>4111</v>
      </c>
      <c r="B1517" s="2" t="s">
        <v>4112</v>
      </c>
      <c r="C1517" s="2" t="s">
        <v>36</v>
      </c>
    </row>
    <row r="1518">
      <c r="A1518" s="2" t="s">
        <v>4113</v>
      </c>
      <c r="B1518" s="2" t="s">
        <v>4114</v>
      </c>
      <c r="C1518" s="2" t="s">
        <v>36</v>
      </c>
    </row>
    <row r="1519">
      <c r="A1519" s="2" t="s">
        <v>4115</v>
      </c>
      <c r="B1519" s="2" t="s">
        <v>4116</v>
      </c>
      <c r="C1519" s="2" t="s">
        <v>36</v>
      </c>
    </row>
    <row r="1520">
      <c r="A1520" s="2" t="s">
        <v>4117</v>
      </c>
      <c r="B1520" s="2" t="s">
        <v>4118</v>
      </c>
      <c r="C1520" s="2" t="s">
        <v>36</v>
      </c>
    </row>
    <row r="1521">
      <c r="A1521" s="2" t="s">
        <v>4121</v>
      </c>
      <c r="B1521" s="2" t="s">
        <v>4122</v>
      </c>
      <c r="C1521" s="2" t="s">
        <v>36</v>
      </c>
    </row>
    <row r="1522">
      <c r="A1522" s="2" t="s">
        <v>4123</v>
      </c>
      <c r="B1522" s="2" t="s">
        <v>4125</v>
      </c>
      <c r="C1522" s="2" t="s">
        <v>36</v>
      </c>
    </row>
    <row r="1523">
      <c r="A1523" s="2" t="s">
        <v>4126</v>
      </c>
      <c r="B1523" s="2" t="s">
        <v>4127</v>
      </c>
      <c r="C1523" s="2" t="s">
        <v>36</v>
      </c>
    </row>
    <row r="1524">
      <c r="A1524" s="2" t="s">
        <v>4128</v>
      </c>
      <c r="B1524" s="2" t="s">
        <v>4129</v>
      </c>
      <c r="C1524" s="2" t="s">
        <v>36</v>
      </c>
    </row>
    <row r="1525">
      <c r="A1525" s="2" t="s">
        <v>4131</v>
      </c>
      <c r="B1525" s="2" t="s">
        <v>4132</v>
      </c>
      <c r="C1525" s="2" t="s">
        <v>36</v>
      </c>
    </row>
    <row r="1526">
      <c r="A1526" s="2" t="s">
        <v>4133</v>
      </c>
      <c r="B1526" s="2" t="s">
        <v>4134</v>
      </c>
      <c r="C1526" s="2" t="s">
        <v>36</v>
      </c>
    </row>
    <row r="1527">
      <c r="A1527" s="2" t="s">
        <v>4136</v>
      </c>
      <c r="B1527" s="2" t="s">
        <v>4138</v>
      </c>
      <c r="C1527" s="2" t="s">
        <v>36</v>
      </c>
    </row>
    <row r="1528">
      <c r="A1528" s="2" t="s">
        <v>4140</v>
      </c>
      <c r="B1528" s="2" t="s">
        <v>4141</v>
      </c>
      <c r="C1528" s="2" t="s">
        <v>36</v>
      </c>
    </row>
    <row r="1529">
      <c r="A1529" s="2" t="s">
        <v>4142</v>
      </c>
      <c r="B1529" s="2" t="s">
        <v>4143</v>
      </c>
      <c r="C1529" s="2" t="s">
        <v>36</v>
      </c>
    </row>
    <row r="1530">
      <c r="A1530" s="2" t="s">
        <v>4145</v>
      </c>
      <c r="B1530" s="2" t="s">
        <v>4146</v>
      </c>
      <c r="C1530" s="2" t="s">
        <v>36</v>
      </c>
    </row>
    <row r="1531">
      <c r="A1531" s="2" t="s">
        <v>4147</v>
      </c>
      <c r="B1531" s="2" t="s">
        <v>4148</v>
      </c>
      <c r="C1531" s="2" t="s">
        <v>36</v>
      </c>
    </row>
    <row r="1532">
      <c r="A1532" s="2" t="s">
        <v>4149</v>
      </c>
      <c r="B1532" s="2" t="s">
        <v>4150</v>
      </c>
      <c r="C1532" s="2" t="s">
        <v>36</v>
      </c>
    </row>
    <row r="1533">
      <c r="A1533" s="2" t="s">
        <v>4151</v>
      </c>
      <c r="B1533" s="2" t="s">
        <v>4153</v>
      </c>
      <c r="C1533" s="2" t="s">
        <v>36</v>
      </c>
    </row>
    <row r="1534">
      <c r="A1534" s="2" t="s">
        <v>4154</v>
      </c>
      <c r="B1534" s="2" t="s">
        <v>4155</v>
      </c>
      <c r="C1534" s="2" t="s">
        <v>36</v>
      </c>
    </row>
    <row r="1535">
      <c r="A1535" s="2" t="s">
        <v>4156</v>
      </c>
      <c r="B1535" s="2" t="s">
        <v>4157</v>
      </c>
      <c r="C1535" s="2" t="s">
        <v>36</v>
      </c>
    </row>
    <row r="1536">
      <c r="A1536" s="2" t="s">
        <v>4158</v>
      </c>
      <c r="B1536" s="2" t="s">
        <v>4159</v>
      </c>
      <c r="C1536" s="2" t="s">
        <v>36</v>
      </c>
    </row>
    <row r="1537">
      <c r="A1537" s="2" t="s">
        <v>4160</v>
      </c>
      <c r="B1537" s="2" t="s">
        <v>4162</v>
      </c>
      <c r="C1537" s="2" t="s">
        <v>36</v>
      </c>
    </row>
    <row r="1538">
      <c r="A1538" s="2" t="s">
        <v>4163</v>
      </c>
      <c r="B1538" s="2" t="s">
        <v>4164</v>
      </c>
      <c r="C1538" s="2" t="s">
        <v>36</v>
      </c>
    </row>
    <row r="1539">
      <c r="A1539" s="2" t="s">
        <v>4165</v>
      </c>
      <c r="B1539" s="2" t="s">
        <v>4166</v>
      </c>
      <c r="C1539" s="2" t="s">
        <v>36</v>
      </c>
    </row>
    <row r="1540">
      <c r="A1540" s="2" t="s">
        <v>4167</v>
      </c>
      <c r="B1540" s="2" t="s">
        <v>4169</v>
      </c>
      <c r="C1540" s="2" t="s">
        <v>36</v>
      </c>
    </row>
    <row r="1541">
      <c r="A1541" s="2" t="s">
        <v>4171</v>
      </c>
      <c r="B1541" s="2" t="s">
        <v>4172</v>
      </c>
      <c r="C1541" s="2" t="s">
        <v>36</v>
      </c>
    </row>
    <row r="1542">
      <c r="A1542" s="2" t="s">
        <v>4173</v>
      </c>
      <c r="B1542" s="2" t="s">
        <v>4174</v>
      </c>
      <c r="C1542" s="2" t="s">
        <v>36</v>
      </c>
    </row>
    <row r="1543">
      <c r="A1543" s="2" t="s">
        <v>4175</v>
      </c>
      <c r="B1543" s="2" t="s">
        <v>4177</v>
      </c>
      <c r="C1543" s="2" t="s">
        <v>36</v>
      </c>
    </row>
    <row r="1544">
      <c r="A1544" s="2" t="s">
        <v>4178</v>
      </c>
      <c r="B1544" s="2" t="s">
        <v>4179</v>
      </c>
      <c r="C1544" s="2" t="s">
        <v>36</v>
      </c>
    </row>
    <row r="1545">
      <c r="A1545" s="2" t="s">
        <v>4180</v>
      </c>
      <c r="B1545" s="2" t="s">
        <v>4181</v>
      </c>
      <c r="C1545" s="2" t="s">
        <v>36</v>
      </c>
    </row>
    <row r="1546">
      <c r="A1546" s="2" t="s">
        <v>4182</v>
      </c>
      <c r="B1546" s="2" t="s">
        <v>4183</v>
      </c>
      <c r="C1546" s="2" t="s">
        <v>36</v>
      </c>
    </row>
    <row r="1547">
      <c r="A1547" s="2" t="s">
        <v>4184</v>
      </c>
      <c r="B1547" s="2" t="s">
        <v>4185</v>
      </c>
      <c r="C1547" s="2" t="s">
        <v>36</v>
      </c>
    </row>
    <row r="1548">
      <c r="A1548" s="2" t="s">
        <v>4186</v>
      </c>
      <c r="B1548" s="2" t="s">
        <v>4187</v>
      </c>
      <c r="C1548" s="2" t="s">
        <v>36</v>
      </c>
    </row>
    <row r="1549">
      <c r="A1549" s="2" t="s">
        <v>4188</v>
      </c>
      <c r="B1549" s="2" t="s">
        <v>4189</v>
      </c>
      <c r="C1549" s="2" t="s">
        <v>36</v>
      </c>
    </row>
    <row r="1550">
      <c r="A1550" s="2" t="s">
        <v>4190</v>
      </c>
      <c r="B1550" s="2" t="s">
        <v>4191</v>
      </c>
      <c r="C1550" s="2" t="s">
        <v>36</v>
      </c>
    </row>
    <row r="1551">
      <c r="A1551" s="2" t="s">
        <v>4192</v>
      </c>
      <c r="B1551" s="2" t="s">
        <v>4193</v>
      </c>
      <c r="C1551" s="2" t="s">
        <v>36</v>
      </c>
    </row>
    <row r="1552">
      <c r="A1552" s="2" t="s">
        <v>4195</v>
      </c>
      <c r="B1552" s="2" t="s">
        <v>4196</v>
      </c>
      <c r="C1552" s="2" t="s">
        <v>36</v>
      </c>
    </row>
    <row r="1553">
      <c r="A1553" s="2" t="s">
        <v>4197</v>
      </c>
      <c r="B1553" s="2" t="s">
        <v>4198</v>
      </c>
      <c r="C1553" s="2" t="s">
        <v>36</v>
      </c>
    </row>
    <row r="1554">
      <c r="A1554" s="2" t="s">
        <v>4201</v>
      </c>
      <c r="B1554" s="2" t="s">
        <v>4202</v>
      </c>
      <c r="C1554" s="2" t="s">
        <v>36</v>
      </c>
    </row>
    <row r="1555">
      <c r="A1555" s="2" t="s">
        <v>4203</v>
      </c>
      <c r="B1555" s="2" t="s">
        <v>4204</v>
      </c>
      <c r="C1555" s="2" t="s">
        <v>36</v>
      </c>
    </row>
    <row r="1556">
      <c r="A1556" s="2" t="s">
        <v>4205</v>
      </c>
      <c r="B1556" s="2" t="s">
        <v>4206</v>
      </c>
      <c r="C1556" s="2" t="s">
        <v>36</v>
      </c>
    </row>
    <row r="1557">
      <c r="A1557" s="2" t="s">
        <v>4208</v>
      </c>
      <c r="B1557" s="2" t="s">
        <v>4209</v>
      </c>
      <c r="C1557" s="2" t="s">
        <v>36</v>
      </c>
    </row>
    <row r="1558">
      <c r="A1558" s="2" t="s">
        <v>4210</v>
      </c>
      <c r="B1558" s="2" t="s">
        <v>4211</v>
      </c>
      <c r="C1558" s="2" t="s">
        <v>36</v>
      </c>
    </row>
    <row r="1559">
      <c r="A1559" s="2" t="s">
        <v>4212</v>
      </c>
      <c r="B1559" s="2" t="s">
        <v>4213</v>
      </c>
      <c r="C1559" s="2" t="s">
        <v>36</v>
      </c>
    </row>
    <row r="1560">
      <c r="A1560" s="2" t="s">
        <v>4214</v>
      </c>
      <c r="B1560" s="2" t="s">
        <v>4215</v>
      </c>
      <c r="C1560" s="2" t="s">
        <v>36</v>
      </c>
    </row>
    <row r="1561">
      <c r="A1561" s="2" t="s">
        <v>4216</v>
      </c>
      <c r="B1561" s="2" t="s">
        <v>4217</v>
      </c>
      <c r="C1561" s="2" t="s">
        <v>36</v>
      </c>
    </row>
    <row r="1562">
      <c r="A1562" s="2" t="s">
        <v>4218</v>
      </c>
      <c r="B1562" s="2" t="s">
        <v>4219</v>
      </c>
      <c r="C1562" s="2" t="s">
        <v>36</v>
      </c>
    </row>
    <row r="1563">
      <c r="A1563" s="2" t="s">
        <v>4220</v>
      </c>
      <c r="B1563" s="2" t="s">
        <v>4221</v>
      </c>
      <c r="C1563" s="2" t="s">
        <v>36</v>
      </c>
    </row>
    <row r="1564">
      <c r="A1564" s="2" t="s">
        <v>4222</v>
      </c>
      <c r="B1564" s="2" t="s">
        <v>4223</v>
      </c>
      <c r="C1564" s="2" t="s">
        <v>36</v>
      </c>
    </row>
    <row r="1565">
      <c r="A1565" s="2" t="s">
        <v>4224</v>
      </c>
      <c r="B1565" s="2" t="s">
        <v>4225</v>
      </c>
      <c r="C1565" s="2" t="s">
        <v>36</v>
      </c>
    </row>
    <row r="1566">
      <c r="A1566" s="2" t="s">
        <v>4226</v>
      </c>
      <c r="B1566" s="2" t="s">
        <v>4227</v>
      </c>
      <c r="C1566" s="2" t="s">
        <v>36</v>
      </c>
    </row>
    <row r="1567">
      <c r="A1567" s="2" t="s">
        <v>4228</v>
      </c>
      <c r="B1567" s="2" t="s">
        <v>4229</v>
      </c>
      <c r="C1567" s="2" t="s">
        <v>36</v>
      </c>
    </row>
    <row r="1568">
      <c r="A1568" s="2" t="s">
        <v>4230</v>
      </c>
      <c r="B1568" s="2" t="s">
        <v>4231</v>
      </c>
      <c r="C1568" s="2" t="s">
        <v>36</v>
      </c>
    </row>
    <row r="1569">
      <c r="A1569" s="2" t="s">
        <v>4232</v>
      </c>
      <c r="B1569" s="2" t="s">
        <v>4233</v>
      </c>
      <c r="C1569" s="2" t="s">
        <v>36</v>
      </c>
    </row>
    <row r="1570">
      <c r="A1570" s="2" t="s">
        <v>4234</v>
      </c>
      <c r="B1570" s="2" t="s">
        <v>4235</v>
      </c>
      <c r="C1570" s="2" t="s">
        <v>36</v>
      </c>
    </row>
    <row r="1571">
      <c r="A1571" s="2" t="s">
        <v>4237</v>
      </c>
      <c r="B1571" s="2" t="s">
        <v>4238</v>
      </c>
      <c r="C1571" s="2" t="s">
        <v>36</v>
      </c>
    </row>
    <row r="1572">
      <c r="A1572" s="2" t="s">
        <v>4239</v>
      </c>
      <c r="B1572" s="2" t="s">
        <v>4240</v>
      </c>
      <c r="C1572" s="2" t="s">
        <v>36</v>
      </c>
    </row>
    <row r="1573">
      <c r="A1573" s="2" t="s">
        <v>4241</v>
      </c>
      <c r="B1573" s="2" t="s">
        <v>4242</v>
      </c>
      <c r="C1573" s="2" t="s">
        <v>36</v>
      </c>
    </row>
    <row r="1574">
      <c r="A1574" s="2" t="s">
        <v>4243</v>
      </c>
      <c r="B1574" s="2" t="s">
        <v>4244</v>
      </c>
      <c r="C1574" s="2" t="s">
        <v>36</v>
      </c>
    </row>
    <row r="1575">
      <c r="A1575" s="2" t="s">
        <v>4245</v>
      </c>
      <c r="B1575" s="2" t="s">
        <v>4246</v>
      </c>
      <c r="C1575" s="2" t="s">
        <v>36</v>
      </c>
    </row>
    <row r="1576">
      <c r="A1576" s="2" t="s">
        <v>4248</v>
      </c>
      <c r="B1576" s="2" t="s">
        <v>4249</v>
      </c>
      <c r="C1576" s="2" t="s">
        <v>36</v>
      </c>
    </row>
    <row r="1577">
      <c r="A1577" s="2" t="s">
        <v>4250</v>
      </c>
      <c r="B1577" s="2" t="s">
        <v>4251</v>
      </c>
      <c r="C1577" s="2" t="s">
        <v>36</v>
      </c>
    </row>
    <row r="1578">
      <c r="A1578" s="2" t="s">
        <v>4252</v>
      </c>
      <c r="B1578" s="2" t="s">
        <v>4253</v>
      </c>
      <c r="C1578" s="2" t="s">
        <v>36</v>
      </c>
    </row>
    <row r="1579">
      <c r="A1579" s="2" t="s">
        <v>4255</v>
      </c>
      <c r="B1579" s="2" t="s">
        <v>4256</v>
      </c>
      <c r="C1579" s="2" t="s">
        <v>36</v>
      </c>
    </row>
    <row r="1580">
      <c r="A1580" s="2" t="s">
        <v>4257</v>
      </c>
      <c r="B1580" s="2" t="s">
        <v>4258</v>
      </c>
      <c r="C1580" s="2" t="s">
        <v>36</v>
      </c>
    </row>
    <row r="1581">
      <c r="A1581" s="2" t="s">
        <v>4259</v>
      </c>
      <c r="B1581" s="2" t="s">
        <v>4260</v>
      </c>
      <c r="C1581" s="2" t="s">
        <v>36</v>
      </c>
    </row>
    <row r="1582">
      <c r="A1582" s="2" t="s">
        <v>4261</v>
      </c>
      <c r="B1582" s="2" t="s">
        <v>4262</v>
      </c>
      <c r="C1582" s="2" t="s">
        <v>36</v>
      </c>
    </row>
    <row r="1583">
      <c r="A1583" s="2" t="s">
        <v>4263</v>
      </c>
      <c r="B1583" s="2" t="s">
        <v>4264</v>
      </c>
      <c r="C1583" s="2" t="s">
        <v>36</v>
      </c>
    </row>
    <row r="1584">
      <c r="A1584" s="2" t="s">
        <v>4265</v>
      </c>
      <c r="B1584" s="2" t="s">
        <v>4266</v>
      </c>
      <c r="C1584" s="2" t="s">
        <v>36</v>
      </c>
    </row>
    <row r="1585">
      <c r="A1585" s="2" t="s">
        <v>4267</v>
      </c>
      <c r="B1585" s="2" t="s">
        <v>4269</v>
      </c>
      <c r="C1585" s="2" t="s">
        <v>36</v>
      </c>
    </row>
    <row r="1586">
      <c r="A1586" s="2" t="s">
        <v>4270</v>
      </c>
      <c r="B1586" s="2" t="s">
        <v>4271</v>
      </c>
      <c r="C1586" s="2" t="s">
        <v>36</v>
      </c>
    </row>
    <row r="1587">
      <c r="A1587" s="2" t="s">
        <v>4272</v>
      </c>
      <c r="B1587" s="2" t="s">
        <v>4273</v>
      </c>
      <c r="C1587" s="2" t="s">
        <v>36</v>
      </c>
    </row>
    <row r="1588">
      <c r="A1588" s="2" t="s">
        <v>4274</v>
      </c>
      <c r="B1588" s="2" t="s">
        <v>4276</v>
      </c>
      <c r="C1588" s="2" t="s">
        <v>36</v>
      </c>
    </row>
    <row r="1589">
      <c r="A1589" s="2" t="s">
        <v>4277</v>
      </c>
      <c r="B1589" s="2" t="s">
        <v>4278</v>
      </c>
      <c r="C1589" s="2" t="s">
        <v>36</v>
      </c>
    </row>
    <row r="1590">
      <c r="A1590" s="2" t="s">
        <v>4279</v>
      </c>
      <c r="B1590" s="2" t="s">
        <v>4280</v>
      </c>
      <c r="C1590" s="2" t="s">
        <v>36</v>
      </c>
    </row>
    <row r="1591">
      <c r="A1591" s="2" t="s">
        <v>4281</v>
      </c>
      <c r="B1591" s="2" t="s">
        <v>4283</v>
      </c>
      <c r="C1591" s="2" t="s">
        <v>36</v>
      </c>
    </row>
    <row r="1592">
      <c r="A1592" s="2" t="s">
        <v>4284</v>
      </c>
      <c r="B1592" s="2" t="s">
        <v>4285</v>
      </c>
      <c r="C1592" s="2" t="s">
        <v>36</v>
      </c>
    </row>
    <row r="1593">
      <c r="A1593" s="2" t="s">
        <v>4286</v>
      </c>
      <c r="B1593" s="2" t="s">
        <v>4287</v>
      </c>
      <c r="C1593" s="2" t="s">
        <v>36</v>
      </c>
    </row>
    <row r="1594">
      <c r="A1594" s="2" t="s">
        <v>4289</v>
      </c>
      <c r="B1594" s="2" t="s">
        <v>4290</v>
      </c>
      <c r="C1594" s="2" t="s">
        <v>36</v>
      </c>
    </row>
    <row r="1595">
      <c r="A1595" s="2" t="s">
        <v>4291</v>
      </c>
      <c r="B1595" s="2" t="s">
        <v>4292</v>
      </c>
      <c r="C1595" s="2" t="s">
        <v>36</v>
      </c>
    </row>
    <row r="1596">
      <c r="A1596" s="2" t="s">
        <v>4293</v>
      </c>
      <c r="B1596" s="2" t="s">
        <v>4294</v>
      </c>
      <c r="C1596" s="2" t="s">
        <v>36</v>
      </c>
    </row>
    <row r="1597">
      <c r="A1597" s="2" t="s">
        <v>4296</v>
      </c>
      <c r="B1597" s="2" t="s">
        <v>4297</v>
      </c>
      <c r="C1597" s="2" t="s">
        <v>36</v>
      </c>
    </row>
    <row r="1598">
      <c r="A1598" s="2" t="s">
        <v>4298</v>
      </c>
      <c r="B1598" s="2" t="s">
        <v>4299</v>
      </c>
      <c r="C1598" s="2" t="s">
        <v>36</v>
      </c>
    </row>
    <row r="1599">
      <c r="A1599" s="2" t="s">
        <v>4300</v>
      </c>
      <c r="B1599" s="2" t="s">
        <v>4302</v>
      </c>
      <c r="C1599" s="2" t="s">
        <v>36</v>
      </c>
    </row>
    <row r="1600">
      <c r="A1600" s="2" t="s">
        <v>4303</v>
      </c>
      <c r="B1600" s="2" t="s">
        <v>4304</v>
      </c>
      <c r="C1600" s="2" t="s">
        <v>36</v>
      </c>
    </row>
    <row r="1601">
      <c r="A1601" s="2" t="s">
        <v>4305</v>
      </c>
      <c r="B1601" s="2" t="s">
        <v>4306</v>
      </c>
      <c r="C1601" s="2" t="s">
        <v>36</v>
      </c>
    </row>
    <row r="1602">
      <c r="A1602" s="2" t="s">
        <v>4308</v>
      </c>
      <c r="B1602" s="2" t="s">
        <v>4309</v>
      </c>
      <c r="C1602" s="2" t="s">
        <v>36</v>
      </c>
    </row>
    <row r="1603">
      <c r="A1603" s="2" t="s">
        <v>4310</v>
      </c>
      <c r="B1603" s="2" t="s">
        <v>4311</v>
      </c>
      <c r="C1603" s="2" t="s">
        <v>36</v>
      </c>
    </row>
    <row r="1604">
      <c r="A1604" s="2" t="s">
        <v>4312</v>
      </c>
      <c r="B1604" s="2" t="s">
        <v>4313</v>
      </c>
      <c r="C1604" s="2" t="s">
        <v>36</v>
      </c>
    </row>
    <row r="1605">
      <c r="A1605" s="2" t="s">
        <v>4315</v>
      </c>
      <c r="B1605" s="2" t="s">
        <v>4316</v>
      </c>
      <c r="C1605" s="2" t="s">
        <v>36</v>
      </c>
    </row>
    <row r="1606">
      <c r="A1606" s="2" t="s">
        <v>4317</v>
      </c>
      <c r="B1606" s="2" t="s">
        <v>4318</v>
      </c>
      <c r="C1606" s="2" t="s">
        <v>36</v>
      </c>
    </row>
    <row r="1607">
      <c r="A1607" s="2" t="s">
        <v>4319</v>
      </c>
      <c r="B1607" s="2" t="s">
        <v>4320</v>
      </c>
      <c r="C1607" s="2" t="s">
        <v>36</v>
      </c>
    </row>
    <row r="1608">
      <c r="A1608" s="2" t="s">
        <v>4321</v>
      </c>
      <c r="B1608" s="2" t="s">
        <v>4323</v>
      </c>
      <c r="C1608" s="2" t="s">
        <v>36</v>
      </c>
    </row>
    <row r="1609">
      <c r="A1609" s="2" t="s">
        <v>4324</v>
      </c>
      <c r="B1609" s="2" t="s">
        <v>4325</v>
      </c>
      <c r="C1609" s="2" t="s">
        <v>36</v>
      </c>
    </row>
    <row r="1610">
      <c r="A1610" s="2" t="s">
        <v>4326</v>
      </c>
      <c r="B1610" s="2" t="s">
        <v>4327</v>
      </c>
      <c r="C1610" s="2" t="s">
        <v>36</v>
      </c>
    </row>
    <row r="1611">
      <c r="A1611" s="2" t="s">
        <v>4328</v>
      </c>
      <c r="B1611" s="2" t="s">
        <v>4329</v>
      </c>
      <c r="C1611" s="2" t="s">
        <v>36</v>
      </c>
    </row>
    <row r="1612">
      <c r="A1612" s="2" t="s">
        <v>4331</v>
      </c>
      <c r="B1612" s="2" t="s">
        <v>4332</v>
      </c>
      <c r="C1612" s="2" t="s">
        <v>36</v>
      </c>
    </row>
    <row r="1613">
      <c r="A1613" s="2" t="s">
        <v>4333</v>
      </c>
      <c r="B1613" s="2" t="s">
        <v>4334</v>
      </c>
      <c r="C1613" s="2" t="s">
        <v>36</v>
      </c>
    </row>
    <row r="1614">
      <c r="A1614" s="2" t="s">
        <v>4335</v>
      </c>
      <c r="B1614" s="2" t="s">
        <v>4336</v>
      </c>
      <c r="C1614" s="2" t="s">
        <v>36</v>
      </c>
    </row>
    <row r="1615">
      <c r="A1615" s="2" t="s">
        <v>4338</v>
      </c>
      <c r="B1615" s="2" t="s">
        <v>4339</v>
      </c>
      <c r="C1615" s="2" t="s">
        <v>36</v>
      </c>
    </row>
    <row r="1616">
      <c r="A1616" s="2" t="s">
        <v>4340</v>
      </c>
      <c r="B1616" s="2" t="s">
        <v>4341</v>
      </c>
      <c r="C1616" s="2" t="s">
        <v>36</v>
      </c>
    </row>
    <row r="1617">
      <c r="A1617" s="2" t="s">
        <v>4343</v>
      </c>
      <c r="B1617" s="2" t="s">
        <v>4344</v>
      </c>
      <c r="C1617" s="2" t="s">
        <v>36</v>
      </c>
    </row>
    <row r="1618">
      <c r="A1618" s="2" t="s">
        <v>4345</v>
      </c>
      <c r="B1618" s="2" t="s">
        <v>4346</v>
      </c>
      <c r="C1618" s="2" t="s">
        <v>36</v>
      </c>
    </row>
    <row r="1619">
      <c r="A1619" s="2" t="s">
        <v>4347</v>
      </c>
      <c r="B1619" s="2" t="s">
        <v>4348</v>
      </c>
      <c r="C1619" s="2" t="s">
        <v>36</v>
      </c>
    </row>
    <row r="1620">
      <c r="A1620" s="2" t="s">
        <v>4350</v>
      </c>
      <c r="B1620" s="2" t="s">
        <v>4348</v>
      </c>
      <c r="C1620" s="2" t="s">
        <v>36</v>
      </c>
    </row>
    <row r="1621">
      <c r="A1621" s="2" t="s">
        <v>4351</v>
      </c>
      <c r="B1621" s="2" t="s">
        <v>4348</v>
      </c>
      <c r="C1621" s="2" t="s">
        <v>36</v>
      </c>
    </row>
    <row r="1622">
      <c r="A1622" s="2" t="s">
        <v>4352</v>
      </c>
      <c r="B1622" s="2" t="s">
        <v>4348</v>
      </c>
      <c r="C1622" s="2" t="s">
        <v>36</v>
      </c>
    </row>
    <row r="1623">
      <c r="A1623" s="2" t="s">
        <v>4353</v>
      </c>
      <c r="B1623" s="2" t="s">
        <v>4354</v>
      </c>
      <c r="C1623" s="2" t="s">
        <v>36</v>
      </c>
    </row>
    <row r="1624">
      <c r="A1624" s="2" t="s">
        <v>4356</v>
      </c>
      <c r="B1624" s="2" t="s">
        <v>4357</v>
      </c>
      <c r="C1624" s="2" t="s">
        <v>36</v>
      </c>
    </row>
    <row r="1625">
      <c r="A1625" s="2" t="s">
        <v>4358</v>
      </c>
      <c r="B1625" s="2" t="s">
        <v>4357</v>
      </c>
      <c r="C1625" s="2" t="s">
        <v>36</v>
      </c>
    </row>
    <row r="1626">
      <c r="A1626" s="2" t="s">
        <v>4359</v>
      </c>
      <c r="B1626" s="2" t="s">
        <v>4357</v>
      </c>
      <c r="C1626" s="2" t="s">
        <v>36</v>
      </c>
    </row>
    <row r="1627">
      <c r="A1627" s="2" t="s">
        <v>4360</v>
      </c>
      <c r="B1627" s="2" t="s">
        <v>4357</v>
      </c>
      <c r="C1627" s="2" t="s">
        <v>36</v>
      </c>
    </row>
    <row r="1628">
      <c r="A1628" s="2" t="s">
        <v>4363</v>
      </c>
      <c r="B1628" s="2" t="s">
        <v>4357</v>
      </c>
      <c r="C1628" s="2" t="s">
        <v>36</v>
      </c>
    </row>
    <row r="1629">
      <c r="A1629" s="2" t="s">
        <v>4364</v>
      </c>
      <c r="B1629" s="2" t="s">
        <v>4365</v>
      </c>
      <c r="C1629" s="2" t="s">
        <v>36</v>
      </c>
    </row>
    <row r="1630">
      <c r="A1630" s="2" t="s">
        <v>4366</v>
      </c>
      <c r="B1630" s="2" t="s">
        <v>4367</v>
      </c>
      <c r="C1630" s="2" t="s">
        <v>36</v>
      </c>
    </row>
    <row r="1631">
      <c r="A1631" s="2" t="s">
        <v>4368</v>
      </c>
      <c r="B1631" s="2" t="s">
        <v>4370</v>
      </c>
      <c r="C1631" s="2" t="s">
        <v>36</v>
      </c>
    </row>
    <row r="1632">
      <c r="A1632" s="2" t="s">
        <v>4371</v>
      </c>
      <c r="B1632" s="2" t="s">
        <v>4372</v>
      </c>
      <c r="C1632" s="2" t="s">
        <v>36</v>
      </c>
    </row>
    <row r="1633">
      <c r="A1633" s="2" t="s">
        <v>4373</v>
      </c>
      <c r="B1633" s="2" t="s">
        <v>4375</v>
      </c>
      <c r="C1633" s="2" t="s">
        <v>36</v>
      </c>
    </row>
    <row r="1634">
      <c r="A1634" s="2" t="s">
        <v>4376</v>
      </c>
      <c r="B1634" s="2" t="s">
        <v>4377</v>
      </c>
      <c r="C1634" s="2" t="s">
        <v>36</v>
      </c>
    </row>
    <row r="1635">
      <c r="A1635" s="2" t="s">
        <v>4378</v>
      </c>
      <c r="B1635" s="2" t="s">
        <v>4379</v>
      </c>
      <c r="C1635" s="2" t="s">
        <v>36</v>
      </c>
    </row>
    <row r="1636">
      <c r="A1636" s="2" t="s">
        <v>4381</v>
      </c>
      <c r="B1636" s="2" t="s">
        <v>4382</v>
      </c>
      <c r="C1636" s="2" t="s">
        <v>36</v>
      </c>
    </row>
    <row r="1637">
      <c r="A1637" s="2" t="s">
        <v>4383</v>
      </c>
      <c r="B1637" s="2" t="s">
        <v>4384</v>
      </c>
      <c r="C1637" s="2" t="s">
        <v>36</v>
      </c>
    </row>
    <row r="1638">
      <c r="A1638" s="2" t="s">
        <v>4385</v>
      </c>
      <c r="B1638" s="2" t="s">
        <v>4386</v>
      </c>
      <c r="C1638" s="2" t="s">
        <v>36</v>
      </c>
    </row>
    <row r="1639">
      <c r="A1639" s="2" t="s">
        <v>4387</v>
      </c>
      <c r="B1639" s="2" t="s">
        <v>4388</v>
      </c>
      <c r="C1639" s="2" t="s">
        <v>36</v>
      </c>
    </row>
    <row r="1640">
      <c r="A1640" s="2" t="s">
        <v>4389</v>
      </c>
      <c r="B1640" s="2" t="s">
        <v>4390</v>
      </c>
      <c r="C1640" s="2" t="s">
        <v>36</v>
      </c>
    </row>
    <row r="1641">
      <c r="A1641" s="2" t="s">
        <v>4391</v>
      </c>
      <c r="B1641" s="2" t="s">
        <v>4392</v>
      </c>
      <c r="C1641" s="2" t="s">
        <v>36</v>
      </c>
    </row>
    <row r="1642">
      <c r="A1642" s="2" t="s">
        <v>4393</v>
      </c>
      <c r="B1642" s="2" t="s">
        <v>4394</v>
      </c>
      <c r="C1642" s="2" t="s">
        <v>36</v>
      </c>
    </row>
    <row r="1643">
      <c r="A1643" s="2" t="s">
        <v>4395</v>
      </c>
      <c r="B1643" s="2" t="s">
        <v>4397</v>
      </c>
      <c r="C1643" s="2" t="s">
        <v>36</v>
      </c>
    </row>
    <row r="1644">
      <c r="A1644" s="2" t="s">
        <v>96</v>
      </c>
      <c r="B1644" s="2" t="s">
        <v>98</v>
      </c>
      <c r="C1644" s="2" t="s">
        <v>36</v>
      </c>
    </row>
    <row r="1645">
      <c r="A1645" s="2" t="s">
        <v>4399</v>
      </c>
      <c r="B1645" s="2" t="s">
        <v>4400</v>
      </c>
      <c r="C1645" s="2" t="s">
        <v>36</v>
      </c>
    </row>
    <row r="1646">
      <c r="A1646" s="2" t="s">
        <v>4401</v>
      </c>
      <c r="B1646" s="2" t="s">
        <v>4403</v>
      </c>
      <c r="C1646" s="2" t="s">
        <v>36</v>
      </c>
    </row>
    <row r="1647">
      <c r="A1647" s="2" t="s">
        <v>4404</v>
      </c>
      <c r="B1647" s="2" t="s">
        <v>4405</v>
      </c>
      <c r="C1647" s="2" t="s">
        <v>36</v>
      </c>
    </row>
    <row r="1648">
      <c r="A1648" s="2" t="s">
        <v>4406</v>
      </c>
      <c r="B1648" s="2" t="s">
        <v>4407</v>
      </c>
      <c r="C1648" s="2" t="s">
        <v>36</v>
      </c>
    </row>
    <row r="1649">
      <c r="A1649" s="2" t="s">
        <v>4408</v>
      </c>
      <c r="B1649" s="2" t="s">
        <v>4410</v>
      </c>
      <c r="C1649" s="2" t="s">
        <v>36</v>
      </c>
    </row>
    <row r="1650">
      <c r="A1650" s="2" t="s">
        <v>4411</v>
      </c>
      <c r="B1650" s="2" t="s">
        <v>4412</v>
      </c>
      <c r="C1650" s="2" t="s">
        <v>36</v>
      </c>
    </row>
    <row r="1651">
      <c r="A1651" s="2" t="s">
        <v>4413</v>
      </c>
      <c r="B1651" s="2" t="s">
        <v>4414</v>
      </c>
      <c r="C1651" s="2" t="s">
        <v>36</v>
      </c>
    </row>
    <row r="1652">
      <c r="A1652" s="2" t="s">
        <v>4415</v>
      </c>
      <c r="B1652" s="2" t="s">
        <v>4416</v>
      </c>
      <c r="C1652" s="2" t="s">
        <v>36</v>
      </c>
    </row>
    <row r="1653">
      <c r="A1653" s="2" t="s">
        <v>4417</v>
      </c>
      <c r="B1653" s="2" t="s">
        <v>4418</v>
      </c>
      <c r="C1653" s="2" t="s">
        <v>36</v>
      </c>
    </row>
    <row r="1654">
      <c r="A1654" s="2" t="s">
        <v>4419</v>
      </c>
      <c r="B1654" s="2" t="s">
        <v>4420</v>
      </c>
      <c r="C1654" s="2" t="s">
        <v>36</v>
      </c>
    </row>
    <row r="1655">
      <c r="A1655" s="2" t="s">
        <v>4421</v>
      </c>
      <c r="B1655" s="2" t="s">
        <v>4422</v>
      </c>
      <c r="C1655" s="2" t="s">
        <v>36</v>
      </c>
    </row>
    <row r="1656">
      <c r="A1656" s="2" t="s">
        <v>4424</v>
      </c>
      <c r="B1656" s="2" t="s">
        <v>4425</v>
      </c>
      <c r="C1656" s="2" t="s">
        <v>36</v>
      </c>
    </row>
    <row r="1657">
      <c r="A1657" s="2" t="s">
        <v>4426</v>
      </c>
      <c r="B1657" s="2" t="s">
        <v>4427</v>
      </c>
      <c r="C1657" s="2" t="s">
        <v>36</v>
      </c>
    </row>
    <row r="1658">
      <c r="A1658" s="2" t="s">
        <v>4428</v>
      </c>
      <c r="B1658" s="2" t="s">
        <v>4429</v>
      </c>
      <c r="C1658" s="2" t="s">
        <v>36</v>
      </c>
    </row>
    <row r="1659">
      <c r="A1659" s="2" t="s">
        <v>4431</v>
      </c>
      <c r="B1659" s="2" t="s">
        <v>4432</v>
      </c>
      <c r="C1659" s="2" t="s">
        <v>36</v>
      </c>
    </row>
    <row r="1660">
      <c r="A1660" s="2" t="s">
        <v>4433</v>
      </c>
      <c r="B1660" s="2" t="s">
        <v>4435</v>
      </c>
      <c r="C1660" s="2" t="s">
        <v>36</v>
      </c>
    </row>
    <row r="1661">
      <c r="A1661" s="2" t="s">
        <v>4436</v>
      </c>
      <c r="B1661" s="2" t="s">
        <v>4437</v>
      </c>
      <c r="C1661" s="2" t="s">
        <v>36</v>
      </c>
    </row>
    <row r="1662">
      <c r="A1662" s="2" t="s">
        <v>4438</v>
      </c>
      <c r="B1662" s="2" t="s">
        <v>4439</v>
      </c>
      <c r="C1662" s="2" t="s">
        <v>36</v>
      </c>
    </row>
    <row r="1663">
      <c r="A1663" s="2" t="s">
        <v>4441</v>
      </c>
      <c r="B1663" s="2" t="s">
        <v>4442</v>
      </c>
      <c r="C1663" s="2" t="s">
        <v>36</v>
      </c>
    </row>
    <row r="1664">
      <c r="A1664" s="2" t="s">
        <v>4444</v>
      </c>
      <c r="B1664" s="2" t="s">
        <v>4445</v>
      </c>
      <c r="C1664" s="2" t="s">
        <v>36</v>
      </c>
    </row>
    <row r="1665">
      <c r="A1665" s="2" t="s">
        <v>4446</v>
      </c>
      <c r="B1665" s="2" t="s">
        <v>4447</v>
      </c>
      <c r="C1665" s="2" t="s">
        <v>36</v>
      </c>
    </row>
    <row r="1666">
      <c r="A1666" s="2" t="s">
        <v>4448</v>
      </c>
      <c r="B1666" s="2" t="s">
        <v>4449</v>
      </c>
      <c r="C1666" s="2" t="s">
        <v>36</v>
      </c>
    </row>
    <row r="1667">
      <c r="A1667" s="2" t="s">
        <v>4450</v>
      </c>
      <c r="B1667" s="2" t="s">
        <v>4451</v>
      </c>
      <c r="C1667" s="2" t="s">
        <v>36</v>
      </c>
    </row>
    <row r="1668">
      <c r="A1668" s="2" t="s">
        <v>4452</v>
      </c>
      <c r="B1668" s="2" t="s">
        <v>4453</v>
      </c>
      <c r="C1668" s="2" t="s">
        <v>36</v>
      </c>
    </row>
    <row r="1669">
      <c r="A1669" s="2" t="s">
        <v>4454</v>
      </c>
      <c r="B1669" s="2" t="s">
        <v>4453</v>
      </c>
      <c r="C1669" s="2" t="s">
        <v>36</v>
      </c>
    </row>
    <row r="1670">
      <c r="A1670" s="2" t="s">
        <v>4455</v>
      </c>
      <c r="B1670" s="2" t="s">
        <v>4453</v>
      </c>
      <c r="C1670" s="2" t="s">
        <v>36</v>
      </c>
    </row>
    <row r="1671">
      <c r="A1671" s="2" t="s">
        <v>4456</v>
      </c>
      <c r="B1671" s="2" t="s">
        <v>4458</v>
      </c>
      <c r="C1671" s="2" t="s">
        <v>36</v>
      </c>
    </row>
    <row r="1672">
      <c r="A1672" s="2" t="s">
        <v>4459</v>
      </c>
      <c r="B1672" s="2" t="s">
        <v>4460</v>
      </c>
      <c r="C1672" s="2" t="s">
        <v>36</v>
      </c>
    </row>
    <row r="1673">
      <c r="A1673" s="2" t="s">
        <v>100</v>
      </c>
      <c r="B1673" s="2" t="s">
        <v>102</v>
      </c>
      <c r="C1673" s="2" t="s">
        <v>36</v>
      </c>
    </row>
    <row r="1674">
      <c r="A1674" s="2" t="s">
        <v>4461</v>
      </c>
      <c r="B1674" s="2" t="s">
        <v>4462</v>
      </c>
      <c r="C1674" s="2" t="s">
        <v>36</v>
      </c>
    </row>
    <row r="1675">
      <c r="A1675" s="2" t="s">
        <v>4463</v>
      </c>
      <c r="B1675" s="2" t="s">
        <v>4464</v>
      </c>
      <c r="C1675" s="2" t="s">
        <v>36</v>
      </c>
    </row>
    <row r="1676">
      <c r="A1676" s="2" t="s">
        <v>4465</v>
      </c>
      <c r="B1676" s="2" t="s">
        <v>4466</v>
      </c>
      <c r="C1676" s="2" t="s">
        <v>36</v>
      </c>
    </row>
    <row r="1677">
      <c r="A1677" s="2" t="s">
        <v>4467</v>
      </c>
      <c r="B1677" s="2" t="s">
        <v>4468</v>
      </c>
      <c r="C1677" s="2" t="s">
        <v>36</v>
      </c>
    </row>
    <row r="1678">
      <c r="A1678" s="2" t="s">
        <v>4469</v>
      </c>
      <c r="B1678" s="2" t="s">
        <v>4470</v>
      </c>
      <c r="C1678" s="2" t="s">
        <v>36</v>
      </c>
    </row>
    <row r="1679">
      <c r="A1679" s="2" t="s">
        <v>4471</v>
      </c>
      <c r="B1679" s="2" t="s">
        <v>4472</v>
      </c>
      <c r="C1679" s="2" t="s">
        <v>36</v>
      </c>
    </row>
    <row r="1680">
      <c r="A1680" s="2" t="s">
        <v>4473</v>
      </c>
      <c r="B1680" s="2" t="s">
        <v>4474</v>
      </c>
      <c r="C1680" s="2" t="s">
        <v>36</v>
      </c>
    </row>
    <row r="1681">
      <c r="A1681" s="2" t="s">
        <v>4475</v>
      </c>
      <c r="B1681" s="2" t="s">
        <v>4476</v>
      </c>
      <c r="C1681" s="2" t="s">
        <v>36</v>
      </c>
    </row>
    <row r="1682">
      <c r="A1682" s="2" t="s">
        <v>4477</v>
      </c>
      <c r="B1682" s="2" t="s">
        <v>4478</v>
      </c>
      <c r="C1682" s="2" t="s">
        <v>36</v>
      </c>
    </row>
    <row r="1683">
      <c r="A1683" s="2" t="s">
        <v>4479</v>
      </c>
      <c r="B1683" s="2" t="s">
        <v>4480</v>
      </c>
      <c r="C1683" s="2" t="s">
        <v>36</v>
      </c>
    </row>
    <row r="1684">
      <c r="A1684" s="2" t="s">
        <v>4481</v>
      </c>
      <c r="B1684" s="2" t="s">
        <v>4482</v>
      </c>
      <c r="C1684" s="2" t="s">
        <v>36</v>
      </c>
    </row>
    <row r="1685">
      <c r="A1685" s="2" t="s">
        <v>4483</v>
      </c>
      <c r="B1685" s="2" t="s">
        <v>4484</v>
      </c>
      <c r="C1685" s="2" t="s">
        <v>36</v>
      </c>
    </row>
    <row r="1686">
      <c r="A1686" s="2" t="s">
        <v>4485</v>
      </c>
      <c r="B1686" s="2" t="s">
        <v>4486</v>
      </c>
      <c r="C1686" s="2" t="s">
        <v>36</v>
      </c>
    </row>
    <row r="1687">
      <c r="A1687" s="2" t="s">
        <v>4487</v>
      </c>
      <c r="B1687" s="2" t="s">
        <v>4488</v>
      </c>
      <c r="C1687" s="2" t="s">
        <v>36</v>
      </c>
    </row>
    <row r="1688">
      <c r="A1688" s="2" t="s">
        <v>4489</v>
      </c>
      <c r="B1688" s="2" t="s">
        <v>4490</v>
      </c>
      <c r="C1688" s="2" t="s">
        <v>36</v>
      </c>
    </row>
    <row r="1689">
      <c r="A1689" s="2" t="s">
        <v>4491</v>
      </c>
      <c r="B1689" s="2" t="s">
        <v>4492</v>
      </c>
      <c r="C1689" s="2" t="s">
        <v>36</v>
      </c>
    </row>
    <row r="1690">
      <c r="A1690" s="2" t="s">
        <v>4493</v>
      </c>
      <c r="B1690" s="2" t="s">
        <v>4494</v>
      </c>
      <c r="C1690" s="2" t="s">
        <v>36</v>
      </c>
    </row>
    <row r="1691">
      <c r="A1691" s="2" t="s">
        <v>4495</v>
      </c>
      <c r="B1691" s="2" t="s">
        <v>4496</v>
      </c>
      <c r="C1691" s="2" t="s">
        <v>36</v>
      </c>
    </row>
    <row r="1692">
      <c r="A1692" s="2" t="s">
        <v>4497</v>
      </c>
      <c r="B1692" s="2" t="s">
        <v>4498</v>
      </c>
      <c r="C1692" s="2" t="s">
        <v>36</v>
      </c>
    </row>
    <row r="1693">
      <c r="A1693" s="2" t="s">
        <v>4499</v>
      </c>
      <c r="B1693" s="2" t="s">
        <v>4500</v>
      </c>
      <c r="C1693" s="2" t="s">
        <v>36</v>
      </c>
    </row>
    <row r="1694">
      <c r="A1694" s="2" t="s">
        <v>4501</v>
      </c>
      <c r="B1694" s="2" t="s">
        <v>4502</v>
      </c>
      <c r="C1694" s="2" t="s">
        <v>36</v>
      </c>
    </row>
    <row r="1695">
      <c r="A1695" s="2" t="s">
        <v>4503</v>
      </c>
      <c r="B1695" s="2" t="s">
        <v>4504</v>
      </c>
      <c r="C1695" s="2" t="s">
        <v>36</v>
      </c>
    </row>
    <row r="1696">
      <c r="A1696" s="2" t="s">
        <v>4505</v>
      </c>
      <c r="B1696" s="2" t="s">
        <v>4506</v>
      </c>
      <c r="C1696" s="2" t="s">
        <v>36</v>
      </c>
    </row>
    <row r="1697">
      <c r="A1697" s="2" t="s">
        <v>4507</v>
      </c>
      <c r="B1697" s="2" t="s">
        <v>4508</v>
      </c>
      <c r="C1697" s="2" t="s">
        <v>36</v>
      </c>
    </row>
    <row r="1698">
      <c r="A1698" s="2" t="s">
        <v>4509</v>
      </c>
      <c r="B1698" s="2" t="s">
        <v>4510</v>
      </c>
      <c r="C1698" s="2" t="s">
        <v>36</v>
      </c>
    </row>
    <row r="1699">
      <c r="A1699" s="2" t="s">
        <v>4511</v>
      </c>
      <c r="B1699" s="2" t="s">
        <v>4512</v>
      </c>
      <c r="C1699" s="2" t="s">
        <v>36</v>
      </c>
    </row>
    <row r="1700">
      <c r="A1700" s="2" t="s">
        <v>4513</v>
      </c>
      <c r="B1700" s="2" t="s">
        <v>4514</v>
      </c>
      <c r="C1700" s="2" t="s">
        <v>36</v>
      </c>
    </row>
    <row r="1701">
      <c r="A1701" s="2" t="s">
        <v>4515</v>
      </c>
      <c r="B1701" s="2" t="s">
        <v>4516</v>
      </c>
      <c r="C1701" s="2" t="s">
        <v>36</v>
      </c>
    </row>
    <row r="1702">
      <c r="A1702" s="2" t="s">
        <v>4517</v>
      </c>
      <c r="B1702" s="2" t="s">
        <v>4518</v>
      </c>
      <c r="C1702" s="2" t="s">
        <v>36</v>
      </c>
    </row>
    <row r="1703">
      <c r="A1703" s="2" t="s">
        <v>4519</v>
      </c>
      <c r="B1703" s="2" t="s">
        <v>4520</v>
      </c>
      <c r="C1703" s="2" t="s">
        <v>36</v>
      </c>
    </row>
    <row r="1704">
      <c r="A1704" s="2" t="s">
        <v>4521</v>
      </c>
      <c r="B1704" s="2" t="s">
        <v>4522</v>
      </c>
      <c r="C1704" s="2" t="s">
        <v>36</v>
      </c>
    </row>
    <row r="1705">
      <c r="A1705" s="2" t="s">
        <v>4523</v>
      </c>
      <c r="B1705" s="2" t="s">
        <v>4524</v>
      </c>
      <c r="C1705" s="2" t="s">
        <v>36</v>
      </c>
    </row>
    <row r="1706">
      <c r="A1706" s="2" t="s">
        <v>4525</v>
      </c>
      <c r="B1706" s="2" t="s">
        <v>4526</v>
      </c>
      <c r="C1706" s="2" t="s">
        <v>36</v>
      </c>
    </row>
    <row r="1707">
      <c r="A1707" s="2" t="s">
        <v>4527</v>
      </c>
      <c r="B1707" s="2" t="s">
        <v>4528</v>
      </c>
      <c r="C1707" s="2" t="s">
        <v>36</v>
      </c>
    </row>
    <row r="1708">
      <c r="A1708" s="2" t="s">
        <v>4529</v>
      </c>
      <c r="B1708" s="2" t="s">
        <v>4530</v>
      </c>
      <c r="C1708" s="2" t="s">
        <v>36</v>
      </c>
    </row>
    <row r="1709">
      <c r="A1709" s="2" t="s">
        <v>4531</v>
      </c>
      <c r="B1709" s="2" t="s">
        <v>4532</v>
      </c>
      <c r="C1709" s="2" t="s">
        <v>36</v>
      </c>
    </row>
    <row r="1710">
      <c r="A1710" s="2" t="s">
        <v>4533</v>
      </c>
      <c r="B1710" s="2" t="s">
        <v>4534</v>
      </c>
      <c r="C1710" s="2" t="s">
        <v>36</v>
      </c>
    </row>
    <row r="1711">
      <c r="A1711" s="2" t="s">
        <v>4535</v>
      </c>
      <c r="B1711" s="2" t="s">
        <v>4536</v>
      </c>
      <c r="C1711" s="2" t="s">
        <v>36</v>
      </c>
    </row>
    <row r="1712">
      <c r="A1712" s="2" t="s">
        <v>4537</v>
      </c>
      <c r="B1712" s="2" t="s">
        <v>4538</v>
      </c>
      <c r="C1712" s="2" t="s">
        <v>36</v>
      </c>
    </row>
    <row r="1713">
      <c r="A1713" s="2" t="s">
        <v>4539</v>
      </c>
      <c r="B1713" s="2" t="s">
        <v>4540</v>
      </c>
      <c r="C1713" s="2" t="s">
        <v>36</v>
      </c>
    </row>
    <row r="1714">
      <c r="A1714" s="2" t="s">
        <v>4541</v>
      </c>
      <c r="B1714" s="2" t="s">
        <v>4542</v>
      </c>
      <c r="C1714" s="2" t="s">
        <v>36</v>
      </c>
    </row>
    <row r="1715">
      <c r="A1715" s="2" t="s">
        <v>4543</v>
      </c>
      <c r="B1715" s="2" t="s">
        <v>4544</v>
      </c>
      <c r="C1715" s="2" t="s">
        <v>36</v>
      </c>
    </row>
    <row r="1716">
      <c r="A1716" s="2" t="s">
        <v>4545</v>
      </c>
      <c r="B1716" s="2" t="s">
        <v>4546</v>
      </c>
      <c r="C1716" s="2" t="s">
        <v>36</v>
      </c>
    </row>
    <row r="1717">
      <c r="A1717" s="2" t="s">
        <v>4547</v>
      </c>
      <c r="B1717" s="2" t="s">
        <v>4548</v>
      </c>
      <c r="C1717" s="2" t="s">
        <v>36</v>
      </c>
    </row>
    <row r="1718">
      <c r="A1718" s="2" t="s">
        <v>4549</v>
      </c>
      <c r="B1718" s="2" t="s">
        <v>4550</v>
      </c>
      <c r="C1718" s="2" t="s">
        <v>36</v>
      </c>
    </row>
    <row r="1719">
      <c r="A1719" s="2" t="s">
        <v>4551</v>
      </c>
      <c r="B1719" s="2" t="s">
        <v>4552</v>
      </c>
      <c r="C1719" s="2" t="s">
        <v>36</v>
      </c>
    </row>
    <row r="1720">
      <c r="A1720" s="2" t="s">
        <v>4553</v>
      </c>
      <c r="B1720" s="2" t="s">
        <v>4554</v>
      </c>
      <c r="C1720" s="2" t="s">
        <v>36</v>
      </c>
    </row>
    <row r="1721">
      <c r="A1721" s="2" t="s">
        <v>4555</v>
      </c>
      <c r="B1721" s="2" t="s">
        <v>4556</v>
      </c>
      <c r="C1721" s="2" t="s">
        <v>36</v>
      </c>
    </row>
    <row r="1722">
      <c r="A1722" s="2" t="s">
        <v>4557</v>
      </c>
      <c r="B1722" s="2" t="s">
        <v>4558</v>
      </c>
      <c r="C1722" s="2" t="s">
        <v>36</v>
      </c>
    </row>
    <row r="1723">
      <c r="A1723" s="2" t="s">
        <v>4559</v>
      </c>
      <c r="B1723" s="2" t="s">
        <v>4560</v>
      </c>
      <c r="C1723" s="2" t="s">
        <v>36</v>
      </c>
    </row>
    <row r="1724">
      <c r="A1724" s="2" t="s">
        <v>4561</v>
      </c>
      <c r="B1724" s="2" t="s">
        <v>4562</v>
      </c>
      <c r="C1724" s="2" t="s">
        <v>36</v>
      </c>
    </row>
    <row r="1725">
      <c r="A1725" s="2" t="s">
        <v>4563</v>
      </c>
      <c r="B1725" s="2" t="s">
        <v>4564</v>
      </c>
      <c r="C1725" s="2" t="s">
        <v>36</v>
      </c>
    </row>
    <row r="1726">
      <c r="A1726" s="2" t="s">
        <v>4565</v>
      </c>
      <c r="B1726" s="2" t="s">
        <v>4566</v>
      </c>
      <c r="C1726" s="2" t="s">
        <v>36</v>
      </c>
    </row>
    <row r="1727">
      <c r="A1727" s="2" t="s">
        <v>4567</v>
      </c>
      <c r="B1727" s="2" t="s">
        <v>4568</v>
      </c>
      <c r="C1727" s="2" t="s">
        <v>36</v>
      </c>
    </row>
    <row r="1728">
      <c r="A1728" s="2" t="s">
        <v>4569</v>
      </c>
      <c r="B1728" s="2" t="s">
        <v>4570</v>
      </c>
      <c r="C1728" s="2" t="s">
        <v>36</v>
      </c>
    </row>
    <row r="1729">
      <c r="A1729" s="2" t="s">
        <v>4571</v>
      </c>
      <c r="B1729" s="2" t="s">
        <v>4572</v>
      </c>
      <c r="C1729" s="2" t="s">
        <v>36</v>
      </c>
    </row>
    <row r="1730">
      <c r="A1730" s="2" t="s">
        <v>4573</v>
      </c>
      <c r="B1730" s="2" t="s">
        <v>4574</v>
      </c>
      <c r="C1730" s="2" t="s">
        <v>36</v>
      </c>
    </row>
    <row r="1731">
      <c r="A1731" s="2" t="s">
        <v>4575</v>
      </c>
      <c r="B1731" s="2" t="s">
        <v>4576</v>
      </c>
      <c r="C1731" s="2" t="s">
        <v>36</v>
      </c>
    </row>
    <row r="1732">
      <c r="A1732" s="2" t="s">
        <v>4577</v>
      </c>
      <c r="B1732" s="2" t="s">
        <v>4578</v>
      </c>
      <c r="C1732" s="2" t="s">
        <v>36</v>
      </c>
    </row>
    <row r="1733">
      <c r="A1733" s="2" t="s">
        <v>4579</v>
      </c>
      <c r="B1733" s="2" t="s">
        <v>4580</v>
      </c>
      <c r="C1733" s="2" t="s">
        <v>36</v>
      </c>
    </row>
    <row r="1734">
      <c r="A1734" s="2" t="s">
        <v>4581</v>
      </c>
      <c r="B1734" s="2" t="s">
        <v>4582</v>
      </c>
      <c r="C1734" s="2" t="s">
        <v>36</v>
      </c>
    </row>
    <row r="1735">
      <c r="A1735" s="2" t="s">
        <v>4583</v>
      </c>
      <c r="B1735" s="2" t="s">
        <v>4584</v>
      </c>
      <c r="C1735" s="2" t="s">
        <v>36</v>
      </c>
    </row>
    <row r="1736">
      <c r="A1736" s="2" t="s">
        <v>4585</v>
      </c>
      <c r="B1736" s="2" t="s">
        <v>4586</v>
      </c>
      <c r="C1736" s="2" t="s">
        <v>36</v>
      </c>
    </row>
    <row r="1737">
      <c r="A1737" s="2" t="s">
        <v>4587</v>
      </c>
      <c r="B1737" s="2" t="s">
        <v>4588</v>
      </c>
      <c r="C1737" s="2" t="s">
        <v>36</v>
      </c>
    </row>
    <row r="1738">
      <c r="A1738" s="2" t="s">
        <v>4589</v>
      </c>
      <c r="B1738" s="2" t="s">
        <v>4590</v>
      </c>
      <c r="C1738" s="2" t="s">
        <v>36</v>
      </c>
    </row>
    <row r="1739">
      <c r="A1739" s="2" t="s">
        <v>4591</v>
      </c>
      <c r="B1739" s="2" t="s">
        <v>4592</v>
      </c>
      <c r="C1739" s="2" t="s">
        <v>36</v>
      </c>
    </row>
    <row r="1740">
      <c r="A1740" s="2" t="s">
        <v>4593</v>
      </c>
      <c r="B1740" s="2" t="s">
        <v>4594</v>
      </c>
      <c r="C1740" s="2" t="s">
        <v>36</v>
      </c>
    </row>
    <row r="1741">
      <c r="A1741" s="2" t="s">
        <v>4595</v>
      </c>
      <c r="B1741" s="2" t="s">
        <v>4596</v>
      </c>
      <c r="C1741" s="2" t="s">
        <v>36</v>
      </c>
    </row>
    <row r="1742">
      <c r="A1742" s="2" t="s">
        <v>4598</v>
      </c>
      <c r="B1742" s="2" t="s">
        <v>4599</v>
      </c>
      <c r="C1742" s="2" t="s">
        <v>36</v>
      </c>
    </row>
    <row r="1743">
      <c r="A1743" s="2" t="s">
        <v>4600</v>
      </c>
      <c r="B1743" s="2" t="s">
        <v>4601</v>
      </c>
      <c r="C1743" s="2" t="s">
        <v>36</v>
      </c>
    </row>
    <row r="1744">
      <c r="A1744" s="2" t="s">
        <v>4602</v>
      </c>
      <c r="B1744" s="2" t="s">
        <v>4603</v>
      </c>
      <c r="C1744" s="2" t="s">
        <v>36</v>
      </c>
    </row>
    <row r="1745">
      <c r="A1745" s="2" t="s">
        <v>4604</v>
      </c>
      <c r="B1745" s="2" t="s">
        <v>4605</v>
      </c>
      <c r="C1745" s="2" t="s">
        <v>36</v>
      </c>
    </row>
    <row r="1746">
      <c r="A1746" s="2" t="s">
        <v>4607</v>
      </c>
      <c r="B1746" s="2" t="s">
        <v>4610</v>
      </c>
      <c r="C1746" s="2" t="s">
        <v>36</v>
      </c>
    </row>
    <row r="1747">
      <c r="A1747" s="2" t="s">
        <v>4612</v>
      </c>
      <c r="B1747" s="2" t="s">
        <v>4613</v>
      </c>
      <c r="C1747" s="2" t="s">
        <v>36</v>
      </c>
    </row>
    <row r="1748">
      <c r="A1748" s="2" t="s">
        <v>4615</v>
      </c>
      <c r="B1748" s="2" t="s">
        <v>4616</v>
      </c>
      <c r="C1748" s="2" t="s">
        <v>36</v>
      </c>
    </row>
    <row r="1749">
      <c r="A1749" s="2" t="s">
        <v>4617</v>
      </c>
      <c r="B1749" s="2" t="s">
        <v>4618</v>
      </c>
      <c r="C1749" s="2" t="s">
        <v>36</v>
      </c>
    </row>
    <row r="1750">
      <c r="A1750" s="2" t="s">
        <v>4619</v>
      </c>
      <c r="B1750" s="2" t="s">
        <v>4620</v>
      </c>
      <c r="C1750" s="2" t="s">
        <v>36</v>
      </c>
    </row>
    <row r="1751">
      <c r="A1751" s="2" t="s">
        <v>4623</v>
      </c>
      <c r="B1751" s="2" t="s">
        <v>4624</v>
      </c>
      <c r="C1751" s="2" t="s">
        <v>36</v>
      </c>
    </row>
    <row r="1752">
      <c r="A1752" s="2" t="s">
        <v>4625</v>
      </c>
      <c r="B1752" s="2" t="s">
        <v>4626</v>
      </c>
      <c r="C1752" s="2" t="s">
        <v>36</v>
      </c>
    </row>
    <row r="1753">
      <c r="A1753" s="2" t="s">
        <v>4627</v>
      </c>
      <c r="B1753" s="2" t="s">
        <v>4628</v>
      </c>
      <c r="C1753" s="2" t="s">
        <v>36</v>
      </c>
    </row>
    <row r="1754">
      <c r="A1754" s="2" t="s">
        <v>4630</v>
      </c>
      <c r="B1754" s="2" t="s">
        <v>4631</v>
      </c>
      <c r="C1754" s="2" t="s">
        <v>36</v>
      </c>
    </row>
    <row r="1755">
      <c r="A1755" s="2" t="s">
        <v>4632</v>
      </c>
      <c r="B1755" s="2" t="s">
        <v>4633</v>
      </c>
      <c r="C1755" s="2" t="s">
        <v>36</v>
      </c>
    </row>
    <row r="1756">
      <c r="A1756" s="2" t="s">
        <v>4634</v>
      </c>
      <c r="B1756" s="2" t="s">
        <v>4635</v>
      </c>
      <c r="C1756" s="2" t="s">
        <v>36</v>
      </c>
    </row>
    <row r="1757">
      <c r="A1757" s="2" t="s">
        <v>4637</v>
      </c>
      <c r="B1757" s="2" t="s">
        <v>4638</v>
      </c>
      <c r="C1757" s="2" t="s">
        <v>36</v>
      </c>
    </row>
    <row r="1758">
      <c r="A1758" s="2" t="s">
        <v>4639</v>
      </c>
      <c r="B1758" s="2" t="s">
        <v>4640</v>
      </c>
      <c r="C1758" s="2" t="s">
        <v>36</v>
      </c>
    </row>
    <row r="1759">
      <c r="A1759" s="2" t="s">
        <v>4641</v>
      </c>
      <c r="B1759" s="2" t="s">
        <v>4642</v>
      </c>
      <c r="C1759" s="2" t="s">
        <v>36</v>
      </c>
    </row>
    <row r="1760">
      <c r="A1760" s="2" t="s">
        <v>4645</v>
      </c>
      <c r="B1760" s="2" t="s">
        <v>4646</v>
      </c>
      <c r="C1760" s="2" t="s">
        <v>36</v>
      </c>
    </row>
    <row r="1761">
      <c r="A1761" s="2" t="s">
        <v>4647</v>
      </c>
      <c r="B1761" s="2" t="s">
        <v>4648</v>
      </c>
      <c r="C1761" s="2" t="s">
        <v>36</v>
      </c>
    </row>
    <row r="1762">
      <c r="A1762" s="2" t="s">
        <v>4649</v>
      </c>
      <c r="B1762" s="2" t="s">
        <v>4650</v>
      </c>
      <c r="C1762" s="2" t="s">
        <v>36</v>
      </c>
    </row>
    <row r="1763">
      <c r="A1763" s="2" t="s">
        <v>4652</v>
      </c>
      <c r="B1763" s="2" t="s">
        <v>4653</v>
      </c>
      <c r="C1763" s="2" t="s">
        <v>36</v>
      </c>
    </row>
    <row r="1764">
      <c r="A1764" s="2" t="s">
        <v>4654</v>
      </c>
      <c r="B1764" s="2" t="s">
        <v>4655</v>
      </c>
      <c r="C1764" s="2" t="s">
        <v>36</v>
      </c>
    </row>
    <row r="1765">
      <c r="A1765" s="2" t="s">
        <v>4656</v>
      </c>
      <c r="B1765" s="2" t="s">
        <v>4657</v>
      </c>
      <c r="C1765" s="2" t="s">
        <v>36</v>
      </c>
    </row>
    <row r="1766">
      <c r="A1766" s="2" t="s">
        <v>4658</v>
      </c>
      <c r="B1766" s="2" t="s">
        <v>4659</v>
      </c>
      <c r="C1766" s="2" t="s">
        <v>36</v>
      </c>
    </row>
    <row r="1767">
      <c r="A1767" s="2" t="s">
        <v>4660</v>
      </c>
      <c r="B1767" s="2" t="s">
        <v>4661</v>
      </c>
      <c r="C1767" s="2" t="s">
        <v>36</v>
      </c>
    </row>
    <row r="1768">
      <c r="A1768" s="2" t="s">
        <v>4662</v>
      </c>
      <c r="B1768" s="2" t="s">
        <v>4663</v>
      </c>
      <c r="C1768" s="2" t="s">
        <v>36</v>
      </c>
    </row>
    <row r="1769">
      <c r="A1769" s="2" t="s">
        <v>4665</v>
      </c>
      <c r="B1769" s="2" t="s">
        <v>4666</v>
      </c>
      <c r="C1769" s="2" t="s">
        <v>36</v>
      </c>
    </row>
    <row r="1770">
      <c r="A1770" s="2" t="s">
        <v>4667</v>
      </c>
      <c r="B1770" s="2" t="s">
        <v>4668</v>
      </c>
      <c r="C1770" s="2" t="s">
        <v>36</v>
      </c>
    </row>
    <row r="1771">
      <c r="A1771" s="2" t="s">
        <v>4669</v>
      </c>
      <c r="B1771" s="2" t="s">
        <v>4670</v>
      </c>
      <c r="C1771" s="2" t="s">
        <v>36</v>
      </c>
    </row>
    <row r="1772">
      <c r="A1772" s="2" t="s">
        <v>4671</v>
      </c>
      <c r="B1772" s="2" t="s">
        <v>4672</v>
      </c>
      <c r="C1772" s="2" t="s">
        <v>36</v>
      </c>
    </row>
    <row r="1773">
      <c r="A1773" s="2" t="s">
        <v>4673</v>
      </c>
      <c r="B1773" s="2" t="s">
        <v>4674</v>
      </c>
      <c r="C1773" s="2" t="s">
        <v>36</v>
      </c>
    </row>
    <row r="1774">
      <c r="A1774" s="2" t="s">
        <v>4675</v>
      </c>
      <c r="B1774" s="2" t="s">
        <v>4676</v>
      </c>
      <c r="C1774" s="2" t="s">
        <v>36</v>
      </c>
    </row>
    <row r="1775">
      <c r="A1775" s="2" t="s">
        <v>4677</v>
      </c>
      <c r="B1775" s="2" t="s">
        <v>4679</v>
      </c>
      <c r="C1775" s="2" t="s">
        <v>36</v>
      </c>
    </row>
    <row r="1776">
      <c r="A1776" s="2" t="s">
        <v>4680</v>
      </c>
      <c r="B1776" s="2" t="s">
        <v>4681</v>
      </c>
      <c r="C1776" s="2" t="s">
        <v>36</v>
      </c>
    </row>
    <row r="1777">
      <c r="A1777" s="2" t="s">
        <v>4682</v>
      </c>
      <c r="B1777" s="2" t="s">
        <v>4683</v>
      </c>
      <c r="C1777" s="2" t="s">
        <v>36</v>
      </c>
    </row>
    <row r="1778">
      <c r="A1778" s="2" t="s">
        <v>4684</v>
      </c>
      <c r="B1778" s="2" t="s">
        <v>4686</v>
      </c>
      <c r="C1778" s="2" t="s">
        <v>36</v>
      </c>
    </row>
    <row r="1779">
      <c r="A1779" s="2" t="s">
        <v>4687</v>
      </c>
      <c r="B1779" s="2" t="s">
        <v>4688</v>
      </c>
      <c r="C1779" s="2" t="s">
        <v>36</v>
      </c>
    </row>
    <row r="1780">
      <c r="A1780" s="2" t="s">
        <v>4689</v>
      </c>
      <c r="B1780" s="2" t="s">
        <v>4690</v>
      </c>
      <c r="C1780" s="2" t="s">
        <v>36</v>
      </c>
    </row>
    <row r="1781">
      <c r="A1781" s="2" t="s">
        <v>4691</v>
      </c>
      <c r="B1781" s="2" t="s">
        <v>4692</v>
      </c>
      <c r="C1781" s="2" t="s">
        <v>36</v>
      </c>
    </row>
    <row r="1782">
      <c r="A1782" s="2" t="s">
        <v>4694</v>
      </c>
      <c r="B1782" s="2" t="s">
        <v>4695</v>
      </c>
      <c r="C1782" s="2" t="s">
        <v>36</v>
      </c>
    </row>
    <row r="1783">
      <c r="A1783" s="2" t="s">
        <v>4696</v>
      </c>
      <c r="B1783" s="2" t="s">
        <v>4697</v>
      </c>
      <c r="C1783" s="2" t="s">
        <v>36</v>
      </c>
    </row>
    <row r="1784">
      <c r="A1784" s="2" t="s">
        <v>4698</v>
      </c>
      <c r="B1784" s="2" t="s">
        <v>4699</v>
      </c>
      <c r="C1784" s="2" t="s">
        <v>36</v>
      </c>
    </row>
    <row r="1785">
      <c r="A1785" s="2" t="s">
        <v>4700</v>
      </c>
      <c r="B1785" s="2" t="s">
        <v>4701</v>
      </c>
      <c r="C1785" s="2" t="s">
        <v>36</v>
      </c>
    </row>
    <row r="1786">
      <c r="A1786" s="2" t="s">
        <v>4702</v>
      </c>
      <c r="B1786" s="2" t="s">
        <v>4703</v>
      </c>
      <c r="C1786" s="2" t="s">
        <v>36</v>
      </c>
    </row>
    <row r="1787">
      <c r="A1787" s="2" t="s">
        <v>4704</v>
      </c>
      <c r="B1787" s="2" t="s">
        <v>4705</v>
      </c>
      <c r="C1787" s="2" t="s">
        <v>36</v>
      </c>
    </row>
    <row r="1788">
      <c r="A1788" s="2" t="s">
        <v>4707</v>
      </c>
      <c r="B1788" s="2" t="s">
        <v>4708</v>
      </c>
      <c r="C1788" s="2" t="s">
        <v>36</v>
      </c>
    </row>
    <row r="1789">
      <c r="A1789" s="2" t="s">
        <v>4709</v>
      </c>
      <c r="B1789" s="2" t="s">
        <v>4710</v>
      </c>
      <c r="C1789" s="2" t="s">
        <v>36</v>
      </c>
    </row>
    <row r="1790">
      <c r="A1790" s="2" t="s">
        <v>4711</v>
      </c>
      <c r="B1790" s="2" t="s">
        <v>4712</v>
      </c>
      <c r="C1790" s="2" t="s">
        <v>36</v>
      </c>
    </row>
    <row r="1791">
      <c r="A1791" s="2" t="s">
        <v>4713</v>
      </c>
      <c r="B1791" s="2" t="s">
        <v>4714</v>
      </c>
      <c r="C1791" s="2" t="s">
        <v>36</v>
      </c>
    </row>
    <row r="1792">
      <c r="A1792" s="2" t="s">
        <v>4715</v>
      </c>
      <c r="B1792" s="2" t="s">
        <v>4716</v>
      </c>
      <c r="C1792" s="2" t="s">
        <v>36</v>
      </c>
    </row>
    <row r="1793">
      <c r="A1793" s="2" t="s">
        <v>4717</v>
      </c>
      <c r="B1793" s="2" t="s">
        <v>4718</v>
      </c>
      <c r="C1793" s="2" t="s">
        <v>36</v>
      </c>
    </row>
    <row r="1794">
      <c r="A1794" s="2" t="s">
        <v>4719</v>
      </c>
      <c r="B1794" s="2" t="s">
        <v>4720</v>
      </c>
      <c r="C1794" s="2" t="s">
        <v>36</v>
      </c>
    </row>
    <row r="1795">
      <c r="A1795" s="2" t="s">
        <v>4723</v>
      </c>
      <c r="B1795" s="2" t="s">
        <v>4724</v>
      </c>
      <c r="C1795" s="2" t="s">
        <v>36</v>
      </c>
    </row>
    <row r="1796">
      <c r="A1796" s="2" t="s">
        <v>4725</v>
      </c>
      <c r="B1796" s="2" t="s">
        <v>4726</v>
      </c>
      <c r="C1796" s="2" t="s">
        <v>36</v>
      </c>
    </row>
    <row r="1797">
      <c r="A1797" s="2" t="s">
        <v>4727</v>
      </c>
      <c r="B1797" s="2" t="s">
        <v>4728</v>
      </c>
      <c r="C1797" s="2" t="s">
        <v>36</v>
      </c>
    </row>
    <row r="1798">
      <c r="A1798" s="2" t="s">
        <v>4729</v>
      </c>
      <c r="B1798" s="2" t="s">
        <v>4730</v>
      </c>
      <c r="C1798" s="2" t="s">
        <v>36</v>
      </c>
    </row>
    <row r="1799">
      <c r="A1799" s="2" t="s">
        <v>4732</v>
      </c>
      <c r="B1799" s="2" t="s">
        <v>4733</v>
      </c>
      <c r="C1799" s="2" t="s">
        <v>36</v>
      </c>
    </row>
    <row r="1800">
      <c r="A1800" s="2" t="s">
        <v>4734</v>
      </c>
      <c r="B1800" s="2" t="s">
        <v>4735</v>
      </c>
      <c r="C1800" s="2" t="s">
        <v>36</v>
      </c>
    </row>
    <row r="1801">
      <c r="A1801" s="2" t="s">
        <v>4736</v>
      </c>
      <c r="B1801" s="2" t="s">
        <v>4737</v>
      </c>
      <c r="C1801" s="2" t="s">
        <v>36</v>
      </c>
    </row>
    <row r="1802">
      <c r="A1802" s="2" t="s">
        <v>4738</v>
      </c>
      <c r="B1802" s="2" t="s">
        <v>4739</v>
      </c>
      <c r="C1802" s="2" t="s">
        <v>36</v>
      </c>
    </row>
    <row r="1803">
      <c r="A1803" s="2" t="s">
        <v>4741</v>
      </c>
      <c r="B1803" s="2" t="s">
        <v>4742</v>
      </c>
      <c r="C1803" s="2" t="s">
        <v>36</v>
      </c>
    </row>
    <row r="1804">
      <c r="A1804" s="2" t="s">
        <v>4743</v>
      </c>
      <c r="B1804" s="2" t="s">
        <v>4744</v>
      </c>
      <c r="C1804" s="2" t="s">
        <v>36</v>
      </c>
    </row>
    <row r="1805">
      <c r="A1805" s="2" t="s">
        <v>4745</v>
      </c>
      <c r="B1805" s="2" t="s">
        <v>4746</v>
      </c>
      <c r="C1805" s="2" t="s">
        <v>36</v>
      </c>
    </row>
    <row r="1806">
      <c r="A1806" s="2" t="s">
        <v>4747</v>
      </c>
      <c r="B1806" s="2" t="s">
        <v>4748</v>
      </c>
      <c r="C1806" s="2" t="s">
        <v>36</v>
      </c>
    </row>
    <row r="1807">
      <c r="A1807" s="2" t="s">
        <v>4749</v>
      </c>
      <c r="B1807" s="2" t="s">
        <v>4750</v>
      </c>
      <c r="C1807" s="2" t="s">
        <v>36</v>
      </c>
    </row>
    <row r="1808">
      <c r="A1808" s="2" t="s">
        <v>4751</v>
      </c>
      <c r="B1808" s="2" t="s">
        <v>4752</v>
      </c>
      <c r="C1808" s="2" t="s">
        <v>36</v>
      </c>
    </row>
    <row r="1809">
      <c r="A1809" s="2" t="s">
        <v>4753</v>
      </c>
      <c r="B1809" s="2" t="s">
        <v>4754</v>
      </c>
      <c r="C1809" s="2" t="s">
        <v>36</v>
      </c>
    </row>
    <row r="1810">
      <c r="A1810" s="2" t="s">
        <v>4755</v>
      </c>
      <c r="B1810" s="2" t="s">
        <v>4756</v>
      </c>
      <c r="C1810" s="2" t="s">
        <v>36</v>
      </c>
    </row>
    <row r="1811">
      <c r="A1811" s="2" t="s">
        <v>4758</v>
      </c>
      <c r="B1811" s="2" t="s">
        <v>4759</v>
      </c>
      <c r="C1811" s="2" t="s">
        <v>36</v>
      </c>
    </row>
    <row r="1812">
      <c r="A1812" s="2" t="s">
        <v>4761</v>
      </c>
      <c r="B1812" s="2" t="s">
        <v>4762</v>
      </c>
      <c r="C1812" s="2" t="s">
        <v>36</v>
      </c>
    </row>
    <row r="1813">
      <c r="A1813" s="2" t="s">
        <v>4763</v>
      </c>
      <c r="B1813" s="2" t="s">
        <v>4764</v>
      </c>
      <c r="C1813" s="2" t="s">
        <v>36</v>
      </c>
    </row>
    <row r="1814">
      <c r="A1814" s="2" t="s">
        <v>4766</v>
      </c>
      <c r="B1814" s="2" t="s">
        <v>4767</v>
      </c>
      <c r="C1814" s="2" t="s">
        <v>36</v>
      </c>
    </row>
    <row r="1815">
      <c r="A1815" s="2" t="s">
        <v>4768</v>
      </c>
      <c r="B1815" s="2" t="s">
        <v>4769</v>
      </c>
      <c r="C1815" s="2" t="s">
        <v>36</v>
      </c>
    </row>
    <row r="1816">
      <c r="A1816" s="2" t="s">
        <v>4771</v>
      </c>
      <c r="B1816" s="2" t="s">
        <v>4772</v>
      </c>
      <c r="C1816" s="2" t="s">
        <v>36</v>
      </c>
    </row>
    <row r="1817">
      <c r="A1817" s="2" t="s">
        <v>4773</v>
      </c>
      <c r="B1817" s="2" t="s">
        <v>4774</v>
      </c>
      <c r="C1817" s="2" t="s">
        <v>36</v>
      </c>
    </row>
    <row r="1818">
      <c r="A1818" s="2" t="s">
        <v>4775</v>
      </c>
      <c r="B1818" s="2" t="s">
        <v>4777</v>
      </c>
      <c r="C1818" s="2" t="s">
        <v>36</v>
      </c>
    </row>
    <row r="1819">
      <c r="A1819" s="2" t="s">
        <v>4778</v>
      </c>
      <c r="B1819" s="2" t="s">
        <v>4780</v>
      </c>
      <c r="C1819" s="2" t="s">
        <v>36</v>
      </c>
    </row>
    <row r="1820">
      <c r="A1820" s="2" t="s">
        <v>4781</v>
      </c>
      <c r="B1820" s="2" t="s">
        <v>4782</v>
      </c>
      <c r="C1820" s="2" t="s">
        <v>36</v>
      </c>
    </row>
    <row r="1821">
      <c r="A1821" s="2" t="s">
        <v>4783</v>
      </c>
      <c r="B1821" s="2" t="s">
        <v>4785</v>
      </c>
      <c r="C1821" s="2" t="s">
        <v>36</v>
      </c>
    </row>
    <row r="1822">
      <c r="A1822" s="2" t="s">
        <v>4786</v>
      </c>
      <c r="B1822" s="2" t="s">
        <v>4787</v>
      </c>
      <c r="C1822" s="2" t="s">
        <v>36</v>
      </c>
    </row>
    <row r="1823">
      <c r="A1823" s="2" t="s">
        <v>4788</v>
      </c>
      <c r="B1823" s="2" t="s">
        <v>4789</v>
      </c>
      <c r="C1823" s="2" t="s">
        <v>36</v>
      </c>
    </row>
    <row r="1824">
      <c r="A1824" s="2" t="s">
        <v>4791</v>
      </c>
      <c r="B1824" s="2" t="s">
        <v>4792</v>
      </c>
      <c r="C1824" s="2" t="s">
        <v>36</v>
      </c>
    </row>
    <row r="1825">
      <c r="A1825" s="2" t="s">
        <v>4793</v>
      </c>
      <c r="B1825" s="2" t="s">
        <v>4794</v>
      </c>
      <c r="C1825" s="2" t="s">
        <v>36</v>
      </c>
    </row>
    <row r="1826">
      <c r="A1826" s="2" t="s">
        <v>4795</v>
      </c>
      <c r="B1826" s="2" t="s">
        <v>4796</v>
      </c>
      <c r="C1826" s="2" t="s">
        <v>36</v>
      </c>
    </row>
    <row r="1827">
      <c r="A1827" s="2" t="s">
        <v>4797</v>
      </c>
      <c r="B1827" s="2" t="s">
        <v>4799</v>
      </c>
      <c r="C1827" s="2" t="s">
        <v>36</v>
      </c>
    </row>
    <row r="1828">
      <c r="A1828" s="2" t="s">
        <v>4800</v>
      </c>
      <c r="B1828" s="2" t="s">
        <v>4801</v>
      </c>
      <c r="C1828" s="2" t="s">
        <v>36</v>
      </c>
    </row>
    <row r="1829">
      <c r="A1829" s="2" t="s">
        <v>4802</v>
      </c>
      <c r="B1829" s="2" t="s">
        <v>4803</v>
      </c>
      <c r="C1829" s="2" t="s">
        <v>36</v>
      </c>
    </row>
    <row r="1830">
      <c r="A1830" s="2" t="s">
        <v>4804</v>
      </c>
      <c r="B1830" s="2" t="s">
        <v>4805</v>
      </c>
      <c r="C1830" s="2" t="s">
        <v>36</v>
      </c>
    </row>
    <row r="1831">
      <c r="A1831" s="2" t="s">
        <v>4806</v>
      </c>
      <c r="B1831" s="2" t="s">
        <v>4808</v>
      </c>
      <c r="C1831" s="2" t="s">
        <v>36</v>
      </c>
    </row>
    <row r="1832">
      <c r="A1832" s="2" t="s">
        <v>4810</v>
      </c>
      <c r="B1832" s="2" t="s">
        <v>4811</v>
      </c>
      <c r="C1832" s="2" t="s">
        <v>36</v>
      </c>
    </row>
    <row r="1833">
      <c r="A1833" s="2" t="s">
        <v>4812</v>
      </c>
      <c r="B1833" s="2" t="s">
        <v>4813</v>
      </c>
      <c r="C1833" s="2" t="s">
        <v>36</v>
      </c>
    </row>
    <row r="1834">
      <c r="A1834" s="2" t="s">
        <v>4814</v>
      </c>
      <c r="B1834" s="2" t="s">
        <v>4816</v>
      </c>
      <c r="C1834" s="2" t="s">
        <v>36</v>
      </c>
    </row>
    <row r="1835">
      <c r="A1835" s="2" t="s">
        <v>4817</v>
      </c>
      <c r="B1835" s="2" t="s">
        <v>4818</v>
      </c>
      <c r="C1835" s="2" t="s">
        <v>36</v>
      </c>
    </row>
    <row r="1836">
      <c r="A1836" s="2" t="s">
        <v>4819</v>
      </c>
      <c r="B1836" s="2" t="s">
        <v>4821</v>
      </c>
      <c r="C1836" s="2" t="s">
        <v>36</v>
      </c>
    </row>
    <row r="1837">
      <c r="A1837" s="2" t="s">
        <v>4822</v>
      </c>
      <c r="B1837" s="2" t="s">
        <v>4823</v>
      </c>
      <c r="C1837" s="2" t="s">
        <v>36</v>
      </c>
    </row>
    <row r="1838">
      <c r="A1838" s="2" t="s">
        <v>4824</v>
      </c>
      <c r="B1838" s="2" t="s">
        <v>4825</v>
      </c>
      <c r="C1838" s="2" t="s">
        <v>36</v>
      </c>
    </row>
    <row r="1839">
      <c r="A1839" s="2" t="s">
        <v>4827</v>
      </c>
      <c r="B1839" s="2" t="s">
        <v>4828</v>
      </c>
      <c r="C1839" s="2" t="s">
        <v>36</v>
      </c>
    </row>
    <row r="1840">
      <c r="A1840" s="2" t="s">
        <v>4829</v>
      </c>
      <c r="B1840" s="2" t="s">
        <v>4830</v>
      </c>
      <c r="C1840" s="2" t="s">
        <v>36</v>
      </c>
    </row>
    <row r="1841">
      <c r="A1841" s="2" t="s">
        <v>4832</v>
      </c>
      <c r="B1841" s="2" t="s">
        <v>4833</v>
      </c>
      <c r="C1841" s="2" t="s">
        <v>36</v>
      </c>
    </row>
    <row r="1842">
      <c r="A1842" s="2" t="s">
        <v>4834</v>
      </c>
      <c r="B1842" s="2" t="s">
        <v>4835</v>
      </c>
      <c r="C1842" s="2" t="s">
        <v>36</v>
      </c>
    </row>
    <row r="1843">
      <c r="A1843" s="2" t="s">
        <v>4836</v>
      </c>
      <c r="B1843" s="2" t="s">
        <v>4837</v>
      </c>
      <c r="C1843" s="2" t="s">
        <v>36</v>
      </c>
    </row>
    <row r="1844">
      <c r="A1844" s="2" t="s">
        <v>4839</v>
      </c>
      <c r="B1844" s="2" t="s">
        <v>4840</v>
      </c>
      <c r="C1844" s="2" t="s">
        <v>36</v>
      </c>
    </row>
    <row r="1845">
      <c r="A1845" s="2" t="s">
        <v>4841</v>
      </c>
      <c r="B1845" s="2" t="s">
        <v>4842</v>
      </c>
      <c r="C1845" s="2" t="s">
        <v>36</v>
      </c>
    </row>
    <row r="1846">
      <c r="A1846" s="2" t="s">
        <v>4843</v>
      </c>
      <c r="B1846" s="2" t="s">
        <v>4844</v>
      </c>
      <c r="C1846" s="2" t="s">
        <v>36</v>
      </c>
    </row>
    <row r="1847">
      <c r="A1847" s="2" t="s">
        <v>4846</v>
      </c>
      <c r="B1847" s="2" t="s">
        <v>4847</v>
      </c>
      <c r="C1847" s="2" t="s">
        <v>36</v>
      </c>
    </row>
    <row r="1848">
      <c r="A1848" s="2" t="s">
        <v>4848</v>
      </c>
      <c r="B1848" s="2" t="s">
        <v>4849</v>
      </c>
      <c r="C1848" s="2" t="s">
        <v>36</v>
      </c>
    </row>
    <row r="1849">
      <c r="A1849" s="2" t="s">
        <v>4851</v>
      </c>
      <c r="B1849" s="2" t="s">
        <v>4853</v>
      </c>
      <c r="C1849" s="2" t="s">
        <v>36</v>
      </c>
    </row>
    <row r="1850">
      <c r="A1850" s="2" t="s">
        <v>4854</v>
      </c>
      <c r="B1850" s="2" t="s">
        <v>4855</v>
      </c>
      <c r="C1850" s="2" t="s">
        <v>36</v>
      </c>
    </row>
    <row r="1851">
      <c r="A1851" s="2" t="s">
        <v>4856</v>
      </c>
      <c r="B1851" s="2" t="s">
        <v>4857</v>
      </c>
      <c r="C1851" s="2" t="s">
        <v>36</v>
      </c>
    </row>
    <row r="1852">
      <c r="A1852" s="2" t="s">
        <v>4860</v>
      </c>
      <c r="B1852" s="2" t="s">
        <v>4862</v>
      </c>
      <c r="C1852" s="2" t="s">
        <v>36</v>
      </c>
    </row>
    <row r="1853">
      <c r="A1853" s="2" t="s">
        <v>4863</v>
      </c>
      <c r="B1853" s="2" t="s">
        <v>4864</v>
      </c>
      <c r="C1853" s="2" t="s">
        <v>36</v>
      </c>
    </row>
    <row r="1854">
      <c r="A1854" s="2" t="s">
        <v>4865</v>
      </c>
      <c r="B1854" s="2" t="s">
        <v>4866</v>
      </c>
      <c r="C1854" s="2" t="s">
        <v>36</v>
      </c>
    </row>
    <row r="1855">
      <c r="A1855" s="2" t="s">
        <v>4868</v>
      </c>
      <c r="B1855" s="2" t="s">
        <v>4869</v>
      </c>
      <c r="C1855" s="2" t="s">
        <v>36</v>
      </c>
    </row>
    <row r="1856">
      <c r="A1856" s="2" t="s">
        <v>4870</v>
      </c>
      <c r="B1856" s="2" t="s">
        <v>4871</v>
      </c>
      <c r="C1856" s="2" t="s">
        <v>36</v>
      </c>
    </row>
    <row r="1857">
      <c r="A1857" s="2" t="s">
        <v>4872</v>
      </c>
      <c r="B1857" s="2" t="s">
        <v>4873</v>
      </c>
      <c r="C1857" s="2" t="s">
        <v>36</v>
      </c>
    </row>
    <row r="1858">
      <c r="A1858" s="2" t="s">
        <v>4874</v>
      </c>
      <c r="B1858" s="2" t="s">
        <v>4875</v>
      </c>
      <c r="C1858" s="2" t="s">
        <v>36</v>
      </c>
    </row>
    <row r="1859">
      <c r="A1859" s="2" t="s">
        <v>4876</v>
      </c>
      <c r="B1859" s="2" t="s">
        <v>4877</v>
      </c>
      <c r="C1859" s="2" t="s">
        <v>36</v>
      </c>
    </row>
    <row r="1860">
      <c r="A1860" s="2" t="s">
        <v>4879</v>
      </c>
      <c r="B1860" s="2" t="s">
        <v>4880</v>
      </c>
      <c r="C1860" s="2" t="s">
        <v>36</v>
      </c>
    </row>
    <row r="1861">
      <c r="A1861" s="2" t="s">
        <v>4881</v>
      </c>
      <c r="B1861" s="2" t="s">
        <v>4882</v>
      </c>
      <c r="C1861" s="2" t="s">
        <v>36</v>
      </c>
    </row>
    <row r="1862">
      <c r="A1862" s="2" t="s">
        <v>4883</v>
      </c>
      <c r="B1862" s="2" t="s">
        <v>4884</v>
      </c>
      <c r="C1862" s="2" t="s">
        <v>36</v>
      </c>
    </row>
    <row r="1863">
      <c r="A1863" s="2" t="s">
        <v>4885</v>
      </c>
      <c r="B1863" s="2" t="s">
        <v>4886</v>
      </c>
      <c r="C1863" s="2" t="s">
        <v>36</v>
      </c>
    </row>
    <row r="1864">
      <c r="A1864" s="2" t="s">
        <v>4887</v>
      </c>
      <c r="B1864" s="2" t="s">
        <v>4888</v>
      </c>
      <c r="C1864" s="2" t="s">
        <v>36</v>
      </c>
    </row>
    <row r="1865">
      <c r="A1865" s="2" t="s">
        <v>4889</v>
      </c>
      <c r="B1865" s="2" t="s">
        <v>4890</v>
      </c>
      <c r="C1865" s="2" t="s">
        <v>36</v>
      </c>
    </row>
    <row r="1866">
      <c r="A1866" s="2" t="s">
        <v>4892</v>
      </c>
      <c r="B1866" s="2" t="s">
        <v>4893</v>
      </c>
      <c r="C1866" s="2" t="s">
        <v>36</v>
      </c>
    </row>
    <row r="1867">
      <c r="A1867" s="2" t="s">
        <v>4895</v>
      </c>
      <c r="B1867" s="2" t="s">
        <v>4896</v>
      </c>
      <c r="C1867" s="2" t="s">
        <v>36</v>
      </c>
    </row>
    <row r="1868">
      <c r="A1868" s="2" t="s">
        <v>4897</v>
      </c>
      <c r="B1868" s="2" t="s">
        <v>4898</v>
      </c>
      <c r="C1868" s="2" t="s">
        <v>36</v>
      </c>
    </row>
    <row r="1869">
      <c r="A1869" s="2" t="s">
        <v>4899</v>
      </c>
      <c r="B1869" s="2" t="s">
        <v>4901</v>
      </c>
      <c r="C1869" s="2" t="s">
        <v>36</v>
      </c>
    </row>
    <row r="1870">
      <c r="A1870" s="2" t="s">
        <v>4902</v>
      </c>
      <c r="B1870" s="2" t="s">
        <v>4903</v>
      </c>
      <c r="C1870" s="2" t="s">
        <v>36</v>
      </c>
    </row>
    <row r="1871">
      <c r="A1871" s="2" t="s">
        <v>4904</v>
      </c>
      <c r="B1871" s="2" t="s">
        <v>4905</v>
      </c>
      <c r="C1871" s="2" t="s">
        <v>36</v>
      </c>
    </row>
    <row r="1872">
      <c r="A1872" s="2" t="s">
        <v>4906</v>
      </c>
      <c r="B1872" s="2" t="s">
        <v>4908</v>
      </c>
      <c r="C1872" s="2" t="s">
        <v>36</v>
      </c>
    </row>
    <row r="1873">
      <c r="A1873" s="2" t="s">
        <v>4909</v>
      </c>
      <c r="B1873" s="2" t="s">
        <v>4910</v>
      </c>
      <c r="C1873" s="2" t="s">
        <v>36</v>
      </c>
    </row>
    <row r="1874">
      <c r="A1874" s="2" t="s">
        <v>4911</v>
      </c>
      <c r="B1874" s="2" t="s">
        <v>4912</v>
      </c>
      <c r="C1874" s="2" t="s">
        <v>36</v>
      </c>
    </row>
    <row r="1875">
      <c r="A1875" s="2" t="s">
        <v>4913</v>
      </c>
      <c r="B1875" s="2" t="s">
        <v>4914</v>
      </c>
      <c r="C1875" s="2" t="s">
        <v>36</v>
      </c>
    </row>
    <row r="1876">
      <c r="A1876" s="2" t="s">
        <v>4915</v>
      </c>
      <c r="B1876" s="2" t="s">
        <v>4916</v>
      </c>
      <c r="C1876" s="2" t="s">
        <v>36</v>
      </c>
    </row>
    <row r="1877">
      <c r="A1877" s="2" t="s">
        <v>4917</v>
      </c>
      <c r="B1877" s="2" t="s">
        <v>4918</v>
      </c>
      <c r="C1877" s="2" t="s">
        <v>36</v>
      </c>
    </row>
    <row r="1878">
      <c r="A1878" s="2" t="s">
        <v>4919</v>
      </c>
      <c r="B1878" s="2" t="s">
        <v>4920</v>
      </c>
      <c r="C1878" s="2" t="s">
        <v>36</v>
      </c>
    </row>
    <row r="1879">
      <c r="A1879" s="2" t="s">
        <v>4921</v>
      </c>
      <c r="B1879" s="2" t="s">
        <v>4922</v>
      </c>
      <c r="C1879" s="2" t="s">
        <v>36</v>
      </c>
    </row>
    <row r="1880">
      <c r="A1880" s="2" t="s">
        <v>4923</v>
      </c>
      <c r="B1880" s="2" t="s">
        <v>4924</v>
      </c>
      <c r="C1880" s="2" t="s">
        <v>36</v>
      </c>
    </row>
    <row r="1881">
      <c r="A1881" s="2" t="s">
        <v>4925</v>
      </c>
      <c r="B1881" s="2" t="s">
        <v>4926</v>
      </c>
      <c r="C1881" s="2" t="s">
        <v>36</v>
      </c>
    </row>
    <row r="1882">
      <c r="A1882" s="2" t="s">
        <v>4927</v>
      </c>
      <c r="B1882" s="2" t="s">
        <v>4928</v>
      </c>
      <c r="C1882" s="2" t="s">
        <v>36</v>
      </c>
    </row>
    <row r="1883">
      <c r="A1883" s="2" t="s">
        <v>4931</v>
      </c>
      <c r="B1883" s="2" t="s">
        <v>4932</v>
      </c>
      <c r="C1883" s="2" t="s">
        <v>36</v>
      </c>
    </row>
    <row r="1884">
      <c r="A1884" s="2" t="s">
        <v>4934</v>
      </c>
      <c r="B1884" s="2" t="s">
        <v>4935</v>
      </c>
      <c r="C1884" s="2" t="s">
        <v>36</v>
      </c>
    </row>
    <row r="1885">
      <c r="A1885" s="2" t="s">
        <v>4936</v>
      </c>
      <c r="B1885" s="2" t="s">
        <v>4937</v>
      </c>
      <c r="C1885" s="2" t="s">
        <v>36</v>
      </c>
    </row>
    <row r="1886">
      <c r="A1886" s="2" t="s">
        <v>4939</v>
      </c>
      <c r="B1886" s="2" t="s">
        <v>4940</v>
      </c>
      <c r="C1886" s="2" t="s">
        <v>36</v>
      </c>
    </row>
    <row r="1887">
      <c r="A1887" s="2" t="s">
        <v>4941</v>
      </c>
      <c r="B1887" s="2" t="s">
        <v>4942</v>
      </c>
      <c r="C1887" s="2" t="s">
        <v>36</v>
      </c>
    </row>
    <row r="1888">
      <c r="A1888" s="2" t="s">
        <v>4943</v>
      </c>
      <c r="B1888" s="2" t="s">
        <v>4944</v>
      </c>
      <c r="C1888" s="2" t="s">
        <v>36</v>
      </c>
    </row>
    <row r="1889">
      <c r="A1889" s="2" t="s">
        <v>4945</v>
      </c>
      <c r="B1889" s="2" t="s">
        <v>4946</v>
      </c>
      <c r="C1889" s="2" t="s">
        <v>36</v>
      </c>
    </row>
    <row r="1890">
      <c r="A1890" s="2" t="s">
        <v>4948</v>
      </c>
      <c r="B1890" s="2" t="s">
        <v>4949</v>
      </c>
      <c r="C1890" s="2" t="s">
        <v>36</v>
      </c>
    </row>
    <row r="1891">
      <c r="A1891" s="2" t="s">
        <v>4951</v>
      </c>
      <c r="B1891" s="2" t="s">
        <v>4952</v>
      </c>
      <c r="C1891" s="2" t="s">
        <v>36</v>
      </c>
    </row>
    <row r="1892">
      <c r="A1892" s="2" t="s">
        <v>4953</v>
      </c>
      <c r="B1892" s="2" t="s">
        <v>4954</v>
      </c>
      <c r="C1892" s="2" t="s">
        <v>36</v>
      </c>
    </row>
    <row r="1893">
      <c r="A1893" s="2" t="s">
        <v>4955</v>
      </c>
      <c r="B1893" s="2" t="s">
        <v>4957</v>
      </c>
      <c r="C1893" s="2" t="s">
        <v>36</v>
      </c>
    </row>
    <row r="1894">
      <c r="A1894" s="2" t="s">
        <v>4959</v>
      </c>
      <c r="B1894" s="2" t="s">
        <v>4960</v>
      </c>
      <c r="C1894" s="2" t="s">
        <v>36</v>
      </c>
    </row>
    <row r="1895">
      <c r="A1895" s="2" t="s">
        <v>4962</v>
      </c>
      <c r="B1895" s="2" t="s">
        <v>4963</v>
      </c>
      <c r="C1895" s="2" t="s">
        <v>36</v>
      </c>
    </row>
    <row r="1896">
      <c r="A1896" s="2" t="s">
        <v>4964</v>
      </c>
      <c r="B1896" s="2" t="s">
        <v>4965</v>
      </c>
      <c r="C1896" s="2" t="s">
        <v>36</v>
      </c>
    </row>
    <row r="1897">
      <c r="A1897" s="2" t="s">
        <v>4966</v>
      </c>
      <c r="B1897" s="2" t="s">
        <v>4967</v>
      </c>
      <c r="C1897" s="2" t="s">
        <v>36</v>
      </c>
    </row>
    <row r="1898">
      <c r="A1898" s="2" t="s">
        <v>4968</v>
      </c>
      <c r="B1898" s="2" t="s">
        <v>4969</v>
      </c>
      <c r="C1898" s="2" t="s">
        <v>36</v>
      </c>
    </row>
    <row r="1899">
      <c r="A1899" s="2" t="s">
        <v>4970</v>
      </c>
      <c r="B1899" s="2" t="s">
        <v>4971</v>
      </c>
      <c r="C1899" s="2" t="s">
        <v>36</v>
      </c>
    </row>
    <row r="1900">
      <c r="A1900" s="2" t="s">
        <v>4972</v>
      </c>
      <c r="B1900" s="2" t="s">
        <v>4973</v>
      </c>
      <c r="C1900" s="2" t="s">
        <v>36</v>
      </c>
    </row>
    <row r="1901">
      <c r="A1901" s="2" t="s">
        <v>4974</v>
      </c>
      <c r="B1901" s="2" t="s">
        <v>4975</v>
      </c>
      <c r="C1901" s="2" t="s">
        <v>36</v>
      </c>
    </row>
    <row r="1902">
      <c r="A1902" s="2" t="s">
        <v>4976</v>
      </c>
      <c r="B1902" s="2" t="s">
        <v>4977</v>
      </c>
      <c r="C1902" s="2" t="s">
        <v>36</v>
      </c>
    </row>
    <row r="1903">
      <c r="A1903" s="2" t="s">
        <v>4978</v>
      </c>
      <c r="B1903" s="2" t="s">
        <v>4979</v>
      </c>
      <c r="C1903" s="2" t="s">
        <v>36</v>
      </c>
    </row>
    <row r="1904">
      <c r="A1904" s="2" t="s">
        <v>4980</v>
      </c>
      <c r="B1904" s="2" t="s">
        <v>4981</v>
      </c>
      <c r="C1904" s="2" t="s">
        <v>36</v>
      </c>
    </row>
    <row r="1905">
      <c r="A1905" s="2" t="s">
        <v>4982</v>
      </c>
      <c r="B1905" s="2" t="s">
        <v>4983</v>
      </c>
      <c r="C1905" s="2" t="s">
        <v>36</v>
      </c>
    </row>
    <row r="1906">
      <c r="A1906" s="2" t="s">
        <v>4984</v>
      </c>
      <c r="B1906" s="2" t="s">
        <v>4985</v>
      </c>
      <c r="C1906" s="2" t="s">
        <v>36</v>
      </c>
    </row>
    <row r="1907">
      <c r="A1907" s="2" t="s">
        <v>4986</v>
      </c>
      <c r="B1907" s="2" t="s">
        <v>4987</v>
      </c>
      <c r="C1907" s="2" t="s">
        <v>36</v>
      </c>
    </row>
    <row r="1908">
      <c r="A1908" s="2" t="s">
        <v>4988</v>
      </c>
      <c r="B1908" s="2" t="s">
        <v>4989</v>
      </c>
      <c r="C1908" s="2" t="s">
        <v>36</v>
      </c>
    </row>
    <row r="1909">
      <c r="A1909" s="2" t="s">
        <v>4990</v>
      </c>
      <c r="B1909" s="2" t="s">
        <v>4991</v>
      </c>
      <c r="C1909" s="2" t="s">
        <v>36</v>
      </c>
    </row>
    <row r="1910">
      <c r="A1910" s="2" t="s">
        <v>4992</v>
      </c>
      <c r="B1910" s="2" t="s">
        <v>4993</v>
      </c>
      <c r="C1910" s="2" t="s">
        <v>36</v>
      </c>
    </row>
    <row r="1911">
      <c r="A1911" s="2" t="s">
        <v>4994</v>
      </c>
      <c r="B1911" s="2" t="s">
        <v>4995</v>
      </c>
      <c r="C1911" s="2" t="s">
        <v>36</v>
      </c>
    </row>
    <row r="1912">
      <c r="A1912" s="2" t="s">
        <v>4996</v>
      </c>
      <c r="B1912" s="2" t="s">
        <v>4997</v>
      </c>
      <c r="C1912" s="2" t="s">
        <v>36</v>
      </c>
    </row>
    <row r="1913">
      <c r="A1913" s="2" t="s">
        <v>4998</v>
      </c>
      <c r="B1913" s="2" t="s">
        <v>4999</v>
      </c>
      <c r="C1913" s="2" t="s">
        <v>36</v>
      </c>
    </row>
    <row r="1914">
      <c r="A1914" s="2" t="s">
        <v>5000</v>
      </c>
      <c r="B1914" s="2" t="s">
        <v>5001</v>
      </c>
      <c r="C1914" s="2" t="s">
        <v>36</v>
      </c>
    </row>
    <row r="1915">
      <c r="A1915" s="2" t="s">
        <v>5002</v>
      </c>
      <c r="B1915" s="2" t="s">
        <v>5003</v>
      </c>
      <c r="C1915" s="2" t="s">
        <v>36</v>
      </c>
    </row>
    <row r="1916">
      <c r="A1916" s="2" t="s">
        <v>5004</v>
      </c>
      <c r="B1916" s="2" t="s">
        <v>5005</v>
      </c>
      <c r="C1916" s="2" t="s">
        <v>36</v>
      </c>
    </row>
    <row r="1917">
      <c r="A1917" s="2" t="s">
        <v>5006</v>
      </c>
      <c r="B1917" s="2" t="s">
        <v>5007</v>
      </c>
      <c r="C1917" s="2" t="s">
        <v>36</v>
      </c>
    </row>
    <row r="1918">
      <c r="A1918" s="2" t="s">
        <v>5008</v>
      </c>
      <c r="B1918" s="2" t="s">
        <v>5009</v>
      </c>
      <c r="C1918" s="2" t="s">
        <v>36</v>
      </c>
    </row>
    <row r="1919">
      <c r="A1919" s="2" t="s">
        <v>5010</v>
      </c>
      <c r="B1919" s="2" t="s">
        <v>5011</v>
      </c>
      <c r="C1919" s="2" t="s">
        <v>36</v>
      </c>
    </row>
    <row r="1920">
      <c r="A1920" s="2" t="s">
        <v>5012</v>
      </c>
      <c r="B1920" s="2" t="s">
        <v>5013</v>
      </c>
      <c r="C1920" s="2" t="s">
        <v>36</v>
      </c>
    </row>
    <row r="1921">
      <c r="A1921" s="2" t="s">
        <v>5014</v>
      </c>
      <c r="B1921" s="2" t="s">
        <v>5015</v>
      </c>
      <c r="C1921" s="2" t="s">
        <v>36</v>
      </c>
    </row>
    <row r="1922">
      <c r="A1922" s="2" t="s">
        <v>5016</v>
      </c>
      <c r="B1922" s="2" t="s">
        <v>5017</v>
      </c>
      <c r="C1922" s="2" t="s">
        <v>36</v>
      </c>
    </row>
    <row r="1923">
      <c r="A1923" s="2" t="s">
        <v>5018</v>
      </c>
      <c r="B1923" s="2" t="s">
        <v>5019</v>
      </c>
      <c r="C1923" s="2" t="s">
        <v>36</v>
      </c>
    </row>
    <row r="1924">
      <c r="A1924" s="2" t="s">
        <v>5020</v>
      </c>
      <c r="B1924" s="2" t="s">
        <v>5021</v>
      </c>
      <c r="C1924" s="2" t="s">
        <v>36</v>
      </c>
    </row>
    <row r="1925">
      <c r="A1925" s="2" t="s">
        <v>5022</v>
      </c>
      <c r="B1925" s="2" t="s">
        <v>5023</v>
      </c>
      <c r="C1925" s="2" t="s">
        <v>36</v>
      </c>
    </row>
    <row r="1926">
      <c r="A1926" s="2" t="s">
        <v>5024</v>
      </c>
      <c r="B1926" s="2" t="s">
        <v>5025</v>
      </c>
      <c r="C1926" s="2" t="s">
        <v>36</v>
      </c>
    </row>
    <row r="1927">
      <c r="A1927" s="2" t="s">
        <v>5026</v>
      </c>
      <c r="B1927" s="2" t="s">
        <v>5027</v>
      </c>
      <c r="C1927" s="2" t="s">
        <v>36</v>
      </c>
    </row>
    <row r="1928">
      <c r="A1928" s="2" t="s">
        <v>5028</v>
      </c>
      <c r="B1928" s="2" t="s">
        <v>5029</v>
      </c>
      <c r="C1928" s="2" t="s">
        <v>36</v>
      </c>
    </row>
    <row r="1929">
      <c r="A1929" s="2" t="s">
        <v>5030</v>
      </c>
      <c r="B1929" s="2" t="s">
        <v>5031</v>
      </c>
      <c r="C1929" s="2" t="s">
        <v>36</v>
      </c>
    </row>
    <row r="1930">
      <c r="A1930" s="2" t="s">
        <v>5032</v>
      </c>
      <c r="B1930" s="2" t="s">
        <v>5033</v>
      </c>
      <c r="C1930" s="2" t="s">
        <v>36</v>
      </c>
    </row>
    <row r="1931">
      <c r="A1931" s="2" t="s">
        <v>5034</v>
      </c>
      <c r="B1931" s="2" t="s">
        <v>5035</v>
      </c>
      <c r="C1931" s="2" t="s">
        <v>36</v>
      </c>
    </row>
    <row r="1932">
      <c r="A1932" s="2" t="s">
        <v>5036</v>
      </c>
      <c r="B1932" s="2" t="s">
        <v>5037</v>
      </c>
      <c r="C1932" s="2" t="s">
        <v>36</v>
      </c>
    </row>
    <row r="1933">
      <c r="A1933" s="2" t="s">
        <v>5038</v>
      </c>
      <c r="B1933" s="2" t="s">
        <v>5039</v>
      </c>
      <c r="C1933" s="2" t="s">
        <v>36</v>
      </c>
    </row>
    <row r="1934">
      <c r="A1934" s="2" t="s">
        <v>5040</v>
      </c>
      <c r="B1934" s="2" t="s">
        <v>5041</v>
      </c>
      <c r="C1934" s="2" t="s">
        <v>36</v>
      </c>
    </row>
    <row r="1935">
      <c r="A1935" s="2" t="s">
        <v>5042</v>
      </c>
      <c r="B1935" s="2" t="s">
        <v>5043</v>
      </c>
      <c r="C1935" s="2" t="s">
        <v>36</v>
      </c>
    </row>
    <row r="1936">
      <c r="A1936" s="2" t="s">
        <v>5044</v>
      </c>
      <c r="B1936" s="2" t="s">
        <v>5045</v>
      </c>
      <c r="C1936" s="2" t="s">
        <v>36</v>
      </c>
    </row>
    <row r="1937">
      <c r="A1937" s="2" t="s">
        <v>5046</v>
      </c>
      <c r="B1937" s="2" t="s">
        <v>5047</v>
      </c>
      <c r="C1937" s="2" t="s">
        <v>36</v>
      </c>
    </row>
    <row r="1938">
      <c r="A1938" s="2" t="s">
        <v>5048</v>
      </c>
      <c r="B1938" s="2" t="s">
        <v>5049</v>
      </c>
      <c r="C1938" s="2" t="s">
        <v>36</v>
      </c>
    </row>
    <row r="1939">
      <c r="A1939" s="2" t="s">
        <v>5050</v>
      </c>
      <c r="B1939" s="2" t="s">
        <v>5051</v>
      </c>
      <c r="C1939" s="2" t="s">
        <v>36</v>
      </c>
    </row>
    <row r="1940">
      <c r="A1940" s="2" t="s">
        <v>5052</v>
      </c>
      <c r="B1940" s="2" t="s">
        <v>5053</v>
      </c>
      <c r="C1940" s="2" t="s">
        <v>36</v>
      </c>
    </row>
    <row r="1941">
      <c r="A1941" s="2" t="s">
        <v>5054</v>
      </c>
      <c r="B1941" s="2" t="s">
        <v>5055</v>
      </c>
      <c r="C1941" s="2" t="s">
        <v>36</v>
      </c>
    </row>
    <row r="1942">
      <c r="A1942" s="2" t="s">
        <v>5056</v>
      </c>
      <c r="B1942" s="2" t="s">
        <v>5057</v>
      </c>
      <c r="C1942" s="2" t="s">
        <v>36</v>
      </c>
    </row>
    <row r="1943">
      <c r="A1943" s="2" t="s">
        <v>5058</v>
      </c>
      <c r="B1943" s="2" t="s">
        <v>5059</v>
      </c>
      <c r="C1943" s="2" t="s">
        <v>36</v>
      </c>
    </row>
    <row r="1944">
      <c r="A1944" s="2" t="s">
        <v>5060</v>
      </c>
      <c r="B1944" s="2" t="s">
        <v>5061</v>
      </c>
      <c r="C1944" s="2" t="s">
        <v>36</v>
      </c>
    </row>
    <row r="1945">
      <c r="A1945" s="2" t="s">
        <v>5062</v>
      </c>
      <c r="B1945" s="2" t="s">
        <v>5063</v>
      </c>
      <c r="C1945" s="2" t="s">
        <v>36</v>
      </c>
    </row>
    <row r="1946">
      <c r="A1946" s="2" t="s">
        <v>5064</v>
      </c>
      <c r="B1946" s="2" t="s">
        <v>5065</v>
      </c>
      <c r="C1946" s="2" t="s">
        <v>36</v>
      </c>
    </row>
    <row r="1947">
      <c r="A1947" s="2" t="s">
        <v>5066</v>
      </c>
      <c r="B1947" s="2" t="s">
        <v>5067</v>
      </c>
      <c r="C1947" s="2" t="s">
        <v>36</v>
      </c>
    </row>
    <row r="1948">
      <c r="A1948" s="2" t="s">
        <v>5068</v>
      </c>
      <c r="B1948" s="2" t="s">
        <v>5069</v>
      </c>
      <c r="C1948" s="2" t="s">
        <v>36</v>
      </c>
    </row>
    <row r="1949">
      <c r="A1949" s="2" t="s">
        <v>5070</v>
      </c>
      <c r="B1949" s="2" t="s">
        <v>5071</v>
      </c>
      <c r="C1949" s="2" t="s">
        <v>36</v>
      </c>
    </row>
    <row r="1950">
      <c r="A1950" s="2" t="s">
        <v>5072</v>
      </c>
      <c r="B1950" s="2" t="s">
        <v>5073</v>
      </c>
      <c r="C1950" s="2" t="s">
        <v>36</v>
      </c>
    </row>
    <row r="1951">
      <c r="A1951" s="2" t="s">
        <v>5074</v>
      </c>
      <c r="B1951" s="2" t="s">
        <v>5075</v>
      </c>
      <c r="C1951" s="2" t="s">
        <v>36</v>
      </c>
    </row>
    <row r="1952">
      <c r="A1952" s="2" t="s">
        <v>5076</v>
      </c>
      <c r="B1952" s="2" t="s">
        <v>5077</v>
      </c>
      <c r="C1952" s="2" t="s">
        <v>36</v>
      </c>
    </row>
    <row r="1953">
      <c r="A1953" s="2" t="s">
        <v>5078</v>
      </c>
      <c r="B1953" s="2" t="s">
        <v>5079</v>
      </c>
      <c r="C1953" s="2" t="s">
        <v>36</v>
      </c>
    </row>
    <row r="1954">
      <c r="A1954" s="2" t="s">
        <v>5080</v>
      </c>
      <c r="B1954" s="2" t="s">
        <v>5081</v>
      </c>
      <c r="C1954" s="2" t="s">
        <v>36</v>
      </c>
    </row>
    <row r="1955">
      <c r="A1955" s="2" t="s">
        <v>5082</v>
      </c>
      <c r="B1955" s="2" t="s">
        <v>5083</v>
      </c>
      <c r="C1955" s="2" t="s">
        <v>36</v>
      </c>
    </row>
    <row r="1956">
      <c r="A1956" s="2" t="s">
        <v>5084</v>
      </c>
      <c r="B1956" s="2" t="s">
        <v>5085</v>
      </c>
      <c r="C1956" s="2" t="s">
        <v>36</v>
      </c>
    </row>
    <row r="1957">
      <c r="A1957" s="2" t="s">
        <v>5086</v>
      </c>
      <c r="B1957" s="2" t="s">
        <v>5087</v>
      </c>
      <c r="C1957" s="2" t="s">
        <v>36</v>
      </c>
    </row>
    <row r="1958">
      <c r="A1958" s="2" t="s">
        <v>5088</v>
      </c>
      <c r="B1958" s="2" t="s">
        <v>5089</v>
      </c>
      <c r="C1958" s="2" t="s">
        <v>36</v>
      </c>
    </row>
    <row r="1959">
      <c r="A1959" s="2" t="s">
        <v>5090</v>
      </c>
      <c r="B1959" s="2" t="s">
        <v>5091</v>
      </c>
      <c r="C1959" s="2" t="s">
        <v>36</v>
      </c>
    </row>
    <row r="1960">
      <c r="A1960" s="2" t="s">
        <v>5092</v>
      </c>
      <c r="B1960" s="2" t="s">
        <v>5093</v>
      </c>
      <c r="C1960" s="2" t="s">
        <v>36</v>
      </c>
    </row>
    <row r="1961">
      <c r="A1961" s="2" t="s">
        <v>5094</v>
      </c>
      <c r="B1961" s="2" t="s">
        <v>5095</v>
      </c>
      <c r="C1961" s="2" t="s">
        <v>36</v>
      </c>
    </row>
    <row r="1962">
      <c r="A1962" s="2" t="s">
        <v>5096</v>
      </c>
      <c r="B1962" s="2" t="s">
        <v>5097</v>
      </c>
      <c r="C1962" s="2" t="s">
        <v>36</v>
      </c>
    </row>
    <row r="1963">
      <c r="A1963" s="2" t="s">
        <v>5098</v>
      </c>
      <c r="B1963" s="2" t="s">
        <v>5099</v>
      </c>
      <c r="C1963" s="2" t="s">
        <v>36</v>
      </c>
    </row>
    <row r="1964">
      <c r="A1964" s="2" t="s">
        <v>5100</v>
      </c>
      <c r="B1964" s="2" t="s">
        <v>5101</v>
      </c>
      <c r="C1964" s="2" t="s">
        <v>36</v>
      </c>
    </row>
    <row r="1965">
      <c r="A1965" s="2" t="s">
        <v>5102</v>
      </c>
      <c r="B1965" s="2" t="s">
        <v>5103</v>
      </c>
      <c r="C1965" s="2" t="s">
        <v>36</v>
      </c>
    </row>
    <row r="1966">
      <c r="A1966" s="2" t="s">
        <v>5104</v>
      </c>
      <c r="B1966" s="2" t="s">
        <v>5105</v>
      </c>
      <c r="C1966" s="2" t="s">
        <v>36</v>
      </c>
    </row>
    <row r="1967">
      <c r="A1967" s="2" t="s">
        <v>5106</v>
      </c>
      <c r="B1967" s="2" t="s">
        <v>5107</v>
      </c>
      <c r="C1967" s="2" t="s">
        <v>36</v>
      </c>
    </row>
    <row r="1968">
      <c r="A1968" s="2" t="s">
        <v>5108</v>
      </c>
      <c r="B1968" s="2" t="s">
        <v>5109</v>
      </c>
      <c r="C1968" s="2" t="s">
        <v>36</v>
      </c>
    </row>
    <row r="1969">
      <c r="A1969" s="2" t="s">
        <v>5110</v>
      </c>
      <c r="B1969" s="2" t="s">
        <v>5111</v>
      </c>
      <c r="C1969" s="2" t="s">
        <v>36</v>
      </c>
    </row>
    <row r="1970">
      <c r="A1970" s="2" t="s">
        <v>5112</v>
      </c>
      <c r="B1970" s="2" t="s">
        <v>5113</v>
      </c>
      <c r="C1970" s="2" t="s">
        <v>36</v>
      </c>
    </row>
    <row r="1971">
      <c r="A1971" s="2" t="s">
        <v>5114</v>
      </c>
      <c r="B1971" s="2" t="s">
        <v>5115</v>
      </c>
      <c r="C1971" s="2" t="s">
        <v>36</v>
      </c>
    </row>
    <row r="1972">
      <c r="A1972" s="2" t="s">
        <v>5116</v>
      </c>
      <c r="B1972" s="2" t="s">
        <v>5117</v>
      </c>
      <c r="C1972" s="2" t="s">
        <v>36</v>
      </c>
    </row>
    <row r="1973">
      <c r="A1973" s="2" t="s">
        <v>5118</v>
      </c>
      <c r="B1973" s="2" t="s">
        <v>5119</v>
      </c>
      <c r="C1973" s="2" t="s">
        <v>36</v>
      </c>
    </row>
    <row r="1974">
      <c r="A1974" s="2" t="s">
        <v>5120</v>
      </c>
      <c r="B1974" s="2" t="s">
        <v>5121</v>
      </c>
      <c r="C1974" s="2" t="s">
        <v>36</v>
      </c>
    </row>
    <row r="1975">
      <c r="A1975" s="2" t="s">
        <v>5122</v>
      </c>
      <c r="B1975" s="2" t="s">
        <v>5123</v>
      </c>
      <c r="C1975" s="2" t="s">
        <v>36</v>
      </c>
    </row>
    <row r="1976">
      <c r="A1976" s="2" t="s">
        <v>5124</v>
      </c>
      <c r="B1976" s="2" t="s">
        <v>5125</v>
      </c>
      <c r="C1976" s="2" t="s">
        <v>36</v>
      </c>
    </row>
    <row r="1977">
      <c r="A1977" s="2" t="s">
        <v>5126</v>
      </c>
      <c r="B1977" s="2" t="s">
        <v>5127</v>
      </c>
      <c r="C1977" s="2" t="s">
        <v>36</v>
      </c>
    </row>
    <row r="1978">
      <c r="A1978" s="2" t="s">
        <v>5128</v>
      </c>
      <c r="B1978" s="2" t="s">
        <v>5129</v>
      </c>
      <c r="C1978" s="2" t="s">
        <v>36</v>
      </c>
    </row>
    <row r="1979">
      <c r="A1979" s="2" t="s">
        <v>5130</v>
      </c>
      <c r="B1979" s="2" t="s">
        <v>5131</v>
      </c>
      <c r="C1979" s="2" t="s">
        <v>36</v>
      </c>
    </row>
    <row r="1980">
      <c r="A1980" s="2" t="s">
        <v>5132</v>
      </c>
      <c r="B1980" s="2" t="s">
        <v>5133</v>
      </c>
      <c r="C1980" s="2" t="s">
        <v>36</v>
      </c>
    </row>
    <row r="1981">
      <c r="A1981" s="2" t="s">
        <v>5134</v>
      </c>
      <c r="B1981" s="2" t="s">
        <v>5135</v>
      </c>
      <c r="C1981" s="2" t="s">
        <v>36</v>
      </c>
    </row>
    <row r="1982">
      <c r="A1982" s="2" t="s">
        <v>5136</v>
      </c>
      <c r="B1982" s="2" t="s">
        <v>5137</v>
      </c>
      <c r="C1982" s="2" t="s">
        <v>36</v>
      </c>
    </row>
    <row r="1983">
      <c r="A1983" s="2" t="s">
        <v>5138</v>
      </c>
      <c r="B1983" s="2" t="s">
        <v>5139</v>
      </c>
      <c r="C1983" s="2" t="s">
        <v>36</v>
      </c>
    </row>
    <row r="1984">
      <c r="A1984" s="2" t="s">
        <v>5140</v>
      </c>
      <c r="B1984" s="2" t="s">
        <v>5141</v>
      </c>
      <c r="C1984" s="2" t="s">
        <v>36</v>
      </c>
    </row>
    <row r="1985">
      <c r="A1985" s="2" t="s">
        <v>5142</v>
      </c>
      <c r="B1985" s="2" t="s">
        <v>5143</v>
      </c>
      <c r="C1985" s="2" t="s">
        <v>36</v>
      </c>
    </row>
    <row r="1986">
      <c r="A1986" s="2" t="s">
        <v>5144</v>
      </c>
      <c r="B1986" s="2" t="s">
        <v>5145</v>
      </c>
      <c r="C1986" s="2" t="s">
        <v>36</v>
      </c>
    </row>
    <row r="1987">
      <c r="A1987" s="2" t="s">
        <v>5146</v>
      </c>
      <c r="B1987" s="2" t="s">
        <v>5147</v>
      </c>
      <c r="C1987" s="2" t="s">
        <v>36</v>
      </c>
    </row>
    <row r="1988">
      <c r="A1988" s="2" t="s">
        <v>5148</v>
      </c>
      <c r="B1988" s="2" t="s">
        <v>5149</v>
      </c>
      <c r="C1988" s="2" t="s">
        <v>36</v>
      </c>
    </row>
    <row r="1989">
      <c r="A1989" s="2" t="s">
        <v>5150</v>
      </c>
      <c r="B1989" s="2" t="s">
        <v>5151</v>
      </c>
      <c r="C1989" s="2" t="s">
        <v>36</v>
      </c>
    </row>
    <row r="1990">
      <c r="A1990" s="2" t="s">
        <v>5152</v>
      </c>
      <c r="B1990" s="2" t="s">
        <v>5153</v>
      </c>
      <c r="C1990" s="2" t="s">
        <v>36</v>
      </c>
    </row>
    <row r="1991">
      <c r="A1991" s="2" t="s">
        <v>5154</v>
      </c>
      <c r="B1991" s="2" t="s">
        <v>5155</v>
      </c>
      <c r="C1991" s="2" t="s">
        <v>36</v>
      </c>
    </row>
    <row r="1992">
      <c r="A1992" s="2" t="s">
        <v>5156</v>
      </c>
      <c r="B1992" s="2" t="s">
        <v>5157</v>
      </c>
      <c r="C1992" s="2" t="s">
        <v>36</v>
      </c>
    </row>
    <row r="1993">
      <c r="A1993" s="2" t="s">
        <v>5158</v>
      </c>
      <c r="B1993" s="2" t="s">
        <v>5159</v>
      </c>
      <c r="C1993" s="2" t="s">
        <v>36</v>
      </c>
    </row>
    <row r="1994">
      <c r="A1994" s="2" t="s">
        <v>5160</v>
      </c>
      <c r="B1994" s="2" t="s">
        <v>5161</v>
      </c>
      <c r="C1994" s="2" t="s">
        <v>36</v>
      </c>
    </row>
    <row r="1995">
      <c r="A1995" s="2" t="s">
        <v>5162</v>
      </c>
      <c r="B1995" s="2" t="s">
        <v>5163</v>
      </c>
      <c r="C1995" s="2" t="s">
        <v>36</v>
      </c>
    </row>
    <row r="1996">
      <c r="A1996" s="2" t="s">
        <v>5164</v>
      </c>
      <c r="B1996" s="2" t="s">
        <v>5165</v>
      </c>
      <c r="C1996" s="2" t="s">
        <v>36</v>
      </c>
    </row>
    <row r="1997">
      <c r="A1997" s="2" t="s">
        <v>5166</v>
      </c>
      <c r="B1997" s="2" t="s">
        <v>5167</v>
      </c>
      <c r="C1997" s="2" t="s">
        <v>36</v>
      </c>
    </row>
    <row r="1998">
      <c r="A1998" s="2" t="s">
        <v>5168</v>
      </c>
      <c r="B1998" s="2" t="s">
        <v>5169</v>
      </c>
      <c r="C1998" s="2" t="s">
        <v>36</v>
      </c>
    </row>
    <row r="1999">
      <c r="A1999" s="2" t="s">
        <v>5170</v>
      </c>
      <c r="B1999" s="2" t="s">
        <v>5171</v>
      </c>
      <c r="C1999" s="2" t="s">
        <v>36</v>
      </c>
    </row>
    <row r="2000">
      <c r="A2000" s="2" t="s">
        <v>5172</v>
      </c>
      <c r="B2000" s="2" t="s">
        <v>5173</v>
      </c>
      <c r="C2000" s="2" t="s">
        <v>36</v>
      </c>
    </row>
    <row r="2001">
      <c r="A2001" s="2" t="s">
        <v>5174</v>
      </c>
      <c r="B2001" s="2" t="s">
        <v>5175</v>
      </c>
      <c r="C2001" s="2" t="s">
        <v>36</v>
      </c>
    </row>
    <row r="2002">
      <c r="A2002" s="2" t="s">
        <v>5176</v>
      </c>
      <c r="B2002" s="2" t="s">
        <v>5177</v>
      </c>
      <c r="C2002" s="2" t="s">
        <v>36</v>
      </c>
    </row>
    <row r="2003">
      <c r="A2003" s="2" t="s">
        <v>5178</v>
      </c>
      <c r="B2003" s="2" t="s">
        <v>5179</v>
      </c>
      <c r="C2003" s="2" t="s">
        <v>36</v>
      </c>
    </row>
    <row r="2004">
      <c r="A2004" s="2" t="s">
        <v>5180</v>
      </c>
      <c r="B2004" s="2" t="s">
        <v>5181</v>
      </c>
      <c r="C2004" s="2" t="s">
        <v>36</v>
      </c>
    </row>
    <row r="2005">
      <c r="A2005" s="2" t="s">
        <v>5182</v>
      </c>
      <c r="B2005" s="2" t="s">
        <v>5183</v>
      </c>
      <c r="C2005" s="2" t="s">
        <v>36</v>
      </c>
    </row>
    <row r="2006">
      <c r="A2006" s="2" t="s">
        <v>5184</v>
      </c>
      <c r="B2006" s="2" t="s">
        <v>5185</v>
      </c>
      <c r="C2006" s="2" t="s">
        <v>36</v>
      </c>
    </row>
    <row r="2007">
      <c r="A2007" s="2" t="s">
        <v>5186</v>
      </c>
      <c r="B2007" s="2" t="s">
        <v>5187</v>
      </c>
      <c r="C2007" s="2" t="s">
        <v>36</v>
      </c>
    </row>
    <row r="2008">
      <c r="A2008" s="2" t="s">
        <v>5188</v>
      </c>
      <c r="B2008" s="2" t="s">
        <v>5189</v>
      </c>
      <c r="C2008" s="2" t="s">
        <v>36</v>
      </c>
    </row>
    <row r="2009">
      <c r="A2009" s="2" t="s">
        <v>5190</v>
      </c>
      <c r="B2009" s="2" t="s">
        <v>5191</v>
      </c>
      <c r="C2009" s="2" t="s">
        <v>36</v>
      </c>
    </row>
    <row r="2010">
      <c r="A2010" s="2" t="s">
        <v>5192</v>
      </c>
      <c r="B2010" s="2" t="s">
        <v>5193</v>
      </c>
      <c r="C2010" s="2" t="s">
        <v>36</v>
      </c>
    </row>
    <row r="2011">
      <c r="A2011" s="2" t="s">
        <v>5194</v>
      </c>
      <c r="B2011" s="2" t="s">
        <v>5195</v>
      </c>
      <c r="C2011" s="2" t="s">
        <v>36</v>
      </c>
    </row>
    <row r="2012">
      <c r="A2012" s="2" t="s">
        <v>5196</v>
      </c>
      <c r="B2012" s="2" t="s">
        <v>5197</v>
      </c>
      <c r="C2012" s="2" t="s">
        <v>36</v>
      </c>
    </row>
    <row r="2013">
      <c r="A2013" s="2" t="s">
        <v>5198</v>
      </c>
      <c r="B2013" s="2" t="s">
        <v>5199</v>
      </c>
      <c r="C2013" s="2" t="s">
        <v>36</v>
      </c>
    </row>
    <row r="2014">
      <c r="A2014" s="2" t="s">
        <v>5200</v>
      </c>
      <c r="B2014" s="2" t="s">
        <v>5201</v>
      </c>
      <c r="C2014" s="2" t="s">
        <v>36</v>
      </c>
    </row>
    <row r="2015">
      <c r="A2015" s="2" t="s">
        <v>5202</v>
      </c>
      <c r="B2015" s="2" t="s">
        <v>5203</v>
      </c>
      <c r="C2015" s="2" t="s">
        <v>36</v>
      </c>
    </row>
    <row r="2016">
      <c r="A2016" s="2" t="s">
        <v>5204</v>
      </c>
      <c r="B2016" s="2" t="s">
        <v>5205</v>
      </c>
      <c r="C2016" s="2" t="s">
        <v>36</v>
      </c>
    </row>
    <row r="2017">
      <c r="A2017" s="2" t="s">
        <v>5206</v>
      </c>
      <c r="B2017" s="2" t="s">
        <v>5207</v>
      </c>
      <c r="C2017" s="2" t="s">
        <v>36</v>
      </c>
    </row>
    <row r="2018">
      <c r="A2018" s="2" t="s">
        <v>5208</v>
      </c>
      <c r="B2018" s="2" t="s">
        <v>5209</v>
      </c>
      <c r="C2018" s="2" t="s">
        <v>36</v>
      </c>
    </row>
    <row r="2019">
      <c r="A2019" s="2" t="s">
        <v>5210</v>
      </c>
      <c r="B2019" s="2" t="s">
        <v>5211</v>
      </c>
      <c r="C2019" s="2" t="s">
        <v>36</v>
      </c>
    </row>
    <row r="2020">
      <c r="A2020" s="2" t="s">
        <v>5212</v>
      </c>
      <c r="B2020" s="2" t="s">
        <v>5213</v>
      </c>
      <c r="C2020" s="2" t="s">
        <v>36</v>
      </c>
    </row>
    <row r="2021">
      <c r="A2021" s="2" t="s">
        <v>5214</v>
      </c>
      <c r="B2021" s="2" t="s">
        <v>5215</v>
      </c>
      <c r="C2021" s="2" t="s">
        <v>36</v>
      </c>
    </row>
    <row r="2022">
      <c r="A2022" s="2" t="s">
        <v>5216</v>
      </c>
      <c r="B2022" s="2" t="s">
        <v>5217</v>
      </c>
      <c r="C2022" s="2" t="s">
        <v>36</v>
      </c>
    </row>
    <row r="2023">
      <c r="A2023" s="2" t="s">
        <v>5218</v>
      </c>
      <c r="B2023" s="2" t="s">
        <v>5219</v>
      </c>
      <c r="C2023" s="2" t="s">
        <v>36</v>
      </c>
    </row>
    <row r="2024">
      <c r="A2024" s="2" t="s">
        <v>5220</v>
      </c>
      <c r="B2024" s="2" t="s">
        <v>5221</v>
      </c>
      <c r="C2024" s="2" t="s">
        <v>36</v>
      </c>
    </row>
    <row r="2025">
      <c r="A2025" s="2" t="s">
        <v>5222</v>
      </c>
      <c r="B2025" s="2" t="s">
        <v>5223</v>
      </c>
      <c r="C2025" s="2" t="s">
        <v>36</v>
      </c>
    </row>
    <row r="2026">
      <c r="A2026" s="2" t="s">
        <v>5224</v>
      </c>
      <c r="B2026" s="2" t="s">
        <v>5225</v>
      </c>
      <c r="C2026" s="2" t="s">
        <v>36</v>
      </c>
    </row>
    <row r="2027">
      <c r="A2027" s="2" t="s">
        <v>5226</v>
      </c>
      <c r="B2027" s="2" t="s">
        <v>5227</v>
      </c>
      <c r="C2027" s="2" t="s">
        <v>36</v>
      </c>
    </row>
    <row r="2028">
      <c r="A2028" s="2" t="s">
        <v>5228</v>
      </c>
      <c r="B2028" s="2" t="s">
        <v>5229</v>
      </c>
      <c r="C2028" s="2" t="s">
        <v>36</v>
      </c>
    </row>
    <row r="2029">
      <c r="A2029" s="2" t="s">
        <v>5230</v>
      </c>
      <c r="B2029" s="2" t="s">
        <v>5231</v>
      </c>
      <c r="C2029" s="2" t="s">
        <v>36</v>
      </c>
    </row>
    <row r="2030">
      <c r="A2030" s="2" t="s">
        <v>5232</v>
      </c>
      <c r="B2030" s="2" t="s">
        <v>5233</v>
      </c>
      <c r="C2030" s="2" t="s">
        <v>36</v>
      </c>
    </row>
    <row r="2031">
      <c r="A2031" s="2" t="s">
        <v>5234</v>
      </c>
      <c r="B2031" s="2" t="s">
        <v>5235</v>
      </c>
      <c r="C2031" s="2" t="s">
        <v>36</v>
      </c>
    </row>
    <row r="2032">
      <c r="A2032" s="2" t="s">
        <v>5236</v>
      </c>
      <c r="B2032" s="2" t="s">
        <v>5237</v>
      </c>
      <c r="C2032" s="2" t="s">
        <v>36</v>
      </c>
    </row>
    <row r="2033">
      <c r="A2033" s="2" t="s">
        <v>5238</v>
      </c>
      <c r="B2033" s="2" t="s">
        <v>5239</v>
      </c>
      <c r="C2033" s="2" t="s">
        <v>36</v>
      </c>
    </row>
    <row r="2034">
      <c r="A2034" s="2" t="s">
        <v>5240</v>
      </c>
      <c r="B2034" s="2" t="s">
        <v>5241</v>
      </c>
      <c r="C2034" s="2" t="s">
        <v>36</v>
      </c>
    </row>
    <row r="2035">
      <c r="A2035" s="2" t="s">
        <v>5242</v>
      </c>
      <c r="B2035" s="2" t="s">
        <v>5243</v>
      </c>
      <c r="C2035" s="2" t="s">
        <v>36</v>
      </c>
    </row>
    <row r="2036">
      <c r="A2036" s="2" t="s">
        <v>5244</v>
      </c>
      <c r="B2036" s="2" t="s">
        <v>5245</v>
      </c>
      <c r="C2036" s="2" t="s">
        <v>36</v>
      </c>
    </row>
    <row r="2037">
      <c r="A2037" s="2" t="s">
        <v>5246</v>
      </c>
      <c r="B2037" s="2" t="s">
        <v>5247</v>
      </c>
      <c r="C2037" s="2" t="s">
        <v>36</v>
      </c>
    </row>
    <row r="2038">
      <c r="A2038" s="2" t="s">
        <v>5248</v>
      </c>
      <c r="B2038" s="2" t="s">
        <v>5249</v>
      </c>
      <c r="C2038" s="2" t="s">
        <v>36</v>
      </c>
    </row>
    <row r="2039">
      <c r="A2039" s="2" t="s">
        <v>5250</v>
      </c>
      <c r="B2039" s="2" t="s">
        <v>5251</v>
      </c>
      <c r="C2039" s="2" t="s">
        <v>36</v>
      </c>
    </row>
    <row r="2040">
      <c r="A2040" s="2" t="s">
        <v>5252</v>
      </c>
      <c r="B2040" s="2" t="s">
        <v>5253</v>
      </c>
      <c r="C2040" s="2" t="s">
        <v>36</v>
      </c>
    </row>
    <row r="2041">
      <c r="A2041" s="2" t="s">
        <v>5254</v>
      </c>
      <c r="B2041" s="2" t="s">
        <v>5255</v>
      </c>
      <c r="C2041" s="2" t="s">
        <v>36</v>
      </c>
    </row>
    <row r="2042">
      <c r="A2042" s="2" t="s">
        <v>5256</v>
      </c>
      <c r="B2042" s="2" t="s">
        <v>5257</v>
      </c>
      <c r="C2042" s="2" t="s">
        <v>36</v>
      </c>
    </row>
    <row r="2043">
      <c r="A2043" s="2" t="s">
        <v>5258</v>
      </c>
      <c r="B2043" s="2" t="s">
        <v>5259</v>
      </c>
      <c r="C2043" s="2" t="s">
        <v>36</v>
      </c>
    </row>
    <row r="2044">
      <c r="A2044" s="2" t="s">
        <v>5260</v>
      </c>
      <c r="B2044" s="2" t="s">
        <v>5261</v>
      </c>
      <c r="C2044" s="2" t="s">
        <v>36</v>
      </c>
    </row>
    <row r="2045">
      <c r="A2045" s="2" t="s">
        <v>5262</v>
      </c>
      <c r="B2045" s="2" t="s">
        <v>5263</v>
      </c>
      <c r="C2045" s="2" t="s">
        <v>36</v>
      </c>
    </row>
    <row r="2046">
      <c r="A2046" s="2" t="s">
        <v>5264</v>
      </c>
      <c r="B2046" s="2" t="s">
        <v>5265</v>
      </c>
      <c r="C2046" s="2" t="s">
        <v>36</v>
      </c>
    </row>
    <row r="2047">
      <c r="A2047" s="2" t="s">
        <v>5266</v>
      </c>
      <c r="B2047" s="2" t="s">
        <v>5267</v>
      </c>
      <c r="C2047" s="2" t="s">
        <v>36</v>
      </c>
    </row>
    <row r="2048">
      <c r="A2048" s="2" t="s">
        <v>5268</v>
      </c>
      <c r="B2048" s="2" t="s">
        <v>5269</v>
      </c>
      <c r="C2048" s="2" t="s">
        <v>36</v>
      </c>
    </row>
    <row r="2049">
      <c r="A2049" s="2" t="s">
        <v>5270</v>
      </c>
      <c r="B2049" s="2" t="s">
        <v>5271</v>
      </c>
      <c r="C2049" s="2" t="s">
        <v>36</v>
      </c>
    </row>
    <row r="2050">
      <c r="A2050" s="2" t="s">
        <v>5272</v>
      </c>
      <c r="B2050" s="2" t="s">
        <v>5273</v>
      </c>
      <c r="C2050" s="2" t="s">
        <v>36</v>
      </c>
    </row>
    <row r="2051">
      <c r="A2051" s="2" t="s">
        <v>5274</v>
      </c>
      <c r="B2051" s="2" t="s">
        <v>5275</v>
      </c>
      <c r="C2051" s="2" t="s">
        <v>36</v>
      </c>
    </row>
    <row r="2052">
      <c r="A2052" s="2" t="s">
        <v>5276</v>
      </c>
      <c r="B2052" s="2" t="s">
        <v>5277</v>
      </c>
      <c r="C2052" s="2" t="s">
        <v>36</v>
      </c>
    </row>
    <row r="2053">
      <c r="A2053" s="2" t="s">
        <v>5278</v>
      </c>
      <c r="B2053" s="2" t="s">
        <v>5279</v>
      </c>
      <c r="C2053" s="2" t="s">
        <v>36</v>
      </c>
    </row>
    <row r="2054">
      <c r="A2054" s="2" t="s">
        <v>5280</v>
      </c>
      <c r="B2054" s="2" t="s">
        <v>5281</v>
      </c>
      <c r="C2054" s="2" t="s">
        <v>36</v>
      </c>
    </row>
    <row r="2055">
      <c r="A2055" s="2" t="s">
        <v>5282</v>
      </c>
      <c r="B2055" s="2" t="s">
        <v>5283</v>
      </c>
      <c r="C2055" s="2" t="s">
        <v>36</v>
      </c>
    </row>
    <row r="2056">
      <c r="A2056" s="2" t="s">
        <v>5284</v>
      </c>
      <c r="B2056" s="2" t="s">
        <v>5285</v>
      </c>
      <c r="C2056" s="2" t="s">
        <v>36</v>
      </c>
    </row>
    <row r="2057">
      <c r="A2057" s="2" t="s">
        <v>5286</v>
      </c>
      <c r="B2057" s="2" t="s">
        <v>5287</v>
      </c>
      <c r="C2057" s="2" t="s">
        <v>36</v>
      </c>
    </row>
    <row r="2058">
      <c r="A2058" s="2" t="s">
        <v>5288</v>
      </c>
      <c r="B2058" s="2" t="s">
        <v>5287</v>
      </c>
      <c r="C2058" s="2" t="s">
        <v>36</v>
      </c>
    </row>
    <row r="2059">
      <c r="A2059" s="2" t="s">
        <v>5289</v>
      </c>
      <c r="B2059" s="2" t="s">
        <v>5290</v>
      </c>
      <c r="C2059" s="2" t="s">
        <v>36</v>
      </c>
    </row>
    <row r="2060">
      <c r="A2060" s="2" t="s">
        <v>5291</v>
      </c>
      <c r="B2060" s="2" t="s">
        <v>5292</v>
      </c>
      <c r="C2060" s="2" t="s">
        <v>36</v>
      </c>
    </row>
    <row r="2061">
      <c r="A2061" s="2" t="s">
        <v>5293</v>
      </c>
      <c r="B2061" s="2" t="s">
        <v>5294</v>
      </c>
      <c r="C2061" s="2" t="s">
        <v>36</v>
      </c>
    </row>
    <row r="2062">
      <c r="A2062" s="2" t="s">
        <v>5295</v>
      </c>
      <c r="B2062" s="2" t="s">
        <v>5296</v>
      </c>
      <c r="C2062" s="2" t="s">
        <v>36</v>
      </c>
    </row>
    <row r="2063">
      <c r="A2063" s="2" t="s">
        <v>5297</v>
      </c>
      <c r="B2063" s="2" t="s">
        <v>5298</v>
      </c>
      <c r="C2063" s="2" t="s">
        <v>36</v>
      </c>
    </row>
    <row r="2064">
      <c r="A2064" s="2" t="s">
        <v>5299</v>
      </c>
      <c r="B2064" s="2" t="s">
        <v>5300</v>
      </c>
      <c r="C2064" s="2" t="s">
        <v>36</v>
      </c>
    </row>
    <row r="2065">
      <c r="A2065" s="2" t="s">
        <v>5301</v>
      </c>
      <c r="B2065" s="2" t="s">
        <v>5302</v>
      </c>
      <c r="C2065" s="2" t="s">
        <v>36</v>
      </c>
    </row>
    <row r="2066">
      <c r="A2066" s="2" t="s">
        <v>5303</v>
      </c>
      <c r="B2066" s="2" t="s">
        <v>5304</v>
      </c>
      <c r="C2066" s="2" t="s">
        <v>36</v>
      </c>
    </row>
    <row r="2067">
      <c r="A2067" s="2" t="s">
        <v>5305</v>
      </c>
      <c r="B2067" s="2" t="s">
        <v>5306</v>
      </c>
      <c r="C2067" s="2" t="s">
        <v>36</v>
      </c>
    </row>
    <row r="2068">
      <c r="A2068" s="2" t="s">
        <v>5307</v>
      </c>
      <c r="B2068" s="2" t="s">
        <v>5308</v>
      </c>
      <c r="C2068" s="2" t="s">
        <v>36</v>
      </c>
    </row>
    <row r="2069">
      <c r="A2069" s="2" t="s">
        <v>5309</v>
      </c>
      <c r="B2069" s="2" t="s">
        <v>5310</v>
      </c>
      <c r="C2069" s="2" t="s">
        <v>36</v>
      </c>
    </row>
    <row r="2070">
      <c r="A2070" s="2" t="s">
        <v>5311</v>
      </c>
      <c r="B2070" s="2" t="s">
        <v>5312</v>
      </c>
      <c r="C2070" s="2" t="s">
        <v>36</v>
      </c>
    </row>
    <row r="2071">
      <c r="A2071" s="2" t="s">
        <v>5313</v>
      </c>
      <c r="B2071" s="2" t="s">
        <v>5314</v>
      </c>
      <c r="C2071" s="2" t="s">
        <v>36</v>
      </c>
    </row>
    <row r="2072">
      <c r="A2072" s="2" t="s">
        <v>5315</v>
      </c>
      <c r="B2072" s="2" t="s">
        <v>5316</v>
      </c>
      <c r="C2072" s="2" t="s">
        <v>36</v>
      </c>
    </row>
    <row r="2073">
      <c r="A2073" s="2" t="s">
        <v>5317</v>
      </c>
      <c r="B2073" s="2" t="s">
        <v>5318</v>
      </c>
      <c r="C2073" s="2" t="s">
        <v>36</v>
      </c>
    </row>
    <row r="2074">
      <c r="A2074" s="2" t="s">
        <v>5319</v>
      </c>
      <c r="B2074" s="2" t="s">
        <v>5320</v>
      </c>
      <c r="C2074" s="2" t="s">
        <v>36</v>
      </c>
    </row>
    <row r="2075">
      <c r="A2075" s="2" t="s">
        <v>5321</v>
      </c>
      <c r="B2075" s="2" t="s">
        <v>5322</v>
      </c>
      <c r="C2075" s="2" t="s">
        <v>36</v>
      </c>
    </row>
    <row r="2076">
      <c r="A2076" s="2" t="s">
        <v>5323</v>
      </c>
      <c r="B2076" s="2" t="s">
        <v>5324</v>
      </c>
      <c r="C2076" s="2" t="s">
        <v>36</v>
      </c>
    </row>
    <row r="2077">
      <c r="A2077" s="2" t="s">
        <v>5325</v>
      </c>
      <c r="B2077" s="2" t="s">
        <v>5326</v>
      </c>
      <c r="C2077" s="2" t="s">
        <v>36</v>
      </c>
    </row>
    <row r="2078">
      <c r="A2078" s="2" t="s">
        <v>5327</v>
      </c>
      <c r="B2078" s="2" t="s">
        <v>5328</v>
      </c>
      <c r="C2078" s="2" t="s">
        <v>36</v>
      </c>
    </row>
    <row r="2079">
      <c r="A2079" s="2" t="s">
        <v>5329</v>
      </c>
      <c r="B2079" s="2" t="s">
        <v>5330</v>
      </c>
      <c r="C2079" s="2" t="s">
        <v>36</v>
      </c>
    </row>
    <row r="2080">
      <c r="A2080" s="2" t="s">
        <v>5331</v>
      </c>
      <c r="B2080" s="2" t="s">
        <v>5332</v>
      </c>
      <c r="C2080" s="2" t="s">
        <v>36</v>
      </c>
    </row>
    <row r="2081">
      <c r="A2081" s="2" t="s">
        <v>5333</v>
      </c>
      <c r="B2081" s="2" t="s">
        <v>5334</v>
      </c>
      <c r="C2081" s="2" t="s">
        <v>36</v>
      </c>
    </row>
    <row r="2082">
      <c r="A2082" s="2" t="s">
        <v>5335</v>
      </c>
      <c r="B2082" s="2" t="s">
        <v>5336</v>
      </c>
      <c r="C2082" s="2" t="s">
        <v>36</v>
      </c>
    </row>
    <row r="2083">
      <c r="A2083" s="2" t="s">
        <v>5337</v>
      </c>
      <c r="B2083" s="2" t="s">
        <v>5338</v>
      </c>
      <c r="C2083" s="2" t="s">
        <v>36</v>
      </c>
    </row>
    <row r="2084">
      <c r="A2084" s="2" t="s">
        <v>5339</v>
      </c>
      <c r="B2084" s="2" t="s">
        <v>5340</v>
      </c>
      <c r="C2084" s="2" t="s">
        <v>36</v>
      </c>
    </row>
    <row r="2085">
      <c r="A2085" s="2" t="s">
        <v>5341</v>
      </c>
      <c r="B2085" s="2" t="s">
        <v>5342</v>
      </c>
      <c r="C2085" s="2" t="s">
        <v>36</v>
      </c>
    </row>
    <row r="2086">
      <c r="A2086" s="2" t="s">
        <v>5343</v>
      </c>
      <c r="B2086" s="2" t="s">
        <v>5344</v>
      </c>
      <c r="C2086" s="2" t="s">
        <v>36</v>
      </c>
    </row>
    <row r="2087">
      <c r="A2087" s="2" t="s">
        <v>5345</v>
      </c>
      <c r="B2087" s="2" t="s">
        <v>5346</v>
      </c>
      <c r="C2087" s="2" t="s">
        <v>36</v>
      </c>
    </row>
    <row r="2088">
      <c r="A2088" s="2" t="s">
        <v>5347</v>
      </c>
      <c r="B2088" s="2" t="s">
        <v>5348</v>
      </c>
      <c r="C2088" s="2" t="s">
        <v>36</v>
      </c>
    </row>
    <row r="2089">
      <c r="A2089" s="2" t="s">
        <v>5349</v>
      </c>
      <c r="B2089" s="2" t="s">
        <v>5350</v>
      </c>
      <c r="C2089" s="2" t="s">
        <v>36</v>
      </c>
    </row>
    <row r="2090">
      <c r="A2090" s="2" t="s">
        <v>5351</v>
      </c>
      <c r="B2090" s="2" t="s">
        <v>5352</v>
      </c>
      <c r="C2090" s="2" t="s">
        <v>36</v>
      </c>
    </row>
    <row r="2091">
      <c r="A2091" s="2" t="s">
        <v>5353</v>
      </c>
      <c r="B2091" s="2" t="s">
        <v>5354</v>
      </c>
      <c r="C2091" s="2" t="s">
        <v>36</v>
      </c>
    </row>
    <row r="2092">
      <c r="A2092" s="2" t="s">
        <v>5355</v>
      </c>
      <c r="B2092" s="2" t="s">
        <v>5356</v>
      </c>
      <c r="C2092" s="2" t="s">
        <v>36</v>
      </c>
    </row>
    <row r="2093">
      <c r="A2093" s="2" t="s">
        <v>5357</v>
      </c>
      <c r="B2093" s="2" t="s">
        <v>5358</v>
      </c>
      <c r="C2093" s="2" t="s">
        <v>36</v>
      </c>
    </row>
    <row r="2094">
      <c r="A2094" s="2" t="s">
        <v>5359</v>
      </c>
      <c r="B2094" s="2" t="s">
        <v>5360</v>
      </c>
      <c r="C2094" s="2" t="s">
        <v>36</v>
      </c>
    </row>
    <row r="2095">
      <c r="A2095" s="2" t="s">
        <v>5361</v>
      </c>
      <c r="B2095" s="2" t="s">
        <v>5362</v>
      </c>
      <c r="C2095" s="2" t="s">
        <v>36</v>
      </c>
    </row>
    <row r="2096">
      <c r="A2096" s="2" t="s">
        <v>5363</v>
      </c>
      <c r="B2096" s="2" t="s">
        <v>5364</v>
      </c>
      <c r="C2096" s="2" t="s">
        <v>36</v>
      </c>
    </row>
    <row r="2097">
      <c r="A2097" s="2" t="s">
        <v>5365</v>
      </c>
      <c r="B2097" s="2" t="s">
        <v>5366</v>
      </c>
      <c r="C2097" s="2" t="s">
        <v>36</v>
      </c>
    </row>
    <row r="2098">
      <c r="A2098" s="2" t="s">
        <v>5367</v>
      </c>
      <c r="B2098" s="2" t="s">
        <v>5368</v>
      </c>
      <c r="C2098" s="2" t="s">
        <v>36</v>
      </c>
    </row>
    <row r="2099">
      <c r="A2099" s="2" t="s">
        <v>5369</v>
      </c>
      <c r="B2099" s="2" t="s">
        <v>5370</v>
      </c>
      <c r="C2099" s="2" t="s">
        <v>36</v>
      </c>
    </row>
    <row r="2100">
      <c r="A2100" s="2" t="s">
        <v>5371</v>
      </c>
      <c r="B2100" s="2" t="s">
        <v>5372</v>
      </c>
      <c r="C2100" s="2" t="s">
        <v>36</v>
      </c>
    </row>
    <row r="2101">
      <c r="A2101" s="2" t="s">
        <v>5373</v>
      </c>
      <c r="B2101" s="2" t="s">
        <v>5374</v>
      </c>
      <c r="C2101" s="2" t="s">
        <v>36</v>
      </c>
    </row>
    <row r="2102">
      <c r="A2102" s="2" t="s">
        <v>5375</v>
      </c>
      <c r="B2102" s="2" t="s">
        <v>5376</v>
      </c>
      <c r="C2102" s="2" t="s">
        <v>36</v>
      </c>
    </row>
    <row r="2103">
      <c r="A2103" s="2" t="s">
        <v>5377</v>
      </c>
      <c r="B2103" s="2" t="s">
        <v>5378</v>
      </c>
      <c r="C2103" s="2" t="s">
        <v>36</v>
      </c>
    </row>
    <row r="2104">
      <c r="A2104" s="2" t="s">
        <v>5379</v>
      </c>
      <c r="B2104" s="2" t="s">
        <v>5380</v>
      </c>
      <c r="C2104" s="2" t="s">
        <v>36</v>
      </c>
    </row>
    <row r="2105">
      <c r="A2105" s="2" t="s">
        <v>5381</v>
      </c>
      <c r="B2105" s="2" t="s">
        <v>5382</v>
      </c>
      <c r="C2105" s="2" t="s">
        <v>36</v>
      </c>
    </row>
    <row r="2106">
      <c r="A2106" s="2" t="s">
        <v>5383</v>
      </c>
      <c r="B2106" s="2" t="s">
        <v>5384</v>
      </c>
      <c r="C2106" s="2" t="s">
        <v>36</v>
      </c>
    </row>
    <row r="2107">
      <c r="A2107" s="2" t="s">
        <v>5385</v>
      </c>
      <c r="B2107" s="2" t="s">
        <v>5386</v>
      </c>
      <c r="C2107" s="2" t="s">
        <v>36</v>
      </c>
    </row>
    <row r="2108">
      <c r="A2108" s="2" t="s">
        <v>5387</v>
      </c>
      <c r="B2108" s="2" t="s">
        <v>5388</v>
      </c>
      <c r="C2108" s="2" t="s">
        <v>36</v>
      </c>
    </row>
    <row r="2109">
      <c r="A2109" s="2" t="s">
        <v>5389</v>
      </c>
      <c r="B2109" s="2" t="s">
        <v>5390</v>
      </c>
      <c r="C2109" s="2" t="s">
        <v>36</v>
      </c>
    </row>
    <row r="2110">
      <c r="A2110" s="2" t="s">
        <v>5391</v>
      </c>
      <c r="B2110" s="2" t="s">
        <v>5392</v>
      </c>
      <c r="C2110" s="2" t="s">
        <v>36</v>
      </c>
    </row>
    <row r="2111">
      <c r="A2111" s="2" t="s">
        <v>5393</v>
      </c>
      <c r="B2111" s="2" t="s">
        <v>5394</v>
      </c>
      <c r="C2111" s="2" t="s">
        <v>36</v>
      </c>
    </row>
    <row r="2112">
      <c r="A2112" s="2" t="s">
        <v>5395</v>
      </c>
      <c r="B2112" s="2" t="s">
        <v>5396</v>
      </c>
      <c r="C2112" s="2" t="s">
        <v>36</v>
      </c>
    </row>
    <row r="2113">
      <c r="A2113" s="2" t="s">
        <v>5397</v>
      </c>
      <c r="B2113" s="2" t="s">
        <v>5398</v>
      </c>
      <c r="C2113" s="2" t="s">
        <v>36</v>
      </c>
    </row>
    <row r="2114">
      <c r="A2114" s="2" t="s">
        <v>5399</v>
      </c>
      <c r="B2114" s="2" t="s">
        <v>5400</v>
      </c>
      <c r="C2114" s="2" t="s">
        <v>36</v>
      </c>
    </row>
    <row r="2115">
      <c r="A2115" s="2" t="s">
        <v>5401</v>
      </c>
      <c r="B2115" s="2" t="s">
        <v>5402</v>
      </c>
      <c r="C2115" s="2" t="s">
        <v>36</v>
      </c>
    </row>
    <row r="2116">
      <c r="A2116" s="2" t="s">
        <v>5403</v>
      </c>
      <c r="B2116" s="2" t="s">
        <v>5404</v>
      </c>
      <c r="C2116" s="2" t="s">
        <v>36</v>
      </c>
    </row>
    <row r="2117">
      <c r="A2117" s="2" t="s">
        <v>5405</v>
      </c>
      <c r="B2117" s="2" t="s">
        <v>5406</v>
      </c>
      <c r="C2117" s="2" t="s">
        <v>36</v>
      </c>
    </row>
    <row r="2118">
      <c r="A2118" s="2" t="s">
        <v>5407</v>
      </c>
      <c r="B2118" s="2" t="s">
        <v>5408</v>
      </c>
      <c r="C2118" s="2" t="s">
        <v>36</v>
      </c>
    </row>
    <row r="2119">
      <c r="A2119" s="2" t="s">
        <v>5409</v>
      </c>
      <c r="B2119" s="2" t="s">
        <v>5410</v>
      </c>
      <c r="C2119" s="2" t="s">
        <v>36</v>
      </c>
    </row>
    <row r="2120">
      <c r="A2120" s="2" t="s">
        <v>5411</v>
      </c>
      <c r="B2120" s="2" t="s">
        <v>5412</v>
      </c>
      <c r="C2120" s="2" t="s">
        <v>36</v>
      </c>
    </row>
    <row r="2121">
      <c r="A2121" s="2" t="s">
        <v>5413</v>
      </c>
      <c r="B2121" s="2" t="s">
        <v>5414</v>
      </c>
      <c r="C2121" s="2" t="s">
        <v>36</v>
      </c>
    </row>
    <row r="2122">
      <c r="A2122" s="2" t="s">
        <v>5415</v>
      </c>
      <c r="B2122" s="2" t="s">
        <v>5416</v>
      </c>
      <c r="C2122" s="2" t="s">
        <v>36</v>
      </c>
    </row>
    <row r="2123">
      <c r="A2123" s="2" t="s">
        <v>5417</v>
      </c>
      <c r="B2123" s="2" t="s">
        <v>5418</v>
      </c>
      <c r="C2123" s="2" t="s">
        <v>36</v>
      </c>
    </row>
    <row r="2124">
      <c r="A2124" s="2" t="s">
        <v>5419</v>
      </c>
      <c r="B2124" s="2" t="s">
        <v>5420</v>
      </c>
      <c r="C2124" s="2" t="s">
        <v>36</v>
      </c>
    </row>
    <row r="2125">
      <c r="A2125" s="2" t="s">
        <v>5421</v>
      </c>
      <c r="B2125" s="2" t="s">
        <v>5422</v>
      </c>
      <c r="C2125" s="2" t="s">
        <v>36</v>
      </c>
    </row>
    <row r="2126">
      <c r="A2126" s="2" t="s">
        <v>5423</v>
      </c>
      <c r="B2126" s="2" t="s">
        <v>5424</v>
      </c>
      <c r="C2126" s="2" t="s">
        <v>36</v>
      </c>
    </row>
    <row r="2127">
      <c r="A2127" s="2" t="s">
        <v>5425</v>
      </c>
      <c r="B2127" s="2" t="s">
        <v>5426</v>
      </c>
      <c r="C2127" s="2" t="s">
        <v>36</v>
      </c>
    </row>
    <row r="2128">
      <c r="A2128" s="2" t="s">
        <v>5427</v>
      </c>
      <c r="B2128" s="2" t="s">
        <v>5428</v>
      </c>
      <c r="C2128" s="2" t="s">
        <v>36</v>
      </c>
    </row>
    <row r="2129">
      <c r="A2129" s="2" t="s">
        <v>5429</v>
      </c>
      <c r="B2129" s="2" t="s">
        <v>5430</v>
      </c>
      <c r="C2129" s="2" t="s">
        <v>36</v>
      </c>
    </row>
    <row r="2130">
      <c r="A2130" s="2" t="s">
        <v>5431</v>
      </c>
      <c r="B2130" s="2" t="s">
        <v>5432</v>
      </c>
      <c r="C2130" s="2" t="s">
        <v>36</v>
      </c>
    </row>
    <row r="2131">
      <c r="A2131" s="2" t="s">
        <v>5433</v>
      </c>
      <c r="B2131" s="2" t="s">
        <v>5434</v>
      </c>
      <c r="C2131" s="2" t="s">
        <v>36</v>
      </c>
    </row>
    <row r="2132">
      <c r="A2132" s="2" t="s">
        <v>5435</v>
      </c>
      <c r="B2132" s="2" t="s">
        <v>5436</v>
      </c>
      <c r="C2132" s="2" t="s">
        <v>36</v>
      </c>
    </row>
    <row r="2133">
      <c r="A2133" s="2" t="s">
        <v>5437</v>
      </c>
      <c r="B2133" s="2" t="s">
        <v>5438</v>
      </c>
      <c r="C2133" s="2" t="s">
        <v>36</v>
      </c>
    </row>
    <row r="2134">
      <c r="A2134" s="2" t="s">
        <v>5439</v>
      </c>
      <c r="B2134" s="2" t="s">
        <v>5440</v>
      </c>
      <c r="C2134" s="2" t="s">
        <v>36</v>
      </c>
    </row>
    <row r="2135">
      <c r="A2135" s="2" t="s">
        <v>5441</v>
      </c>
      <c r="B2135" s="2" t="s">
        <v>5442</v>
      </c>
      <c r="C2135" s="2" t="s">
        <v>36</v>
      </c>
    </row>
    <row r="2136">
      <c r="A2136" s="2" t="s">
        <v>5443</v>
      </c>
      <c r="B2136" s="2" t="s">
        <v>5444</v>
      </c>
      <c r="C2136" s="2" t="s">
        <v>36</v>
      </c>
    </row>
    <row r="2137">
      <c r="A2137" s="2" t="s">
        <v>5445</v>
      </c>
      <c r="B2137" s="2" t="s">
        <v>5446</v>
      </c>
      <c r="C2137" s="2" t="s">
        <v>36</v>
      </c>
    </row>
    <row r="2138">
      <c r="A2138" s="2" t="s">
        <v>5447</v>
      </c>
      <c r="B2138" s="2" t="s">
        <v>5448</v>
      </c>
      <c r="C2138" s="2" t="s">
        <v>36</v>
      </c>
    </row>
    <row r="2139">
      <c r="A2139" s="2" t="s">
        <v>5449</v>
      </c>
      <c r="B2139" s="2" t="s">
        <v>5450</v>
      </c>
      <c r="C2139" s="2" t="s">
        <v>36</v>
      </c>
    </row>
    <row r="2140">
      <c r="A2140" s="2" t="s">
        <v>5451</v>
      </c>
      <c r="B2140" s="2" t="s">
        <v>5452</v>
      </c>
      <c r="C2140" s="2" t="s">
        <v>36</v>
      </c>
    </row>
    <row r="2141">
      <c r="A2141" s="2" t="s">
        <v>5453</v>
      </c>
      <c r="B2141" s="2" t="s">
        <v>5454</v>
      </c>
      <c r="C2141" s="2" t="s">
        <v>36</v>
      </c>
    </row>
    <row r="2142">
      <c r="A2142" s="2" t="s">
        <v>5455</v>
      </c>
      <c r="B2142" s="2" t="s">
        <v>5456</v>
      </c>
      <c r="C2142" s="2" t="s">
        <v>36</v>
      </c>
    </row>
    <row r="2143">
      <c r="A2143" s="2" t="s">
        <v>5457</v>
      </c>
      <c r="B2143" s="2" t="s">
        <v>5458</v>
      </c>
      <c r="C2143" s="2" t="s">
        <v>36</v>
      </c>
    </row>
    <row r="2144">
      <c r="A2144" s="2" t="s">
        <v>5459</v>
      </c>
      <c r="B2144" s="2" t="s">
        <v>5460</v>
      </c>
      <c r="C2144" s="2" t="s">
        <v>36</v>
      </c>
    </row>
    <row r="2145">
      <c r="A2145" s="2" t="s">
        <v>5461</v>
      </c>
      <c r="B2145" s="2" t="s">
        <v>5460</v>
      </c>
      <c r="C2145" s="2" t="s">
        <v>36</v>
      </c>
    </row>
    <row r="2146">
      <c r="A2146" s="2" t="s">
        <v>5462</v>
      </c>
      <c r="B2146" s="2" t="s">
        <v>5460</v>
      </c>
      <c r="C2146" s="2" t="s">
        <v>36</v>
      </c>
    </row>
    <row r="2147">
      <c r="A2147" s="2" t="s">
        <v>5463</v>
      </c>
      <c r="B2147" s="2" t="s">
        <v>5464</v>
      </c>
      <c r="C2147" s="2" t="s">
        <v>36</v>
      </c>
    </row>
    <row r="2148">
      <c r="A2148" s="2" t="s">
        <v>5465</v>
      </c>
      <c r="B2148" s="2" t="s">
        <v>5466</v>
      </c>
      <c r="C2148" s="2" t="s">
        <v>36</v>
      </c>
    </row>
    <row r="2149">
      <c r="A2149" s="2" t="s">
        <v>5467</v>
      </c>
      <c r="B2149" s="2" t="s">
        <v>5468</v>
      </c>
      <c r="C2149" s="2" t="s">
        <v>36</v>
      </c>
    </row>
    <row r="2150">
      <c r="A2150" s="2" t="s">
        <v>5469</v>
      </c>
      <c r="B2150" s="2" t="s">
        <v>5468</v>
      </c>
      <c r="C2150" s="2" t="s">
        <v>36</v>
      </c>
    </row>
    <row r="2151">
      <c r="A2151" s="2" t="s">
        <v>5470</v>
      </c>
      <c r="B2151" s="2" t="s">
        <v>5471</v>
      </c>
      <c r="C2151" s="2" t="s">
        <v>36</v>
      </c>
    </row>
    <row r="2152">
      <c r="A2152" s="2" t="s">
        <v>5472</v>
      </c>
      <c r="B2152" s="2" t="s">
        <v>5473</v>
      </c>
      <c r="C2152" s="2" t="s">
        <v>36</v>
      </c>
    </row>
    <row r="2153">
      <c r="A2153" s="2" t="s">
        <v>5474</v>
      </c>
      <c r="B2153" s="2" t="s">
        <v>5475</v>
      </c>
      <c r="C2153" s="2" t="s">
        <v>36</v>
      </c>
    </row>
    <row r="2154">
      <c r="A2154" s="2" t="s">
        <v>5476</v>
      </c>
      <c r="B2154" s="2" t="s">
        <v>5477</v>
      </c>
      <c r="C2154" s="2" t="s">
        <v>36</v>
      </c>
    </row>
    <row r="2155">
      <c r="A2155" s="2" t="s">
        <v>5478</v>
      </c>
      <c r="B2155" s="2" t="s">
        <v>5479</v>
      </c>
      <c r="C2155" s="2" t="s">
        <v>36</v>
      </c>
    </row>
    <row r="2156">
      <c r="A2156" s="2" t="s">
        <v>5480</v>
      </c>
      <c r="B2156" s="2" t="s">
        <v>5481</v>
      </c>
      <c r="C2156" s="2" t="s">
        <v>36</v>
      </c>
    </row>
    <row r="2157">
      <c r="A2157" s="2" t="s">
        <v>5482</v>
      </c>
      <c r="B2157" s="2" t="s">
        <v>5483</v>
      </c>
      <c r="C2157" s="2" t="s">
        <v>36</v>
      </c>
    </row>
    <row r="2158">
      <c r="A2158" s="2" t="s">
        <v>5484</v>
      </c>
      <c r="B2158" s="2" t="s">
        <v>5485</v>
      </c>
      <c r="C2158" s="2" t="s">
        <v>36</v>
      </c>
    </row>
    <row r="2159">
      <c r="A2159" s="2" t="s">
        <v>5486</v>
      </c>
      <c r="B2159" s="2" t="s">
        <v>5487</v>
      </c>
      <c r="C2159" s="2" t="s">
        <v>36</v>
      </c>
    </row>
    <row r="2160">
      <c r="A2160" s="2" t="s">
        <v>5488</v>
      </c>
      <c r="B2160" s="2" t="s">
        <v>5489</v>
      </c>
      <c r="C2160" s="2" t="s">
        <v>36</v>
      </c>
    </row>
    <row r="2161">
      <c r="A2161" s="2" t="s">
        <v>5490</v>
      </c>
      <c r="B2161" s="2" t="s">
        <v>5491</v>
      </c>
      <c r="C2161" s="2" t="s">
        <v>36</v>
      </c>
    </row>
    <row r="2162">
      <c r="A2162" s="2" t="s">
        <v>5492</v>
      </c>
      <c r="B2162" s="2" t="s">
        <v>5493</v>
      </c>
      <c r="C2162" s="2" t="s">
        <v>36</v>
      </c>
    </row>
    <row r="2163">
      <c r="A2163" s="2" t="s">
        <v>5494</v>
      </c>
      <c r="B2163" s="2" t="s">
        <v>5495</v>
      </c>
      <c r="C2163" s="2" t="s">
        <v>36</v>
      </c>
    </row>
    <row r="2164">
      <c r="A2164" s="2" t="s">
        <v>5496</v>
      </c>
      <c r="B2164" s="2" t="s">
        <v>5497</v>
      </c>
      <c r="C2164" s="2" t="s">
        <v>36</v>
      </c>
    </row>
    <row r="2165">
      <c r="A2165" s="2" t="s">
        <v>5498</v>
      </c>
      <c r="B2165" s="2" t="s">
        <v>5499</v>
      </c>
      <c r="C2165" s="2" t="s">
        <v>36</v>
      </c>
    </row>
    <row r="2166">
      <c r="A2166" s="2" t="s">
        <v>5500</v>
      </c>
      <c r="B2166" s="2" t="s">
        <v>5501</v>
      </c>
      <c r="C2166" s="2" t="s">
        <v>36</v>
      </c>
    </row>
    <row r="2167">
      <c r="A2167" s="2" t="s">
        <v>5502</v>
      </c>
      <c r="B2167" s="2" t="s">
        <v>5503</v>
      </c>
      <c r="C2167" s="2" t="s">
        <v>36</v>
      </c>
    </row>
    <row r="2168">
      <c r="A2168" s="2" t="s">
        <v>5504</v>
      </c>
      <c r="B2168" s="2" t="s">
        <v>5505</v>
      </c>
      <c r="C2168" s="2" t="s">
        <v>36</v>
      </c>
    </row>
    <row r="2169">
      <c r="A2169" s="2" t="s">
        <v>5506</v>
      </c>
      <c r="B2169" s="2" t="s">
        <v>5507</v>
      </c>
      <c r="C2169" s="2" t="s">
        <v>36</v>
      </c>
    </row>
    <row r="2170">
      <c r="A2170" s="2" t="s">
        <v>5508</v>
      </c>
      <c r="B2170" s="2" t="s">
        <v>5509</v>
      </c>
      <c r="C2170" s="2" t="s">
        <v>36</v>
      </c>
    </row>
    <row r="2171">
      <c r="A2171" s="2" t="s">
        <v>5510</v>
      </c>
      <c r="B2171" s="2" t="s">
        <v>5511</v>
      </c>
      <c r="C2171" s="2" t="s">
        <v>36</v>
      </c>
    </row>
    <row r="2172">
      <c r="A2172" s="2" t="s">
        <v>5512</v>
      </c>
      <c r="B2172" s="2" t="s">
        <v>5513</v>
      </c>
      <c r="C2172" s="2" t="s">
        <v>36</v>
      </c>
    </row>
    <row r="2173">
      <c r="A2173" s="2" t="s">
        <v>5514</v>
      </c>
      <c r="B2173" s="2" t="s">
        <v>5515</v>
      </c>
      <c r="C2173" s="2" t="s">
        <v>36</v>
      </c>
    </row>
    <row r="2174">
      <c r="A2174" s="2" t="s">
        <v>5516</v>
      </c>
      <c r="B2174" s="2" t="s">
        <v>5517</v>
      </c>
      <c r="C2174" s="2" t="s">
        <v>36</v>
      </c>
    </row>
    <row r="2175">
      <c r="A2175" s="2" t="s">
        <v>5518</v>
      </c>
      <c r="B2175" s="2" t="s">
        <v>5519</v>
      </c>
      <c r="C2175" s="2" t="s">
        <v>36</v>
      </c>
    </row>
    <row r="2176">
      <c r="A2176" s="2" t="s">
        <v>5520</v>
      </c>
      <c r="B2176" s="2" t="s">
        <v>5521</v>
      </c>
      <c r="C2176" s="2" t="s">
        <v>36</v>
      </c>
    </row>
    <row r="2177">
      <c r="A2177" s="2" t="s">
        <v>5522</v>
      </c>
      <c r="B2177" s="2" t="s">
        <v>5523</v>
      </c>
      <c r="C2177" s="2" t="s">
        <v>36</v>
      </c>
    </row>
    <row r="2178">
      <c r="A2178" s="2" t="s">
        <v>5524</v>
      </c>
      <c r="B2178" s="2" t="s">
        <v>5525</v>
      </c>
      <c r="C2178" s="2" t="s">
        <v>36</v>
      </c>
    </row>
    <row r="2179">
      <c r="A2179" s="2" t="s">
        <v>5526</v>
      </c>
      <c r="B2179" s="2" t="s">
        <v>5527</v>
      </c>
      <c r="C2179" s="2" t="s">
        <v>36</v>
      </c>
    </row>
    <row r="2180">
      <c r="A2180" s="2" t="s">
        <v>5528</v>
      </c>
      <c r="B2180" s="2" t="s">
        <v>5529</v>
      </c>
      <c r="C2180" s="2" t="s">
        <v>36</v>
      </c>
    </row>
    <row r="2181">
      <c r="A2181" s="2" t="s">
        <v>5530</v>
      </c>
      <c r="B2181" s="2" t="s">
        <v>5531</v>
      </c>
      <c r="C2181" s="2" t="s">
        <v>36</v>
      </c>
    </row>
    <row r="2182">
      <c r="A2182" s="2" t="s">
        <v>5532</v>
      </c>
      <c r="B2182" s="2" t="s">
        <v>5533</v>
      </c>
      <c r="C2182" s="2" t="s">
        <v>36</v>
      </c>
    </row>
    <row r="2183">
      <c r="A2183" s="2" t="s">
        <v>5534</v>
      </c>
      <c r="B2183" s="2" t="s">
        <v>5535</v>
      </c>
      <c r="C2183" s="2" t="s">
        <v>36</v>
      </c>
    </row>
    <row r="2184">
      <c r="A2184" s="2" t="s">
        <v>5536</v>
      </c>
      <c r="B2184" s="2" t="s">
        <v>5537</v>
      </c>
      <c r="C2184" s="2" t="s">
        <v>36</v>
      </c>
    </row>
    <row r="2185">
      <c r="A2185" s="2" t="s">
        <v>5538</v>
      </c>
      <c r="B2185" s="2" t="s">
        <v>5539</v>
      </c>
      <c r="C2185" s="2" t="s">
        <v>36</v>
      </c>
    </row>
    <row r="2186">
      <c r="A2186" s="2" t="s">
        <v>5540</v>
      </c>
      <c r="B2186" s="2" t="s">
        <v>5541</v>
      </c>
      <c r="C2186" s="2" t="s">
        <v>36</v>
      </c>
    </row>
    <row r="2187">
      <c r="A2187" s="2" t="s">
        <v>5542</v>
      </c>
      <c r="B2187" s="2" t="s">
        <v>5543</v>
      </c>
      <c r="C2187" s="2" t="s">
        <v>36</v>
      </c>
    </row>
    <row r="2188">
      <c r="A2188" s="2" t="s">
        <v>5544</v>
      </c>
      <c r="B2188" s="2" t="s">
        <v>5545</v>
      </c>
      <c r="C2188" s="2" t="s">
        <v>36</v>
      </c>
    </row>
    <row r="2189">
      <c r="A2189" s="2" t="s">
        <v>5546</v>
      </c>
      <c r="B2189" s="2" t="s">
        <v>5547</v>
      </c>
      <c r="C2189" s="2" t="s">
        <v>36</v>
      </c>
    </row>
    <row r="2190">
      <c r="A2190" s="2" t="s">
        <v>5548</v>
      </c>
      <c r="B2190" s="2" t="s">
        <v>5549</v>
      </c>
      <c r="C2190" s="2" t="s">
        <v>36</v>
      </c>
    </row>
    <row r="2191">
      <c r="A2191" s="2" t="s">
        <v>5550</v>
      </c>
      <c r="B2191" s="2" t="s">
        <v>5551</v>
      </c>
      <c r="C2191" s="2" t="s">
        <v>36</v>
      </c>
    </row>
    <row r="2192">
      <c r="A2192" s="2" t="s">
        <v>5552</v>
      </c>
      <c r="B2192" s="2" t="s">
        <v>5553</v>
      </c>
      <c r="C2192" s="2" t="s">
        <v>36</v>
      </c>
    </row>
    <row r="2193">
      <c r="A2193" s="2" t="s">
        <v>5554</v>
      </c>
      <c r="B2193" s="2" t="s">
        <v>5555</v>
      </c>
      <c r="C2193" s="2" t="s">
        <v>36</v>
      </c>
    </row>
    <row r="2194">
      <c r="A2194" s="2" t="s">
        <v>5556</v>
      </c>
      <c r="B2194" s="2" t="s">
        <v>5557</v>
      </c>
      <c r="C2194" s="2" t="s">
        <v>36</v>
      </c>
    </row>
    <row r="2195">
      <c r="A2195" s="2" t="s">
        <v>5558</v>
      </c>
      <c r="B2195" s="2" t="s">
        <v>5559</v>
      </c>
      <c r="C2195" s="2" t="s">
        <v>36</v>
      </c>
    </row>
    <row r="2196">
      <c r="A2196" s="2" t="s">
        <v>5560</v>
      </c>
      <c r="B2196" s="2" t="s">
        <v>5561</v>
      </c>
      <c r="C2196" s="2" t="s">
        <v>36</v>
      </c>
    </row>
    <row r="2197">
      <c r="A2197" s="2" t="s">
        <v>5562</v>
      </c>
      <c r="B2197" s="2" t="s">
        <v>5563</v>
      </c>
      <c r="C2197" s="2" t="s">
        <v>36</v>
      </c>
    </row>
    <row r="2198">
      <c r="A2198" s="2" t="s">
        <v>5564</v>
      </c>
      <c r="B2198" s="2" t="s">
        <v>5565</v>
      </c>
      <c r="C2198" s="2" t="s">
        <v>36</v>
      </c>
    </row>
    <row r="2199">
      <c r="A2199" s="2" t="s">
        <v>5566</v>
      </c>
      <c r="B2199" s="2" t="s">
        <v>5567</v>
      </c>
      <c r="C2199" s="2" t="s">
        <v>36</v>
      </c>
    </row>
    <row r="2200">
      <c r="A2200" s="2" t="s">
        <v>5568</v>
      </c>
      <c r="B2200" s="2" t="s">
        <v>5569</v>
      </c>
      <c r="C2200" s="2" t="s">
        <v>36</v>
      </c>
    </row>
    <row r="2201">
      <c r="A2201" s="2" t="s">
        <v>5570</v>
      </c>
      <c r="B2201" s="2" t="s">
        <v>5571</v>
      </c>
      <c r="C2201" s="2" t="s">
        <v>36</v>
      </c>
    </row>
    <row r="2202">
      <c r="A2202" s="2" t="s">
        <v>5572</v>
      </c>
      <c r="B2202" s="2" t="s">
        <v>5573</v>
      </c>
      <c r="C2202" s="2" t="s">
        <v>36</v>
      </c>
    </row>
    <row r="2203">
      <c r="A2203" s="2" t="s">
        <v>5574</v>
      </c>
      <c r="B2203" s="2" t="s">
        <v>5575</v>
      </c>
      <c r="C2203" s="2" t="s">
        <v>36</v>
      </c>
    </row>
    <row r="2204">
      <c r="A2204" s="2" t="s">
        <v>5576</v>
      </c>
      <c r="B2204" s="2" t="s">
        <v>5577</v>
      </c>
      <c r="C2204" s="2" t="s">
        <v>36</v>
      </c>
    </row>
    <row r="2205">
      <c r="A2205" s="2" t="s">
        <v>5578</v>
      </c>
      <c r="B2205" s="2" t="s">
        <v>5579</v>
      </c>
      <c r="C2205" s="2" t="s">
        <v>36</v>
      </c>
    </row>
    <row r="2206">
      <c r="A2206" s="2" t="s">
        <v>5580</v>
      </c>
      <c r="B2206" s="2" t="s">
        <v>5581</v>
      </c>
      <c r="C2206" s="2" t="s">
        <v>36</v>
      </c>
    </row>
    <row r="2207">
      <c r="A2207" s="2" t="s">
        <v>5582</v>
      </c>
      <c r="B2207" s="2" t="s">
        <v>5583</v>
      </c>
      <c r="C2207" s="2" t="s">
        <v>36</v>
      </c>
    </row>
    <row r="2208">
      <c r="A2208" s="2" t="s">
        <v>5584</v>
      </c>
      <c r="B2208" s="2" t="s">
        <v>5585</v>
      </c>
      <c r="C2208" s="2" t="s">
        <v>36</v>
      </c>
    </row>
    <row r="2209">
      <c r="A2209" s="2" t="s">
        <v>5586</v>
      </c>
      <c r="B2209" s="2" t="s">
        <v>5585</v>
      </c>
      <c r="C2209" s="2" t="s">
        <v>36</v>
      </c>
    </row>
    <row r="2210">
      <c r="A2210" s="2" t="s">
        <v>5587</v>
      </c>
      <c r="B2210" s="2" t="s">
        <v>5588</v>
      </c>
      <c r="C2210" s="2" t="s">
        <v>36</v>
      </c>
    </row>
    <row r="2211">
      <c r="A2211" s="2" t="s">
        <v>5589</v>
      </c>
      <c r="B2211" s="2" t="s">
        <v>5590</v>
      </c>
      <c r="C2211" s="2" t="s">
        <v>36</v>
      </c>
    </row>
    <row r="2212">
      <c r="A2212" s="2" t="s">
        <v>5591</v>
      </c>
      <c r="B2212" s="2" t="s">
        <v>5592</v>
      </c>
      <c r="C2212" s="2" t="s">
        <v>36</v>
      </c>
    </row>
    <row r="2213">
      <c r="A2213" s="2" t="s">
        <v>5593</v>
      </c>
      <c r="B2213" s="2" t="s">
        <v>5594</v>
      </c>
      <c r="C2213" s="2" t="s">
        <v>36</v>
      </c>
    </row>
    <row r="2214">
      <c r="A2214" s="2" t="s">
        <v>5595</v>
      </c>
      <c r="B2214" s="2" t="s">
        <v>5596</v>
      </c>
      <c r="C2214" s="2" t="s">
        <v>36</v>
      </c>
    </row>
    <row r="2215">
      <c r="A2215" s="2" t="s">
        <v>5597</v>
      </c>
      <c r="B2215" s="2" t="s">
        <v>5598</v>
      </c>
      <c r="C2215" s="2" t="s">
        <v>36</v>
      </c>
    </row>
    <row r="2216">
      <c r="A2216" s="2" t="s">
        <v>5599</v>
      </c>
      <c r="B2216" s="2" t="s">
        <v>5600</v>
      </c>
      <c r="C2216" s="2" t="s">
        <v>36</v>
      </c>
    </row>
    <row r="2217">
      <c r="A2217" s="2" t="s">
        <v>5601</v>
      </c>
      <c r="B2217" s="2" t="s">
        <v>5602</v>
      </c>
      <c r="C2217" s="2" t="s">
        <v>36</v>
      </c>
    </row>
    <row r="2218">
      <c r="A2218" s="2" t="s">
        <v>5603</v>
      </c>
      <c r="B2218" s="2" t="s">
        <v>5604</v>
      </c>
      <c r="C2218" s="2" t="s">
        <v>36</v>
      </c>
    </row>
    <row r="2219">
      <c r="A2219" s="2" t="s">
        <v>5605</v>
      </c>
      <c r="B2219" s="2" t="s">
        <v>5606</v>
      </c>
      <c r="C2219" s="2" t="s">
        <v>36</v>
      </c>
    </row>
    <row r="2220">
      <c r="A2220" s="2" t="s">
        <v>5607</v>
      </c>
      <c r="B2220" s="2" t="s">
        <v>5608</v>
      </c>
      <c r="C2220" s="2" t="s">
        <v>36</v>
      </c>
    </row>
    <row r="2221">
      <c r="A2221" s="2" t="s">
        <v>5609</v>
      </c>
      <c r="B2221" s="2" t="s">
        <v>5610</v>
      </c>
      <c r="C2221" s="2" t="s">
        <v>36</v>
      </c>
    </row>
    <row r="2222">
      <c r="A2222" s="2" t="s">
        <v>5611</v>
      </c>
      <c r="B2222" s="2" t="s">
        <v>5612</v>
      </c>
      <c r="C2222" s="2" t="s">
        <v>36</v>
      </c>
    </row>
    <row r="2223">
      <c r="A2223" s="2" t="s">
        <v>5613</v>
      </c>
      <c r="B2223" s="2" t="s">
        <v>5614</v>
      </c>
      <c r="C2223" s="2" t="s">
        <v>36</v>
      </c>
    </row>
    <row r="2224">
      <c r="A2224" s="2" t="s">
        <v>5615</v>
      </c>
      <c r="B2224" s="2" t="s">
        <v>5616</v>
      </c>
      <c r="C2224" s="2" t="s">
        <v>36</v>
      </c>
    </row>
    <row r="2225">
      <c r="A2225" s="2" t="s">
        <v>5617</v>
      </c>
      <c r="B2225" s="2" t="s">
        <v>5618</v>
      </c>
      <c r="C2225" s="2" t="s">
        <v>36</v>
      </c>
    </row>
    <row r="2226">
      <c r="A2226" s="2" t="s">
        <v>5619</v>
      </c>
      <c r="B2226" s="2" t="s">
        <v>5620</v>
      </c>
      <c r="C2226" s="2" t="s">
        <v>36</v>
      </c>
    </row>
    <row r="2227">
      <c r="A2227" s="2" t="s">
        <v>5621</v>
      </c>
      <c r="B2227" s="2" t="s">
        <v>5622</v>
      </c>
      <c r="C2227" s="2" t="s">
        <v>36</v>
      </c>
    </row>
    <row r="2228">
      <c r="A2228" s="2" t="s">
        <v>5623</v>
      </c>
      <c r="B2228" s="2" t="s">
        <v>5624</v>
      </c>
      <c r="C2228" s="2" t="s">
        <v>36</v>
      </c>
    </row>
    <row r="2229">
      <c r="A2229" s="2" t="s">
        <v>5625</v>
      </c>
      <c r="B2229" s="2" t="s">
        <v>5626</v>
      </c>
      <c r="C2229" s="2" t="s">
        <v>36</v>
      </c>
    </row>
    <row r="2230">
      <c r="A2230" s="2" t="s">
        <v>5627</v>
      </c>
      <c r="B2230" s="2" t="s">
        <v>5628</v>
      </c>
      <c r="C2230" s="2" t="s">
        <v>36</v>
      </c>
    </row>
    <row r="2231">
      <c r="A2231" s="2" t="s">
        <v>5629</v>
      </c>
      <c r="B2231" s="2" t="s">
        <v>5630</v>
      </c>
      <c r="C2231" s="2" t="s">
        <v>36</v>
      </c>
    </row>
    <row r="2232">
      <c r="A2232" s="2" t="s">
        <v>5631</v>
      </c>
      <c r="B2232" s="2" t="s">
        <v>5632</v>
      </c>
      <c r="C2232" s="2" t="s">
        <v>36</v>
      </c>
    </row>
    <row r="2233">
      <c r="A2233" s="2" t="s">
        <v>5633</v>
      </c>
      <c r="B2233" s="2" t="s">
        <v>5634</v>
      </c>
      <c r="C2233" s="2" t="s">
        <v>36</v>
      </c>
    </row>
    <row r="2234">
      <c r="A2234" s="2" t="s">
        <v>5635</v>
      </c>
      <c r="B2234" s="2" t="s">
        <v>5636</v>
      </c>
      <c r="C2234" s="2" t="s">
        <v>36</v>
      </c>
    </row>
    <row r="2235">
      <c r="A2235" s="2" t="s">
        <v>5637</v>
      </c>
      <c r="B2235" s="2" t="s">
        <v>5638</v>
      </c>
      <c r="C2235" s="2" t="s">
        <v>36</v>
      </c>
    </row>
    <row r="2236">
      <c r="A2236" s="2" t="s">
        <v>5639</v>
      </c>
      <c r="B2236" s="2" t="s">
        <v>5640</v>
      </c>
      <c r="C2236" s="2" t="s">
        <v>36</v>
      </c>
    </row>
    <row r="2237">
      <c r="A2237" s="2" t="s">
        <v>5641</v>
      </c>
      <c r="B2237" s="2" t="s">
        <v>5642</v>
      </c>
      <c r="C2237" s="2" t="s">
        <v>36</v>
      </c>
    </row>
    <row r="2238">
      <c r="A2238" s="2" t="s">
        <v>5643</v>
      </c>
      <c r="B2238" s="2" t="s">
        <v>5644</v>
      </c>
      <c r="C2238" s="2" t="s">
        <v>36</v>
      </c>
    </row>
    <row r="2239">
      <c r="A2239" s="2" t="s">
        <v>5645</v>
      </c>
      <c r="B2239" s="2" t="s">
        <v>5646</v>
      </c>
      <c r="C2239" s="2" t="s">
        <v>36</v>
      </c>
    </row>
    <row r="2240">
      <c r="A2240" s="2" t="s">
        <v>5647</v>
      </c>
      <c r="B2240" s="2" t="s">
        <v>5648</v>
      </c>
      <c r="C2240" s="2" t="s">
        <v>36</v>
      </c>
    </row>
    <row r="2241">
      <c r="A2241" s="2" t="s">
        <v>5649</v>
      </c>
      <c r="B2241" s="2" t="s">
        <v>5650</v>
      </c>
      <c r="C2241" s="2" t="s">
        <v>36</v>
      </c>
    </row>
    <row r="2242">
      <c r="A2242" s="2" t="s">
        <v>5651</v>
      </c>
      <c r="B2242" s="2" t="s">
        <v>5652</v>
      </c>
      <c r="C2242" s="2" t="s">
        <v>36</v>
      </c>
    </row>
    <row r="2243">
      <c r="A2243" s="2" t="s">
        <v>5653</v>
      </c>
      <c r="B2243" s="2" t="s">
        <v>5654</v>
      </c>
      <c r="C2243" s="2" t="s">
        <v>36</v>
      </c>
    </row>
    <row r="2244">
      <c r="A2244" s="2" t="s">
        <v>5655</v>
      </c>
      <c r="B2244" s="2" t="s">
        <v>5656</v>
      </c>
      <c r="C2244" s="2" t="s">
        <v>36</v>
      </c>
    </row>
    <row r="2245">
      <c r="A2245" s="2" t="s">
        <v>5657</v>
      </c>
      <c r="B2245" s="2" t="s">
        <v>5658</v>
      </c>
      <c r="C2245" s="2" t="s">
        <v>36</v>
      </c>
    </row>
    <row r="2246">
      <c r="A2246" s="2" t="s">
        <v>5659</v>
      </c>
      <c r="B2246" s="2" t="s">
        <v>5660</v>
      </c>
      <c r="C2246" s="2" t="s">
        <v>36</v>
      </c>
    </row>
    <row r="2247">
      <c r="A2247" s="2" t="s">
        <v>5661</v>
      </c>
      <c r="B2247" s="2" t="s">
        <v>5662</v>
      </c>
      <c r="C2247" s="2" t="s">
        <v>36</v>
      </c>
    </row>
    <row r="2248">
      <c r="A2248" s="2" t="s">
        <v>5663</v>
      </c>
      <c r="B2248" s="2" t="s">
        <v>5664</v>
      </c>
      <c r="C2248" s="2" t="s">
        <v>36</v>
      </c>
    </row>
    <row r="2249">
      <c r="A2249" s="2" t="s">
        <v>5665</v>
      </c>
      <c r="B2249" s="2" t="s">
        <v>5666</v>
      </c>
      <c r="C2249" s="2" t="s">
        <v>36</v>
      </c>
    </row>
    <row r="2250">
      <c r="A2250" s="2" t="s">
        <v>5667</v>
      </c>
      <c r="B2250" s="2" t="s">
        <v>5668</v>
      </c>
      <c r="C2250" s="2" t="s">
        <v>36</v>
      </c>
    </row>
    <row r="2251">
      <c r="A2251" s="2" t="s">
        <v>5669</v>
      </c>
      <c r="B2251" s="2" t="s">
        <v>5670</v>
      </c>
      <c r="C2251" s="2" t="s">
        <v>36</v>
      </c>
    </row>
    <row r="2252">
      <c r="A2252" s="2" t="s">
        <v>5671</v>
      </c>
      <c r="B2252" s="2" t="s">
        <v>5672</v>
      </c>
      <c r="C2252" s="2" t="s">
        <v>36</v>
      </c>
    </row>
    <row r="2253">
      <c r="A2253" s="2" t="s">
        <v>5673</v>
      </c>
      <c r="B2253" s="2" t="s">
        <v>5674</v>
      </c>
      <c r="C2253" s="2" t="s">
        <v>36</v>
      </c>
    </row>
    <row r="2254">
      <c r="A2254" s="2" t="s">
        <v>5675</v>
      </c>
      <c r="B2254" s="2" t="s">
        <v>5676</v>
      </c>
      <c r="C2254" s="2" t="s">
        <v>36</v>
      </c>
    </row>
    <row r="2255">
      <c r="A2255" s="2" t="s">
        <v>5677</v>
      </c>
      <c r="B2255" s="2" t="s">
        <v>5678</v>
      </c>
      <c r="C2255" s="2" t="s">
        <v>36</v>
      </c>
    </row>
    <row r="2256">
      <c r="A2256" s="2" t="s">
        <v>5679</v>
      </c>
      <c r="B2256" s="2" t="s">
        <v>5680</v>
      </c>
      <c r="C2256" s="2" t="s">
        <v>36</v>
      </c>
    </row>
    <row r="2257">
      <c r="A2257" s="2" t="s">
        <v>5681</v>
      </c>
      <c r="B2257" s="2" t="s">
        <v>5682</v>
      </c>
      <c r="C2257" s="2" t="s">
        <v>36</v>
      </c>
    </row>
    <row r="2258">
      <c r="A2258" s="2" t="s">
        <v>5683</v>
      </c>
      <c r="B2258" s="2" t="s">
        <v>5684</v>
      </c>
      <c r="C2258" s="2" t="s">
        <v>36</v>
      </c>
    </row>
    <row r="2259">
      <c r="A2259" s="2" t="s">
        <v>5685</v>
      </c>
      <c r="B2259" s="2" t="s">
        <v>5686</v>
      </c>
      <c r="C2259" s="2" t="s">
        <v>36</v>
      </c>
    </row>
    <row r="2260">
      <c r="A2260" s="2" t="s">
        <v>5687</v>
      </c>
      <c r="B2260" s="2" t="s">
        <v>5688</v>
      </c>
      <c r="C2260" s="2" t="s">
        <v>36</v>
      </c>
    </row>
    <row r="2261">
      <c r="A2261" s="2" t="s">
        <v>5689</v>
      </c>
      <c r="B2261" s="2" t="s">
        <v>5690</v>
      </c>
      <c r="C2261" s="2" t="s">
        <v>36</v>
      </c>
    </row>
    <row r="2262">
      <c r="A2262" s="2" t="s">
        <v>5691</v>
      </c>
      <c r="B2262" s="2" t="s">
        <v>5692</v>
      </c>
      <c r="C2262" s="2" t="s">
        <v>36</v>
      </c>
    </row>
    <row r="2263">
      <c r="A2263" s="2" t="s">
        <v>5693</v>
      </c>
      <c r="B2263" s="2" t="s">
        <v>5694</v>
      </c>
      <c r="C2263" s="2" t="s">
        <v>36</v>
      </c>
    </row>
    <row r="2264">
      <c r="A2264" s="2" t="s">
        <v>5695</v>
      </c>
      <c r="B2264" s="2" t="s">
        <v>5696</v>
      </c>
      <c r="C2264" s="2" t="s">
        <v>36</v>
      </c>
    </row>
    <row r="2265">
      <c r="A2265" s="2" t="s">
        <v>5697</v>
      </c>
      <c r="B2265" s="2" t="s">
        <v>5698</v>
      </c>
      <c r="C2265" s="2" t="s">
        <v>36</v>
      </c>
    </row>
    <row r="2266">
      <c r="A2266" s="2" t="s">
        <v>5699</v>
      </c>
      <c r="B2266" s="2" t="s">
        <v>5700</v>
      </c>
      <c r="C2266" s="2" t="s">
        <v>36</v>
      </c>
    </row>
    <row r="2267">
      <c r="A2267" s="2" t="s">
        <v>5701</v>
      </c>
      <c r="B2267" s="2" t="s">
        <v>5702</v>
      </c>
      <c r="C2267" s="2" t="s">
        <v>36</v>
      </c>
    </row>
    <row r="2268">
      <c r="A2268" s="2" t="s">
        <v>5703</v>
      </c>
      <c r="B2268" s="2" t="s">
        <v>5704</v>
      </c>
      <c r="C2268" s="2" t="s">
        <v>36</v>
      </c>
    </row>
    <row r="2269">
      <c r="A2269" s="2" t="s">
        <v>5705</v>
      </c>
      <c r="B2269" s="2" t="s">
        <v>5706</v>
      </c>
      <c r="C2269" s="2" t="s">
        <v>36</v>
      </c>
    </row>
    <row r="2270">
      <c r="A2270" s="2" t="s">
        <v>5707</v>
      </c>
      <c r="B2270" s="2" t="s">
        <v>5708</v>
      </c>
      <c r="C2270" s="2" t="s">
        <v>36</v>
      </c>
    </row>
    <row r="2271">
      <c r="A2271" s="2" t="s">
        <v>5709</v>
      </c>
      <c r="B2271" s="2" t="s">
        <v>5710</v>
      </c>
      <c r="C2271" s="2" t="s">
        <v>36</v>
      </c>
    </row>
    <row r="2272">
      <c r="A2272" s="2" t="s">
        <v>5711</v>
      </c>
      <c r="B2272" s="2" t="s">
        <v>5712</v>
      </c>
      <c r="C2272" s="2" t="s">
        <v>36</v>
      </c>
    </row>
    <row r="2273">
      <c r="A2273" s="2" t="s">
        <v>5713</v>
      </c>
      <c r="B2273" s="2" t="s">
        <v>5714</v>
      </c>
      <c r="C2273" s="2" t="s">
        <v>36</v>
      </c>
    </row>
    <row r="2274">
      <c r="A2274" s="2" t="s">
        <v>5715</v>
      </c>
      <c r="B2274" s="2" t="s">
        <v>5716</v>
      </c>
      <c r="C2274" s="2" t="s">
        <v>36</v>
      </c>
    </row>
    <row r="2275">
      <c r="A2275" s="2" t="s">
        <v>5717</v>
      </c>
      <c r="B2275" s="2" t="s">
        <v>5718</v>
      </c>
      <c r="C2275" s="2" t="s">
        <v>36</v>
      </c>
    </row>
    <row r="2276">
      <c r="A2276" s="2" t="s">
        <v>5719</v>
      </c>
      <c r="B2276" s="2" t="s">
        <v>5720</v>
      </c>
      <c r="C2276" s="2" t="s">
        <v>36</v>
      </c>
    </row>
    <row r="2277">
      <c r="A2277" s="2" t="s">
        <v>5721</v>
      </c>
      <c r="B2277" s="2" t="s">
        <v>5722</v>
      </c>
      <c r="C2277" s="2" t="s">
        <v>36</v>
      </c>
    </row>
    <row r="2278">
      <c r="A2278" s="2" t="s">
        <v>5723</v>
      </c>
      <c r="B2278" s="2" t="s">
        <v>5724</v>
      </c>
      <c r="C2278" s="2" t="s">
        <v>36</v>
      </c>
    </row>
    <row r="2279">
      <c r="A2279" s="2" t="s">
        <v>5725</v>
      </c>
      <c r="B2279" s="2" t="s">
        <v>5726</v>
      </c>
      <c r="C2279" s="2" t="s">
        <v>36</v>
      </c>
    </row>
    <row r="2280">
      <c r="A2280" s="2" t="s">
        <v>5727</v>
      </c>
      <c r="B2280" s="2" t="s">
        <v>5728</v>
      </c>
      <c r="C2280" s="2" t="s">
        <v>36</v>
      </c>
    </row>
    <row r="2281">
      <c r="A2281" s="2" t="s">
        <v>5729</v>
      </c>
      <c r="B2281" s="2" t="s">
        <v>5730</v>
      </c>
      <c r="C2281" s="2" t="s">
        <v>36</v>
      </c>
    </row>
    <row r="2282">
      <c r="A2282" s="2" t="s">
        <v>5731</v>
      </c>
      <c r="B2282" s="2" t="s">
        <v>5732</v>
      </c>
      <c r="C2282" s="2" t="s">
        <v>36</v>
      </c>
    </row>
    <row r="2283">
      <c r="A2283" s="2" t="s">
        <v>5733</v>
      </c>
      <c r="B2283" s="2" t="s">
        <v>5734</v>
      </c>
      <c r="C2283" s="2" t="s">
        <v>36</v>
      </c>
    </row>
    <row r="2284">
      <c r="A2284" s="2" t="s">
        <v>5735</v>
      </c>
      <c r="B2284" s="2" t="s">
        <v>5736</v>
      </c>
      <c r="C2284" s="2" t="s">
        <v>36</v>
      </c>
    </row>
    <row r="2285">
      <c r="A2285" s="2" t="s">
        <v>5737</v>
      </c>
      <c r="B2285" s="2" t="s">
        <v>5738</v>
      </c>
      <c r="C2285" s="2" t="s">
        <v>36</v>
      </c>
    </row>
    <row r="2286">
      <c r="A2286" s="2" t="s">
        <v>5739</v>
      </c>
      <c r="B2286" s="2" t="s">
        <v>5740</v>
      </c>
      <c r="C2286" s="2" t="s">
        <v>36</v>
      </c>
    </row>
    <row r="2287">
      <c r="A2287" s="2" t="s">
        <v>5741</v>
      </c>
      <c r="B2287" s="2" t="s">
        <v>5742</v>
      </c>
      <c r="C2287" s="2" t="s">
        <v>36</v>
      </c>
    </row>
    <row r="2288">
      <c r="A2288" s="2" t="s">
        <v>5743</v>
      </c>
      <c r="B2288" s="2" t="s">
        <v>5744</v>
      </c>
      <c r="C2288" s="2" t="s">
        <v>36</v>
      </c>
    </row>
    <row r="2289">
      <c r="A2289" s="2" t="s">
        <v>5745</v>
      </c>
      <c r="B2289" s="2" t="s">
        <v>5746</v>
      </c>
      <c r="C2289" s="2" t="s">
        <v>36</v>
      </c>
    </row>
    <row r="2290">
      <c r="A2290" s="2" t="s">
        <v>5747</v>
      </c>
      <c r="B2290" s="2" t="s">
        <v>5748</v>
      </c>
      <c r="C2290" s="2" t="s">
        <v>36</v>
      </c>
    </row>
    <row r="2291">
      <c r="A2291" s="2" t="s">
        <v>5749</v>
      </c>
      <c r="B2291" s="2" t="s">
        <v>5750</v>
      </c>
      <c r="C2291" s="2" t="s">
        <v>36</v>
      </c>
    </row>
    <row r="2292">
      <c r="A2292" s="2" t="s">
        <v>5751</v>
      </c>
      <c r="B2292" s="2" t="s">
        <v>5752</v>
      </c>
      <c r="C2292" s="2" t="s">
        <v>36</v>
      </c>
    </row>
    <row r="2293">
      <c r="A2293" s="2" t="s">
        <v>5753</v>
      </c>
      <c r="B2293" s="2" t="s">
        <v>5754</v>
      </c>
      <c r="C2293" s="2" t="s">
        <v>36</v>
      </c>
    </row>
    <row r="2294">
      <c r="A2294" s="2" t="s">
        <v>5755</v>
      </c>
      <c r="B2294" s="2" t="s">
        <v>5756</v>
      </c>
      <c r="C2294" s="2" t="s">
        <v>36</v>
      </c>
    </row>
    <row r="2295">
      <c r="A2295" s="2" t="s">
        <v>5757</v>
      </c>
      <c r="B2295" s="2" t="s">
        <v>5758</v>
      </c>
      <c r="C2295" s="2" t="s">
        <v>36</v>
      </c>
    </row>
    <row r="2296">
      <c r="A2296" s="2" t="s">
        <v>5759</v>
      </c>
      <c r="B2296" s="2" t="s">
        <v>5760</v>
      </c>
      <c r="C2296" s="2" t="s">
        <v>36</v>
      </c>
    </row>
    <row r="2297">
      <c r="A2297" s="2" t="s">
        <v>5761</v>
      </c>
      <c r="B2297" s="2" t="s">
        <v>5762</v>
      </c>
      <c r="C2297" s="2" t="s">
        <v>36</v>
      </c>
    </row>
    <row r="2298">
      <c r="A2298" s="2" t="s">
        <v>5763</v>
      </c>
      <c r="B2298" s="2" t="s">
        <v>5764</v>
      </c>
      <c r="C2298" s="2" t="s">
        <v>36</v>
      </c>
    </row>
    <row r="2299">
      <c r="A2299" s="2" t="s">
        <v>5765</v>
      </c>
      <c r="B2299" s="2" t="s">
        <v>5766</v>
      </c>
      <c r="C2299" s="2" t="s">
        <v>36</v>
      </c>
    </row>
    <row r="2300">
      <c r="A2300" s="2" t="s">
        <v>5767</v>
      </c>
      <c r="B2300" s="2" t="s">
        <v>5768</v>
      </c>
      <c r="C2300" s="2" t="s">
        <v>36</v>
      </c>
    </row>
    <row r="2301">
      <c r="A2301" s="2" t="s">
        <v>5769</v>
      </c>
      <c r="B2301" s="2" t="s">
        <v>5770</v>
      </c>
      <c r="C2301" s="2" t="s">
        <v>36</v>
      </c>
    </row>
    <row r="2302">
      <c r="A2302" s="2" t="s">
        <v>5771</v>
      </c>
      <c r="B2302" s="2" t="s">
        <v>5772</v>
      </c>
      <c r="C2302" s="2" t="s">
        <v>36</v>
      </c>
    </row>
    <row r="2303">
      <c r="A2303" s="2" t="s">
        <v>5773</v>
      </c>
      <c r="B2303" s="2" t="s">
        <v>5774</v>
      </c>
      <c r="C2303" s="2" t="s">
        <v>36</v>
      </c>
    </row>
    <row r="2304">
      <c r="A2304" s="2" t="s">
        <v>5775</v>
      </c>
      <c r="B2304" s="2" t="s">
        <v>5776</v>
      </c>
      <c r="C2304" s="2" t="s">
        <v>36</v>
      </c>
    </row>
    <row r="2305">
      <c r="A2305" s="2" t="s">
        <v>5777</v>
      </c>
      <c r="B2305" s="2" t="s">
        <v>5778</v>
      </c>
      <c r="C2305" s="2" t="s">
        <v>36</v>
      </c>
    </row>
    <row r="2306">
      <c r="A2306" s="2" t="s">
        <v>5779</v>
      </c>
      <c r="B2306" s="2" t="s">
        <v>5780</v>
      </c>
      <c r="C2306" s="2" t="s">
        <v>36</v>
      </c>
    </row>
    <row r="2307">
      <c r="A2307" s="2" t="s">
        <v>5781</v>
      </c>
      <c r="B2307" s="2" t="s">
        <v>5782</v>
      </c>
      <c r="C2307" s="2" t="s">
        <v>36</v>
      </c>
    </row>
    <row r="2308">
      <c r="A2308" s="2" t="s">
        <v>5783</v>
      </c>
      <c r="B2308" s="2" t="s">
        <v>5784</v>
      </c>
      <c r="C2308" s="2" t="s">
        <v>36</v>
      </c>
    </row>
    <row r="2309">
      <c r="A2309" s="2" t="s">
        <v>5785</v>
      </c>
      <c r="B2309" s="2" t="s">
        <v>5786</v>
      </c>
      <c r="C2309" s="2" t="s">
        <v>36</v>
      </c>
    </row>
    <row r="2310">
      <c r="A2310" s="2" t="s">
        <v>5787</v>
      </c>
      <c r="B2310" s="2" t="s">
        <v>5788</v>
      </c>
      <c r="C2310" s="2" t="s">
        <v>36</v>
      </c>
    </row>
    <row r="2311">
      <c r="A2311" s="2" t="s">
        <v>5789</v>
      </c>
      <c r="B2311" s="2" t="s">
        <v>5790</v>
      </c>
      <c r="C2311" s="2" t="s">
        <v>36</v>
      </c>
    </row>
    <row r="2312">
      <c r="A2312" s="2" t="s">
        <v>5791</v>
      </c>
      <c r="B2312" s="2" t="s">
        <v>5792</v>
      </c>
      <c r="C2312" s="2" t="s">
        <v>36</v>
      </c>
    </row>
    <row r="2313">
      <c r="A2313" s="2" t="s">
        <v>5793</v>
      </c>
      <c r="B2313" s="2" t="s">
        <v>5794</v>
      </c>
      <c r="C2313" s="2" t="s">
        <v>36</v>
      </c>
    </row>
    <row r="2314">
      <c r="A2314" s="2" t="s">
        <v>5795</v>
      </c>
      <c r="B2314" s="2" t="s">
        <v>5796</v>
      </c>
      <c r="C2314" s="2" t="s">
        <v>36</v>
      </c>
    </row>
    <row r="2315">
      <c r="A2315" s="2" t="s">
        <v>5797</v>
      </c>
      <c r="B2315" s="2" t="s">
        <v>5798</v>
      </c>
      <c r="C2315" s="2" t="s">
        <v>36</v>
      </c>
    </row>
    <row r="2316">
      <c r="A2316" s="2" t="s">
        <v>5799</v>
      </c>
      <c r="B2316" s="2" t="s">
        <v>5800</v>
      </c>
      <c r="C2316" s="2" t="s">
        <v>36</v>
      </c>
    </row>
    <row r="2317">
      <c r="A2317" s="2" t="s">
        <v>5801</v>
      </c>
      <c r="B2317" s="2" t="s">
        <v>5802</v>
      </c>
      <c r="C2317" s="2" t="s">
        <v>36</v>
      </c>
    </row>
    <row r="2318">
      <c r="A2318" s="2" t="s">
        <v>5803</v>
      </c>
      <c r="B2318" s="2" t="s">
        <v>5804</v>
      </c>
      <c r="C2318" s="2" t="s">
        <v>36</v>
      </c>
    </row>
    <row r="2319">
      <c r="A2319" s="2" t="s">
        <v>5805</v>
      </c>
      <c r="B2319" s="2" t="s">
        <v>5806</v>
      </c>
      <c r="C2319" s="2" t="s">
        <v>36</v>
      </c>
    </row>
    <row r="2320">
      <c r="A2320" s="2" t="s">
        <v>5807</v>
      </c>
      <c r="B2320" s="2" t="s">
        <v>5808</v>
      </c>
      <c r="C2320" s="2" t="s">
        <v>36</v>
      </c>
    </row>
    <row r="2321">
      <c r="A2321" s="2" t="s">
        <v>5809</v>
      </c>
      <c r="B2321" s="2" t="s">
        <v>5810</v>
      </c>
      <c r="C2321" s="2" t="s">
        <v>36</v>
      </c>
    </row>
    <row r="2322">
      <c r="A2322" s="2" t="s">
        <v>5811</v>
      </c>
      <c r="B2322" s="2" t="s">
        <v>5812</v>
      </c>
      <c r="C2322" s="2" t="s">
        <v>36</v>
      </c>
    </row>
    <row r="2323">
      <c r="A2323" s="2" t="s">
        <v>5813</v>
      </c>
      <c r="B2323" s="2" t="s">
        <v>5814</v>
      </c>
      <c r="C2323" s="2" t="s">
        <v>36</v>
      </c>
    </row>
    <row r="2324">
      <c r="A2324" s="2" t="s">
        <v>5815</v>
      </c>
      <c r="B2324" s="2" t="s">
        <v>5816</v>
      </c>
      <c r="C2324" s="2" t="s">
        <v>36</v>
      </c>
    </row>
    <row r="2325">
      <c r="A2325" s="2" t="s">
        <v>5817</v>
      </c>
      <c r="B2325" s="2" t="s">
        <v>5818</v>
      </c>
      <c r="C2325" s="2" t="s">
        <v>36</v>
      </c>
    </row>
    <row r="2326">
      <c r="A2326" s="2" t="s">
        <v>5819</v>
      </c>
      <c r="B2326" s="2" t="s">
        <v>5820</v>
      </c>
      <c r="C2326" s="2" t="s">
        <v>36</v>
      </c>
    </row>
    <row r="2327">
      <c r="A2327" s="2" t="s">
        <v>5821</v>
      </c>
      <c r="B2327" s="2" t="s">
        <v>5822</v>
      </c>
      <c r="C2327" s="2" t="s">
        <v>36</v>
      </c>
    </row>
    <row r="2328">
      <c r="A2328" s="2" t="s">
        <v>5823</v>
      </c>
      <c r="B2328" s="2" t="s">
        <v>5824</v>
      </c>
      <c r="C2328" s="2" t="s">
        <v>36</v>
      </c>
    </row>
    <row r="2329">
      <c r="A2329" s="2" t="s">
        <v>5825</v>
      </c>
      <c r="B2329" s="2" t="s">
        <v>5826</v>
      </c>
      <c r="C2329" s="2" t="s">
        <v>36</v>
      </c>
    </row>
    <row r="2330">
      <c r="A2330" s="2" t="s">
        <v>5827</v>
      </c>
      <c r="B2330" s="2" t="s">
        <v>5828</v>
      </c>
      <c r="C2330" s="2" t="s">
        <v>36</v>
      </c>
    </row>
    <row r="2331">
      <c r="A2331" s="2" t="s">
        <v>5829</v>
      </c>
      <c r="B2331" s="2" t="s">
        <v>5830</v>
      </c>
      <c r="C2331" s="2" t="s">
        <v>36</v>
      </c>
    </row>
    <row r="2332">
      <c r="A2332" s="2" t="s">
        <v>5831</v>
      </c>
      <c r="B2332" s="2" t="s">
        <v>5832</v>
      </c>
      <c r="C2332" s="2" t="s">
        <v>36</v>
      </c>
    </row>
    <row r="2333">
      <c r="A2333" s="2" t="s">
        <v>5833</v>
      </c>
      <c r="B2333" s="2" t="s">
        <v>5834</v>
      </c>
      <c r="C2333" s="2" t="s">
        <v>36</v>
      </c>
    </row>
    <row r="2334">
      <c r="A2334" s="2" t="s">
        <v>5835</v>
      </c>
      <c r="B2334" s="2" t="s">
        <v>5836</v>
      </c>
      <c r="C2334" s="2" t="s">
        <v>36</v>
      </c>
    </row>
    <row r="2335">
      <c r="A2335" s="2" t="s">
        <v>5837</v>
      </c>
      <c r="B2335" s="2" t="s">
        <v>5838</v>
      </c>
      <c r="C2335" s="2" t="s">
        <v>36</v>
      </c>
    </row>
    <row r="2336">
      <c r="A2336" s="2" t="s">
        <v>5839</v>
      </c>
      <c r="B2336" s="2" t="s">
        <v>5840</v>
      </c>
      <c r="C2336" s="2" t="s">
        <v>36</v>
      </c>
    </row>
    <row r="2337">
      <c r="A2337" s="2" t="s">
        <v>5841</v>
      </c>
      <c r="B2337" s="2" t="s">
        <v>5842</v>
      </c>
      <c r="C2337" s="2" t="s">
        <v>36</v>
      </c>
    </row>
    <row r="2338">
      <c r="A2338" s="2" t="s">
        <v>5843</v>
      </c>
      <c r="B2338" s="2" t="s">
        <v>5844</v>
      </c>
      <c r="C2338" s="2" t="s">
        <v>36</v>
      </c>
    </row>
    <row r="2339">
      <c r="A2339" s="2" t="s">
        <v>5845</v>
      </c>
      <c r="B2339" s="2" t="s">
        <v>5846</v>
      </c>
      <c r="C2339" s="2" t="s">
        <v>36</v>
      </c>
    </row>
    <row r="2340">
      <c r="A2340" s="2" t="s">
        <v>5847</v>
      </c>
      <c r="B2340" s="2" t="s">
        <v>5848</v>
      </c>
      <c r="C2340" s="2" t="s">
        <v>36</v>
      </c>
    </row>
    <row r="2341">
      <c r="A2341" s="2" t="s">
        <v>5849</v>
      </c>
      <c r="B2341" s="2" t="s">
        <v>5850</v>
      </c>
      <c r="C2341" s="2" t="s">
        <v>36</v>
      </c>
    </row>
    <row r="2342">
      <c r="A2342" s="2" t="s">
        <v>5851</v>
      </c>
      <c r="B2342" s="2" t="s">
        <v>5852</v>
      </c>
      <c r="C2342" s="2" t="s">
        <v>36</v>
      </c>
    </row>
    <row r="2343">
      <c r="A2343" s="2" t="s">
        <v>5853</v>
      </c>
      <c r="B2343" s="2" t="s">
        <v>5854</v>
      </c>
      <c r="C2343" s="2" t="s">
        <v>36</v>
      </c>
    </row>
    <row r="2344">
      <c r="A2344" s="2" t="s">
        <v>5855</v>
      </c>
      <c r="B2344" s="2" t="s">
        <v>5856</v>
      </c>
      <c r="C2344" s="2" t="s">
        <v>36</v>
      </c>
    </row>
    <row r="2345">
      <c r="A2345" s="2" t="s">
        <v>5857</v>
      </c>
      <c r="B2345" s="2" t="s">
        <v>5858</v>
      </c>
      <c r="C2345" s="2" t="s">
        <v>36</v>
      </c>
    </row>
    <row r="2346">
      <c r="A2346" s="2" t="s">
        <v>5859</v>
      </c>
      <c r="B2346" s="2" t="s">
        <v>5860</v>
      </c>
      <c r="C2346" s="2" t="s">
        <v>36</v>
      </c>
    </row>
    <row r="2347">
      <c r="A2347" s="2" t="s">
        <v>5861</v>
      </c>
      <c r="B2347" s="2" t="s">
        <v>5862</v>
      </c>
      <c r="C2347" s="2" t="s">
        <v>36</v>
      </c>
    </row>
    <row r="2348">
      <c r="A2348" s="2" t="s">
        <v>5863</v>
      </c>
      <c r="B2348" s="2" t="s">
        <v>5864</v>
      </c>
      <c r="C2348" s="2" t="s">
        <v>36</v>
      </c>
    </row>
    <row r="2349">
      <c r="A2349" s="2" t="s">
        <v>5865</v>
      </c>
      <c r="B2349" s="2" t="s">
        <v>5866</v>
      </c>
      <c r="C2349" s="2" t="s">
        <v>36</v>
      </c>
    </row>
    <row r="2350">
      <c r="A2350" s="2" t="s">
        <v>5867</v>
      </c>
      <c r="B2350" s="2" t="s">
        <v>5868</v>
      </c>
      <c r="C2350" s="2" t="s">
        <v>36</v>
      </c>
    </row>
    <row r="2351">
      <c r="A2351" s="2" t="s">
        <v>5869</v>
      </c>
      <c r="B2351" s="2" t="s">
        <v>5870</v>
      </c>
      <c r="C2351" s="2" t="s">
        <v>36</v>
      </c>
    </row>
    <row r="2352">
      <c r="A2352" s="2" t="s">
        <v>5871</v>
      </c>
      <c r="B2352" s="2" t="s">
        <v>5872</v>
      </c>
      <c r="C2352" s="2" t="s">
        <v>36</v>
      </c>
    </row>
    <row r="2353">
      <c r="A2353" s="2" t="s">
        <v>5873</v>
      </c>
      <c r="B2353" s="2" t="s">
        <v>5874</v>
      </c>
      <c r="C2353" s="2" t="s">
        <v>36</v>
      </c>
    </row>
    <row r="2354">
      <c r="A2354" s="2" t="s">
        <v>5875</v>
      </c>
      <c r="B2354" s="2" t="s">
        <v>5876</v>
      </c>
      <c r="C2354" s="2" t="s">
        <v>36</v>
      </c>
    </row>
    <row r="2355">
      <c r="A2355" s="2" t="s">
        <v>5877</v>
      </c>
      <c r="B2355" s="2" t="s">
        <v>5878</v>
      </c>
      <c r="C2355" s="2" t="s">
        <v>36</v>
      </c>
    </row>
    <row r="2356">
      <c r="A2356" s="2" t="s">
        <v>5879</v>
      </c>
      <c r="B2356" s="2" t="s">
        <v>5880</v>
      </c>
      <c r="C2356" s="2" t="s">
        <v>36</v>
      </c>
    </row>
    <row r="2357">
      <c r="A2357" s="2" t="s">
        <v>5881</v>
      </c>
      <c r="B2357" s="2" t="s">
        <v>5882</v>
      </c>
      <c r="C2357" s="2" t="s">
        <v>36</v>
      </c>
    </row>
    <row r="2358">
      <c r="A2358" s="2" t="s">
        <v>5883</v>
      </c>
      <c r="B2358" s="2" t="s">
        <v>5884</v>
      </c>
      <c r="C2358" s="2" t="s">
        <v>36</v>
      </c>
    </row>
    <row r="2359">
      <c r="A2359" s="2" t="s">
        <v>5885</v>
      </c>
      <c r="B2359" s="2" t="s">
        <v>5886</v>
      </c>
      <c r="C2359" s="2" t="s">
        <v>36</v>
      </c>
    </row>
    <row r="2360">
      <c r="A2360" s="2" t="s">
        <v>5887</v>
      </c>
      <c r="B2360" s="2" t="s">
        <v>5888</v>
      </c>
      <c r="C2360" s="2" t="s">
        <v>36</v>
      </c>
    </row>
    <row r="2361">
      <c r="A2361" s="2" t="s">
        <v>5889</v>
      </c>
      <c r="B2361" s="2" t="s">
        <v>5890</v>
      </c>
      <c r="C2361" s="2" t="s">
        <v>36</v>
      </c>
    </row>
    <row r="2362">
      <c r="A2362" s="2" t="s">
        <v>5891</v>
      </c>
      <c r="B2362" s="2" t="s">
        <v>5892</v>
      </c>
      <c r="C2362" s="2" t="s">
        <v>36</v>
      </c>
    </row>
    <row r="2363">
      <c r="A2363" s="2" t="s">
        <v>5893</v>
      </c>
      <c r="B2363" s="2" t="s">
        <v>5894</v>
      </c>
      <c r="C2363" s="2" t="s">
        <v>36</v>
      </c>
    </row>
    <row r="2364">
      <c r="A2364" s="2" t="s">
        <v>5895</v>
      </c>
      <c r="B2364" s="2" t="s">
        <v>5896</v>
      </c>
      <c r="C2364" s="2" t="s">
        <v>36</v>
      </c>
    </row>
    <row r="2365">
      <c r="A2365" s="2" t="s">
        <v>5897</v>
      </c>
      <c r="B2365" s="2" t="s">
        <v>5898</v>
      </c>
      <c r="C2365" s="2" t="s">
        <v>36</v>
      </c>
    </row>
    <row r="2366">
      <c r="A2366" s="2" t="s">
        <v>5899</v>
      </c>
      <c r="B2366" s="2" t="s">
        <v>5900</v>
      </c>
      <c r="C2366" s="2" t="s">
        <v>36</v>
      </c>
    </row>
    <row r="2367">
      <c r="A2367" s="2" t="s">
        <v>5901</v>
      </c>
      <c r="B2367" s="2" t="s">
        <v>5902</v>
      </c>
      <c r="C2367" s="2" t="s">
        <v>36</v>
      </c>
    </row>
    <row r="2368">
      <c r="A2368" s="2" t="s">
        <v>5903</v>
      </c>
      <c r="B2368" s="2" t="s">
        <v>5904</v>
      </c>
      <c r="C2368" s="2" t="s">
        <v>36</v>
      </c>
    </row>
    <row r="2369">
      <c r="A2369" s="2" t="s">
        <v>5905</v>
      </c>
      <c r="B2369" s="2" t="s">
        <v>5906</v>
      </c>
      <c r="C2369" s="2" t="s">
        <v>36</v>
      </c>
    </row>
    <row r="2370">
      <c r="A2370" s="2" t="s">
        <v>5907</v>
      </c>
      <c r="B2370" s="2" t="s">
        <v>5908</v>
      </c>
      <c r="C2370" s="2" t="s">
        <v>36</v>
      </c>
    </row>
    <row r="2371">
      <c r="A2371" s="2" t="s">
        <v>5909</v>
      </c>
      <c r="B2371" s="2" t="s">
        <v>5910</v>
      </c>
      <c r="C2371" s="2" t="s">
        <v>36</v>
      </c>
    </row>
    <row r="2372">
      <c r="A2372" s="2" t="s">
        <v>5911</v>
      </c>
      <c r="B2372" s="2" t="s">
        <v>5912</v>
      </c>
      <c r="C2372" s="2" t="s">
        <v>36</v>
      </c>
    </row>
    <row r="2373">
      <c r="A2373" s="2" t="s">
        <v>5913</v>
      </c>
      <c r="B2373" s="2" t="s">
        <v>5914</v>
      </c>
      <c r="C2373" s="2" t="s">
        <v>36</v>
      </c>
    </row>
    <row r="2374">
      <c r="A2374" s="2" t="s">
        <v>5915</v>
      </c>
      <c r="B2374" s="2" t="s">
        <v>5916</v>
      </c>
      <c r="C2374" s="2" t="s">
        <v>36</v>
      </c>
    </row>
    <row r="2375">
      <c r="A2375" s="2" t="s">
        <v>5917</v>
      </c>
      <c r="B2375" s="2" t="s">
        <v>5918</v>
      </c>
      <c r="C2375" s="2" t="s">
        <v>36</v>
      </c>
    </row>
    <row r="2376">
      <c r="A2376" s="2" t="s">
        <v>5919</v>
      </c>
      <c r="B2376" s="2" t="s">
        <v>5920</v>
      </c>
      <c r="C2376" s="2" t="s">
        <v>36</v>
      </c>
    </row>
    <row r="2377">
      <c r="A2377" s="2" t="s">
        <v>5921</v>
      </c>
      <c r="B2377" s="2" t="s">
        <v>5922</v>
      </c>
      <c r="C2377" s="2" t="s">
        <v>36</v>
      </c>
    </row>
    <row r="2378">
      <c r="A2378" s="2" t="s">
        <v>5923</v>
      </c>
      <c r="B2378" s="2" t="s">
        <v>5924</v>
      </c>
      <c r="C2378" s="2" t="s">
        <v>36</v>
      </c>
    </row>
    <row r="2379">
      <c r="A2379" s="2" t="s">
        <v>5925</v>
      </c>
      <c r="B2379" s="2" t="s">
        <v>5926</v>
      </c>
      <c r="C2379" s="2" t="s">
        <v>36</v>
      </c>
    </row>
    <row r="2380">
      <c r="A2380" s="2" t="s">
        <v>5927</v>
      </c>
      <c r="B2380" s="2" t="s">
        <v>5928</v>
      </c>
      <c r="C2380" s="2" t="s">
        <v>36</v>
      </c>
    </row>
    <row r="2381">
      <c r="A2381" s="2" t="s">
        <v>5929</v>
      </c>
      <c r="B2381" s="2" t="s">
        <v>5930</v>
      </c>
      <c r="C2381" s="2" t="s">
        <v>36</v>
      </c>
    </row>
    <row r="2382">
      <c r="A2382" s="2" t="s">
        <v>5931</v>
      </c>
      <c r="B2382" s="2" t="s">
        <v>5932</v>
      </c>
      <c r="C2382" s="2" t="s">
        <v>36</v>
      </c>
    </row>
    <row r="2383">
      <c r="A2383" s="2" t="s">
        <v>5933</v>
      </c>
      <c r="B2383" s="2" t="s">
        <v>5934</v>
      </c>
      <c r="C2383" s="2" t="s">
        <v>36</v>
      </c>
    </row>
    <row r="2384">
      <c r="A2384" s="2" t="s">
        <v>5935</v>
      </c>
      <c r="B2384" s="2" t="s">
        <v>5936</v>
      </c>
      <c r="C2384" s="2" t="s">
        <v>36</v>
      </c>
    </row>
    <row r="2385">
      <c r="A2385" s="2" t="s">
        <v>5937</v>
      </c>
      <c r="B2385" s="2" t="s">
        <v>5938</v>
      </c>
      <c r="C2385" s="2" t="s">
        <v>36</v>
      </c>
    </row>
    <row r="2386">
      <c r="A2386" s="2" t="s">
        <v>5939</v>
      </c>
      <c r="B2386" s="2" t="s">
        <v>5940</v>
      </c>
      <c r="C2386" s="2" t="s">
        <v>36</v>
      </c>
    </row>
    <row r="2387">
      <c r="A2387" s="2" t="s">
        <v>5941</v>
      </c>
      <c r="B2387" s="2" t="s">
        <v>5942</v>
      </c>
      <c r="C2387" s="2" t="s">
        <v>36</v>
      </c>
    </row>
    <row r="2388">
      <c r="A2388" s="2" t="s">
        <v>5943</v>
      </c>
      <c r="B2388" s="2" t="s">
        <v>5944</v>
      </c>
      <c r="C2388" s="2" t="s">
        <v>36</v>
      </c>
    </row>
    <row r="2389">
      <c r="A2389" s="2" t="s">
        <v>5945</v>
      </c>
      <c r="B2389" s="2" t="s">
        <v>5946</v>
      </c>
      <c r="C2389" s="2" t="s">
        <v>36</v>
      </c>
    </row>
    <row r="2390">
      <c r="A2390" s="2" t="s">
        <v>5947</v>
      </c>
      <c r="B2390" s="2" t="s">
        <v>5948</v>
      </c>
      <c r="C2390" s="2" t="s">
        <v>36</v>
      </c>
    </row>
    <row r="2391">
      <c r="A2391" s="2" t="s">
        <v>5949</v>
      </c>
      <c r="B2391" s="2" t="s">
        <v>5950</v>
      </c>
      <c r="C2391" s="2" t="s">
        <v>36</v>
      </c>
    </row>
    <row r="2392">
      <c r="A2392" s="2" t="s">
        <v>5951</v>
      </c>
      <c r="B2392" s="2" t="s">
        <v>5952</v>
      </c>
      <c r="C2392" s="2" t="s">
        <v>36</v>
      </c>
    </row>
    <row r="2393">
      <c r="A2393" s="2" t="s">
        <v>5953</v>
      </c>
      <c r="B2393" s="2" t="s">
        <v>5954</v>
      </c>
      <c r="C2393" s="2" t="s">
        <v>36</v>
      </c>
    </row>
    <row r="2394">
      <c r="A2394" s="2" t="s">
        <v>5955</v>
      </c>
      <c r="B2394" s="2" t="s">
        <v>5956</v>
      </c>
      <c r="C2394" s="2" t="s">
        <v>36</v>
      </c>
    </row>
    <row r="2395">
      <c r="A2395" s="2" t="s">
        <v>5957</v>
      </c>
      <c r="B2395" s="2" t="s">
        <v>5956</v>
      </c>
      <c r="C2395" s="2" t="s">
        <v>36</v>
      </c>
    </row>
    <row r="2396">
      <c r="A2396" s="2" t="s">
        <v>5958</v>
      </c>
      <c r="B2396" s="2" t="s">
        <v>5959</v>
      </c>
      <c r="C2396" s="2" t="s">
        <v>36</v>
      </c>
    </row>
    <row r="2397">
      <c r="A2397" s="2" t="s">
        <v>5960</v>
      </c>
      <c r="B2397" s="2" t="s">
        <v>5959</v>
      </c>
      <c r="C2397" s="2" t="s">
        <v>36</v>
      </c>
    </row>
    <row r="2398">
      <c r="A2398" s="2" t="s">
        <v>5961</v>
      </c>
      <c r="B2398" s="2" t="s">
        <v>5962</v>
      </c>
      <c r="C2398" s="2" t="s">
        <v>36</v>
      </c>
    </row>
    <row r="2399">
      <c r="A2399" s="2" t="s">
        <v>5963</v>
      </c>
      <c r="B2399" s="2" t="s">
        <v>5964</v>
      </c>
      <c r="C2399" s="2" t="s">
        <v>36</v>
      </c>
    </row>
    <row r="2400">
      <c r="A2400" s="2" t="s">
        <v>5965</v>
      </c>
      <c r="B2400" s="2" t="s">
        <v>5966</v>
      </c>
      <c r="C2400" s="2" t="s">
        <v>36</v>
      </c>
    </row>
    <row r="2401">
      <c r="A2401" s="2" t="s">
        <v>5967</v>
      </c>
      <c r="B2401" s="2" t="s">
        <v>5968</v>
      </c>
      <c r="C2401" s="2" t="s">
        <v>36</v>
      </c>
    </row>
    <row r="2402">
      <c r="A2402" s="2" t="s">
        <v>5969</v>
      </c>
      <c r="B2402" s="2" t="s">
        <v>5970</v>
      </c>
      <c r="C2402" s="2" t="s">
        <v>36</v>
      </c>
    </row>
    <row r="2403">
      <c r="A2403" s="2" t="s">
        <v>5971</v>
      </c>
      <c r="B2403" s="2" t="s">
        <v>5972</v>
      </c>
      <c r="C2403" s="2" t="s">
        <v>36</v>
      </c>
    </row>
    <row r="2404">
      <c r="A2404" s="2" t="s">
        <v>5973</v>
      </c>
      <c r="B2404" s="2" t="s">
        <v>5974</v>
      </c>
      <c r="C2404" s="2" t="s">
        <v>36</v>
      </c>
    </row>
    <row r="2405">
      <c r="A2405" s="2" t="s">
        <v>104</v>
      </c>
      <c r="B2405" s="2" t="s">
        <v>106</v>
      </c>
      <c r="C2405" s="2" t="s">
        <v>36</v>
      </c>
    </row>
    <row r="2406">
      <c r="A2406" s="2" t="s">
        <v>5975</v>
      </c>
      <c r="B2406" s="2" t="s">
        <v>5976</v>
      </c>
      <c r="C2406" s="2" t="s">
        <v>36</v>
      </c>
    </row>
    <row r="2407">
      <c r="A2407" s="2" t="s">
        <v>5977</v>
      </c>
      <c r="B2407" s="2" t="s">
        <v>5978</v>
      </c>
      <c r="C2407" s="2" t="s">
        <v>36</v>
      </c>
    </row>
    <row r="2408">
      <c r="A2408" s="2" t="s">
        <v>5979</v>
      </c>
      <c r="B2408" s="2" t="s">
        <v>5980</v>
      </c>
      <c r="C2408" s="2" t="s">
        <v>36</v>
      </c>
    </row>
    <row r="2409">
      <c r="A2409" s="2" t="s">
        <v>5981</v>
      </c>
      <c r="B2409" s="2" t="s">
        <v>5982</v>
      </c>
      <c r="C2409" s="2" t="s">
        <v>36</v>
      </c>
    </row>
    <row r="2410">
      <c r="A2410" s="2" t="s">
        <v>5983</v>
      </c>
      <c r="B2410" s="2" t="s">
        <v>5984</v>
      </c>
      <c r="C2410" s="2" t="s">
        <v>36</v>
      </c>
    </row>
    <row r="2411">
      <c r="A2411" s="2" t="s">
        <v>5985</v>
      </c>
      <c r="B2411" s="2" t="s">
        <v>5986</v>
      </c>
      <c r="C2411" s="2" t="s">
        <v>36</v>
      </c>
    </row>
    <row r="2412">
      <c r="A2412" s="2" t="s">
        <v>5987</v>
      </c>
      <c r="B2412" s="2" t="s">
        <v>5988</v>
      </c>
      <c r="C2412" s="2" t="s">
        <v>36</v>
      </c>
    </row>
    <row r="2413">
      <c r="A2413" s="2" t="s">
        <v>5989</v>
      </c>
      <c r="B2413" s="2" t="s">
        <v>5990</v>
      </c>
      <c r="C2413" s="2" t="s">
        <v>36</v>
      </c>
    </row>
    <row r="2414">
      <c r="A2414" s="2" t="s">
        <v>5991</v>
      </c>
      <c r="B2414" s="2" t="s">
        <v>5992</v>
      </c>
      <c r="C2414" s="2" t="s">
        <v>36</v>
      </c>
    </row>
    <row r="2415">
      <c r="A2415" s="2" t="s">
        <v>5993</v>
      </c>
      <c r="B2415" s="2" t="s">
        <v>5994</v>
      </c>
      <c r="C2415" s="2" t="s">
        <v>36</v>
      </c>
    </row>
    <row r="2416">
      <c r="A2416" s="2" t="s">
        <v>5995</v>
      </c>
      <c r="B2416" s="2" t="s">
        <v>5996</v>
      </c>
      <c r="C2416" s="2" t="s">
        <v>36</v>
      </c>
    </row>
    <row r="2417">
      <c r="A2417" s="2" t="s">
        <v>5997</v>
      </c>
      <c r="B2417" s="2" t="s">
        <v>5998</v>
      </c>
      <c r="C2417" s="2" t="s">
        <v>36</v>
      </c>
    </row>
    <row r="2418">
      <c r="A2418" s="2" t="s">
        <v>5999</v>
      </c>
      <c r="B2418" s="2" t="s">
        <v>6000</v>
      </c>
      <c r="C2418" s="2" t="s">
        <v>36</v>
      </c>
    </row>
    <row r="2419">
      <c r="A2419" s="2" t="s">
        <v>6001</v>
      </c>
      <c r="B2419" s="2" t="s">
        <v>6002</v>
      </c>
      <c r="C2419" s="2" t="s">
        <v>36</v>
      </c>
    </row>
    <row r="2420">
      <c r="A2420" s="2" t="s">
        <v>6003</v>
      </c>
      <c r="B2420" s="2" t="s">
        <v>6004</v>
      </c>
      <c r="C2420" s="2" t="s">
        <v>36</v>
      </c>
    </row>
    <row r="2421">
      <c r="A2421" s="2" t="s">
        <v>6005</v>
      </c>
      <c r="B2421" s="2" t="s">
        <v>6006</v>
      </c>
      <c r="C2421" s="2" t="s">
        <v>36</v>
      </c>
    </row>
    <row r="2422">
      <c r="A2422" s="2" t="s">
        <v>6007</v>
      </c>
      <c r="B2422" s="2" t="s">
        <v>6008</v>
      </c>
      <c r="C2422" s="2" t="s">
        <v>36</v>
      </c>
    </row>
    <row r="2423">
      <c r="A2423" s="2" t="s">
        <v>6009</v>
      </c>
      <c r="B2423" s="2" t="s">
        <v>6010</v>
      </c>
      <c r="C2423" s="2" t="s">
        <v>36</v>
      </c>
    </row>
    <row r="2424">
      <c r="A2424" s="2" t="s">
        <v>6011</v>
      </c>
      <c r="B2424" s="2" t="s">
        <v>6012</v>
      </c>
      <c r="C2424" s="2" t="s">
        <v>36</v>
      </c>
    </row>
    <row r="2425">
      <c r="A2425" s="2" t="s">
        <v>6013</v>
      </c>
      <c r="B2425" s="2" t="s">
        <v>6014</v>
      </c>
      <c r="C2425" s="2" t="s">
        <v>36</v>
      </c>
    </row>
    <row r="2426">
      <c r="A2426" s="2" t="s">
        <v>6015</v>
      </c>
      <c r="B2426" s="2" t="s">
        <v>6016</v>
      </c>
      <c r="C2426" s="2" t="s">
        <v>36</v>
      </c>
    </row>
    <row r="2427">
      <c r="A2427" s="2" t="s">
        <v>6017</v>
      </c>
      <c r="B2427" s="2" t="s">
        <v>6018</v>
      </c>
      <c r="C2427" s="2" t="s">
        <v>36</v>
      </c>
    </row>
    <row r="2428">
      <c r="A2428" s="2" t="s">
        <v>6019</v>
      </c>
      <c r="B2428" s="2" t="s">
        <v>6020</v>
      </c>
      <c r="C2428" s="2" t="s">
        <v>36</v>
      </c>
    </row>
    <row r="2429">
      <c r="A2429" s="2" t="s">
        <v>6021</v>
      </c>
      <c r="B2429" s="2" t="s">
        <v>6022</v>
      </c>
      <c r="C2429" s="2" t="s">
        <v>36</v>
      </c>
    </row>
    <row r="2430">
      <c r="A2430" s="2" t="s">
        <v>6023</v>
      </c>
      <c r="B2430" s="2" t="s">
        <v>6024</v>
      </c>
      <c r="C2430" s="2" t="s">
        <v>36</v>
      </c>
    </row>
    <row r="2431">
      <c r="A2431" s="2" t="s">
        <v>6025</v>
      </c>
      <c r="B2431" s="2" t="s">
        <v>6026</v>
      </c>
      <c r="C2431" s="2" t="s">
        <v>36</v>
      </c>
    </row>
    <row r="2432">
      <c r="A2432" s="2" t="s">
        <v>6027</v>
      </c>
      <c r="B2432" s="2" t="s">
        <v>6028</v>
      </c>
      <c r="C2432" s="2" t="s">
        <v>36</v>
      </c>
    </row>
    <row r="2433">
      <c r="A2433" s="2" t="s">
        <v>6029</v>
      </c>
      <c r="B2433" s="2" t="s">
        <v>6030</v>
      </c>
      <c r="C2433" s="2" t="s">
        <v>36</v>
      </c>
    </row>
    <row r="2434">
      <c r="A2434" s="2" t="s">
        <v>6031</v>
      </c>
      <c r="B2434" s="2" t="s">
        <v>6032</v>
      </c>
      <c r="C2434" s="2" t="s">
        <v>36</v>
      </c>
    </row>
    <row r="2435">
      <c r="A2435" s="2" t="s">
        <v>6033</v>
      </c>
      <c r="B2435" s="2" t="s">
        <v>6034</v>
      </c>
      <c r="C2435" s="2" t="s">
        <v>36</v>
      </c>
    </row>
    <row r="2436">
      <c r="A2436" s="2" t="s">
        <v>6035</v>
      </c>
      <c r="B2436" s="2" t="s">
        <v>6036</v>
      </c>
      <c r="C2436" s="2" t="s">
        <v>36</v>
      </c>
    </row>
    <row r="2437">
      <c r="A2437" s="2" t="s">
        <v>6037</v>
      </c>
      <c r="B2437" s="2" t="s">
        <v>6038</v>
      </c>
      <c r="C2437" s="2" t="s">
        <v>36</v>
      </c>
    </row>
    <row r="2438">
      <c r="A2438" s="2" t="s">
        <v>6039</v>
      </c>
      <c r="B2438" s="2" t="s">
        <v>6040</v>
      </c>
      <c r="C2438" s="2" t="s">
        <v>36</v>
      </c>
    </row>
    <row r="2439">
      <c r="A2439" s="2" t="s">
        <v>6041</v>
      </c>
      <c r="B2439" s="2" t="s">
        <v>6042</v>
      </c>
      <c r="C2439" s="2" t="s">
        <v>36</v>
      </c>
    </row>
    <row r="2440">
      <c r="A2440" s="2" t="s">
        <v>6043</v>
      </c>
      <c r="B2440" s="2" t="s">
        <v>6044</v>
      </c>
      <c r="C2440" s="2" t="s">
        <v>36</v>
      </c>
    </row>
    <row r="2441">
      <c r="A2441" s="2" t="s">
        <v>6045</v>
      </c>
      <c r="B2441" s="2" t="s">
        <v>6046</v>
      </c>
      <c r="C2441" s="2" t="s">
        <v>36</v>
      </c>
    </row>
    <row r="2442">
      <c r="A2442" s="2" t="s">
        <v>6047</v>
      </c>
      <c r="B2442" s="2" t="s">
        <v>6048</v>
      </c>
      <c r="C2442" s="2" t="s">
        <v>36</v>
      </c>
    </row>
    <row r="2443">
      <c r="A2443" s="2" t="s">
        <v>6049</v>
      </c>
      <c r="B2443" s="2" t="s">
        <v>6050</v>
      </c>
      <c r="C2443" s="2" t="s">
        <v>36</v>
      </c>
    </row>
    <row r="2444">
      <c r="A2444" s="2" t="s">
        <v>6051</v>
      </c>
      <c r="B2444" s="2" t="s">
        <v>6052</v>
      </c>
      <c r="C2444" s="2" t="s">
        <v>36</v>
      </c>
    </row>
    <row r="2445">
      <c r="A2445" s="2" t="s">
        <v>6053</v>
      </c>
      <c r="B2445" s="2" t="s">
        <v>6054</v>
      </c>
      <c r="C2445" s="2" t="s">
        <v>36</v>
      </c>
    </row>
    <row r="2446">
      <c r="A2446" s="2" t="s">
        <v>6055</v>
      </c>
      <c r="B2446" s="2" t="s">
        <v>6056</v>
      </c>
      <c r="C2446" s="2" t="s">
        <v>36</v>
      </c>
    </row>
    <row r="2447">
      <c r="A2447" s="2" t="s">
        <v>6057</v>
      </c>
      <c r="B2447" s="2" t="s">
        <v>6058</v>
      </c>
      <c r="C2447" s="2" t="s">
        <v>36</v>
      </c>
    </row>
    <row r="2448">
      <c r="A2448" s="2" t="s">
        <v>6059</v>
      </c>
      <c r="B2448" s="2" t="s">
        <v>6060</v>
      </c>
      <c r="C2448" s="2" t="s">
        <v>36</v>
      </c>
    </row>
    <row r="2449">
      <c r="A2449" s="2" t="s">
        <v>6061</v>
      </c>
      <c r="B2449" s="2" t="s">
        <v>6062</v>
      </c>
      <c r="C2449" s="2" t="s">
        <v>36</v>
      </c>
    </row>
    <row r="2450">
      <c r="A2450" s="2" t="s">
        <v>6063</v>
      </c>
      <c r="B2450" s="2" t="s">
        <v>6064</v>
      </c>
      <c r="C2450" s="2" t="s">
        <v>36</v>
      </c>
    </row>
    <row r="2451">
      <c r="A2451" s="2" t="s">
        <v>6065</v>
      </c>
      <c r="B2451" s="2" t="s">
        <v>6066</v>
      </c>
      <c r="C2451" s="2" t="s">
        <v>36</v>
      </c>
    </row>
    <row r="2452">
      <c r="A2452" s="2" t="s">
        <v>6067</v>
      </c>
      <c r="B2452" s="2" t="s">
        <v>6068</v>
      </c>
      <c r="C2452" s="2" t="s">
        <v>36</v>
      </c>
    </row>
    <row r="2453">
      <c r="A2453" s="2" t="s">
        <v>6069</v>
      </c>
      <c r="B2453" s="2" t="s">
        <v>6070</v>
      </c>
      <c r="C2453" s="2" t="s">
        <v>36</v>
      </c>
    </row>
    <row r="2454">
      <c r="A2454" s="2" t="s">
        <v>6071</v>
      </c>
      <c r="B2454" s="2" t="s">
        <v>6072</v>
      </c>
      <c r="C2454" s="2" t="s">
        <v>36</v>
      </c>
    </row>
    <row r="2455">
      <c r="A2455" s="2" t="s">
        <v>6073</v>
      </c>
      <c r="B2455" s="2" t="s">
        <v>6074</v>
      </c>
      <c r="C2455" s="2" t="s">
        <v>36</v>
      </c>
    </row>
    <row r="2456">
      <c r="A2456" s="2" t="s">
        <v>6075</v>
      </c>
      <c r="B2456" s="2" t="s">
        <v>6076</v>
      </c>
      <c r="C2456" s="2" t="s">
        <v>36</v>
      </c>
    </row>
    <row r="2457">
      <c r="A2457" s="2" t="s">
        <v>6077</v>
      </c>
      <c r="B2457" s="2" t="s">
        <v>6078</v>
      </c>
      <c r="C2457" s="2" t="s">
        <v>36</v>
      </c>
    </row>
    <row r="2458">
      <c r="A2458" s="2" t="s">
        <v>6079</v>
      </c>
      <c r="B2458" s="2" t="s">
        <v>6080</v>
      </c>
      <c r="C2458" s="2" t="s">
        <v>36</v>
      </c>
    </row>
    <row r="2459">
      <c r="A2459" s="2" t="s">
        <v>6081</v>
      </c>
      <c r="B2459" s="2" t="s">
        <v>6082</v>
      </c>
      <c r="C2459" s="2" t="s">
        <v>36</v>
      </c>
    </row>
    <row r="2460">
      <c r="A2460" s="2" t="s">
        <v>6083</v>
      </c>
      <c r="B2460" s="2" t="s">
        <v>6084</v>
      </c>
      <c r="C2460" s="2" t="s">
        <v>36</v>
      </c>
    </row>
    <row r="2461">
      <c r="A2461" s="2" t="s">
        <v>6085</v>
      </c>
      <c r="B2461" s="2" t="s">
        <v>6086</v>
      </c>
      <c r="C2461" s="2" t="s">
        <v>36</v>
      </c>
    </row>
    <row r="2462">
      <c r="A2462" s="2" t="s">
        <v>6087</v>
      </c>
      <c r="B2462" s="2" t="s">
        <v>6088</v>
      </c>
      <c r="C2462" s="2" t="s">
        <v>36</v>
      </c>
    </row>
    <row r="2463">
      <c r="A2463" s="2" t="s">
        <v>6089</v>
      </c>
      <c r="B2463" s="2" t="s">
        <v>6090</v>
      </c>
      <c r="C2463" s="2" t="s">
        <v>36</v>
      </c>
    </row>
    <row r="2464">
      <c r="A2464" s="2" t="s">
        <v>6091</v>
      </c>
      <c r="B2464" s="2" t="s">
        <v>6092</v>
      </c>
      <c r="C2464" s="2" t="s">
        <v>36</v>
      </c>
    </row>
    <row r="2465">
      <c r="A2465" s="2" t="s">
        <v>6093</v>
      </c>
      <c r="B2465" s="2" t="s">
        <v>6094</v>
      </c>
      <c r="C2465" s="2" t="s">
        <v>36</v>
      </c>
    </row>
    <row r="2466">
      <c r="A2466" s="2" t="s">
        <v>6095</v>
      </c>
      <c r="B2466" s="2" t="s">
        <v>6096</v>
      </c>
      <c r="C2466" s="2" t="s">
        <v>36</v>
      </c>
    </row>
    <row r="2467">
      <c r="A2467" s="2" t="s">
        <v>6097</v>
      </c>
      <c r="B2467" s="2" t="s">
        <v>6098</v>
      </c>
      <c r="C2467" s="2" t="s">
        <v>36</v>
      </c>
    </row>
    <row r="2468">
      <c r="A2468" s="2" t="s">
        <v>6099</v>
      </c>
      <c r="B2468" s="2" t="s">
        <v>6100</v>
      </c>
      <c r="C2468" s="2" t="s">
        <v>36</v>
      </c>
    </row>
    <row r="2469">
      <c r="A2469" s="2" t="s">
        <v>6101</v>
      </c>
      <c r="B2469" s="2" t="s">
        <v>6102</v>
      </c>
      <c r="C2469" s="2" t="s">
        <v>36</v>
      </c>
    </row>
    <row r="2470">
      <c r="A2470" s="2" t="s">
        <v>6103</v>
      </c>
      <c r="B2470" s="2" t="s">
        <v>6104</v>
      </c>
      <c r="C2470" s="2" t="s">
        <v>36</v>
      </c>
    </row>
    <row r="2471">
      <c r="A2471" s="2" t="s">
        <v>6105</v>
      </c>
      <c r="B2471" s="2" t="s">
        <v>6106</v>
      </c>
      <c r="C2471" s="2" t="s">
        <v>36</v>
      </c>
    </row>
    <row r="2472">
      <c r="A2472" s="2" t="s">
        <v>6107</v>
      </c>
      <c r="B2472" s="2" t="s">
        <v>6108</v>
      </c>
      <c r="C2472" s="2" t="s">
        <v>36</v>
      </c>
    </row>
    <row r="2473">
      <c r="A2473" s="2" t="s">
        <v>6109</v>
      </c>
      <c r="B2473" s="2" t="s">
        <v>6110</v>
      </c>
      <c r="C2473" s="2" t="s">
        <v>36</v>
      </c>
    </row>
    <row r="2474">
      <c r="A2474" s="2" t="s">
        <v>6111</v>
      </c>
      <c r="B2474" s="2" t="s">
        <v>6112</v>
      </c>
      <c r="C2474" s="2" t="s">
        <v>36</v>
      </c>
    </row>
    <row r="2475">
      <c r="A2475" s="2" t="s">
        <v>6113</v>
      </c>
      <c r="B2475" s="2" t="s">
        <v>6114</v>
      </c>
      <c r="C2475" s="2" t="s">
        <v>36</v>
      </c>
    </row>
    <row r="2476">
      <c r="A2476" s="2" t="s">
        <v>6115</v>
      </c>
      <c r="B2476" s="2" t="s">
        <v>6116</v>
      </c>
      <c r="C2476" s="2" t="s">
        <v>36</v>
      </c>
    </row>
    <row r="2477">
      <c r="A2477" s="2" t="s">
        <v>6117</v>
      </c>
      <c r="B2477" s="2" t="s">
        <v>6118</v>
      </c>
      <c r="C2477" s="2" t="s">
        <v>36</v>
      </c>
    </row>
    <row r="2478">
      <c r="A2478" s="2" t="s">
        <v>6119</v>
      </c>
      <c r="B2478" s="2" t="s">
        <v>6120</v>
      </c>
      <c r="C2478" s="2" t="s">
        <v>36</v>
      </c>
    </row>
    <row r="2479">
      <c r="A2479" s="2" t="s">
        <v>6121</v>
      </c>
      <c r="B2479" s="2" t="s">
        <v>6122</v>
      </c>
      <c r="C2479" s="2" t="s">
        <v>36</v>
      </c>
    </row>
    <row r="2480">
      <c r="A2480" s="2" t="s">
        <v>6123</v>
      </c>
      <c r="B2480" s="2" t="s">
        <v>6124</v>
      </c>
      <c r="C2480" s="2" t="s">
        <v>36</v>
      </c>
    </row>
    <row r="2481">
      <c r="A2481" s="2" t="s">
        <v>6125</v>
      </c>
      <c r="B2481" s="2" t="s">
        <v>6126</v>
      </c>
      <c r="C2481" s="2" t="s">
        <v>36</v>
      </c>
    </row>
    <row r="2482">
      <c r="A2482" s="2" t="s">
        <v>6127</v>
      </c>
      <c r="B2482" s="2" t="s">
        <v>6128</v>
      </c>
      <c r="C2482" s="2" t="s">
        <v>36</v>
      </c>
    </row>
    <row r="2483">
      <c r="A2483" s="2" t="s">
        <v>6129</v>
      </c>
      <c r="B2483" s="2" t="s">
        <v>6130</v>
      </c>
      <c r="C2483" s="2" t="s">
        <v>36</v>
      </c>
    </row>
    <row r="2484">
      <c r="A2484" s="2" t="s">
        <v>6131</v>
      </c>
      <c r="B2484" s="2" t="s">
        <v>6132</v>
      </c>
      <c r="C2484" s="2" t="s">
        <v>36</v>
      </c>
    </row>
    <row r="2485">
      <c r="A2485" s="2" t="s">
        <v>6133</v>
      </c>
      <c r="B2485" s="2" t="s">
        <v>6134</v>
      </c>
      <c r="C2485" s="2" t="s">
        <v>36</v>
      </c>
    </row>
    <row r="2486">
      <c r="A2486" s="2" t="s">
        <v>6135</v>
      </c>
      <c r="B2486" s="2" t="s">
        <v>6136</v>
      </c>
      <c r="C2486" s="2" t="s">
        <v>36</v>
      </c>
    </row>
    <row r="2487">
      <c r="A2487" s="2" t="s">
        <v>6137</v>
      </c>
      <c r="B2487" s="2" t="s">
        <v>6138</v>
      </c>
      <c r="C2487" s="2" t="s">
        <v>36</v>
      </c>
    </row>
    <row r="2488">
      <c r="A2488" s="2" t="s">
        <v>6139</v>
      </c>
      <c r="B2488" s="2" t="s">
        <v>6140</v>
      </c>
      <c r="C2488" s="2" t="s">
        <v>36</v>
      </c>
    </row>
    <row r="2489">
      <c r="A2489" s="2" t="s">
        <v>6141</v>
      </c>
      <c r="B2489" s="2" t="s">
        <v>6142</v>
      </c>
      <c r="C2489" s="2" t="s">
        <v>36</v>
      </c>
    </row>
    <row r="2490">
      <c r="A2490" s="2" t="s">
        <v>6143</v>
      </c>
      <c r="B2490" s="2" t="s">
        <v>6144</v>
      </c>
      <c r="C2490" s="2" t="s">
        <v>36</v>
      </c>
    </row>
    <row r="2491">
      <c r="A2491" s="2" t="s">
        <v>6145</v>
      </c>
      <c r="B2491" s="2" t="s">
        <v>6146</v>
      </c>
      <c r="C2491" s="2" t="s">
        <v>36</v>
      </c>
    </row>
    <row r="2492">
      <c r="A2492" s="2" t="s">
        <v>6147</v>
      </c>
      <c r="B2492" s="2" t="s">
        <v>6148</v>
      </c>
      <c r="C2492" s="2" t="s">
        <v>36</v>
      </c>
    </row>
    <row r="2493">
      <c r="A2493" s="2" t="s">
        <v>6149</v>
      </c>
      <c r="B2493" s="2" t="s">
        <v>6150</v>
      </c>
      <c r="C2493" s="2" t="s">
        <v>36</v>
      </c>
    </row>
    <row r="2494">
      <c r="A2494" s="2" t="s">
        <v>6151</v>
      </c>
      <c r="B2494" s="2" t="s">
        <v>6152</v>
      </c>
      <c r="C2494" s="2" t="s">
        <v>36</v>
      </c>
    </row>
    <row r="2495">
      <c r="A2495" s="2" t="s">
        <v>6153</v>
      </c>
      <c r="B2495" s="2" t="s">
        <v>6154</v>
      </c>
      <c r="C2495" s="2" t="s">
        <v>36</v>
      </c>
    </row>
    <row r="2496">
      <c r="A2496" s="2" t="s">
        <v>6155</v>
      </c>
      <c r="B2496" s="2" t="s">
        <v>6156</v>
      </c>
      <c r="C2496" s="2" t="s">
        <v>36</v>
      </c>
    </row>
    <row r="2497">
      <c r="A2497" s="2" t="s">
        <v>6157</v>
      </c>
      <c r="B2497" s="2" t="s">
        <v>6158</v>
      </c>
      <c r="C2497" s="2" t="s">
        <v>36</v>
      </c>
    </row>
    <row r="2498">
      <c r="A2498" s="2" t="s">
        <v>6159</v>
      </c>
      <c r="B2498" s="2" t="s">
        <v>6160</v>
      </c>
      <c r="C2498" s="2" t="s">
        <v>36</v>
      </c>
    </row>
    <row r="2499">
      <c r="A2499" s="2" t="s">
        <v>6161</v>
      </c>
      <c r="B2499" s="2" t="s">
        <v>6162</v>
      </c>
      <c r="C2499" s="2" t="s">
        <v>36</v>
      </c>
    </row>
    <row r="2500">
      <c r="A2500" s="2" t="s">
        <v>6163</v>
      </c>
      <c r="B2500" s="2" t="s">
        <v>6164</v>
      </c>
      <c r="C2500" s="2" t="s">
        <v>36</v>
      </c>
    </row>
    <row r="2501">
      <c r="A2501" s="2" t="s">
        <v>6165</v>
      </c>
      <c r="B2501" s="2" t="s">
        <v>6166</v>
      </c>
      <c r="C2501" s="2" t="s">
        <v>36</v>
      </c>
    </row>
    <row r="2502">
      <c r="A2502" s="2" t="s">
        <v>6167</v>
      </c>
      <c r="B2502" s="2" t="s">
        <v>6168</v>
      </c>
      <c r="C2502" s="2" t="s">
        <v>36</v>
      </c>
    </row>
    <row r="2503">
      <c r="A2503" s="2" t="s">
        <v>6169</v>
      </c>
      <c r="B2503" s="2" t="s">
        <v>6170</v>
      </c>
      <c r="C2503" s="2" t="s">
        <v>36</v>
      </c>
    </row>
    <row r="2504">
      <c r="A2504" s="2" t="s">
        <v>6171</v>
      </c>
      <c r="B2504" s="2" t="s">
        <v>6172</v>
      </c>
      <c r="C2504" s="2" t="s">
        <v>36</v>
      </c>
    </row>
    <row r="2505">
      <c r="A2505" s="2" t="s">
        <v>6173</v>
      </c>
      <c r="B2505" s="2" t="s">
        <v>6174</v>
      </c>
      <c r="C2505" s="2" t="s">
        <v>36</v>
      </c>
    </row>
    <row r="2506">
      <c r="A2506" s="2" t="s">
        <v>6175</v>
      </c>
      <c r="B2506" s="2" t="s">
        <v>6176</v>
      </c>
      <c r="C2506" s="2" t="s">
        <v>36</v>
      </c>
    </row>
    <row r="2507">
      <c r="A2507" s="2" t="s">
        <v>6177</v>
      </c>
      <c r="B2507" s="2" t="s">
        <v>6178</v>
      </c>
      <c r="C2507" s="2" t="s">
        <v>36</v>
      </c>
    </row>
    <row r="2508">
      <c r="A2508" s="2" t="s">
        <v>6179</v>
      </c>
      <c r="B2508" s="2" t="s">
        <v>6180</v>
      </c>
      <c r="C2508" s="2" t="s">
        <v>36</v>
      </c>
    </row>
    <row r="2509">
      <c r="A2509" s="2" t="s">
        <v>6181</v>
      </c>
      <c r="B2509" s="2" t="s">
        <v>6182</v>
      </c>
      <c r="C2509" s="2" t="s">
        <v>36</v>
      </c>
    </row>
    <row r="2510">
      <c r="A2510" s="2" t="s">
        <v>6183</v>
      </c>
      <c r="B2510" s="2" t="s">
        <v>6184</v>
      </c>
      <c r="C2510" s="2" t="s">
        <v>36</v>
      </c>
    </row>
    <row r="2511">
      <c r="A2511" s="2" t="s">
        <v>6185</v>
      </c>
      <c r="B2511" s="2" t="s">
        <v>6186</v>
      </c>
      <c r="C2511" s="2" t="s">
        <v>36</v>
      </c>
    </row>
    <row r="2512">
      <c r="A2512" s="2" t="s">
        <v>6187</v>
      </c>
      <c r="B2512" s="2" t="s">
        <v>6188</v>
      </c>
      <c r="C2512" s="2" t="s">
        <v>36</v>
      </c>
    </row>
    <row r="2513">
      <c r="A2513" s="2" t="s">
        <v>6189</v>
      </c>
      <c r="B2513" s="2" t="s">
        <v>6190</v>
      </c>
      <c r="C2513" s="2" t="s">
        <v>36</v>
      </c>
    </row>
    <row r="2514">
      <c r="A2514" s="2" t="s">
        <v>6191</v>
      </c>
      <c r="B2514" s="2" t="s">
        <v>6192</v>
      </c>
      <c r="C2514" s="2" t="s">
        <v>36</v>
      </c>
    </row>
    <row r="2515">
      <c r="A2515" s="2" t="s">
        <v>6193</v>
      </c>
      <c r="B2515" s="2" t="s">
        <v>6194</v>
      </c>
      <c r="C2515" s="2" t="s">
        <v>36</v>
      </c>
    </row>
    <row r="2516">
      <c r="A2516" s="2" t="s">
        <v>6195</v>
      </c>
      <c r="B2516" s="2" t="s">
        <v>6196</v>
      </c>
      <c r="C2516" s="2" t="s">
        <v>36</v>
      </c>
    </row>
    <row r="2517">
      <c r="A2517" s="2" t="s">
        <v>6197</v>
      </c>
      <c r="B2517" s="2" t="s">
        <v>6198</v>
      </c>
      <c r="C2517" s="2" t="s">
        <v>36</v>
      </c>
    </row>
    <row r="2518">
      <c r="A2518" s="2" t="s">
        <v>6199</v>
      </c>
      <c r="B2518" s="2" t="s">
        <v>6200</v>
      </c>
      <c r="C2518" s="2" t="s">
        <v>36</v>
      </c>
    </row>
    <row r="2519">
      <c r="A2519" s="2" t="s">
        <v>6201</v>
      </c>
      <c r="B2519" s="2" t="s">
        <v>6202</v>
      </c>
      <c r="C2519" s="2" t="s">
        <v>36</v>
      </c>
    </row>
    <row r="2520">
      <c r="A2520" s="2" t="s">
        <v>6203</v>
      </c>
      <c r="B2520" s="2" t="s">
        <v>6204</v>
      </c>
      <c r="C2520" s="2" t="s">
        <v>36</v>
      </c>
    </row>
    <row r="2521">
      <c r="A2521" s="2" t="s">
        <v>6205</v>
      </c>
      <c r="B2521" s="2" t="s">
        <v>6206</v>
      </c>
      <c r="C2521" s="2" t="s">
        <v>36</v>
      </c>
    </row>
    <row r="2522">
      <c r="A2522" s="2" t="s">
        <v>6207</v>
      </c>
      <c r="B2522" s="2" t="s">
        <v>6208</v>
      </c>
      <c r="C2522" s="2" t="s">
        <v>36</v>
      </c>
    </row>
    <row r="2523">
      <c r="A2523" s="2" t="s">
        <v>6209</v>
      </c>
      <c r="B2523" s="2" t="s">
        <v>6210</v>
      </c>
      <c r="C2523" s="2" t="s">
        <v>36</v>
      </c>
    </row>
    <row r="2524">
      <c r="A2524" s="2" t="s">
        <v>6211</v>
      </c>
      <c r="B2524" s="2" t="s">
        <v>6212</v>
      </c>
      <c r="C2524" s="2" t="s">
        <v>36</v>
      </c>
    </row>
    <row r="2525">
      <c r="A2525" s="2" t="s">
        <v>6213</v>
      </c>
      <c r="B2525" s="2" t="s">
        <v>6214</v>
      </c>
      <c r="C2525" s="2" t="s">
        <v>36</v>
      </c>
    </row>
    <row r="2526">
      <c r="A2526" s="2" t="s">
        <v>6215</v>
      </c>
      <c r="B2526" s="2" t="s">
        <v>6216</v>
      </c>
      <c r="C2526" s="2" t="s">
        <v>36</v>
      </c>
    </row>
    <row r="2527">
      <c r="A2527" s="2" t="s">
        <v>6217</v>
      </c>
      <c r="B2527" s="2" t="s">
        <v>6218</v>
      </c>
      <c r="C2527" s="2" t="s">
        <v>36</v>
      </c>
    </row>
    <row r="2528">
      <c r="A2528" s="2" t="s">
        <v>6219</v>
      </c>
      <c r="B2528" s="2" t="s">
        <v>6220</v>
      </c>
      <c r="C2528" s="2" t="s">
        <v>36</v>
      </c>
    </row>
    <row r="2529">
      <c r="A2529" s="2" t="s">
        <v>6221</v>
      </c>
      <c r="B2529" s="2" t="s">
        <v>6222</v>
      </c>
      <c r="C2529" s="2" t="s">
        <v>36</v>
      </c>
    </row>
    <row r="2530">
      <c r="A2530" s="2" t="s">
        <v>6223</v>
      </c>
      <c r="B2530" s="2" t="s">
        <v>6224</v>
      </c>
      <c r="C2530" s="2" t="s">
        <v>36</v>
      </c>
    </row>
    <row r="2531">
      <c r="A2531" s="2" t="s">
        <v>6225</v>
      </c>
      <c r="B2531" s="2" t="s">
        <v>6226</v>
      </c>
      <c r="C2531" s="2" t="s">
        <v>36</v>
      </c>
    </row>
    <row r="2532">
      <c r="A2532" s="2" t="s">
        <v>6227</v>
      </c>
      <c r="B2532" s="2" t="s">
        <v>6228</v>
      </c>
      <c r="C2532" s="2" t="s">
        <v>36</v>
      </c>
    </row>
    <row r="2533">
      <c r="A2533" s="2" t="s">
        <v>6229</v>
      </c>
      <c r="B2533" s="2" t="s">
        <v>6230</v>
      </c>
      <c r="C2533" s="2" t="s">
        <v>36</v>
      </c>
    </row>
    <row r="2534">
      <c r="A2534" s="2" t="s">
        <v>6231</v>
      </c>
      <c r="B2534" s="2" t="s">
        <v>6232</v>
      </c>
      <c r="C2534" s="2" t="s">
        <v>36</v>
      </c>
    </row>
    <row r="2535">
      <c r="A2535" s="2" t="s">
        <v>6233</v>
      </c>
      <c r="B2535" s="2" t="s">
        <v>6234</v>
      </c>
      <c r="C2535" s="2" t="s">
        <v>36</v>
      </c>
    </row>
    <row r="2536">
      <c r="A2536" s="2" t="s">
        <v>6235</v>
      </c>
      <c r="B2536" s="2" t="s">
        <v>6236</v>
      </c>
      <c r="C2536" s="2" t="s">
        <v>36</v>
      </c>
    </row>
    <row r="2537">
      <c r="A2537" s="2" t="s">
        <v>6237</v>
      </c>
      <c r="B2537" s="2" t="s">
        <v>6238</v>
      </c>
      <c r="C2537" s="2" t="s">
        <v>36</v>
      </c>
    </row>
    <row r="2538">
      <c r="A2538" s="2" t="s">
        <v>6239</v>
      </c>
      <c r="B2538" s="2" t="s">
        <v>6240</v>
      </c>
      <c r="C2538" s="2" t="s">
        <v>36</v>
      </c>
    </row>
    <row r="2539">
      <c r="A2539" s="2" t="s">
        <v>6241</v>
      </c>
      <c r="B2539" s="2" t="s">
        <v>6242</v>
      </c>
      <c r="C2539" s="2" t="s">
        <v>36</v>
      </c>
    </row>
    <row r="2540">
      <c r="A2540" s="2" t="s">
        <v>6243</v>
      </c>
      <c r="B2540" s="2" t="s">
        <v>6244</v>
      </c>
      <c r="C2540" s="2" t="s">
        <v>36</v>
      </c>
    </row>
    <row r="2541">
      <c r="A2541" s="2" t="s">
        <v>6245</v>
      </c>
      <c r="B2541" s="2" t="s">
        <v>6246</v>
      </c>
      <c r="C2541" s="2" t="s">
        <v>36</v>
      </c>
    </row>
    <row r="2542">
      <c r="A2542" s="2" t="s">
        <v>6247</v>
      </c>
      <c r="B2542" s="2" t="s">
        <v>6248</v>
      </c>
      <c r="C2542" s="2" t="s">
        <v>36</v>
      </c>
    </row>
    <row r="2543">
      <c r="A2543" s="2" t="s">
        <v>6249</v>
      </c>
      <c r="B2543" s="2" t="s">
        <v>6250</v>
      </c>
      <c r="C2543" s="2" t="s">
        <v>36</v>
      </c>
    </row>
    <row r="2544">
      <c r="A2544" s="2" t="s">
        <v>6251</v>
      </c>
      <c r="B2544" s="2" t="s">
        <v>6252</v>
      </c>
      <c r="C2544" s="2" t="s">
        <v>36</v>
      </c>
    </row>
    <row r="2545">
      <c r="A2545" s="2" t="s">
        <v>6253</v>
      </c>
      <c r="B2545" s="2" t="s">
        <v>6254</v>
      </c>
      <c r="C2545" s="2" t="s">
        <v>36</v>
      </c>
    </row>
    <row r="2546">
      <c r="A2546" s="2" t="s">
        <v>6255</v>
      </c>
      <c r="B2546" s="2" t="s">
        <v>6256</v>
      </c>
      <c r="C2546" s="2" t="s">
        <v>36</v>
      </c>
    </row>
    <row r="2547">
      <c r="A2547" s="2" t="s">
        <v>6257</v>
      </c>
      <c r="B2547" s="2" t="s">
        <v>6258</v>
      </c>
      <c r="C2547" s="2" t="s">
        <v>36</v>
      </c>
    </row>
    <row r="2548">
      <c r="A2548" s="2" t="s">
        <v>6259</v>
      </c>
      <c r="B2548" s="2" t="s">
        <v>6260</v>
      </c>
      <c r="C2548" s="2" t="s">
        <v>36</v>
      </c>
    </row>
    <row r="2549">
      <c r="A2549" s="2" t="s">
        <v>6261</v>
      </c>
      <c r="B2549" s="2" t="s">
        <v>6262</v>
      </c>
      <c r="C2549" s="2" t="s">
        <v>36</v>
      </c>
    </row>
    <row r="2550">
      <c r="A2550" s="2" t="s">
        <v>6263</v>
      </c>
      <c r="B2550" s="2" t="s">
        <v>6264</v>
      </c>
      <c r="C2550" s="2" t="s">
        <v>36</v>
      </c>
    </row>
    <row r="2551">
      <c r="A2551" s="2" t="s">
        <v>6265</v>
      </c>
      <c r="B2551" s="2" t="s">
        <v>6266</v>
      </c>
      <c r="C2551" s="2" t="s">
        <v>36</v>
      </c>
    </row>
    <row r="2552">
      <c r="A2552" s="2" t="s">
        <v>6267</v>
      </c>
      <c r="B2552" s="2" t="s">
        <v>6268</v>
      </c>
      <c r="C2552" s="2" t="s">
        <v>36</v>
      </c>
    </row>
    <row r="2553">
      <c r="A2553" s="2" t="s">
        <v>6269</v>
      </c>
      <c r="B2553" s="2" t="s">
        <v>6270</v>
      </c>
      <c r="C2553" s="2" t="s">
        <v>36</v>
      </c>
    </row>
    <row r="2554">
      <c r="A2554" s="2" t="s">
        <v>6271</v>
      </c>
      <c r="B2554" s="2" t="s">
        <v>6272</v>
      </c>
      <c r="C2554" s="2" t="s">
        <v>36</v>
      </c>
    </row>
    <row r="2555">
      <c r="A2555" s="2" t="s">
        <v>6273</v>
      </c>
      <c r="B2555" s="2" t="s">
        <v>6274</v>
      </c>
      <c r="C2555" s="2" t="s">
        <v>36</v>
      </c>
    </row>
    <row r="2556">
      <c r="A2556" s="2" t="s">
        <v>6275</v>
      </c>
      <c r="B2556" s="2" t="s">
        <v>6276</v>
      </c>
      <c r="C2556" s="2" t="s">
        <v>36</v>
      </c>
    </row>
    <row r="2557">
      <c r="A2557" s="2" t="s">
        <v>6277</v>
      </c>
      <c r="B2557" s="2" t="s">
        <v>6278</v>
      </c>
      <c r="C2557" s="2" t="s">
        <v>36</v>
      </c>
    </row>
    <row r="2558">
      <c r="A2558" s="2" t="s">
        <v>6279</v>
      </c>
      <c r="B2558" s="2" t="s">
        <v>6280</v>
      </c>
      <c r="C2558" s="2" t="s">
        <v>36</v>
      </c>
    </row>
    <row r="2559">
      <c r="A2559" s="2" t="s">
        <v>6281</v>
      </c>
      <c r="B2559" s="2" t="s">
        <v>6282</v>
      </c>
      <c r="C2559" s="2" t="s">
        <v>36</v>
      </c>
    </row>
    <row r="2560">
      <c r="A2560" s="2" t="s">
        <v>6283</v>
      </c>
      <c r="B2560" s="2" t="s">
        <v>6284</v>
      </c>
      <c r="C2560" s="2" t="s">
        <v>36</v>
      </c>
    </row>
    <row r="2561">
      <c r="A2561" s="2" t="s">
        <v>6285</v>
      </c>
      <c r="B2561" s="2" t="s">
        <v>6286</v>
      </c>
      <c r="C2561" s="2" t="s">
        <v>36</v>
      </c>
    </row>
    <row r="2562">
      <c r="A2562" s="2" t="s">
        <v>6287</v>
      </c>
      <c r="B2562" s="2" t="s">
        <v>6288</v>
      </c>
      <c r="C2562" s="2" t="s">
        <v>36</v>
      </c>
    </row>
    <row r="2563">
      <c r="A2563" s="2" t="s">
        <v>6289</v>
      </c>
      <c r="B2563" s="2" t="s">
        <v>6290</v>
      </c>
      <c r="C2563" s="2" t="s">
        <v>36</v>
      </c>
    </row>
    <row r="2564">
      <c r="A2564" s="2" t="s">
        <v>6291</v>
      </c>
      <c r="B2564" s="2" t="s">
        <v>6292</v>
      </c>
      <c r="C2564" s="2" t="s">
        <v>36</v>
      </c>
    </row>
    <row r="2565">
      <c r="A2565" s="2" t="s">
        <v>6293</v>
      </c>
      <c r="B2565" s="2" t="s">
        <v>6294</v>
      </c>
      <c r="C2565" s="2" t="s">
        <v>36</v>
      </c>
    </row>
    <row r="2566">
      <c r="A2566" s="2" t="s">
        <v>6295</v>
      </c>
      <c r="B2566" s="2" t="s">
        <v>6296</v>
      </c>
      <c r="C2566" s="2" t="s">
        <v>36</v>
      </c>
    </row>
    <row r="2567">
      <c r="A2567" s="2" t="s">
        <v>6297</v>
      </c>
      <c r="B2567" s="2" t="s">
        <v>6298</v>
      </c>
      <c r="C2567" s="2" t="s">
        <v>36</v>
      </c>
    </row>
    <row r="2568">
      <c r="A2568" s="2" t="s">
        <v>6299</v>
      </c>
      <c r="B2568" s="2" t="s">
        <v>6300</v>
      </c>
      <c r="C2568" s="2" t="s">
        <v>36</v>
      </c>
    </row>
    <row r="2569">
      <c r="A2569" s="2" t="s">
        <v>6301</v>
      </c>
      <c r="B2569" s="2" t="s">
        <v>6302</v>
      </c>
      <c r="C2569" s="2" t="s">
        <v>36</v>
      </c>
    </row>
    <row r="2570">
      <c r="A2570" s="2" t="s">
        <v>6303</v>
      </c>
      <c r="B2570" s="2" t="s">
        <v>6304</v>
      </c>
      <c r="C2570" s="2" t="s">
        <v>36</v>
      </c>
    </row>
    <row r="2571">
      <c r="A2571" s="2" t="s">
        <v>6305</v>
      </c>
      <c r="B2571" s="2" t="s">
        <v>6306</v>
      </c>
      <c r="C2571" s="2" t="s">
        <v>36</v>
      </c>
    </row>
    <row r="2572">
      <c r="A2572" s="2" t="s">
        <v>6307</v>
      </c>
      <c r="B2572" s="2" t="s">
        <v>6308</v>
      </c>
      <c r="C2572" s="2" t="s">
        <v>36</v>
      </c>
    </row>
    <row r="2573">
      <c r="A2573" s="2" t="s">
        <v>6309</v>
      </c>
      <c r="B2573" s="2" t="s">
        <v>6310</v>
      </c>
      <c r="C2573" s="2" t="s">
        <v>36</v>
      </c>
    </row>
    <row r="2574">
      <c r="A2574" s="2" t="s">
        <v>6311</v>
      </c>
      <c r="B2574" s="2" t="s">
        <v>6312</v>
      </c>
      <c r="C2574" s="2" t="s">
        <v>36</v>
      </c>
    </row>
    <row r="2575">
      <c r="A2575" s="2" t="s">
        <v>6313</v>
      </c>
      <c r="B2575" s="2" t="s">
        <v>6314</v>
      </c>
      <c r="C2575" s="2" t="s">
        <v>36</v>
      </c>
    </row>
    <row r="2576">
      <c r="A2576" s="2" t="s">
        <v>6315</v>
      </c>
      <c r="B2576" s="2" t="s">
        <v>6316</v>
      </c>
      <c r="C2576" s="2" t="s">
        <v>36</v>
      </c>
    </row>
    <row r="2577">
      <c r="A2577" s="2" t="s">
        <v>6317</v>
      </c>
      <c r="B2577" s="2" t="s">
        <v>6318</v>
      </c>
      <c r="C2577" s="2" t="s">
        <v>36</v>
      </c>
    </row>
    <row r="2578">
      <c r="A2578" s="2" t="s">
        <v>6319</v>
      </c>
      <c r="B2578" s="2" t="s">
        <v>6320</v>
      </c>
      <c r="C2578" s="2" t="s">
        <v>36</v>
      </c>
    </row>
    <row r="2579">
      <c r="A2579" s="2" t="s">
        <v>6321</v>
      </c>
      <c r="B2579" s="2" t="s">
        <v>6322</v>
      </c>
      <c r="C2579" s="2" t="s">
        <v>36</v>
      </c>
    </row>
    <row r="2580">
      <c r="A2580" s="2" t="s">
        <v>6323</v>
      </c>
      <c r="B2580" s="2" t="s">
        <v>6324</v>
      </c>
      <c r="C2580" s="2" t="s">
        <v>36</v>
      </c>
    </row>
    <row r="2581">
      <c r="A2581" s="2" t="s">
        <v>6325</v>
      </c>
      <c r="B2581" s="2" t="s">
        <v>6326</v>
      </c>
      <c r="C2581" s="2" t="s">
        <v>36</v>
      </c>
    </row>
    <row r="2582">
      <c r="A2582" s="2" t="s">
        <v>6327</v>
      </c>
      <c r="B2582" s="2" t="s">
        <v>6328</v>
      </c>
      <c r="C2582" s="2" t="s">
        <v>36</v>
      </c>
    </row>
    <row r="2583">
      <c r="A2583" s="2" t="s">
        <v>6329</v>
      </c>
      <c r="B2583" s="2" t="s">
        <v>6330</v>
      </c>
      <c r="C2583" s="2" t="s">
        <v>36</v>
      </c>
    </row>
    <row r="2584">
      <c r="A2584" s="2" t="s">
        <v>6331</v>
      </c>
      <c r="B2584" s="2" t="s">
        <v>6332</v>
      </c>
      <c r="C2584" s="2" t="s">
        <v>36</v>
      </c>
    </row>
    <row r="2585">
      <c r="A2585" s="2" t="s">
        <v>6333</v>
      </c>
      <c r="B2585" s="2" t="s">
        <v>6334</v>
      </c>
      <c r="C2585" s="2" t="s">
        <v>36</v>
      </c>
    </row>
    <row r="2586">
      <c r="A2586" s="2" t="s">
        <v>6335</v>
      </c>
      <c r="B2586" s="2" t="s">
        <v>6336</v>
      </c>
      <c r="C2586" s="2" t="s">
        <v>36</v>
      </c>
    </row>
    <row r="2587">
      <c r="A2587" s="2" t="s">
        <v>6337</v>
      </c>
      <c r="B2587" s="2" t="s">
        <v>6338</v>
      </c>
      <c r="C2587" s="2" t="s">
        <v>36</v>
      </c>
    </row>
    <row r="2588">
      <c r="A2588" s="2" t="s">
        <v>6339</v>
      </c>
      <c r="B2588" s="2" t="s">
        <v>6340</v>
      </c>
      <c r="C2588" s="2" t="s">
        <v>36</v>
      </c>
    </row>
    <row r="2589">
      <c r="A2589" s="2" t="s">
        <v>6341</v>
      </c>
      <c r="B2589" s="2" t="s">
        <v>6342</v>
      </c>
      <c r="C2589" s="2" t="s">
        <v>36</v>
      </c>
    </row>
    <row r="2590">
      <c r="A2590" s="2" t="s">
        <v>6343</v>
      </c>
      <c r="B2590" s="2" t="s">
        <v>6344</v>
      </c>
      <c r="C2590" s="2" t="s">
        <v>36</v>
      </c>
    </row>
    <row r="2591">
      <c r="A2591" s="2" t="s">
        <v>6345</v>
      </c>
      <c r="B2591" s="2" t="s">
        <v>6346</v>
      </c>
      <c r="C2591" s="2" t="s">
        <v>36</v>
      </c>
    </row>
    <row r="2592">
      <c r="A2592" s="2" t="s">
        <v>6347</v>
      </c>
      <c r="B2592" s="2" t="s">
        <v>6348</v>
      </c>
      <c r="C2592" s="2" t="s">
        <v>36</v>
      </c>
    </row>
    <row r="2593">
      <c r="A2593" s="2" t="s">
        <v>6349</v>
      </c>
      <c r="B2593" s="2" t="s">
        <v>6350</v>
      </c>
      <c r="C2593" s="2" t="s">
        <v>36</v>
      </c>
    </row>
    <row r="2594">
      <c r="A2594" s="2" t="s">
        <v>6351</v>
      </c>
      <c r="B2594" s="2" t="s">
        <v>6352</v>
      </c>
      <c r="C2594" s="2" t="s">
        <v>36</v>
      </c>
    </row>
    <row r="2595">
      <c r="A2595" s="2" t="s">
        <v>6353</v>
      </c>
      <c r="B2595" s="2" t="s">
        <v>6354</v>
      </c>
      <c r="C2595" s="2" t="s">
        <v>36</v>
      </c>
    </row>
    <row r="2596">
      <c r="A2596" s="2" t="s">
        <v>6355</v>
      </c>
      <c r="B2596" s="2" t="s">
        <v>6356</v>
      </c>
      <c r="C2596" s="2" t="s">
        <v>36</v>
      </c>
    </row>
    <row r="2597">
      <c r="A2597" s="2" t="s">
        <v>6357</v>
      </c>
      <c r="B2597" s="2" t="s">
        <v>6358</v>
      </c>
      <c r="C2597" s="2" t="s">
        <v>36</v>
      </c>
    </row>
    <row r="2598">
      <c r="A2598" s="2" t="s">
        <v>6359</v>
      </c>
      <c r="B2598" s="2" t="s">
        <v>6360</v>
      </c>
      <c r="C2598" s="2" t="s">
        <v>36</v>
      </c>
    </row>
    <row r="2599">
      <c r="A2599" s="2" t="s">
        <v>6361</v>
      </c>
      <c r="B2599" s="2" t="s">
        <v>6362</v>
      </c>
      <c r="C2599" s="2" t="s">
        <v>36</v>
      </c>
    </row>
    <row r="2600">
      <c r="A2600" s="2" t="s">
        <v>6363</v>
      </c>
      <c r="B2600" s="2" t="s">
        <v>6364</v>
      </c>
      <c r="C2600" s="2" t="s">
        <v>36</v>
      </c>
    </row>
    <row r="2601">
      <c r="A2601" s="2" t="s">
        <v>6365</v>
      </c>
      <c r="B2601" s="2" t="s">
        <v>6366</v>
      </c>
      <c r="C2601" s="2" t="s">
        <v>36</v>
      </c>
    </row>
    <row r="2602">
      <c r="A2602" s="2" t="s">
        <v>6367</v>
      </c>
      <c r="B2602" s="2" t="s">
        <v>6368</v>
      </c>
      <c r="C2602" s="2" t="s">
        <v>36</v>
      </c>
    </row>
    <row r="2603">
      <c r="A2603" s="2" t="s">
        <v>6369</v>
      </c>
      <c r="B2603" s="2" t="s">
        <v>6370</v>
      </c>
      <c r="C2603" s="2" t="s">
        <v>36</v>
      </c>
    </row>
    <row r="2604">
      <c r="A2604" s="2" t="s">
        <v>6371</v>
      </c>
      <c r="B2604" s="2" t="s">
        <v>6372</v>
      </c>
      <c r="C2604" s="2" t="s">
        <v>36</v>
      </c>
    </row>
    <row r="2605">
      <c r="A2605" s="2" t="s">
        <v>6373</v>
      </c>
      <c r="B2605" s="2" t="s">
        <v>6374</v>
      </c>
      <c r="C2605" s="2" t="s">
        <v>36</v>
      </c>
    </row>
    <row r="2606">
      <c r="A2606" s="2" t="s">
        <v>6375</v>
      </c>
      <c r="B2606" s="2" t="s">
        <v>6376</v>
      </c>
      <c r="C2606" s="2" t="s">
        <v>36</v>
      </c>
    </row>
    <row r="2607">
      <c r="A2607" s="2" t="s">
        <v>6377</v>
      </c>
      <c r="B2607" s="2" t="s">
        <v>6378</v>
      </c>
      <c r="C2607" s="2" t="s">
        <v>36</v>
      </c>
    </row>
    <row r="2608">
      <c r="A2608" s="2" t="s">
        <v>6379</v>
      </c>
      <c r="B2608" s="2" t="s">
        <v>6380</v>
      </c>
      <c r="C2608" s="2" t="s">
        <v>36</v>
      </c>
    </row>
    <row r="2609">
      <c r="A2609" s="2" t="s">
        <v>6381</v>
      </c>
      <c r="B2609" s="2" t="s">
        <v>6382</v>
      </c>
      <c r="C2609" s="2" t="s">
        <v>36</v>
      </c>
    </row>
    <row r="2610">
      <c r="A2610" s="2" t="s">
        <v>6383</v>
      </c>
      <c r="B2610" s="2" t="s">
        <v>6384</v>
      </c>
      <c r="C2610" s="2" t="s">
        <v>36</v>
      </c>
    </row>
    <row r="2611">
      <c r="A2611" s="2" t="s">
        <v>6385</v>
      </c>
      <c r="B2611" s="2" t="s">
        <v>6386</v>
      </c>
      <c r="C2611" s="2" t="s">
        <v>36</v>
      </c>
    </row>
    <row r="2612">
      <c r="A2612" s="2" t="s">
        <v>6387</v>
      </c>
      <c r="B2612" s="2" t="s">
        <v>6388</v>
      </c>
      <c r="C2612" s="2" t="s">
        <v>36</v>
      </c>
    </row>
    <row r="2613">
      <c r="A2613" s="2" t="s">
        <v>6389</v>
      </c>
      <c r="B2613" s="2" t="s">
        <v>6390</v>
      </c>
      <c r="C2613" s="2" t="s">
        <v>36</v>
      </c>
    </row>
    <row r="2614">
      <c r="A2614" s="2" t="s">
        <v>6391</v>
      </c>
      <c r="B2614" s="2" t="s">
        <v>6392</v>
      </c>
      <c r="C2614" s="2" t="s">
        <v>36</v>
      </c>
    </row>
    <row r="2615">
      <c r="A2615" s="2" t="s">
        <v>6393</v>
      </c>
      <c r="B2615" s="2" t="s">
        <v>6394</v>
      </c>
      <c r="C2615" s="2" t="s">
        <v>36</v>
      </c>
    </row>
    <row r="2616">
      <c r="A2616" s="2" t="s">
        <v>6395</v>
      </c>
      <c r="B2616" s="2" t="s">
        <v>6396</v>
      </c>
      <c r="C2616" s="2" t="s">
        <v>36</v>
      </c>
    </row>
    <row r="2617">
      <c r="A2617" s="2" t="s">
        <v>6397</v>
      </c>
      <c r="B2617" s="2" t="s">
        <v>6398</v>
      </c>
      <c r="C2617" s="2" t="s">
        <v>36</v>
      </c>
    </row>
    <row r="2618">
      <c r="A2618" s="2" t="s">
        <v>6399</v>
      </c>
      <c r="B2618" s="2" t="s">
        <v>6400</v>
      </c>
      <c r="C2618" s="2" t="s">
        <v>36</v>
      </c>
    </row>
    <row r="2619">
      <c r="A2619" s="2" t="s">
        <v>6401</v>
      </c>
      <c r="B2619" s="2" t="s">
        <v>6402</v>
      </c>
      <c r="C2619" s="2" t="s">
        <v>36</v>
      </c>
    </row>
    <row r="2620">
      <c r="A2620" s="2" t="s">
        <v>6403</v>
      </c>
      <c r="B2620" s="2" t="s">
        <v>6404</v>
      </c>
      <c r="C2620" s="2" t="s">
        <v>36</v>
      </c>
    </row>
    <row r="2621">
      <c r="A2621" s="2" t="s">
        <v>6405</v>
      </c>
      <c r="B2621" s="2" t="s">
        <v>6406</v>
      </c>
      <c r="C2621" s="2" t="s">
        <v>36</v>
      </c>
    </row>
    <row r="2622">
      <c r="A2622" s="2" t="s">
        <v>6407</v>
      </c>
      <c r="B2622" s="2" t="s">
        <v>6408</v>
      </c>
      <c r="C2622" s="2" t="s">
        <v>36</v>
      </c>
    </row>
    <row r="2623">
      <c r="A2623" s="2" t="s">
        <v>6409</v>
      </c>
      <c r="B2623" s="2" t="s">
        <v>6410</v>
      </c>
      <c r="C2623" s="2" t="s">
        <v>36</v>
      </c>
    </row>
    <row r="2624">
      <c r="A2624" s="2" t="s">
        <v>6411</v>
      </c>
      <c r="B2624" s="2" t="s">
        <v>6412</v>
      </c>
      <c r="C2624" s="2" t="s">
        <v>36</v>
      </c>
    </row>
    <row r="2625">
      <c r="A2625" s="2" t="s">
        <v>6413</v>
      </c>
      <c r="B2625" s="2" t="s">
        <v>6414</v>
      </c>
      <c r="C2625" s="2" t="s">
        <v>36</v>
      </c>
    </row>
    <row r="2626">
      <c r="A2626" s="2" t="s">
        <v>6415</v>
      </c>
      <c r="B2626" s="2" t="s">
        <v>6416</v>
      </c>
      <c r="C2626" s="2" t="s">
        <v>36</v>
      </c>
    </row>
    <row r="2627">
      <c r="A2627" s="2" t="s">
        <v>6417</v>
      </c>
      <c r="B2627" s="2" t="s">
        <v>6418</v>
      </c>
      <c r="C2627" s="2" t="s">
        <v>36</v>
      </c>
    </row>
    <row r="2628">
      <c r="A2628" s="2" t="s">
        <v>6419</v>
      </c>
      <c r="B2628" s="2" t="s">
        <v>6420</v>
      </c>
      <c r="C2628" s="2" t="s">
        <v>36</v>
      </c>
    </row>
    <row r="2629">
      <c r="A2629" s="2" t="s">
        <v>6421</v>
      </c>
      <c r="B2629" s="2" t="s">
        <v>6422</v>
      </c>
      <c r="C2629" s="2" t="s">
        <v>36</v>
      </c>
    </row>
    <row r="2630">
      <c r="A2630" s="2" t="s">
        <v>6423</v>
      </c>
      <c r="B2630" s="2" t="s">
        <v>6424</v>
      </c>
      <c r="C2630" s="2" t="s">
        <v>36</v>
      </c>
    </row>
    <row r="2631">
      <c r="A2631" s="2" t="s">
        <v>6425</v>
      </c>
      <c r="B2631" s="2" t="s">
        <v>6426</v>
      </c>
      <c r="C2631" s="2" t="s">
        <v>36</v>
      </c>
    </row>
    <row r="2632">
      <c r="A2632" s="2" t="s">
        <v>6427</v>
      </c>
      <c r="B2632" s="2" t="s">
        <v>6428</v>
      </c>
      <c r="C2632" s="2" t="s">
        <v>36</v>
      </c>
    </row>
    <row r="2633">
      <c r="A2633" s="2" t="s">
        <v>6429</v>
      </c>
      <c r="B2633" s="2" t="s">
        <v>6430</v>
      </c>
      <c r="C2633" s="2" t="s">
        <v>36</v>
      </c>
    </row>
    <row r="2634">
      <c r="A2634" s="2" t="s">
        <v>6431</v>
      </c>
      <c r="B2634" s="2" t="s">
        <v>6432</v>
      </c>
      <c r="C2634" s="2" t="s">
        <v>36</v>
      </c>
    </row>
    <row r="2635">
      <c r="A2635" s="2" t="s">
        <v>6433</v>
      </c>
      <c r="B2635" s="2" t="s">
        <v>6434</v>
      </c>
      <c r="C2635" s="2" t="s">
        <v>36</v>
      </c>
    </row>
    <row r="2636">
      <c r="A2636" s="2" t="s">
        <v>6435</v>
      </c>
      <c r="B2636" s="2" t="s">
        <v>6436</v>
      </c>
      <c r="C2636" s="2" t="s">
        <v>36</v>
      </c>
    </row>
    <row r="2637">
      <c r="A2637" s="2" t="s">
        <v>6437</v>
      </c>
      <c r="B2637" s="2" t="s">
        <v>6438</v>
      </c>
      <c r="C2637" s="2" t="s">
        <v>36</v>
      </c>
    </row>
    <row r="2638">
      <c r="A2638" s="2" t="s">
        <v>6439</v>
      </c>
      <c r="B2638" s="2" t="s">
        <v>6440</v>
      </c>
      <c r="C2638" s="2" t="s">
        <v>36</v>
      </c>
    </row>
    <row r="2639">
      <c r="A2639" s="2" t="s">
        <v>6441</v>
      </c>
      <c r="B2639" s="2" t="s">
        <v>6442</v>
      </c>
      <c r="C2639" s="2" t="s">
        <v>36</v>
      </c>
    </row>
    <row r="2640">
      <c r="A2640" s="2" t="s">
        <v>6443</v>
      </c>
      <c r="B2640" s="2" t="s">
        <v>6444</v>
      </c>
      <c r="C2640" s="2" t="s">
        <v>36</v>
      </c>
    </row>
    <row r="2641">
      <c r="A2641" s="2" t="s">
        <v>6445</v>
      </c>
      <c r="B2641" s="2" t="s">
        <v>6446</v>
      </c>
      <c r="C2641" s="2" t="s">
        <v>36</v>
      </c>
    </row>
    <row r="2642">
      <c r="A2642" s="2" t="s">
        <v>6447</v>
      </c>
      <c r="B2642" s="2" t="s">
        <v>6448</v>
      </c>
      <c r="C2642" s="2" t="s">
        <v>36</v>
      </c>
    </row>
    <row r="2643">
      <c r="A2643" s="2" t="s">
        <v>6449</v>
      </c>
      <c r="B2643" s="2" t="s">
        <v>6450</v>
      </c>
      <c r="C2643" s="2" t="s">
        <v>36</v>
      </c>
    </row>
    <row r="2644">
      <c r="A2644" s="2" t="s">
        <v>6451</v>
      </c>
      <c r="B2644" s="2" t="s">
        <v>6452</v>
      </c>
      <c r="C2644" s="2" t="s">
        <v>36</v>
      </c>
    </row>
    <row r="2645">
      <c r="A2645" s="2" t="s">
        <v>6453</v>
      </c>
      <c r="B2645" s="2" t="s">
        <v>6454</v>
      </c>
      <c r="C2645" s="2" t="s">
        <v>36</v>
      </c>
    </row>
    <row r="2646">
      <c r="A2646" s="2" t="s">
        <v>6455</v>
      </c>
      <c r="B2646" s="2" t="s">
        <v>6456</v>
      </c>
      <c r="C2646" s="2" t="s">
        <v>36</v>
      </c>
    </row>
    <row r="2647">
      <c r="A2647" s="2" t="s">
        <v>6457</v>
      </c>
      <c r="B2647" s="2" t="s">
        <v>6458</v>
      </c>
      <c r="C2647" s="2" t="s">
        <v>36</v>
      </c>
    </row>
    <row r="2648">
      <c r="A2648" s="2" t="s">
        <v>6459</v>
      </c>
      <c r="B2648" s="2" t="s">
        <v>6460</v>
      </c>
      <c r="C2648" s="2" t="s">
        <v>36</v>
      </c>
    </row>
    <row r="2649">
      <c r="A2649" s="2" t="s">
        <v>6461</v>
      </c>
      <c r="B2649" s="2" t="s">
        <v>6462</v>
      </c>
      <c r="C2649" s="2" t="s">
        <v>36</v>
      </c>
    </row>
    <row r="2650">
      <c r="A2650" s="2" t="s">
        <v>6463</v>
      </c>
      <c r="B2650" s="2" t="s">
        <v>6464</v>
      </c>
      <c r="C2650" s="2" t="s">
        <v>36</v>
      </c>
    </row>
    <row r="2651">
      <c r="A2651" s="2" t="s">
        <v>6465</v>
      </c>
      <c r="B2651" s="2" t="s">
        <v>6466</v>
      </c>
      <c r="C2651" s="2" t="s">
        <v>36</v>
      </c>
    </row>
    <row r="2652">
      <c r="A2652" s="2" t="s">
        <v>6467</v>
      </c>
      <c r="B2652" s="2" t="s">
        <v>6468</v>
      </c>
      <c r="C2652" s="2" t="s">
        <v>36</v>
      </c>
    </row>
    <row r="2653">
      <c r="A2653" s="2" t="s">
        <v>6469</v>
      </c>
      <c r="B2653" s="2" t="s">
        <v>6470</v>
      </c>
      <c r="C2653" s="2" t="s">
        <v>36</v>
      </c>
    </row>
    <row r="2654">
      <c r="A2654" s="2" t="s">
        <v>6471</v>
      </c>
      <c r="B2654" s="2" t="s">
        <v>6472</v>
      </c>
      <c r="C2654" s="2" t="s">
        <v>36</v>
      </c>
    </row>
    <row r="2655">
      <c r="A2655" s="2" t="s">
        <v>6473</v>
      </c>
      <c r="B2655" s="2" t="s">
        <v>6474</v>
      </c>
      <c r="C2655" s="2" t="s">
        <v>36</v>
      </c>
    </row>
    <row r="2656">
      <c r="A2656" s="2" t="s">
        <v>6475</v>
      </c>
      <c r="B2656" s="2" t="s">
        <v>6476</v>
      </c>
      <c r="C2656" s="2" t="s">
        <v>36</v>
      </c>
    </row>
    <row r="2657">
      <c r="A2657" s="2" t="s">
        <v>6477</v>
      </c>
      <c r="B2657" s="2" t="s">
        <v>6478</v>
      </c>
      <c r="C2657" s="2" t="s">
        <v>36</v>
      </c>
    </row>
    <row r="2658">
      <c r="A2658" s="2" t="s">
        <v>6479</v>
      </c>
      <c r="B2658" s="2" t="s">
        <v>6480</v>
      </c>
      <c r="C2658" s="2" t="s">
        <v>36</v>
      </c>
    </row>
    <row r="2659">
      <c r="A2659" s="2" t="s">
        <v>6481</v>
      </c>
      <c r="B2659" s="2" t="s">
        <v>6482</v>
      </c>
      <c r="C2659" s="2" t="s">
        <v>36</v>
      </c>
    </row>
    <row r="2660">
      <c r="A2660" s="2" t="s">
        <v>6483</v>
      </c>
      <c r="B2660" s="2" t="s">
        <v>6484</v>
      </c>
      <c r="C2660" s="2" t="s">
        <v>36</v>
      </c>
    </row>
    <row r="2661">
      <c r="A2661" s="2" t="s">
        <v>6485</v>
      </c>
      <c r="B2661" s="2" t="s">
        <v>6486</v>
      </c>
      <c r="C2661" s="2" t="s">
        <v>36</v>
      </c>
    </row>
    <row r="2662">
      <c r="A2662" s="2" t="s">
        <v>6487</v>
      </c>
      <c r="B2662" s="2" t="s">
        <v>6488</v>
      </c>
      <c r="C2662" s="2" t="s">
        <v>36</v>
      </c>
    </row>
    <row r="2663">
      <c r="A2663" s="2" t="s">
        <v>6489</v>
      </c>
      <c r="B2663" s="2" t="s">
        <v>6490</v>
      </c>
      <c r="C2663" s="2" t="s">
        <v>36</v>
      </c>
    </row>
    <row r="2664">
      <c r="A2664" s="2" t="s">
        <v>6491</v>
      </c>
      <c r="B2664" s="2" t="s">
        <v>6492</v>
      </c>
      <c r="C2664" s="2" t="s">
        <v>36</v>
      </c>
    </row>
    <row r="2665">
      <c r="A2665" s="2" t="s">
        <v>6493</v>
      </c>
      <c r="B2665" s="2" t="s">
        <v>6494</v>
      </c>
      <c r="C2665" s="2" t="s">
        <v>36</v>
      </c>
    </row>
    <row r="2666">
      <c r="A2666" s="2" t="s">
        <v>6495</v>
      </c>
      <c r="B2666" s="2" t="s">
        <v>6496</v>
      </c>
      <c r="C2666" s="2" t="s">
        <v>36</v>
      </c>
    </row>
    <row r="2667">
      <c r="A2667" s="2" t="s">
        <v>6497</v>
      </c>
      <c r="B2667" s="2" t="s">
        <v>6498</v>
      </c>
      <c r="C2667" s="2" t="s">
        <v>36</v>
      </c>
    </row>
    <row r="2668">
      <c r="A2668" s="2" t="s">
        <v>6499</v>
      </c>
      <c r="B2668" s="2" t="s">
        <v>6500</v>
      </c>
      <c r="C2668" s="2" t="s">
        <v>36</v>
      </c>
    </row>
    <row r="2669">
      <c r="A2669" s="2" t="s">
        <v>6501</v>
      </c>
      <c r="B2669" s="2" t="s">
        <v>6502</v>
      </c>
      <c r="C2669" s="2" t="s">
        <v>36</v>
      </c>
    </row>
    <row r="2670">
      <c r="A2670" s="2" t="s">
        <v>6503</v>
      </c>
      <c r="B2670" s="2" t="s">
        <v>6504</v>
      </c>
      <c r="C2670" s="2" t="s">
        <v>36</v>
      </c>
    </row>
    <row r="2671">
      <c r="A2671" s="2" t="s">
        <v>6505</v>
      </c>
      <c r="B2671" s="2" t="s">
        <v>6506</v>
      </c>
      <c r="C2671" s="2" t="s">
        <v>36</v>
      </c>
    </row>
    <row r="2672">
      <c r="A2672" s="2" t="s">
        <v>6507</v>
      </c>
      <c r="B2672" s="2" t="s">
        <v>6508</v>
      </c>
      <c r="C2672" s="2" t="s">
        <v>36</v>
      </c>
    </row>
    <row r="2673">
      <c r="A2673" s="2" t="s">
        <v>6509</v>
      </c>
      <c r="B2673" s="2" t="s">
        <v>6510</v>
      </c>
      <c r="C2673" s="2" t="s">
        <v>36</v>
      </c>
    </row>
    <row r="2674">
      <c r="A2674" s="2" t="s">
        <v>6511</v>
      </c>
      <c r="B2674" s="2" t="s">
        <v>6512</v>
      </c>
      <c r="C2674" s="2" t="s">
        <v>36</v>
      </c>
    </row>
    <row r="2675">
      <c r="A2675" s="2" t="s">
        <v>6513</v>
      </c>
      <c r="B2675" s="2" t="s">
        <v>6514</v>
      </c>
      <c r="C2675" s="2" t="s">
        <v>36</v>
      </c>
    </row>
    <row r="2676">
      <c r="A2676" s="2" t="s">
        <v>6515</v>
      </c>
      <c r="B2676" s="2" t="s">
        <v>6516</v>
      </c>
      <c r="C2676" s="2" t="s">
        <v>36</v>
      </c>
    </row>
    <row r="2677">
      <c r="A2677" s="2" t="s">
        <v>6517</v>
      </c>
      <c r="B2677" s="2" t="s">
        <v>6518</v>
      </c>
      <c r="C2677" s="2" t="s">
        <v>36</v>
      </c>
    </row>
    <row r="2678">
      <c r="A2678" s="2" t="s">
        <v>6519</v>
      </c>
      <c r="B2678" s="2" t="s">
        <v>6520</v>
      </c>
      <c r="C2678" s="2" t="s">
        <v>36</v>
      </c>
    </row>
    <row r="2679">
      <c r="A2679" s="2" t="s">
        <v>6521</v>
      </c>
      <c r="B2679" s="2" t="s">
        <v>6522</v>
      </c>
      <c r="C2679" s="2" t="s">
        <v>36</v>
      </c>
    </row>
    <row r="2680">
      <c r="A2680" s="2" t="s">
        <v>6523</v>
      </c>
      <c r="B2680" s="2" t="s">
        <v>6524</v>
      </c>
      <c r="C2680" s="2" t="s">
        <v>36</v>
      </c>
    </row>
    <row r="2681">
      <c r="A2681" s="2" t="s">
        <v>6525</v>
      </c>
      <c r="B2681" s="2" t="s">
        <v>6526</v>
      </c>
      <c r="C2681" s="2" t="s">
        <v>36</v>
      </c>
    </row>
    <row r="2682">
      <c r="A2682" s="2" t="s">
        <v>6527</v>
      </c>
      <c r="B2682" s="2" t="s">
        <v>6528</v>
      </c>
      <c r="C2682" s="2" t="s">
        <v>36</v>
      </c>
    </row>
    <row r="2683">
      <c r="A2683" s="2" t="s">
        <v>6529</v>
      </c>
      <c r="B2683" s="2" t="s">
        <v>6530</v>
      </c>
      <c r="C2683" s="2" t="s">
        <v>36</v>
      </c>
    </row>
    <row r="2684">
      <c r="A2684" s="2" t="s">
        <v>6531</v>
      </c>
      <c r="B2684" s="2" t="s">
        <v>6532</v>
      </c>
      <c r="C2684" s="2" t="s">
        <v>36</v>
      </c>
    </row>
    <row r="2685">
      <c r="A2685" s="2" t="s">
        <v>6533</v>
      </c>
      <c r="B2685" s="2" t="s">
        <v>6534</v>
      </c>
      <c r="C2685" s="2" t="s">
        <v>36</v>
      </c>
    </row>
    <row r="2686">
      <c r="A2686" s="2" t="s">
        <v>6535</v>
      </c>
      <c r="B2686" s="2" t="s">
        <v>6536</v>
      </c>
      <c r="C2686" s="2" t="s">
        <v>36</v>
      </c>
    </row>
    <row r="2687">
      <c r="A2687" s="2" t="s">
        <v>6537</v>
      </c>
      <c r="B2687" s="2" t="s">
        <v>6538</v>
      </c>
      <c r="C2687" s="2" t="s">
        <v>36</v>
      </c>
    </row>
    <row r="2688">
      <c r="A2688" s="2" t="s">
        <v>6539</v>
      </c>
      <c r="B2688" s="2" t="s">
        <v>6540</v>
      </c>
      <c r="C2688" s="2" t="s">
        <v>36</v>
      </c>
    </row>
    <row r="2689">
      <c r="A2689" s="2" t="s">
        <v>6541</v>
      </c>
      <c r="B2689" s="2" t="s">
        <v>6542</v>
      </c>
      <c r="C2689" s="2" t="s">
        <v>36</v>
      </c>
    </row>
    <row r="2690">
      <c r="A2690" s="2" t="s">
        <v>6543</v>
      </c>
      <c r="B2690" s="2" t="s">
        <v>6544</v>
      </c>
      <c r="C2690" s="2" t="s">
        <v>36</v>
      </c>
    </row>
    <row r="2691">
      <c r="A2691" s="2" t="s">
        <v>6545</v>
      </c>
      <c r="B2691" s="2" t="s">
        <v>6546</v>
      </c>
      <c r="C2691" s="2" t="s">
        <v>36</v>
      </c>
    </row>
    <row r="2692">
      <c r="A2692" s="2" t="s">
        <v>6547</v>
      </c>
      <c r="B2692" s="2" t="s">
        <v>6548</v>
      </c>
      <c r="C2692" s="2" t="s">
        <v>36</v>
      </c>
    </row>
    <row r="2693">
      <c r="A2693" s="2" t="s">
        <v>6549</v>
      </c>
      <c r="B2693" s="2" t="s">
        <v>6550</v>
      </c>
      <c r="C2693" s="2" t="s">
        <v>36</v>
      </c>
    </row>
    <row r="2694">
      <c r="A2694" s="2" t="s">
        <v>6551</v>
      </c>
      <c r="B2694" s="2" t="s">
        <v>6552</v>
      </c>
      <c r="C2694" s="2" t="s">
        <v>36</v>
      </c>
    </row>
    <row r="2695">
      <c r="A2695" s="2" t="s">
        <v>6553</v>
      </c>
      <c r="B2695" s="2" t="s">
        <v>6554</v>
      </c>
      <c r="C2695" s="2" t="s">
        <v>36</v>
      </c>
    </row>
    <row r="2696">
      <c r="A2696" s="2" t="s">
        <v>6555</v>
      </c>
      <c r="B2696" s="2" t="s">
        <v>6556</v>
      </c>
      <c r="C2696" s="2" t="s">
        <v>36</v>
      </c>
    </row>
    <row r="2697">
      <c r="A2697" s="2" t="s">
        <v>6557</v>
      </c>
      <c r="B2697" s="2" t="s">
        <v>6558</v>
      </c>
      <c r="C2697" s="2" t="s">
        <v>36</v>
      </c>
    </row>
    <row r="2698">
      <c r="A2698" s="2" t="s">
        <v>6559</v>
      </c>
      <c r="B2698" s="2" t="s">
        <v>6560</v>
      </c>
      <c r="C2698" s="2" t="s">
        <v>36</v>
      </c>
    </row>
    <row r="2699">
      <c r="A2699" s="2" t="s">
        <v>6561</v>
      </c>
      <c r="B2699" s="2" t="s">
        <v>6562</v>
      </c>
      <c r="C2699" s="2" t="s">
        <v>36</v>
      </c>
    </row>
    <row r="2700">
      <c r="A2700" s="2" t="s">
        <v>6563</v>
      </c>
      <c r="B2700" s="2" t="s">
        <v>6564</v>
      </c>
      <c r="C2700" s="2" t="s">
        <v>36</v>
      </c>
    </row>
    <row r="2701">
      <c r="A2701" s="2" t="s">
        <v>6565</v>
      </c>
      <c r="B2701" s="2" t="s">
        <v>6566</v>
      </c>
      <c r="C2701" s="2" t="s">
        <v>36</v>
      </c>
    </row>
    <row r="2702">
      <c r="A2702" s="2" t="s">
        <v>6567</v>
      </c>
      <c r="B2702" s="2" t="s">
        <v>6568</v>
      </c>
      <c r="C2702" s="2" t="s">
        <v>36</v>
      </c>
    </row>
    <row r="2703">
      <c r="A2703" s="2" t="s">
        <v>6569</v>
      </c>
      <c r="B2703" s="2" t="s">
        <v>6570</v>
      </c>
      <c r="C2703" s="2" t="s">
        <v>36</v>
      </c>
    </row>
    <row r="2704">
      <c r="A2704" s="2" t="s">
        <v>6571</v>
      </c>
      <c r="B2704" s="2" t="s">
        <v>6572</v>
      </c>
      <c r="C2704" s="2" t="s">
        <v>36</v>
      </c>
    </row>
    <row r="2705">
      <c r="A2705" s="2" t="s">
        <v>6573</v>
      </c>
      <c r="B2705" s="2" t="s">
        <v>6574</v>
      </c>
      <c r="C2705" s="2" t="s">
        <v>36</v>
      </c>
    </row>
    <row r="2706">
      <c r="A2706" s="2" t="s">
        <v>6575</v>
      </c>
      <c r="B2706" s="2" t="s">
        <v>6576</v>
      </c>
      <c r="C2706" s="2" t="s">
        <v>36</v>
      </c>
    </row>
    <row r="2707">
      <c r="A2707" s="2" t="s">
        <v>6577</v>
      </c>
      <c r="B2707" s="2" t="s">
        <v>6578</v>
      </c>
      <c r="C2707" s="2" t="s">
        <v>36</v>
      </c>
    </row>
    <row r="2708">
      <c r="A2708" s="2" t="s">
        <v>6579</v>
      </c>
      <c r="B2708" s="2" t="s">
        <v>6580</v>
      </c>
      <c r="C2708" s="2" t="s">
        <v>36</v>
      </c>
    </row>
    <row r="2709">
      <c r="A2709" s="2" t="s">
        <v>6581</v>
      </c>
      <c r="B2709" s="2" t="s">
        <v>6582</v>
      </c>
      <c r="C2709" s="2" t="s">
        <v>36</v>
      </c>
    </row>
    <row r="2710">
      <c r="A2710" s="2" t="s">
        <v>6583</v>
      </c>
      <c r="B2710" s="2" t="s">
        <v>6584</v>
      </c>
      <c r="C2710" s="2" t="s">
        <v>36</v>
      </c>
    </row>
    <row r="2711">
      <c r="A2711" s="2" t="s">
        <v>6585</v>
      </c>
      <c r="B2711" s="2" t="s">
        <v>6586</v>
      </c>
      <c r="C2711" s="2" t="s">
        <v>36</v>
      </c>
    </row>
    <row r="2712">
      <c r="A2712" s="2" t="s">
        <v>6587</v>
      </c>
      <c r="B2712" s="2" t="s">
        <v>6588</v>
      </c>
      <c r="C2712" s="2" t="s">
        <v>36</v>
      </c>
    </row>
    <row r="2713">
      <c r="A2713" s="2" t="s">
        <v>6589</v>
      </c>
      <c r="B2713" s="2" t="s">
        <v>6590</v>
      </c>
      <c r="C2713" s="2" t="s">
        <v>36</v>
      </c>
    </row>
    <row r="2714">
      <c r="A2714" s="2" t="s">
        <v>6591</v>
      </c>
      <c r="B2714" s="2" t="s">
        <v>6592</v>
      </c>
      <c r="C2714" s="2" t="s">
        <v>36</v>
      </c>
    </row>
    <row r="2715">
      <c r="A2715" s="2" t="s">
        <v>6593</v>
      </c>
      <c r="B2715" s="2" t="s">
        <v>6594</v>
      </c>
      <c r="C2715" s="2" t="s">
        <v>36</v>
      </c>
    </row>
    <row r="2716">
      <c r="A2716" s="2" t="s">
        <v>6595</v>
      </c>
      <c r="B2716" s="2" t="s">
        <v>6596</v>
      </c>
      <c r="C2716" s="2" t="s">
        <v>36</v>
      </c>
    </row>
    <row r="2717">
      <c r="A2717" s="2" t="s">
        <v>6597</v>
      </c>
      <c r="B2717" s="2" t="s">
        <v>6598</v>
      </c>
      <c r="C2717" s="2" t="s">
        <v>36</v>
      </c>
    </row>
    <row r="2718">
      <c r="A2718" s="2" t="s">
        <v>6599</v>
      </c>
      <c r="B2718" s="2" t="s">
        <v>6600</v>
      </c>
      <c r="C2718" s="2" t="s">
        <v>36</v>
      </c>
    </row>
    <row r="2719">
      <c r="A2719" s="2" t="s">
        <v>6601</v>
      </c>
      <c r="B2719" s="2" t="s">
        <v>6602</v>
      </c>
      <c r="C2719" s="2" t="s">
        <v>36</v>
      </c>
    </row>
    <row r="2720">
      <c r="A2720" s="2" t="s">
        <v>6603</v>
      </c>
      <c r="B2720" s="2" t="s">
        <v>6604</v>
      </c>
      <c r="C2720" s="2" t="s">
        <v>36</v>
      </c>
    </row>
    <row r="2721">
      <c r="A2721" s="2" t="s">
        <v>6605</v>
      </c>
      <c r="B2721" s="2" t="s">
        <v>6606</v>
      </c>
      <c r="C2721" s="2" t="s">
        <v>36</v>
      </c>
    </row>
    <row r="2722">
      <c r="A2722" s="2" t="s">
        <v>6607</v>
      </c>
      <c r="B2722" s="2" t="s">
        <v>6608</v>
      </c>
      <c r="C2722" s="2" t="s">
        <v>36</v>
      </c>
    </row>
    <row r="2723">
      <c r="A2723" s="2" t="s">
        <v>6609</v>
      </c>
      <c r="B2723" s="2" t="s">
        <v>6610</v>
      </c>
      <c r="C2723" s="2" t="s">
        <v>36</v>
      </c>
    </row>
    <row r="2724">
      <c r="A2724" s="2" t="s">
        <v>6611</v>
      </c>
      <c r="B2724" s="2" t="s">
        <v>6612</v>
      </c>
      <c r="C2724" s="2" t="s">
        <v>36</v>
      </c>
    </row>
    <row r="2725">
      <c r="A2725" s="2" t="s">
        <v>6613</v>
      </c>
      <c r="B2725" s="2" t="s">
        <v>6614</v>
      </c>
      <c r="C2725" s="2" t="s">
        <v>36</v>
      </c>
    </row>
    <row r="2726">
      <c r="A2726" s="2" t="s">
        <v>6615</v>
      </c>
      <c r="B2726" s="2" t="s">
        <v>6616</v>
      </c>
      <c r="C2726" s="2" t="s">
        <v>36</v>
      </c>
    </row>
    <row r="2727">
      <c r="A2727" s="2" t="s">
        <v>6617</v>
      </c>
      <c r="B2727" s="2" t="s">
        <v>6618</v>
      </c>
      <c r="C2727" s="2" t="s">
        <v>36</v>
      </c>
    </row>
    <row r="2728">
      <c r="A2728" s="2" t="s">
        <v>6619</v>
      </c>
      <c r="B2728" s="2" t="s">
        <v>6620</v>
      </c>
      <c r="C2728" s="2" t="s">
        <v>36</v>
      </c>
    </row>
    <row r="2729">
      <c r="A2729" s="2" t="s">
        <v>6621</v>
      </c>
      <c r="B2729" s="2" t="s">
        <v>6622</v>
      </c>
      <c r="C2729" s="2" t="s">
        <v>36</v>
      </c>
    </row>
    <row r="2730">
      <c r="A2730" s="2" t="s">
        <v>6623</v>
      </c>
      <c r="B2730" s="2" t="s">
        <v>6624</v>
      </c>
      <c r="C2730" s="2" t="s">
        <v>36</v>
      </c>
    </row>
    <row r="2731">
      <c r="A2731" s="2" t="s">
        <v>6625</v>
      </c>
      <c r="B2731" s="2" t="s">
        <v>6626</v>
      </c>
      <c r="C2731" s="2" t="s">
        <v>36</v>
      </c>
    </row>
    <row r="2732">
      <c r="A2732" s="2" t="s">
        <v>6627</v>
      </c>
      <c r="B2732" s="2" t="s">
        <v>6628</v>
      </c>
      <c r="C2732" s="2" t="s">
        <v>36</v>
      </c>
    </row>
    <row r="2733">
      <c r="A2733" s="2" t="s">
        <v>6629</v>
      </c>
      <c r="B2733" s="2" t="s">
        <v>6630</v>
      </c>
      <c r="C2733" s="2" t="s">
        <v>36</v>
      </c>
    </row>
    <row r="2734">
      <c r="A2734" s="2" t="s">
        <v>6631</v>
      </c>
      <c r="B2734" s="2" t="s">
        <v>6632</v>
      </c>
      <c r="C2734" s="2" t="s">
        <v>36</v>
      </c>
    </row>
    <row r="2735">
      <c r="A2735" s="2" t="s">
        <v>6633</v>
      </c>
      <c r="B2735" s="2" t="s">
        <v>6634</v>
      </c>
      <c r="C2735" s="2" t="s">
        <v>36</v>
      </c>
    </row>
    <row r="2736">
      <c r="A2736" s="2" t="s">
        <v>6635</v>
      </c>
      <c r="B2736" s="2" t="s">
        <v>6636</v>
      </c>
      <c r="C2736" s="2" t="s">
        <v>36</v>
      </c>
    </row>
    <row r="2737">
      <c r="A2737" s="2" t="s">
        <v>6637</v>
      </c>
      <c r="B2737" s="2" t="s">
        <v>6638</v>
      </c>
      <c r="C2737" s="2" t="s">
        <v>36</v>
      </c>
    </row>
    <row r="2738">
      <c r="A2738" s="2" t="s">
        <v>6639</v>
      </c>
      <c r="B2738" s="2" t="s">
        <v>6640</v>
      </c>
      <c r="C2738" s="2" t="s">
        <v>36</v>
      </c>
    </row>
    <row r="2739">
      <c r="A2739" s="2" t="s">
        <v>6641</v>
      </c>
      <c r="B2739" s="2" t="s">
        <v>6642</v>
      </c>
      <c r="C2739" s="2" t="s">
        <v>36</v>
      </c>
    </row>
    <row r="2740">
      <c r="A2740" s="2" t="s">
        <v>6643</v>
      </c>
      <c r="B2740" s="2" t="s">
        <v>6644</v>
      </c>
      <c r="C2740" s="2" t="s">
        <v>36</v>
      </c>
    </row>
    <row r="2741">
      <c r="A2741" s="2" t="s">
        <v>6645</v>
      </c>
      <c r="B2741" s="2" t="s">
        <v>6646</v>
      </c>
      <c r="C2741" s="2" t="s">
        <v>36</v>
      </c>
    </row>
    <row r="2742">
      <c r="A2742" s="2" t="s">
        <v>6647</v>
      </c>
      <c r="B2742" s="2" t="s">
        <v>6648</v>
      </c>
      <c r="C2742" s="2" t="s">
        <v>36</v>
      </c>
    </row>
    <row r="2743">
      <c r="A2743" s="2" t="s">
        <v>6649</v>
      </c>
      <c r="B2743" s="2" t="s">
        <v>6650</v>
      </c>
      <c r="C2743" s="2" t="s">
        <v>36</v>
      </c>
    </row>
    <row r="2744">
      <c r="A2744" s="2" t="s">
        <v>6651</v>
      </c>
      <c r="B2744" s="2" t="s">
        <v>6652</v>
      </c>
      <c r="C2744" s="2" t="s">
        <v>36</v>
      </c>
    </row>
    <row r="2745">
      <c r="A2745" s="2" t="s">
        <v>6653</v>
      </c>
      <c r="B2745" s="2" t="s">
        <v>6654</v>
      </c>
      <c r="C2745" s="2" t="s">
        <v>36</v>
      </c>
    </row>
    <row r="2746">
      <c r="A2746" s="2" t="s">
        <v>6655</v>
      </c>
      <c r="B2746" s="2" t="s">
        <v>6656</v>
      </c>
      <c r="C2746" s="2" t="s">
        <v>36</v>
      </c>
    </row>
    <row r="2747">
      <c r="A2747" s="2" t="s">
        <v>6657</v>
      </c>
      <c r="B2747" s="2" t="s">
        <v>6658</v>
      </c>
      <c r="C2747" s="2" t="s">
        <v>36</v>
      </c>
    </row>
    <row r="2748">
      <c r="A2748" s="2" t="s">
        <v>6659</v>
      </c>
      <c r="B2748" s="2" t="s">
        <v>6660</v>
      </c>
      <c r="C2748" s="2" t="s">
        <v>36</v>
      </c>
    </row>
    <row r="2749">
      <c r="A2749" s="2" t="s">
        <v>6661</v>
      </c>
      <c r="B2749" s="2" t="s">
        <v>6662</v>
      </c>
      <c r="C2749" s="2" t="s">
        <v>36</v>
      </c>
    </row>
    <row r="2750">
      <c r="A2750" s="2" t="s">
        <v>6663</v>
      </c>
      <c r="B2750" s="2" t="s">
        <v>6664</v>
      </c>
      <c r="C2750" s="2" t="s">
        <v>36</v>
      </c>
    </row>
    <row r="2751">
      <c r="A2751" s="2" t="s">
        <v>6665</v>
      </c>
      <c r="B2751" s="2" t="s">
        <v>6666</v>
      </c>
      <c r="C2751" s="2" t="s">
        <v>36</v>
      </c>
    </row>
    <row r="2752">
      <c r="A2752" s="2" t="s">
        <v>6667</v>
      </c>
      <c r="B2752" s="2" t="s">
        <v>6668</v>
      </c>
      <c r="C2752" s="2" t="s">
        <v>36</v>
      </c>
    </row>
    <row r="2753">
      <c r="A2753" s="2" t="s">
        <v>6669</v>
      </c>
      <c r="B2753" s="2" t="s">
        <v>6670</v>
      </c>
      <c r="C2753" s="2" t="s">
        <v>36</v>
      </c>
    </row>
    <row r="2754">
      <c r="A2754" s="2" t="s">
        <v>6671</v>
      </c>
      <c r="B2754" s="2" t="s">
        <v>6672</v>
      </c>
      <c r="C2754" s="2" t="s">
        <v>36</v>
      </c>
    </row>
    <row r="2755">
      <c r="A2755" s="2" t="s">
        <v>6673</v>
      </c>
      <c r="B2755" s="2" t="s">
        <v>6674</v>
      </c>
      <c r="C2755" s="2" t="s">
        <v>36</v>
      </c>
    </row>
    <row r="2756">
      <c r="A2756" s="2" t="s">
        <v>6675</v>
      </c>
      <c r="B2756" s="2" t="s">
        <v>6676</v>
      </c>
      <c r="C2756" s="2" t="s">
        <v>36</v>
      </c>
    </row>
    <row r="2757">
      <c r="A2757" s="2" t="s">
        <v>6677</v>
      </c>
      <c r="B2757" s="2" t="s">
        <v>6678</v>
      </c>
      <c r="C2757" s="2" t="s">
        <v>36</v>
      </c>
    </row>
    <row r="2758">
      <c r="A2758" s="2" t="s">
        <v>6679</v>
      </c>
      <c r="B2758" s="2" t="s">
        <v>6680</v>
      </c>
      <c r="C2758" s="2" t="s">
        <v>36</v>
      </c>
    </row>
    <row r="2759">
      <c r="A2759" s="2" t="s">
        <v>6681</v>
      </c>
      <c r="B2759" s="2" t="s">
        <v>6682</v>
      </c>
      <c r="C2759" s="2" t="s">
        <v>36</v>
      </c>
    </row>
    <row r="2760">
      <c r="A2760" s="2" t="s">
        <v>6683</v>
      </c>
      <c r="B2760" s="2" t="s">
        <v>6684</v>
      </c>
      <c r="C2760" s="2" t="s">
        <v>36</v>
      </c>
    </row>
    <row r="2761">
      <c r="A2761" s="2" t="s">
        <v>6685</v>
      </c>
      <c r="B2761" s="2" t="s">
        <v>6686</v>
      </c>
      <c r="C2761" s="2" t="s">
        <v>36</v>
      </c>
    </row>
    <row r="2762">
      <c r="A2762" s="2" t="s">
        <v>108</v>
      </c>
      <c r="B2762" s="2" t="s">
        <v>109</v>
      </c>
      <c r="C2762" s="2" t="s">
        <v>36</v>
      </c>
    </row>
    <row r="2763">
      <c r="A2763" s="2" t="s">
        <v>6687</v>
      </c>
      <c r="B2763" s="2" t="s">
        <v>6688</v>
      </c>
      <c r="C2763" s="2" t="s">
        <v>36</v>
      </c>
    </row>
    <row r="2764">
      <c r="A2764" s="2" t="s">
        <v>6689</v>
      </c>
      <c r="B2764" s="2" t="s">
        <v>6690</v>
      </c>
      <c r="C2764" s="2" t="s">
        <v>36</v>
      </c>
    </row>
    <row r="2765">
      <c r="A2765" s="2" t="s">
        <v>6691</v>
      </c>
      <c r="B2765" s="2" t="s">
        <v>6692</v>
      </c>
      <c r="C2765" s="2" t="s">
        <v>36</v>
      </c>
    </row>
    <row r="2766">
      <c r="A2766" s="2" t="s">
        <v>6693</v>
      </c>
      <c r="B2766" s="2" t="s">
        <v>6694</v>
      </c>
      <c r="C2766" s="2" t="s">
        <v>36</v>
      </c>
    </row>
    <row r="2767">
      <c r="A2767" s="2" t="s">
        <v>6695</v>
      </c>
      <c r="B2767" s="2" t="s">
        <v>6696</v>
      </c>
      <c r="C2767" s="2" t="s">
        <v>36</v>
      </c>
    </row>
    <row r="2768">
      <c r="A2768" s="2" t="s">
        <v>6697</v>
      </c>
      <c r="B2768" s="2" t="s">
        <v>6698</v>
      </c>
      <c r="C2768" s="2" t="s">
        <v>36</v>
      </c>
    </row>
    <row r="2769">
      <c r="A2769" s="2" t="s">
        <v>6699</v>
      </c>
      <c r="B2769" s="2" t="s">
        <v>6700</v>
      </c>
      <c r="C2769" s="2" t="s">
        <v>36</v>
      </c>
    </row>
    <row r="2770">
      <c r="A2770" s="2" t="s">
        <v>6701</v>
      </c>
      <c r="B2770" s="2" t="s">
        <v>6702</v>
      </c>
      <c r="C2770" s="2" t="s">
        <v>36</v>
      </c>
    </row>
    <row r="2771">
      <c r="A2771" s="2" t="s">
        <v>6703</v>
      </c>
      <c r="B2771" s="2" t="s">
        <v>6704</v>
      </c>
      <c r="C2771" s="2" t="s">
        <v>36</v>
      </c>
    </row>
    <row r="2772">
      <c r="A2772" s="2" t="s">
        <v>6705</v>
      </c>
      <c r="B2772" s="2" t="s">
        <v>6706</v>
      </c>
      <c r="C2772" s="2" t="s">
        <v>36</v>
      </c>
    </row>
    <row r="2773">
      <c r="A2773" s="2" t="s">
        <v>6707</v>
      </c>
      <c r="B2773" s="2" t="s">
        <v>6708</v>
      </c>
      <c r="C2773" s="2" t="s">
        <v>36</v>
      </c>
    </row>
    <row r="2774">
      <c r="A2774" s="2" t="s">
        <v>6709</v>
      </c>
      <c r="B2774" s="2" t="s">
        <v>6710</v>
      </c>
      <c r="C2774" s="2" t="s">
        <v>36</v>
      </c>
    </row>
    <row r="2775">
      <c r="A2775" s="2" t="s">
        <v>6711</v>
      </c>
      <c r="B2775" s="2" t="s">
        <v>6712</v>
      </c>
      <c r="C2775" s="2" t="s">
        <v>36</v>
      </c>
    </row>
    <row r="2776">
      <c r="A2776" s="2" t="s">
        <v>6713</v>
      </c>
      <c r="B2776" s="2" t="s">
        <v>6714</v>
      </c>
      <c r="C2776" s="2" t="s">
        <v>36</v>
      </c>
    </row>
    <row r="2777">
      <c r="A2777" s="2" t="s">
        <v>6715</v>
      </c>
      <c r="B2777" s="2" t="s">
        <v>6716</v>
      </c>
      <c r="C2777" s="2" t="s">
        <v>36</v>
      </c>
    </row>
    <row r="2778">
      <c r="A2778" s="2" t="s">
        <v>6718</v>
      </c>
      <c r="B2778" s="2" t="s">
        <v>6719</v>
      </c>
      <c r="C2778" s="2" t="s">
        <v>36</v>
      </c>
    </row>
    <row r="2779">
      <c r="A2779" s="2" t="s">
        <v>6721</v>
      </c>
      <c r="B2779" s="2" t="s">
        <v>6722</v>
      </c>
      <c r="C2779" s="2" t="s">
        <v>36</v>
      </c>
    </row>
    <row r="2780">
      <c r="A2780" s="2" t="s">
        <v>6723</v>
      </c>
      <c r="B2780" s="2" t="s">
        <v>6725</v>
      </c>
      <c r="C2780" s="2" t="s">
        <v>36</v>
      </c>
    </row>
    <row r="2781">
      <c r="A2781" s="2" t="s">
        <v>6727</v>
      </c>
      <c r="B2781" s="2" t="s">
        <v>6728</v>
      </c>
      <c r="C2781" s="2" t="s">
        <v>36</v>
      </c>
    </row>
    <row r="2782">
      <c r="A2782" s="2" t="s">
        <v>6730</v>
      </c>
      <c r="B2782" s="2" t="s">
        <v>6731</v>
      </c>
      <c r="C2782" s="2" t="s">
        <v>36</v>
      </c>
    </row>
    <row r="2783">
      <c r="A2783" s="2" t="s">
        <v>6733</v>
      </c>
      <c r="B2783" s="2" t="s">
        <v>6734</v>
      </c>
      <c r="C2783" s="2" t="s">
        <v>36</v>
      </c>
    </row>
    <row r="2784">
      <c r="A2784" s="2" t="s">
        <v>6735</v>
      </c>
      <c r="B2784" s="2" t="s">
        <v>6736</v>
      </c>
      <c r="C2784" s="2" t="s">
        <v>36</v>
      </c>
    </row>
    <row r="2785">
      <c r="A2785" s="2" t="s">
        <v>6737</v>
      </c>
      <c r="B2785" s="2" t="s">
        <v>6738</v>
      </c>
      <c r="C2785" s="2" t="s">
        <v>36</v>
      </c>
    </row>
    <row r="2786">
      <c r="A2786" s="2" t="s">
        <v>6741</v>
      </c>
      <c r="B2786" s="2" t="s">
        <v>6738</v>
      </c>
      <c r="C2786" s="2" t="s">
        <v>36</v>
      </c>
    </row>
    <row r="2787">
      <c r="A2787" s="2" t="s">
        <v>6742</v>
      </c>
      <c r="B2787" s="2" t="s">
        <v>6738</v>
      </c>
      <c r="C2787" s="2" t="s">
        <v>36</v>
      </c>
    </row>
    <row r="2788">
      <c r="A2788" s="2" t="s">
        <v>6743</v>
      </c>
      <c r="B2788" s="2" t="s">
        <v>6744</v>
      </c>
      <c r="C2788" s="2" t="s">
        <v>36</v>
      </c>
    </row>
    <row r="2789">
      <c r="A2789" s="2" t="s">
        <v>6745</v>
      </c>
      <c r="B2789" s="2" t="s">
        <v>6746</v>
      </c>
      <c r="C2789" s="2" t="s">
        <v>36</v>
      </c>
    </row>
    <row r="2790">
      <c r="A2790" s="2" t="s">
        <v>6747</v>
      </c>
      <c r="B2790" s="2" t="s">
        <v>6748</v>
      </c>
      <c r="C2790" s="2" t="s">
        <v>36</v>
      </c>
    </row>
    <row r="2791">
      <c r="A2791" s="2" t="s">
        <v>6749</v>
      </c>
      <c r="B2791" s="2" t="s">
        <v>6750</v>
      </c>
      <c r="C2791" s="2" t="s">
        <v>36</v>
      </c>
    </row>
    <row r="2792">
      <c r="A2792" s="2" t="s">
        <v>6751</v>
      </c>
      <c r="B2792" s="2" t="s">
        <v>6752</v>
      </c>
      <c r="C2792" s="2" t="s">
        <v>36</v>
      </c>
    </row>
    <row r="2793">
      <c r="A2793" s="2" t="s">
        <v>6753</v>
      </c>
      <c r="B2793" s="2" t="s">
        <v>6754</v>
      </c>
      <c r="C2793" s="2" t="s">
        <v>36</v>
      </c>
    </row>
    <row r="2794">
      <c r="A2794" s="2" t="s">
        <v>6755</v>
      </c>
      <c r="B2794" s="2" t="s">
        <v>6756</v>
      </c>
      <c r="C2794" s="2" t="s">
        <v>36</v>
      </c>
    </row>
    <row r="2795">
      <c r="A2795" s="2" t="s">
        <v>6757</v>
      </c>
      <c r="B2795" s="2" t="s">
        <v>6758</v>
      </c>
      <c r="C2795" s="2" t="s">
        <v>36</v>
      </c>
    </row>
    <row r="2796">
      <c r="A2796" s="2" t="s">
        <v>6759</v>
      </c>
      <c r="B2796" s="2" t="s">
        <v>6761</v>
      </c>
      <c r="C2796" s="2" t="s">
        <v>36</v>
      </c>
    </row>
    <row r="2797">
      <c r="A2797" s="2" t="s">
        <v>6762</v>
      </c>
      <c r="B2797" s="2" t="s">
        <v>6763</v>
      </c>
      <c r="C2797" s="2" t="s">
        <v>36</v>
      </c>
    </row>
    <row r="2798">
      <c r="A2798" s="2" t="s">
        <v>6764</v>
      </c>
      <c r="B2798" s="2" t="s">
        <v>6765</v>
      </c>
      <c r="C2798" s="2" t="s">
        <v>36</v>
      </c>
    </row>
    <row r="2799">
      <c r="A2799" s="2" t="s">
        <v>6766</v>
      </c>
      <c r="B2799" s="2" t="s">
        <v>6767</v>
      </c>
      <c r="C2799" s="2" t="s">
        <v>36</v>
      </c>
    </row>
    <row r="2800">
      <c r="A2800" s="2" t="s">
        <v>6768</v>
      </c>
      <c r="B2800" s="2" t="s">
        <v>6770</v>
      </c>
      <c r="C2800" s="2" t="s">
        <v>36</v>
      </c>
    </row>
    <row r="2801">
      <c r="A2801" s="2" t="s">
        <v>6771</v>
      </c>
      <c r="B2801" s="2" t="s">
        <v>6772</v>
      </c>
      <c r="C2801" s="2" t="s">
        <v>36</v>
      </c>
    </row>
    <row r="2802">
      <c r="A2802" s="2" t="s">
        <v>6773</v>
      </c>
      <c r="B2802" s="2" t="s">
        <v>6774</v>
      </c>
      <c r="C2802" s="2" t="s">
        <v>36</v>
      </c>
    </row>
    <row r="2803">
      <c r="A2803" s="2" t="s">
        <v>6775</v>
      </c>
      <c r="B2803" s="2" t="s">
        <v>6776</v>
      </c>
      <c r="C2803" s="2" t="s">
        <v>36</v>
      </c>
    </row>
    <row r="2804">
      <c r="A2804" s="2" t="s">
        <v>6777</v>
      </c>
      <c r="B2804" s="2" t="s">
        <v>6778</v>
      </c>
      <c r="C2804" s="2" t="s">
        <v>36</v>
      </c>
    </row>
    <row r="2805">
      <c r="A2805" s="2" t="s">
        <v>6780</v>
      </c>
      <c r="B2805" s="2" t="s">
        <v>6781</v>
      </c>
      <c r="C2805" s="2" t="s">
        <v>36</v>
      </c>
    </row>
    <row r="2806">
      <c r="A2806" s="2" t="s">
        <v>6783</v>
      </c>
      <c r="B2806" s="2" t="s">
        <v>6784</v>
      </c>
      <c r="C2806" s="2" t="s">
        <v>36</v>
      </c>
    </row>
    <row r="2807">
      <c r="A2807" s="2" t="s">
        <v>6785</v>
      </c>
      <c r="B2807" s="2" t="s">
        <v>6786</v>
      </c>
      <c r="C2807" s="2" t="s">
        <v>36</v>
      </c>
    </row>
    <row r="2808">
      <c r="A2808" s="2" t="s">
        <v>6788</v>
      </c>
      <c r="B2808" s="2" t="s">
        <v>6789</v>
      </c>
      <c r="C2808" s="2" t="s">
        <v>36</v>
      </c>
    </row>
    <row r="2809">
      <c r="A2809" s="2" t="s">
        <v>6791</v>
      </c>
      <c r="B2809" s="2" t="s">
        <v>6792</v>
      </c>
      <c r="C2809" s="2" t="s">
        <v>36</v>
      </c>
    </row>
    <row r="2810">
      <c r="A2810" s="2" t="s">
        <v>6793</v>
      </c>
      <c r="B2810" s="2" t="s">
        <v>6795</v>
      </c>
      <c r="C2810" s="2" t="s">
        <v>36</v>
      </c>
    </row>
    <row r="2811">
      <c r="A2811" s="2" t="s">
        <v>6797</v>
      </c>
      <c r="B2811" s="2" t="s">
        <v>6798</v>
      </c>
      <c r="C2811" s="2" t="s">
        <v>36</v>
      </c>
    </row>
    <row r="2812">
      <c r="A2812" s="2" t="s">
        <v>6799</v>
      </c>
      <c r="B2812" s="2" t="s">
        <v>6801</v>
      </c>
      <c r="C2812" s="2" t="s">
        <v>36</v>
      </c>
    </row>
    <row r="2813">
      <c r="A2813" s="2" t="s">
        <v>6802</v>
      </c>
      <c r="B2813" s="2" t="s">
        <v>6803</v>
      </c>
      <c r="C2813" s="2" t="s">
        <v>36</v>
      </c>
    </row>
    <row r="2814">
      <c r="A2814" s="2" t="s">
        <v>6804</v>
      </c>
      <c r="B2814" s="2" t="s">
        <v>6805</v>
      </c>
      <c r="C2814" s="2" t="s">
        <v>36</v>
      </c>
    </row>
    <row r="2815">
      <c r="A2815" s="2" t="s">
        <v>6806</v>
      </c>
      <c r="B2815" s="2" t="s">
        <v>6807</v>
      </c>
      <c r="C2815" s="2" t="s">
        <v>36</v>
      </c>
    </row>
    <row r="2816">
      <c r="A2816" s="2" t="s">
        <v>6808</v>
      </c>
      <c r="B2816" s="2" t="s">
        <v>6809</v>
      </c>
      <c r="C2816" s="2" t="s">
        <v>36</v>
      </c>
    </row>
    <row r="2817">
      <c r="A2817" s="2" t="s">
        <v>6811</v>
      </c>
      <c r="B2817" s="2" t="s">
        <v>6812</v>
      </c>
      <c r="C2817" s="2" t="s">
        <v>36</v>
      </c>
    </row>
    <row r="2818">
      <c r="A2818" s="2" t="s">
        <v>6813</v>
      </c>
      <c r="B2818" s="2" t="s">
        <v>6814</v>
      </c>
      <c r="C2818" s="2" t="s">
        <v>36</v>
      </c>
    </row>
    <row r="2819">
      <c r="A2819" s="2" t="s">
        <v>6816</v>
      </c>
      <c r="B2819" s="2" t="s">
        <v>6818</v>
      </c>
      <c r="C2819" s="2" t="s">
        <v>36</v>
      </c>
    </row>
    <row r="2820">
      <c r="A2820" s="2" t="s">
        <v>6819</v>
      </c>
      <c r="B2820" s="2" t="s">
        <v>6820</v>
      </c>
      <c r="C2820" s="2" t="s">
        <v>36</v>
      </c>
    </row>
    <row r="2821">
      <c r="A2821" s="2" t="s">
        <v>6822</v>
      </c>
      <c r="B2821" s="2" t="s">
        <v>6824</v>
      </c>
      <c r="C2821" s="2" t="s">
        <v>36</v>
      </c>
    </row>
    <row r="2822">
      <c r="A2822" s="2" t="s">
        <v>6825</v>
      </c>
      <c r="B2822" s="2" t="s">
        <v>6826</v>
      </c>
      <c r="C2822" s="2" t="s">
        <v>36</v>
      </c>
    </row>
    <row r="2823">
      <c r="A2823" s="2" t="s">
        <v>6828</v>
      </c>
      <c r="B2823" s="2" t="s">
        <v>6829</v>
      </c>
      <c r="C2823" s="2" t="s">
        <v>36</v>
      </c>
    </row>
    <row r="2824">
      <c r="A2824" s="2" t="s">
        <v>6831</v>
      </c>
      <c r="B2824" s="2" t="s">
        <v>6832</v>
      </c>
      <c r="C2824" s="2" t="s">
        <v>36</v>
      </c>
    </row>
    <row r="2825">
      <c r="A2825" s="2" t="s">
        <v>6833</v>
      </c>
      <c r="B2825" s="2" t="s">
        <v>6834</v>
      </c>
      <c r="C2825" s="2" t="s">
        <v>36</v>
      </c>
    </row>
    <row r="2826">
      <c r="A2826" s="2" t="s">
        <v>6835</v>
      </c>
      <c r="B2826" s="2" t="s">
        <v>6836</v>
      </c>
      <c r="C2826" s="2" t="s">
        <v>36</v>
      </c>
    </row>
    <row r="2827">
      <c r="A2827" s="2" t="s">
        <v>6837</v>
      </c>
      <c r="B2827" s="2" t="s">
        <v>6838</v>
      </c>
      <c r="C2827" s="2" t="s">
        <v>36</v>
      </c>
    </row>
    <row r="2828">
      <c r="A2828" s="2" t="s">
        <v>6840</v>
      </c>
      <c r="B2828" s="2" t="s">
        <v>6841</v>
      </c>
      <c r="C2828" s="2" t="s">
        <v>36</v>
      </c>
    </row>
    <row r="2829">
      <c r="A2829" s="2" t="s">
        <v>6843</v>
      </c>
      <c r="B2829" s="2" t="s">
        <v>6844</v>
      </c>
      <c r="C2829" s="2" t="s">
        <v>36</v>
      </c>
    </row>
    <row r="2830">
      <c r="A2830" s="2" t="s">
        <v>6845</v>
      </c>
      <c r="B2830" s="2" t="s">
        <v>6846</v>
      </c>
      <c r="C2830" s="2" t="s">
        <v>36</v>
      </c>
    </row>
    <row r="2831">
      <c r="A2831" s="2" t="s">
        <v>6847</v>
      </c>
      <c r="B2831" s="2" t="s">
        <v>6848</v>
      </c>
      <c r="C2831" s="2" t="s">
        <v>36</v>
      </c>
    </row>
    <row r="2832">
      <c r="A2832" s="2" t="s">
        <v>6850</v>
      </c>
      <c r="B2832" s="2" t="s">
        <v>6852</v>
      </c>
      <c r="C2832" s="2" t="s">
        <v>36</v>
      </c>
    </row>
    <row r="2833">
      <c r="A2833" s="2" t="s">
        <v>6853</v>
      </c>
      <c r="B2833" s="2" t="s">
        <v>6854</v>
      </c>
      <c r="C2833" s="2" t="s">
        <v>36</v>
      </c>
    </row>
    <row r="2834">
      <c r="A2834" s="2" t="s">
        <v>6855</v>
      </c>
      <c r="B2834" s="2" t="s">
        <v>6856</v>
      </c>
      <c r="C2834" s="2" t="s">
        <v>36</v>
      </c>
    </row>
    <row r="2835">
      <c r="A2835" s="2" t="s">
        <v>6858</v>
      </c>
      <c r="B2835" s="2" t="s">
        <v>6859</v>
      </c>
      <c r="C2835" s="2" t="s">
        <v>36</v>
      </c>
    </row>
    <row r="2836">
      <c r="A2836" s="2" t="s">
        <v>6861</v>
      </c>
      <c r="B2836" s="2" t="s">
        <v>6862</v>
      </c>
      <c r="C2836" s="2" t="s">
        <v>36</v>
      </c>
    </row>
    <row r="2837">
      <c r="A2837" s="2" t="s">
        <v>6863</v>
      </c>
      <c r="B2837" s="2" t="s">
        <v>6864</v>
      </c>
      <c r="C2837" s="2" t="s">
        <v>36</v>
      </c>
    </row>
    <row r="2838">
      <c r="A2838" s="2" t="s">
        <v>6866</v>
      </c>
      <c r="B2838" s="2" t="s">
        <v>6867</v>
      </c>
      <c r="C2838" s="2" t="s">
        <v>36</v>
      </c>
    </row>
    <row r="2839">
      <c r="A2839" s="2" t="s">
        <v>6868</v>
      </c>
      <c r="B2839" s="2" t="s">
        <v>6870</v>
      </c>
      <c r="C2839" s="2" t="s">
        <v>36</v>
      </c>
    </row>
    <row r="2840">
      <c r="A2840" s="2" t="s">
        <v>6871</v>
      </c>
      <c r="B2840" s="2" t="s">
        <v>6872</v>
      </c>
      <c r="C2840" s="2" t="s">
        <v>36</v>
      </c>
    </row>
    <row r="2841">
      <c r="A2841" s="2" t="s">
        <v>6874</v>
      </c>
      <c r="B2841" s="2" t="s">
        <v>6875</v>
      </c>
      <c r="C2841" s="2" t="s">
        <v>36</v>
      </c>
    </row>
    <row r="2842">
      <c r="A2842" s="2" t="s">
        <v>6877</v>
      </c>
      <c r="B2842" s="2" t="s">
        <v>6878</v>
      </c>
      <c r="C2842" s="2" t="s">
        <v>36</v>
      </c>
    </row>
    <row r="2843">
      <c r="A2843" s="2" t="s">
        <v>6879</v>
      </c>
      <c r="B2843" s="2" t="s">
        <v>6880</v>
      </c>
      <c r="C2843" s="2" t="s">
        <v>36</v>
      </c>
    </row>
    <row r="2844">
      <c r="A2844" s="2" t="s">
        <v>6882</v>
      </c>
      <c r="B2844" s="2" t="s">
        <v>6883</v>
      </c>
      <c r="C2844" s="2" t="s">
        <v>36</v>
      </c>
    </row>
    <row r="2845">
      <c r="A2845" s="2" t="s">
        <v>6884</v>
      </c>
      <c r="B2845" s="2" t="s">
        <v>6885</v>
      </c>
      <c r="C2845" s="2" t="s">
        <v>36</v>
      </c>
    </row>
    <row r="2846">
      <c r="A2846" s="2" t="s">
        <v>6886</v>
      </c>
      <c r="B2846" s="2" t="s">
        <v>6887</v>
      </c>
      <c r="C2846" s="2" t="s">
        <v>36</v>
      </c>
    </row>
    <row r="2847">
      <c r="A2847" s="2" t="s">
        <v>6888</v>
      </c>
      <c r="B2847" s="2" t="s">
        <v>6889</v>
      </c>
      <c r="C2847" s="2" t="s">
        <v>36</v>
      </c>
    </row>
    <row r="2848">
      <c r="A2848" s="2" t="s">
        <v>6891</v>
      </c>
      <c r="B2848" s="2" t="s">
        <v>6892</v>
      </c>
      <c r="C2848" s="2" t="s">
        <v>36</v>
      </c>
    </row>
    <row r="2849">
      <c r="A2849" s="2" t="s">
        <v>6893</v>
      </c>
      <c r="B2849" s="2" t="s">
        <v>6894</v>
      </c>
      <c r="C2849" s="2" t="s">
        <v>36</v>
      </c>
    </row>
    <row r="2850">
      <c r="A2850" s="2" t="s">
        <v>6896</v>
      </c>
      <c r="B2850" s="2" t="s">
        <v>6898</v>
      </c>
      <c r="C2850" s="2" t="s">
        <v>36</v>
      </c>
    </row>
    <row r="2851">
      <c r="A2851" s="2" t="s">
        <v>6899</v>
      </c>
      <c r="B2851" s="2" t="s">
        <v>6900</v>
      </c>
      <c r="C2851" s="2" t="s">
        <v>36</v>
      </c>
    </row>
    <row r="2852">
      <c r="A2852" s="2" t="s">
        <v>6901</v>
      </c>
      <c r="B2852" s="2" t="s">
        <v>6902</v>
      </c>
      <c r="C2852" s="2" t="s">
        <v>36</v>
      </c>
    </row>
    <row r="2853">
      <c r="A2853" s="2" t="s">
        <v>6903</v>
      </c>
      <c r="B2853" s="2" t="s">
        <v>6905</v>
      </c>
      <c r="C2853" s="2" t="s">
        <v>36</v>
      </c>
    </row>
    <row r="2854">
      <c r="A2854" s="2" t="s">
        <v>6906</v>
      </c>
      <c r="B2854" s="2" t="s">
        <v>6907</v>
      </c>
      <c r="C2854" s="2" t="s">
        <v>36</v>
      </c>
    </row>
    <row r="2855">
      <c r="A2855" s="2" t="s">
        <v>6909</v>
      </c>
      <c r="B2855" s="2" t="s">
        <v>6910</v>
      </c>
      <c r="C2855" s="2" t="s">
        <v>36</v>
      </c>
    </row>
    <row r="2856">
      <c r="A2856" s="2" t="s">
        <v>6911</v>
      </c>
      <c r="B2856" s="2" t="s">
        <v>6912</v>
      </c>
      <c r="C2856" s="2" t="s">
        <v>36</v>
      </c>
    </row>
    <row r="2857">
      <c r="A2857" s="2" t="s">
        <v>6914</v>
      </c>
      <c r="B2857" s="2" t="s">
        <v>6915</v>
      </c>
      <c r="C2857" s="2" t="s">
        <v>36</v>
      </c>
    </row>
    <row r="2858">
      <c r="A2858" s="2" t="s">
        <v>6917</v>
      </c>
      <c r="B2858" s="2" t="s">
        <v>6919</v>
      </c>
      <c r="C2858" s="2" t="s">
        <v>36</v>
      </c>
    </row>
    <row r="2859">
      <c r="A2859" s="2" t="s">
        <v>6920</v>
      </c>
      <c r="B2859" s="2" t="s">
        <v>6921</v>
      </c>
      <c r="C2859" s="2" t="s">
        <v>36</v>
      </c>
    </row>
    <row r="2860">
      <c r="A2860" s="2" t="s">
        <v>6922</v>
      </c>
      <c r="B2860" s="2" t="s">
        <v>6924</v>
      </c>
      <c r="C2860" s="2" t="s">
        <v>36</v>
      </c>
    </row>
    <row r="2861">
      <c r="A2861" s="2" t="s">
        <v>6925</v>
      </c>
      <c r="B2861" s="2" t="s">
        <v>6926</v>
      </c>
      <c r="C2861" s="2" t="s">
        <v>36</v>
      </c>
    </row>
    <row r="2862">
      <c r="A2862" s="2" t="s">
        <v>6927</v>
      </c>
      <c r="B2862" s="2" t="s">
        <v>6929</v>
      </c>
      <c r="C2862" s="2" t="s">
        <v>36</v>
      </c>
    </row>
    <row r="2863">
      <c r="A2863" s="2" t="s">
        <v>6931</v>
      </c>
      <c r="B2863" s="2" t="s">
        <v>6932</v>
      </c>
      <c r="C2863" s="2" t="s">
        <v>36</v>
      </c>
    </row>
    <row r="2864">
      <c r="A2864" s="2" t="s">
        <v>6933</v>
      </c>
      <c r="B2864" s="2" t="s">
        <v>6934</v>
      </c>
      <c r="C2864" s="2" t="s">
        <v>36</v>
      </c>
    </row>
    <row r="2865">
      <c r="A2865" s="2" t="s">
        <v>6935</v>
      </c>
      <c r="B2865" s="2" t="s">
        <v>6936</v>
      </c>
      <c r="C2865" s="2" t="s">
        <v>36</v>
      </c>
    </row>
    <row r="2866">
      <c r="A2866" s="2" t="s">
        <v>6937</v>
      </c>
      <c r="B2866" s="2" t="s">
        <v>6939</v>
      </c>
      <c r="C2866" s="2" t="s">
        <v>36</v>
      </c>
    </row>
    <row r="2867">
      <c r="A2867" s="2" t="s">
        <v>6940</v>
      </c>
      <c r="B2867" s="2" t="s">
        <v>6941</v>
      </c>
      <c r="C2867" s="2" t="s">
        <v>36</v>
      </c>
    </row>
    <row r="2868">
      <c r="A2868" s="2" t="s">
        <v>6942</v>
      </c>
      <c r="B2868" s="2" t="s">
        <v>6944</v>
      </c>
      <c r="C2868" s="2" t="s">
        <v>36</v>
      </c>
    </row>
    <row r="2869">
      <c r="A2869" s="2" t="s">
        <v>6948</v>
      </c>
      <c r="B2869" s="2" t="s">
        <v>6949</v>
      </c>
      <c r="C2869" s="2" t="s">
        <v>36</v>
      </c>
    </row>
    <row r="2870">
      <c r="A2870" s="2" t="s">
        <v>6950</v>
      </c>
      <c r="B2870" s="2" t="s">
        <v>6951</v>
      </c>
      <c r="C2870" s="2" t="s">
        <v>36</v>
      </c>
    </row>
    <row r="2871">
      <c r="A2871" s="2" t="s">
        <v>6952</v>
      </c>
      <c r="B2871" s="2" t="s">
        <v>6953</v>
      </c>
      <c r="C2871" s="2" t="s">
        <v>36</v>
      </c>
    </row>
    <row r="2872">
      <c r="A2872" s="2" t="s">
        <v>6955</v>
      </c>
      <c r="B2872" s="2" t="s">
        <v>6957</v>
      </c>
      <c r="C2872" s="2" t="s">
        <v>36</v>
      </c>
    </row>
    <row r="2873">
      <c r="A2873" s="2" t="s">
        <v>6958</v>
      </c>
      <c r="B2873" s="2" t="s">
        <v>6959</v>
      </c>
      <c r="C2873" s="2" t="s">
        <v>36</v>
      </c>
    </row>
    <row r="2874">
      <c r="A2874" s="2" t="s">
        <v>6961</v>
      </c>
      <c r="B2874" s="2" t="s">
        <v>6963</v>
      </c>
      <c r="C2874" s="2" t="s">
        <v>36</v>
      </c>
    </row>
    <row r="2875">
      <c r="A2875" s="2" t="s">
        <v>6964</v>
      </c>
      <c r="B2875" s="2" t="s">
        <v>6965</v>
      </c>
      <c r="C2875" s="2" t="s">
        <v>36</v>
      </c>
    </row>
    <row r="2876">
      <c r="A2876" s="2" t="s">
        <v>6967</v>
      </c>
      <c r="B2876" s="2" t="s">
        <v>6969</v>
      </c>
      <c r="C2876" s="2" t="s">
        <v>36</v>
      </c>
    </row>
    <row r="2877">
      <c r="A2877" s="2" t="s">
        <v>6970</v>
      </c>
      <c r="B2877" s="2" t="s">
        <v>6971</v>
      </c>
      <c r="C2877" s="2" t="s">
        <v>36</v>
      </c>
    </row>
    <row r="2878">
      <c r="A2878" s="2" t="s">
        <v>6973</v>
      </c>
      <c r="B2878" s="2" t="s">
        <v>6974</v>
      </c>
      <c r="C2878" s="2" t="s">
        <v>36</v>
      </c>
    </row>
    <row r="2879">
      <c r="A2879" s="2" t="s">
        <v>6976</v>
      </c>
      <c r="B2879" s="2" t="s">
        <v>6977</v>
      </c>
      <c r="C2879" s="2" t="s">
        <v>36</v>
      </c>
    </row>
    <row r="2880">
      <c r="A2880" s="2" t="s">
        <v>6979</v>
      </c>
      <c r="B2880" s="2" t="s">
        <v>6981</v>
      </c>
      <c r="C2880" s="2" t="s">
        <v>36</v>
      </c>
    </row>
    <row r="2881">
      <c r="A2881" s="2" t="s">
        <v>6982</v>
      </c>
      <c r="B2881" s="2" t="s">
        <v>6983</v>
      </c>
      <c r="C2881" s="2" t="s">
        <v>36</v>
      </c>
    </row>
    <row r="2882">
      <c r="A2882" s="2" t="s">
        <v>6984</v>
      </c>
      <c r="B2882" s="2" t="s">
        <v>6985</v>
      </c>
      <c r="C2882" s="2" t="s">
        <v>36</v>
      </c>
    </row>
    <row r="2883">
      <c r="A2883" s="2" t="s">
        <v>6986</v>
      </c>
      <c r="B2883" s="2" t="s">
        <v>6987</v>
      </c>
      <c r="C2883" s="2" t="s">
        <v>36</v>
      </c>
    </row>
    <row r="2884">
      <c r="A2884" s="2" t="s">
        <v>6988</v>
      </c>
      <c r="B2884" s="2" t="s">
        <v>6989</v>
      </c>
      <c r="C2884" s="2" t="s">
        <v>36</v>
      </c>
    </row>
    <row r="2885">
      <c r="A2885" s="2" t="s">
        <v>6990</v>
      </c>
      <c r="B2885" s="2" t="s">
        <v>6991</v>
      </c>
      <c r="C2885" s="2" t="s">
        <v>36</v>
      </c>
    </row>
    <row r="2886">
      <c r="A2886" s="2" t="s">
        <v>6992</v>
      </c>
      <c r="B2886" s="2" t="s">
        <v>6993</v>
      </c>
      <c r="C2886" s="2" t="s">
        <v>36</v>
      </c>
    </row>
    <row r="2887">
      <c r="A2887" s="2" t="s">
        <v>6994</v>
      </c>
      <c r="B2887" s="2" t="s">
        <v>6995</v>
      </c>
      <c r="C2887" s="2" t="s">
        <v>36</v>
      </c>
    </row>
    <row r="2888">
      <c r="A2888" s="2" t="s">
        <v>6996</v>
      </c>
      <c r="B2888" s="2" t="s">
        <v>6997</v>
      </c>
      <c r="C2888" s="2" t="s">
        <v>36</v>
      </c>
    </row>
    <row r="2889">
      <c r="A2889" s="2" t="s">
        <v>6998</v>
      </c>
      <c r="B2889" s="2" t="s">
        <v>6999</v>
      </c>
      <c r="C2889" s="2" t="s">
        <v>36</v>
      </c>
    </row>
    <row r="2890">
      <c r="A2890" s="2" t="s">
        <v>7000</v>
      </c>
      <c r="B2890" s="2" t="s">
        <v>7001</v>
      </c>
      <c r="C2890" s="2" t="s">
        <v>36</v>
      </c>
    </row>
    <row r="2891">
      <c r="A2891" s="2" t="s">
        <v>7002</v>
      </c>
      <c r="B2891" s="2" t="s">
        <v>7003</v>
      </c>
      <c r="C2891" s="2" t="s">
        <v>36</v>
      </c>
    </row>
    <row r="2892">
      <c r="A2892" s="2" t="s">
        <v>7004</v>
      </c>
      <c r="B2892" s="2" t="s">
        <v>7005</v>
      </c>
      <c r="C2892" s="2" t="s">
        <v>36</v>
      </c>
    </row>
    <row r="2893">
      <c r="A2893" s="2" t="s">
        <v>7006</v>
      </c>
      <c r="B2893" s="2" t="s">
        <v>7007</v>
      </c>
      <c r="C2893" s="2" t="s">
        <v>36</v>
      </c>
    </row>
    <row r="2894">
      <c r="A2894" s="2" t="s">
        <v>7008</v>
      </c>
      <c r="B2894" s="2" t="s">
        <v>7009</v>
      </c>
      <c r="C2894" s="2" t="s">
        <v>36</v>
      </c>
    </row>
    <row r="2895">
      <c r="A2895" s="2" t="s">
        <v>7010</v>
      </c>
      <c r="B2895" s="2" t="s">
        <v>7009</v>
      </c>
      <c r="C2895" s="2" t="s">
        <v>36</v>
      </c>
    </row>
    <row r="2896">
      <c r="A2896" s="2" t="s">
        <v>7011</v>
      </c>
      <c r="B2896" s="2" t="s">
        <v>7009</v>
      </c>
      <c r="C2896" s="2" t="s">
        <v>36</v>
      </c>
    </row>
    <row r="2897">
      <c r="A2897" s="2" t="s">
        <v>7012</v>
      </c>
      <c r="B2897" s="2" t="s">
        <v>7013</v>
      </c>
      <c r="C2897" s="2" t="s">
        <v>36</v>
      </c>
    </row>
    <row r="2898">
      <c r="A2898" s="2" t="s">
        <v>7014</v>
      </c>
      <c r="B2898" s="2" t="s">
        <v>7015</v>
      </c>
      <c r="C2898" s="2" t="s">
        <v>36</v>
      </c>
    </row>
    <row r="2899">
      <c r="A2899" s="2" t="s">
        <v>7016</v>
      </c>
      <c r="B2899" s="2" t="s">
        <v>7017</v>
      </c>
      <c r="C2899" s="2" t="s">
        <v>36</v>
      </c>
    </row>
    <row r="2900">
      <c r="A2900" s="2" t="s">
        <v>7018</v>
      </c>
      <c r="B2900" s="2" t="s">
        <v>7019</v>
      </c>
      <c r="C2900" s="2" t="s">
        <v>36</v>
      </c>
    </row>
    <row r="2901">
      <c r="A2901" s="2" t="s">
        <v>7020</v>
      </c>
      <c r="B2901" s="2" t="s">
        <v>7021</v>
      </c>
      <c r="C2901" s="2" t="s">
        <v>36</v>
      </c>
    </row>
    <row r="2902">
      <c r="A2902" s="2" t="s">
        <v>7022</v>
      </c>
      <c r="B2902" s="2" t="s">
        <v>7023</v>
      </c>
      <c r="C2902" s="2" t="s">
        <v>36</v>
      </c>
    </row>
    <row r="2903">
      <c r="A2903" s="2" t="s">
        <v>7024</v>
      </c>
      <c r="B2903" s="2" t="s">
        <v>7025</v>
      </c>
      <c r="C2903" s="2" t="s">
        <v>36</v>
      </c>
    </row>
    <row r="2904">
      <c r="A2904" s="2" t="s">
        <v>7026</v>
      </c>
      <c r="B2904" s="2" t="s">
        <v>7027</v>
      </c>
      <c r="C2904" s="2" t="s">
        <v>36</v>
      </c>
    </row>
    <row r="2905">
      <c r="A2905" s="2" t="s">
        <v>7028</v>
      </c>
      <c r="B2905" s="2" t="s">
        <v>7029</v>
      </c>
      <c r="C2905" s="2" t="s">
        <v>36</v>
      </c>
    </row>
    <row r="2906">
      <c r="A2906" s="2" t="s">
        <v>7030</v>
      </c>
      <c r="B2906" s="2" t="s">
        <v>7031</v>
      </c>
      <c r="C2906" s="2" t="s">
        <v>36</v>
      </c>
    </row>
    <row r="2907">
      <c r="A2907" s="2" t="s">
        <v>7032</v>
      </c>
      <c r="B2907" s="2" t="s">
        <v>7033</v>
      </c>
      <c r="C2907" s="2" t="s">
        <v>36</v>
      </c>
    </row>
    <row r="2908">
      <c r="A2908" s="2" t="s">
        <v>7034</v>
      </c>
      <c r="B2908" s="2" t="s">
        <v>7035</v>
      </c>
      <c r="C2908" s="2" t="s">
        <v>36</v>
      </c>
    </row>
    <row r="2909">
      <c r="A2909" s="2" t="s">
        <v>7036</v>
      </c>
      <c r="B2909" s="2" t="s">
        <v>7037</v>
      </c>
      <c r="C2909" s="2" t="s">
        <v>36</v>
      </c>
    </row>
    <row r="2910">
      <c r="A2910" s="2" t="s">
        <v>7038</v>
      </c>
      <c r="B2910" s="2" t="s">
        <v>7039</v>
      </c>
      <c r="C2910" s="2" t="s">
        <v>36</v>
      </c>
    </row>
    <row r="2911">
      <c r="A2911" s="2" t="s">
        <v>7040</v>
      </c>
      <c r="B2911" s="2" t="s">
        <v>7041</v>
      </c>
      <c r="C2911" s="2" t="s">
        <v>36</v>
      </c>
    </row>
    <row r="2912">
      <c r="A2912" s="2" t="s">
        <v>7042</v>
      </c>
      <c r="B2912" s="2" t="s">
        <v>7043</v>
      </c>
      <c r="C2912" s="2" t="s">
        <v>36</v>
      </c>
    </row>
    <row r="2913">
      <c r="A2913" s="2" t="s">
        <v>7044</v>
      </c>
      <c r="B2913" s="2" t="s">
        <v>7045</v>
      </c>
      <c r="C2913" s="2" t="s">
        <v>36</v>
      </c>
    </row>
    <row r="2914">
      <c r="A2914" s="2" t="s">
        <v>7046</v>
      </c>
      <c r="B2914" s="2" t="s">
        <v>7047</v>
      </c>
      <c r="C2914" s="2" t="s">
        <v>36</v>
      </c>
    </row>
    <row r="2915">
      <c r="A2915" s="2" t="s">
        <v>7048</v>
      </c>
      <c r="B2915" s="2" t="s">
        <v>7049</v>
      </c>
      <c r="C2915" s="2" t="s">
        <v>36</v>
      </c>
    </row>
    <row r="2916">
      <c r="A2916" s="2" t="s">
        <v>7050</v>
      </c>
      <c r="B2916" s="2" t="s">
        <v>7051</v>
      </c>
      <c r="C2916" s="2" t="s">
        <v>36</v>
      </c>
    </row>
    <row r="2917">
      <c r="A2917" s="2" t="s">
        <v>7052</v>
      </c>
      <c r="B2917" s="2" t="s">
        <v>7053</v>
      </c>
      <c r="C2917" s="2" t="s">
        <v>36</v>
      </c>
    </row>
    <row r="2918">
      <c r="A2918" s="2" t="s">
        <v>7054</v>
      </c>
      <c r="B2918" s="2" t="s">
        <v>7055</v>
      </c>
      <c r="C2918" s="2" t="s">
        <v>36</v>
      </c>
    </row>
    <row r="2919">
      <c r="A2919" s="2" t="s">
        <v>7056</v>
      </c>
      <c r="B2919" s="2" t="s">
        <v>7057</v>
      </c>
      <c r="C2919" s="2" t="s">
        <v>36</v>
      </c>
    </row>
    <row r="2920">
      <c r="A2920" s="2" t="s">
        <v>7058</v>
      </c>
      <c r="B2920" s="2" t="s">
        <v>7059</v>
      </c>
      <c r="C2920" s="2" t="s">
        <v>36</v>
      </c>
    </row>
    <row r="2921">
      <c r="A2921" s="2" t="s">
        <v>7060</v>
      </c>
      <c r="B2921" s="2" t="s">
        <v>7061</v>
      </c>
      <c r="C2921" s="2" t="s">
        <v>36</v>
      </c>
    </row>
    <row r="2922">
      <c r="A2922" s="2" t="s">
        <v>7062</v>
      </c>
      <c r="B2922" s="2" t="s">
        <v>7063</v>
      </c>
      <c r="C2922" s="2" t="s">
        <v>36</v>
      </c>
    </row>
    <row r="2923">
      <c r="A2923" s="2" t="s">
        <v>7064</v>
      </c>
      <c r="B2923" s="2" t="s">
        <v>7065</v>
      </c>
      <c r="C2923" s="2" t="s">
        <v>36</v>
      </c>
    </row>
    <row r="2924">
      <c r="A2924" s="2" t="s">
        <v>7066</v>
      </c>
      <c r="B2924" s="2" t="s">
        <v>7067</v>
      </c>
      <c r="C2924" s="2" t="s">
        <v>36</v>
      </c>
    </row>
    <row r="2925">
      <c r="A2925" s="2" t="s">
        <v>7068</v>
      </c>
      <c r="B2925" s="2" t="s">
        <v>7069</v>
      </c>
      <c r="C2925" s="2" t="s">
        <v>36</v>
      </c>
    </row>
    <row r="2926">
      <c r="A2926" s="2" t="s">
        <v>7070</v>
      </c>
      <c r="B2926" s="2" t="s">
        <v>7071</v>
      </c>
      <c r="C2926" s="2" t="s">
        <v>36</v>
      </c>
    </row>
    <row r="2927">
      <c r="A2927" s="2" t="s">
        <v>7072</v>
      </c>
      <c r="B2927" s="2" t="s">
        <v>7073</v>
      </c>
      <c r="C2927" s="2" t="s">
        <v>36</v>
      </c>
    </row>
    <row r="2928">
      <c r="A2928" s="2" t="s">
        <v>7074</v>
      </c>
      <c r="B2928" s="2" t="s">
        <v>7075</v>
      </c>
      <c r="C2928" s="2" t="s">
        <v>36</v>
      </c>
    </row>
    <row r="2929">
      <c r="A2929" s="2" t="s">
        <v>7076</v>
      </c>
      <c r="B2929" s="2" t="s">
        <v>7077</v>
      </c>
      <c r="C2929" s="2" t="s">
        <v>36</v>
      </c>
    </row>
    <row r="2930">
      <c r="A2930" s="2" t="s">
        <v>7078</v>
      </c>
      <c r="B2930" s="2" t="s">
        <v>7079</v>
      </c>
      <c r="C2930" s="2" t="s">
        <v>36</v>
      </c>
    </row>
    <row r="2931">
      <c r="A2931" s="2" t="s">
        <v>7080</v>
      </c>
      <c r="B2931" s="2" t="s">
        <v>7081</v>
      </c>
      <c r="C2931" s="2" t="s">
        <v>36</v>
      </c>
    </row>
    <row r="2932">
      <c r="A2932" s="2" t="s">
        <v>7082</v>
      </c>
      <c r="B2932" s="2" t="s">
        <v>7083</v>
      </c>
      <c r="C2932" s="2" t="s">
        <v>36</v>
      </c>
    </row>
    <row r="2933">
      <c r="A2933" s="2" t="s">
        <v>7084</v>
      </c>
      <c r="B2933" s="2" t="s">
        <v>7085</v>
      </c>
      <c r="C2933" s="2" t="s">
        <v>36</v>
      </c>
    </row>
    <row r="2934">
      <c r="A2934" s="2" t="s">
        <v>7086</v>
      </c>
      <c r="B2934" s="2" t="s">
        <v>7087</v>
      </c>
      <c r="C2934" s="2" t="s">
        <v>36</v>
      </c>
    </row>
    <row r="2935">
      <c r="A2935" s="2" t="s">
        <v>7088</v>
      </c>
      <c r="B2935" s="2" t="s">
        <v>7089</v>
      </c>
      <c r="C2935" s="2" t="s">
        <v>36</v>
      </c>
    </row>
    <row r="2936">
      <c r="A2936" s="2" t="s">
        <v>7090</v>
      </c>
      <c r="B2936" s="2" t="s">
        <v>7091</v>
      </c>
      <c r="C2936" s="2" t="s">
        <v>36</v>
      </c>
    </row>
    <row r="2937">
      <c r="A2937" s="2" t="s">
        <v>7092</v>
      </c>
      <c r="B2937" s="2" t="s">
        <v>7093</v>
      </c>
      <c r="C2937" s="2" t="s">
        <v>36</v>
      </c>
    </row>
    <row r="2938">
      <c r="A2938" s="2" t="s">
        <v>7094</v>
      </c>
      <c r="B2938" s="2" t="s">
        <v>7095</v>
      </c>
      <c r="C2938" s="2" t="s">
        <v>36</v>
      </c>
    </row>
    <row r="2939">
      <c r="A2939" s="2" t="s">
        <v>7096</v>
      </c>
      <c r="B2939" s="2" t="s">
        <v>7097</v>
      </c>
      <c r="C2939" s="2" t="s">
        <v>36</v>
      </c>
    </row>
    <row r="2940">
      <c r="A2940" s="2" t="s">
        <v>7098</v>
      </c>
      <c r="B2940" s="2" t="s">
        <v>7099</v>
      </c>
      <c r="C2940" s="2" t="s">
        <v>36</v>
      </c>
    </row>
    <row r="2941">
      <c r="A2941" s="2" t="s">
        <v>7100</v>
      </c>
      <c r="B2941" s="2" t="s">
        <v>7101</v>
      </c>
      <c r="C2941" s="2" t="s">
        <v>36</v>
      </c>
    </row>
    <row r="2942">
      <c r="A2942" s="2" t="s">
        <v>7102</v>
      </c>
      <c r="B2942" s="2" t="s">
        <v>7103</v>
      </c>
      <c r="C2942" s="2" t="s">
        <v>36</v>
      </c>
    </row>
    <row r="2943">
      <c r="A2943" s="2" t="s">
        <v>7104</v>
      </c>
      <c r="B2943" s="2" t="s">
        <v>7105</v>
      </c>
      <c r="C2943" s="2" t="s">
        <v>36</v>
      </c>
    </row>
    <row r="2944">
      <c r="A2944" s="2" t="s">
        <v>7106</v>
      </c>
      <c r="B2944" s="2" t="s">
        <v>7107</v>
      </c>
      <c r="C2944" s="2" t="s">
        <v>36</v>
      </c>
    </row>
    <row r="2945">
      <c r="A2945" s="2" t="s">
        <v>7108</v>
      </c>
      <c r="B2945" s="2" t="s">
        <v>7109</v>
      </c>
      <c r="C2945" s="2" t="s">
        <v>36</v>
      </c>
    </row>
    <row r="2946">
      <c r="A2946" s="2" t="s">
        <v>7110</v>
      </c>
      <c r="B2946" s="2" t="s">
        <v>7111</v>
      </c>
      <c r="C2946" s="2" t="s">
        <v>36</v>
      </c>
    </row>
    <row r="2947">
      <c r="A2947" s="2" t="s">
        <v>7112</v>
      </c>
      <c r="B2947" s="2" t="s">
        <v>7113</v>
      </c>
      <c r="C2947" s="2" t="s">
        <v>36</v>
      </c>
    </row>
    <row r="2948">
      <c r="A2948" s="2" t="s">
        <v>7114</v>
      </c>
      <c r="B2948" s="2" t="s">
        <v>7115</v>
      </c>
      <c r="C2948" s="2" t="s">
        <v>36</v>
      </c>
    </row>
    <row r="2949">
      <c r="A2949" s="2" t="s">
        <v>7116</v>
      </c>
      <c r="B2949" s="2" t="s">
        <v>7117</v>
      </c>
      <c r="C2949" s="2" t="s">
        <v>36</v>
      </c>
    </row>
    <row r="2950">
      <c r="A2950" s="2" t="s">
        <v>7118</v>
      </c>
      <c r="B2950" s="2" t="s">
        <v>7119</v>
      </c>
      <c r="C2950" s="2" t="s">
        <v>36</v>
      </c>
    </row>
    <row r="2951">
      <c r="A2951" s="2" t="s">
        <v>7120</v>
      </c>
      <c r="B2951" s="2" t="s">
        <v>7121</v>
      </c>
      <c r="C2951" s="2" t="s">
        <v>36</v>
      </c>
    </row>
    <row r="2952">
      <c r="A2952" s="2" t="s">
        <v>7122</v>
      </c>
      <c r="B2952" s="2" t="s">
        <v>7123</v>
      </c>
      <c r="C2952" s="2" t="s">
        <v>36</v>
      </c>
    </row>
    <row r="2953">
      <c r="A2953" s="2" t="s">
        <v>7124</v>
      </c>
      <c r="B2953" s="2" t="s">
        <v>7125</v>
      </c>
      <c r="C2953" s="2" t="s">
        <v>36</v>
      </c>
    </row>
    <row r="2954">
      <c r="A2954" s="2" t="s">
        <v>7126</v>
      </c>
      <c r="B2954" s="2" t="s">
        <v>7127</v>
      </c>
      <c r="C2954" s="2" t="s">
        <v>36</v>
      </c>
    </row>
    <row r="2955">
      <c r="A2955" s="2" t="s">
        <v>7128</v>
      </c>
      <c r="B2955" s="2" t="s">
        <v>7129</v>
      </c>
      <c r="C2955" s="2" t="s">
        <v>36</v>
      </c>
    </row>
    <row r="2956">
      <c r="A2956" s="2" t="s">
        <v>7130</v>
      </c>
      <c r="B2956" s="2" t="s">
        <v>7131</v>
      </c>
      <c r="C2956" s="2" t="s">
        <v>36</v>
      </c>
    </row>
    <row r="2957">
      <c r="A2957" s="2" t="s">
        <v>7132</v>
      </c>
      <c r="B2957" s="2" t="s">
        <v>7133</v>
      </c>
      <c r="C2957" s="2" t="s">
        <v>36</v>
      </c>
    </row>
    <row r="2958">
      <c r="A2958" s="2" t="s">
        <v>7134</v>
      </c>
      <c r="B2958" s="2" t="s">
        <v>7135</v>
      </c>
      <c r="C2958" s="2" t="s">
        <v>36</v>
      </c>
    </row>
    <row r="2959">
      <c r="A2959" s="2" t="s">
        <v>7136</v>
      </c>
      <c r="B2959" s="2" t="s">
        <v>7137</v>
      </c>
      <c r="C2959" s="2" t="s">
        <v>36</v>
      </c>
    </row>
    <row r="2960">
      <c r="A2960" s="2" t="s">
        <v>7138</v>
      </c>
      <c r="B2960" s="2" t="s">
        <v>7139</v>
      </c>
      <c r="C2960" s="2" t="s">
        <v>36</v>
      </c>
    </row>
    <row r="2961">
      <c r="A2961" s="2" t="s">
        <v>7140</v>
      </c>
      <c r="B2961" s="2" t="s">
        <v>7141</v>
      </c>
      <c r="C2961" s="2" t="s">
        <v>36</v>
      </c>
    </row>
    <row r="2962">
      <c r="A2962" s="2" t="s">
        <v>7142</v>
      </c>
      <c r="B2962" s="2" t="s">
        <v>7143</v>
      </c>
      <c r="C2962" s="2" t="s">
        <v>36</v>
      </c>
    </row>
    <row r="2963">
      <c r="A2963" s="2" t="s">
        <v>7144</v>
      </c>
      <c r="B2963" s="2" t="s">
        <v>7145</v>
      </c>
      <c r="C2963" s="2" t="s">
        <v>36</v>
      </c>
    </row>
    <row r="2964">
      <c r="A2964" s="2" t="s">
        <v>7146</v>
      </c>
      <c r="B2964" s="2" t="s">
        <v>7147</v>
      </c>
      <c r="C2964" s="2" t="s">
        <v>36</v>
      </c>
    </row>
    <row r="2965">
      <c r="A2965" s="2" t="s">
        <v>7148</v>
      </c>
      <c r="B2965" s="2" t="s">
        <v>7149</v>
      </c>
      <c r="C2965" s="2" t="s">
        <v>36</v>
      </c>
    </row>
    <row r="2966">
      <c r="A2966" s="2" t="s">
        <v>7150</v>
      </c>
      <c r="B2966" s="2" t="s">
        <v>7151</v>
      </c>
      <c r="C2966" s="2" t="s">
        <v>36</v>
      </c>
    </row>
    <row r="2967">
      <c r="A2967" s="2" t="s">
        <v>7152</v>
      </c>
      <c r="B2967" s="2" t="s">
        <v>7153</v>
      </c>
      <c r="C2967" s="2" t="s">
        <v>36</v>
      </c>
    </row>
    <row r="2968">
      <c r="A2968" s="2" t="s">
        <v>7154</v>
      </c>
      <c r="B2968" s="2" t="s">
        <v>7155</v>
      </c>
      <c r="C2968" s="2" t="s">
        <v>36</v>
      </c>
    </row>
    <row r="2969">
      <c r="A2969" s="2" t="s">
        <v>7156</v>
      </c>
      <c r="B2969" s="2" t="s">
        <v>7157</v>
      </c>
      <c r="C2969" s="2" t="s">
        <v>36</v>
      </c>
    </row>
    <row r="2970">
      <c r="A2970" s="2" t="s">
        <v>7158</v>
      </c>
      <c r="B2970" s="2" t="s">
        <v>7159</v>
      </c>
      <c r="C2970" s="2" t="s">
        <v>36</v>
      </c>
    </row>
    <row r="2971">
      <c r="A2971" s="2" t="s">
        <v>7160</v>
      </c>
      <c r="B2971" s="2" t="s">
        <v>7161</v>
      </c>
      <c r="C2971" s="2" t="s">
        <v>36</v>
      </c>
    </row>
    <row r="2972">
      <c r="A2972" s="2" t="s">
        <v>7162</v>
      </c>
      <c r="B2972" s="2" t="s">
        <v>7163</v>
      </c>
      <c r="C2972" s="2" t="s">
        <v>36</v>
      </c>
    </row>
    <row r="2973">
      <c r="A2973" s="2" t="s">
        <v>7164</v>
      </c>
      <c r="B2973" s="2" t="s">
        <v>7165</v>
      </c>
      <c r="C2973" s="2" t="s">
        <v>36</v>
      </c>
    </row>
    <row r="2974">
      <c r="A2974" s="2" t="s">
        <v>7166</v>
      </c>
      <c r="B2974" s="2" t="s">
        <v>7167</v>
      </c>
      <c r="C2974" s="2" t="s">
        <v>36</v>
      </c>
    </row>
    <row r="2975">
      <c r="A2975" s="2" t="s">
        <v>7168</v>
      </c>
      <c r="B2975" s="2" t="s">
        <v>7169</v>
      </c>
      <c r="C2975" s="2" t="s">
        <v>36</v>
      </c>
    </row>
    <row r="2976">
      <c r="A2976" s="2" t="s">
        <v>7170</v>
      </c>
      <c r="B2976" s="2" t="s">
        <v>7171</v>
      </c>
      <c r="C2976" s="2" t="s">
        <v>36</v>
      </c>
    </row>
    <row r="2977">
      <c r="A2977" s="2" t="s">
        <v>7172</v>
      </c>
      <c r="B2977" s="2" t="s">
        <v>7173</v>
      </c>
      <c r="C2977" s="2" t="s">
        <v>36</v>
      </c>
    </row>
    <row r="2978">
      <c r="A2978" s="2" t="s">
        <v>7174</v>
      </c>
      <c r="B2978" s="2" t="s">
        <v>7175</v>
      </c>
      <c r="C2978" s="2" t="s">
        <v>36</v>
      </c>
    </row>
    <row r="2979">
      <c r="A2979" s="2" t="s">
        <v>7176</v>
      </c>
      <c r="B2979" s="2" t="s">
        <v>7177</v>
      </c>
      <c r="C2979" s="2" t="s">
        <v>36</v>
      </c>
    </row>
    <row r="2980">
      <c r="A2980" s="2" t="s">
        <v>7178</v>
      </c>
      <c r="B2980" s="2" t="s">
        <v>7179</v>
      </c>
      <c r="C2980" s="2" t="s">
        <v>36</v>
      </c>
    </row>
    <row r="2981">
      <c r="A2981" s="2" t="s">
        <v>7180</v>
      </c>
      <c r="B2981" s="2" t="s">
        <v>7181</v>
      </c>
      <c r="C2981" s="2" t="s">
        <v>36</v>
      </c>
    </row>
    <row r="2982">
      <c r="A2982" s="2" t="s">
        <v>7182</v>
      </c>
      <c r="B2982" s="2" t="s">
        <v>7183</v>
      </c>
      <c r="C2982" s="2" t="s">
        <v>36</v>
      </c>
    </row>
    <row r="2983">
      <c r="A2983" s="2" t="s">
        <v>7184</v>
      </c>
      <c r="B2983" s="2" t="s">
        <v>7185</v>
      </c>
      <c r="C2983" s="2" t="s">
        <v>36</v>
      </c>
    </row>
    <row r="2984">
      <c r="A2984" s="2" t="s">
        <v>7186</v>
      </c>
      <c r="B2984" s="2" t="s">
        <v>7187</v>
      </c>
      <c r="C2984" s="2" t="s">
        <v>36</v>
      </c>
    </row>
    <row r="2985">
      <c r="A2985" s="2" t="s">
        <v>7188</v>
      </c>
      <c r="B2985" s="2" t="s">
        <v>7189</v>
      </c>
      <c r="C2985" s="2" t="s">
        <v>36</v>
      </c>
    </row>
    <row r="2986">
      <c r="A2986" s="2" t="s">
        <v>7190</v>
      </c>
      <c r="B2986" s="2" t="s">
        <v>7191</v>
      </c>
      <c r="C2986" s="2" t="s">
        <v>36</v>
      </c>
    </row>
    <row r="2987">
      <c r="A2987" s="2" t="s">
        <v>7192</v>
      </c>
      <c r="B2987" s="2" t="s">
        <v>7193</v>
      </c>
      <c r="C2987" s="2" t="s">
        <v>36</v>
      </c>
    </row>
    <row r="2988">
      <c r="A2988" s="2" t="s">
        <v>7194</v>
      </c>
      <c r="B2988" s="2" t="s">
        <v>7195</v>
      </c>
      <c r="C2988" s="2" t="s">
        <v>36</v>
      </c>
    </row>
    <row r="2989">
      <c r="A2989" s="2" t="s">
        <v>7196</v>
      </c>
      <c r="B2989" s="2" t="s">
        <v>7197</v>
      </c>
      <c r="C2989" s="2" t="s">
        <v>36</v>
      </c>
    </row>
    <row r="2990">
      <c r="A2990" s="2" t="s">
        <v>7198</v>
      </c>
      <c r="B2990" s="2" t="s">
        <v>7199</v>
      </c>
      <c r="C2990" s="2" t="s">
        <v>36</v>
      </c>
    </row>
    <row r="2991">
      <c r="A2991" s="2" t="s">
        <v>7200</v>
      </c>
      <c r="B2991" s="2" t="s">
        <v>7201</v>
      </c>
      <c r="C2991" s="2" t="s">
        <v>36</v>
      </c>
    </row>
    <row r="2992">
      <c r="A2992" s="2" t="s">
        <v>7202</v>
      </c>
      <c r="B2992" s="2" t="s">
        <v>7203</v>
      </c>
      <c r="C2992" s="2" t="s">
        <v>36</v>
      </c>
    </row>
    <row r="2993">
      <c r="A2993" s="2" t="s">
        <v>7204</v>
      </c>
      <c r="B2993" s="2" t="s">
        <v>7205</v>
      </c>
      <c r="C2993" s="2" t="s">
        <v>36</v>
      </c>
    </row>
    <row r="2994">
      <c r="A2994" s="2" t="s">
        <v>7206</v>
      </c>
      <c r="B2994" s="2" t="s">
        <v>7207</v>
      </c>
      <c r="C2994" s="2" t="s">
        <v>36</v>
      </c>
    </row>
    <row r="2995">
      <c r="A2995" s="2" t="s">
        <v>7208</v>
      </c>
      <c r="B2995" s="2" t="s">
        <v>7209</v>
      </c>
      <c r="C2995" s="2" t="s">
        <v>36</v>
      </c>
    </row>
    <row r="2996">
      <c r="A2996" s="2" t="s">
        <v>7210</v>
      </c>
      <c r="B2996" s="2" t="s">
        <v>7211</v>
      </c>
      <c r="C2996" s="2" t="s">
        <v>36</v>
      </c>
    </row>
    <row r="2997">
      <c r="A2997" s="2" t="s">
        <v>7212</v>
      </c>
      <c r="B2997" s="2" t="s">
        <v>7213</v>
      </c>
      <c r="C2997" s="2" t="s">
        <v>36</v>
      </c>
    </row>
    <row r="2998">
      <c r="A2998" s="2" t="s">
        <v>7214</v>
      </c>
      <c r="B2998" s="2" t="s">
        <v>7215</v>
      </c>
      <c r="C2998" s="2" t="s">
        <v>36</v>
      </c>
    </row>
    <row r="2999">
      <c r="A2999" s="2" t="s">
        <v>7216</v>
      </c>
      <c r="B2999" s="2" t="s">
        <v>7217</v>
      </c>
      <c r="C2999" s="2" t="s">
        <v>36</v>
      </c>
    </row>
    <row r="3000">
      <c r="A3000" s="2" t="s">
        <v>7218</v>
      </c>
      <c r="B3000" s="2" t="s">
        <v>7219</v>
      </c>
      <c r="C3000" s="2" t="s">
        <v>36</v>
      </c>
    </row>
    <row r="3001">
      <c r="A3001" s="2" t="s">
        <v>7220</v>
      </c>
      <c r="B3001" s="2" t="s">
        <v>7221</v>
      </c>
      <c r="C3001" s="2" t="s">
        <v>36</v>
      </c>
    </row>
    <row r="3002">
      <c r="A3002" s="2" t="s">
        <v>7222</v>
      </c>
      <c r="B3002" s="2" t="s">
        <v>7223</v>
      </c>
      <c r="C3002" s="2" t="s">
        <v>36</v>
      </c>
    </row>
    <row r="3003">
      <c r="A3003" s="2" t="s">
        <v>7224</v>
      </c>
      <c r="B3003" s="2" t="s">
        <v>7225</v>
      </c>
      <c r="C3003" s="2" t="s">
        <v>36</v>
      </c>
    </row>
    <row r="3004">
      <c r="A3004" s="2" t="s">
        <v>7226</v>
      </c>
      <c r="B3004" s="2" t="s">
        <v>7227</v>
      </c>
      <c r="C3004" s="2" t="s">
        <v>36</v>
      </c>
    </row>
    <row r="3005">
      <c r="A3005" s="2" t="s">
        <v>7228</v>
      </c>
      <c r="B3005" s="2" t="s">
        <v>7229</v>
      </c>
      <c r="C3005" s="2" t="s">
        <v>36</v>
      </c>
    </row>
    <row r="3006">
      <c r="A3006" s="2" t="s">
        <v>7230</v>
      </c>
      <c r="B3006" s="2" t="s">
        <v>7231</v>
      </c>
      <c r="C3006" s="2" t="s">
        <v>36</v>
      </c>
    </row>
    <row r="3007">
      <c r="A3007" s="2" t="s">
        <v>7232</v>
      </c>
      <c r="B3007" s="2" t="s">
        <v>7233</v>
      </c>
      <c r="C3007" s="2" t="s">
        <v>36</v>
      </c>
    </row>
    <row r="3008">
      <c r="A3008" s="2" t="s">
        <v>7234</v>
      </c>
      <c r="B3008" s="2" t="s">
        <v>7235</v>
      </c>
      <c r="C3008" s="2" t="s">
        <v>36</v>
      </c>
    </row>
    <row r="3009">
      <c r="A3009" s="2" t="s">
        <v>7236</v>
      </c>
      <c r="B3009" s="2" t="s">
        <v>7237</v>
      </c>
      <c r="C3009" s="2" t="s">
        <v>36</v>
      </c>
    </row>
    <row r="3010">
      <c r="A3010" s="2" t="s">
        <v>7238</v>
      </c>
      <c r="B3010" s="2" t="s">
        <v>7239</v>
      </c>
      <c r="C3010" s="2" t="s">
        <v>36</v>
      </c>
    </row>
    <row r="3011">
      <c r="A3011" s="2" t="s">
        <v>7240</v>
      </c>
      <c r="B3011" s="2" t="s">
        <v>7241</v>
      </c>
      <c r="C3011" s="2" t="s">
        <v>36</v>
      </c>
    </row>
    <row r="3012">
      <c r="A3012" s="2" t="s">
        <v>7242</v>
      </c>
      <c r="B3012" s="2" t="s">
        <v>7243</v>
      </c>
      <c r="C3012" s="2" t="s">
        <v>36</v>
      </c>
    </row>
    <row r="3013">
      <c r="A3013" s="2" t="s">
        <v>7244</v>
      </c>
      <c r="B3013" s="2" t="s">
        <v>7245</v>
      </c>
      <c r="C3013" s="2" t="s">
        <v>36</v>
      </c>
    </row>
    <row r="3014">
      <c r="A3014" s="2" t="s">
        <v>7246</v>
      </c>
      <c r="B3014" s="2" t="s">
        <v>7247</v>
      </c>
      <c r="C3014" s="2" t="s">
        <v>36</v>
      </c>
    </row>
    <row r="3015">
      <c r="A3015" s="2" t="s">
        <v>7248</v>
      </c>
      <c r="B3015" s="2" t="s">
        <v>7249</v>
      </c>
      <c r="C3015" s="2" t="s">
        <v>36</v>
      </c>
    </row>
    <row r="3016">
      <c r="A3016" s="2" t="s">
        <v>7250</v>
      </c>
      <c r="B3016" s="2" t="s">
        <v>7251</v>
      </c>
      <c r="C3016" s="2" t="s">
        <v>36</v>
      </c>
    </row>
    <row r="3017">
      <c r="A3017" s="2" t="s">
        <v>7252</v>
      </c>
      <c r="B3017" s="2" t="s">
        <v>7253</v>
      </c>
      <c r="C3017" s="2" t="s">
        <v>36</v>
      </c>
    </row>
    <row r="3018">
      <c r="A3018" s="2" t="s">
        <v>7254</v>
      </c>
      <c r="B3018" s="2" t="s">
        <v>7255</v>
      </c>
      <c r="C3018" s="2" t="s">
        <v>36</v>
      </c>
    </row>
    <row r="3019">
      <c r="A3019" s="2" t="s">
        <v>7256</v>
      </c>
      <c r="B3019" s="2" t="s">
        <v>7257</v>
      </c>
      <c r="C3019" s="2" t="s">
        <v>36</v>
      </c>
    </row>
    <row r="3020">
      <c r="A3020" s="2" t="s">
        <v>7258</v>
      </c>
      <c r="B3020" s="2" t="s">
        <v>7259</v>
      </c>
      <c r="C3020" s="2" t="s">
        <v>36</v>
      </c>
    </row>
    <row r="3021">
      <c r="A3021" s="2" t="s">
        <v>7260</v>
      </c>
      <c r="B3021" s="2" t="s">
        <v>7261</v>
      </c>
      <c r="C3021" s="2" t="s">
        <v>36</v>
      </c>
    </row>
    <row r="3022">
      <c r="A3022" s="2" t="s">
        <v>7262</v>
      </c>
      <c r="B3022" s="2" t="s">
        <v>7263</v>
      </c>
      <c r="C3022" s="2" t="s">
        <v>36</v>
      </c>
    </row>
    <row r="3023">
      <c r="A3023" s="2" t="s">
        <v>7264</v>
      </c>
      <c r="B3023" s="2" t="s">
        <v>7265</v>
      </c>
      <c r="C3023" s="2" t="s">
        <v>36</v>
      </c>
    </row>
    <row r="3024">
      <c r="A3024" s="2" t="s">
        <v>7266</v>
      </c>
      <c r="B3024" s="2" t="s">
        <v>7267</v>
      </c>
      <c r="C3024" s="2" t="s">
        <v>36</v>
      </c>
    </row>
    <row r="3025">
      <c r="A3025" s="2" t="s">
        <v>7268</v>
      </c>
      <c r="B3025" s="2" t="s">
        <v>7269</v>
      </c>
      <c r="C3025" s="2" t="s">
        <v>36</v>
      </c>
    </row>
    <row r="3026">
      <c r="A3026" s="2" t="s">
        <v>7270</v>
      </c>
      <c r="B3026" s="2" t="s">
        <v>7271</v>
      </c>
      <c r="C3026" s="2" t="s">
        <v>36</v>
      </c>
    </row>
    <row r="3027">
      <c r="A3027" s="2" t="s">
        <v>7272</v>
      </c>
      <c r="B3027" s="2" t="s">
        <v>7273</v>
      </c>
      <c r="C3027" s="2" t="s">
        <v>36</v>
      </c>
    </row>
    <row r="3028">
      <c r="A3028" s="2" t="s">
        <v>7274</v>
      </c>
      <c r="B3028" s="2" t="s">
        <v>7275</v>
      </c>
      <c r="C3028" s="2" t="s">
        <v>36</v>
      </c>
    </row>
    <row r="3029">
      <c r="A3029" s="2" t="s">
        <v>7276</v>
      </c>
      <c r="B3029" s="2" t="s">
        <v>7277</v>
      </c>
      <c r="C3029" s="2" t="s">
        <v>36</v>
      </c>
    </row>
    <row r="3030">
      <c r="A3030" s="2" t="s">
        <v>7278</v>
      </c>
      <c r="B3030" s="2" t="s">
        <v>7279</v>
      </c>
      <c r="C3030" s="2" t="s">
        <v>36</v>
      </c>
    </row>
    <row r="3031">
      <c r="A3031" s="2" t="s">
        <v>7280</v>
      </c>
      <c r="B3031" s="2" t="s">
        <v>7281</v>
      </c>
      <c r="C3031" s="2" t="s">
        <v>36</v>
      </c>
    </row>
    <row r="3032">
      <c r="A3032" s="2" t="s">
        <v>7282</v>
      </c>
      <c r="B3032" s="2" t="s">
        <v>7283</v>
      </c>
      <c r="C3032" s="2" t="s">
        <v>36</v>
      </c>
    </row>
    <row r="3033">
      <c r="A3033" s="2" t="s">
        <v>7284</v>
      </c>
      <c r="B3033" s="2" t="s">
        <v>7285</v>
      </c>
      <c r="C3033" s="2" t="s">
        <v>36</v>
      </c>
    </row>
    <row r="3034">
      <c r="A3034" s="2" t="s">
        <v>7286</v>
      </c>
      <c r="B3034" s="2" t="s">
        <v>7287</v>
      </c>
      <c r="C3034" s="2" t="s">
        <v>36</v>
      </c>
    </row>
    <row r="3035">
      <c r="A3035" s="2" t="s">
        <v>7288</v>
      </c>
      <c r="B3035" s="2" t="s">
        <v>7289</v>
      </c>
      <c r="C3035" s="2" t="s">
        <v>36</v>
      </c>
    </row>
    <row r="3036">
      <c r="A3036" s="2" t="s">
        <v>7290</v>
      </c>
      <c r="B3036" s="2" t="s">
        <v>7291</v>
      </c>
      <c r="C3036" s="2" t="s">
        <v>36</v>
      </c>
    </row>
    <row r="3037">
      <c r="A3037" s="2" t="s">
        <v>7292</v>
      </c>
      <c r="B3037" s="2" t="s">
        <v>7293</v>
      </c>
      <c r="C3037" s="2" t="s">
        <v>36</v>
      </c>
    </row>
    <row r="3038">
      <c r="A3038" s="2" t="s">
        <v>7294</v>
      </c>
      <c r="B3038" s="2" t="s">
        <v>7295</v>
      </c>
      <c r="C3038" s="2" t="s">
        <v>36</v>
      </c>
    </row>
    <row r="3039">
      <c r="A3039" s="2" t="s">
        <v>7296</v>
      </c>
      <c r="B3039" s="2" t="s">
        <v>7297</v>
      </c>
      <c r="C3039" s="2" t="s">
        <v>36</v>
      </c>
    </row>
    <row r="3040">
      <c r="A3040" s="2" t="s">
        <v>7298</v>
      </c>
      <c r="B3040" s="2" t="s">
        <v>7299</v>
      </c>
      <c r="C3040" s="2" t="s">
        <v>36</v>
      </c>
    </row>
    <row r="3041">
      <c r="A3041" s="2" t="s">
        <v>7300</v>
      </c>
      <c r="B3041" s="2" t="s">
        <v>7301</v>
      </c>
      <c r="C3041" s="2" t="s">
        <v>36</v>
      </c>
    </row>
    <row r="3042">
      <c r="A3042" s="2" t="s">
        <v>7302</v>
      </c>
      <c r="B3042" s="2" t="s">
        <v>7303</v>
      </c>
      <c r="C3042" s="2" t="s">
        <v>36</v>
      </c>
    </row>
    <row r="3043">
      <c r="A3043" s="2" t="s">
        <v>7304</v>
      </c>
      <c r="B3043" s="2" t="s">
        <v>7305</v>
      </c>
      <c r="C3043" s="2" t="s">
        <v>36</v>
      </c>
    </row>
    <row r="3044">
      <c r="A3044" s="2" t="s">
        <v>7306</v>
      </c>
      <c r="B3044" s="2" t="s">
        <v>7307</v>
      </c>
      <c r="C3044" s="2" t="s">
        <v>36</v>
      </c>
    </row>
    <row r="3045">
      <c r="A3045" s="2" t="s">
        <v>7308</v>
      </c>
      <c r="B3045" s="2" t="s">
        <v>7309</v>
      </c>
      <c r="C3045" s="2" t="s">
        <v>36</v>
      </c>
    </row>
    <row r="3046">
      <c r="A3046" s="2" t="s">
        <v>7310</v>
      </c>
      <c r="B3046" s="2" t="s">
        <v>7311</v>
      </c>
      <c r="C3046" s="2" t="s">
        <v>36</v>
      </c>
    </row>
    <row r="3047">
      <c r="A3047" s="2" t="s">
        <v>7312</v>
      </c>
      <c r="B3047" s="2" t="s">
        <v>7313</v>
      </c>
      <c r="C3047" s="2" t="s">
        <v>36</v>
      </c>
    </row>
    <row r="3048">
      <c r="A3048" s="2" t="s">
        <v>7314</v>
      </c>
      <c r="B3048" s="2" t="s">
        <v>7315</v>
      </c>
      <c r="C3048" s="2" t="s">
        <v>36</v>
      </c>
    </row>
    <row r="3049">
      <c r="A3049" s="2" t="s">
        <v>7316</v>
      </c>
      <c r="B3049" s="2" t="s">
        <v>7317</v>
      </c>
      <c r="C3049" s="2" t="s">
        <v>36</v>
      </c>
    </row>
    <row r="3050">
      <c r="A3050" s="2" t="s">
        <v>7318</v>
      </c>
      <c r="B3050" s="2" t="s">
        <v>7319</v>
      </c>
      <c r="C3050" s="2" t="s">
        <v>36</v>
      </c>
    </row>
    <row r="3051">
      <c r="A3051" s="2" t="s">
        <v>7320</v>
      </c>
      <c r="B3051" s="2" t="s">
        <v>7321</v>
      </c>
      <c r="C3051" s="2" t="s">
        <v>36</v>
      </c>
    </row>
    <row r="3052">
      <c r="A3052" s="2" t="s">
        <v>7322</v>
      </c>
      <c r="B3052" s="2" t="s">
        <v>7323</v>
      </c>
      <c r="C3052" s="2" t="s">
        <v>36</v>
      </c>
    </row>
    <row r="3053">
      <c r="A3053" s="2" t="s">
        <v>7324</v>
      </c>
      <c r="B3053" s="2" t="s">
        <v>7325</v>
      </c>
      <c r="C3053" s="2" t="s">
        <v>36</v>
      </c>
    </row>
    <row r="3054">
      <c r="A3054" s="2" t="s">
        <v>7326</v>
      </c>
      <c r="B3054" s="2" t="s">
        <v>7327</v>
      </c>
      <c r="C3054" s="2" t="s">
        <v>36</v>
      </c>
    </row>
    <row r="3055">
      <c r="A3055" s="2" t="s">
        <v>7328</v>
      </c>
      <c r="B3055" s="2" t="s">
        <v>7329</v>
      </c>
      <c r="C3055" s="2" t="s">
        <v>36</v>
      </c>
    </row>
    <row r="3056">
      <c r="A3056" s="2" t="s">
        <v>7330</v>
      </c>
      <c r="B3056" s="2" t="s">
        <v>7331</v>
      </c>
      <c r="C3056" s="2" t="s">
        <v>36</v>
      </c>
    </row>
    <row r="3057">
      <c r="A3057" s="2" t="s">
        <v>7332</v>
      </c>
      <c r="B3057" s="2" t="s">
        <v>7333</v>
      </c>
      <c r="C3057" s="2" t="s">
        <v>36</v>
      </c>
    </row>
    <row r="3058">
      <c r="A3058" s="2" t="s">
        <v>7334</v>
      </c>
      <c r="B3058" s="2" t="s">
        <v>7335</v>
      </c>
      <c r="C3058" s="2" t="s">
        <v>36</v>
      </c>
    </row>
    <row r="3059">
      <c r="A3059" s="2" t="s">
        <v>7336</v>
      </c>
      <c r="B3059" s="2" t="s">
        <v>7337</v>
      </c>
      <c r="C3059" s="2" t="s">
        <v>36</v>
      </c>
    </row>
    <row r="3060">
      <c r="A3060" s="2" t="s">
        <v>7338</v>
      </c>
      <c r="B3060" s="2" t="s">
        <v>7339</v>
      </c>
      <c r="C3060" s="2" t="s">
        <v>36</v>
      </c>
    </row>
    <row r="3061">
      <c r="A3061" s="2" t="s">
        <v>7340</v>
      </c>
      <c r="B3061" s="2" t="s">
        <v>7341</v>
      </c>
      <c r="C3061" s="2" t="s">
        <v>36</v>
      </c>
    </row>
    <row r="3062">
      <c r="A3062" s="2" t="s">
        <v>7342</v>
      </c>
      <c r="B3062" s="2" t="s">
        <v>7343</v>
      </c>
      <c r="C3062" s="2" t="s">
        <v>36</v>
      </c>
    </row>
    <row r="3063">
      <c r="A3063" s="2" t="s">
        <v>7344</v>
      </c>
      <c r="B3063" s="2" t="s">
        <v>7345</v>
      </c>
      <c r="C3063" s="2" t="s">
        <v>36</v>
      </c>
    </row>
    <row r="3064">
      <c r="A3064" s="2" t="s">
        <v>7346</v>
      </c>
      <c r="B3064" s="2" t="s">
        <v>7347</v>
      </c>
      <c r="C3064" s="2" t="s">
        <v>36</v>
      </c>
    </row>
    <row r="3065">
      <c r="A3065" s="2" t="s">
        <v>7348</v>
      </c>
      <c r="B3065" s="2" t="s">
        <v>7349</v>
      </c>
      <c r="C3065" s="2" t="s">
        <v>36</v>
      </c>
    </row>
    <row r="3066">
      <c r="A3066" s="2" t="s">
        <v>7350</v>
      </c>
      <c r="B3066" s="2" t="s">
        <v>7351</v>
      </c>
      <c r="C3066" s="2" t="s">
        <v>36</v>
      </c>
    </row>
    <row r="3067">
      <c r="A3067" s="2" t="s">
        <v>7352</v>
      </c>
      <c r="B3067" s="2" t="s">
        <v>7353</v>
      </c>
      <c r="C3067" s="2" t="s">
        <v>36</v>
      </c>
    </row>
    <row r="3068">
      <c r="A3068" s="2" t="s">
        <v>7354</v>
      </c>
      <c r="B3068" s="2" t="s">
        <v>7355</v>
      </c>
      <c r="C3068" s="2" t="s">
        <v>36</v>
      </c>
    </row>
    <row r="3069">
      <c r="A3069" s="2" t="s">
        <v>7356</v>
      </c>
      <c r="B3069" s="2" t="s">
        <v>7357</v>
      </c>
      <c r="C3069" s="2" t="s">
        <v>36</v>
      </c>
    </row>
    <row r="3070">
      <c r="A3070" s="2" t="s">
        <v>7358</v>
      </c>
      <c r="B3070" s="2" t="s">
        <v>7359</v>
      </c>
      <c r="C3070" s="2" t="s">
        <v>36</v>
      </c>
    </row>
    <row r="3071">
      <c r="A3071" s="2" t="s">
        <v>7360</v>
      </c>
      <c r="B3071" s="2" t="s">
        <v>7361</v>
      </c>
      <c r="C3071" s="2" t="s">
        <v>36</v>
      </c>
    </row>
    <row r="3072">
      <c r="A3072" s="2" t="s">
        <v>7362</v>
      </c>
      <c r="B3072" s="2" t="s">
        <v>7363</v>
      </c>
      <c r="C3072" s="2" t="s">
        <v>36</v>
      </c>
    </row>
    <row r="3073">
      <c r="A3073" s="2" t="s">
        <v>7364</v>
      </c>
      <c r="B3073" s="2" t="s">
        <v>7365</v>
      </c>
      <c r="C3073" s="2" t="s">
        <v>36</v>
      </c>
    </row>
    <row r="3074">
      <c r="A3074" s="2" t="s">
        <v>7366</v>
      </c>
      <c r="B3074" s="2" t="s">
        <v>7367</v>
      </c>
      <c r="C3074" s="2" t="s">
        <v>36</v>
      </c>
    </row>
    <row r="3075">
      <c r="A3075" s="2" t="s">
        <v>7368</v>
      </c>
      <c r="B3075" s="2" t="s">
        <v>7369</v>
      </c>
      <c r="C3075" s="2" t="s">
        <v>36</v>
      </c>
    </row>
    <row r="3076">
      <c r="A3076" s="2" t="s">
        <v>7370</v>
      </c>
      <c r="B3076" s="2" t="s">
        <v>7371</v>
      </c>
      <c r="C3076" s="2" t="s">
        <v>36</v>
      </c>
    </row>
    <row r="3077">
      <c r="A3077" s="2" t="s">
        <v>7372</v>
      </c>
      <c r="B3077" s="2" t="s">
        <v>7373</v>
      </c>
      <c r="C3077" s="2" t="s">
        <v>36</v>
      </c>
    </row>
    <row r="3078">
      <c r="A3078" s="2" t="s">
        <v>7374</v>
      </c>
      <c r="B3078" s="2" t="s">
        <v>7375</v>
      </c>
      <c r="C3078" s="2" t="s">
        <v>36</v>
      </c>
    </row>
    <row r="3079">
      <c r="A3079" s="2" t="s">
        <v>7376</v>
      </c>
      <c r="B3079" s="2" t="s">
        <v>7377</v>
      </c>
      <c r="C3079" s="2" t="s">
        <v>36</v>
      </c>
    </row>
    <row r="3080">
      <c r="A3080" s="2" t="s">
        <v>7378</v>
      </c>
      <c r="B3080" s="2" t="s">
        <v>7379</v>
      </c>
      <c r="C3080" s="2" t="s">
        <v>36</v>
      </c>
    </row>
    <row r="3081">
      <c r="A3081" s="2" t="s">
        <v>7380</v>
      </c>
      <c r="B3081" s="2" t="s">
        <v>7381</v>
      </c>
      <c r="C3081" s="2" t="s">
        <v>36</v>
      </c>
    </row>
    <row r="3082">
      <c r="A3082" s="2" t="s">
        <v>7382</v>
      </c>
      <c r="B3082" s="2" t="s">
        <v>7383</v>
      </c>
      <c r="C3082" s="2" t="s">
        <v>36</v>
      </c>
    </row>
    <row r="3083">
      <c r="A3083" s="2" t="s">
        <v>7384</v>
      </c>
      <c r="B3083" s="2" t="s">
        <v>7385</v>
      </c>
      <c r="C3083" s="2" t="s">
        <v>36</v>
      </c>
    </row>
    <row r="3084">
      <c r="A3084" s="2" t="s">
        <v>7386</v>
      </c>
      <c r="B3084" s="2" t="s">
        <v>7387</v>
      </c>
      <c r="C3084" s="2" t="s">
        <v>36</v>
      </c>
    </row>
    <row r="3085">
      <c r="A3085" s="2" t="s">
        <v>7388</v>
      </c>
      <c r="B3085" s="2" t="s">
        <v>7389</v>
      </c>
      <c r="C3085" s="2" t="s">
        <v>36</v>
      </c>
    </row>
    <row r="3086">
      <c r="A3086" s="2" t="s">
        <v>7390</v>
      </c>
      <c r="B3086" s="2" t="s">
        <v>7391</v>
      </c>
      <c r="C3086" s="2" t="s">
        <v>36</v>
      </c>
    </row>
    <row r="3087">
      <c r="A3087" s="2" t="s">
        <v>7392</v>
      </c>
      <c r="B3087" s="2" t="s">
        <v>7393</v>
      </c>
      <c r="C3087" s="2" t="s">
        <v>36</v>
      </c>
    </row>
    <row r="3088">
      <c r="A3088" s="2" t="s">
        <v>7394</v>
      </c>
      <c r="B3088" s="2" t="s">
        <v>7395</v>
      </c>
      <c r="C3088" s="2" t="s">
        <v>36</v>
      </c>
    </row>
    <row r="3089">
      <c r="A3089" s="2" t="s">
        <v>7396</v>
      </c>
      <c r="B3089" s="2" t="s">
        <v>7397</v>
      </c>
      <c r="C3089" s="2" t="s">
        <v>36</v>
      </c>
    </row>
    <row r="3090">
      <c r="A3090" s="2" t="s">
        <v>7398</v>
      </c>
      <c r="B3090" s="2" t="s">
        <v>7399</v>
      </c>
      <c r="C3090" s="2" t="s">
        <v>36</v>
      </c>
    </row>
    <row r="3091">
      <c r="A3091" s="2" t="s">
        <v>7400</v>
      </c>
      <c r="B3091" s="2" t="s">
        <v>7401</v>
      </c>
      <c r="C3091" s="2" t="s">
        <v>36</v>
      </c>
    </row>
    <row r="3092">
      <c r="A3092" s="2" t="s">
        <v>7402</v>
      </c>
      <c r="B3092" s="2" t="s">
        <v>7403</v>
      </c>
      <c r="C3092" s="2" t="s">
        <v>36</v>
      </c>
    </row>
    <row r="3093">
      <c r="A3093" s="2" t="s">
        <v>7404</v>
      </c>
      <c r="B3093" s="2" t="s">
        <v>7405</v>
      </c>
      <c r="C3093" s="2" t="s">
        <v>36</v>
      </c>
    </row>
    <row r="3094">
      <c r="A3094" s="2" t="s">
        <v>7406</v>
      </c>
      <c r="B3094" s="2" t="s">
        <v>7407</v>
      </c>
      <c r="C3094" s="2" t="s">
        <v>36</v>
      </c>
    </row>
    <row r="3095">
      <c r="A3095" s="2" t="s">
        <v>7408</v>
      </c>
      <c r="B3095" s="2" t="s">
        <v>7409</v>
      </c>
      <c r="C3095" s="2" t="s">
        <v>36</v>
      </c>
    </row>
    <row r="3096">
      <c r="A3096" s="2" t="s">
        <v>7410</v>
      </c>
      <c r="B3096" s="2" t="s">
        <v>7411</v>
      </c>
      <c r="C3096" s="2" t="s">
        <v>36</v>
      </c>
    </row>
    <row r="3097">
      <c r="A3097" s="2" t="s">
        <v>7412</v>
      </c>
      <c r="B3097" s="2" t="s">
        <v>7413</v>
      </c>
      <c r="C3097" s="2" t="s">
        <v>36</v>
      </c>
    </row>
    <row r="3098">
      <c r="A3098" s="2" t="s">
        <v>7414</v>
      </c>
      <c r="B3098" s="2" t="s">
        <v>7415</v>
      </c>
      <c r="C3098" s="2" t="s">
        <v>36</v>
      </c>
    </row>
    <row r="3099">
      <c r="A3099" s="2" t="s">
        <v>7416</v>
      </c>
      <c r="B3099" s="2" t="s">
        <v>7417</v>
      </c>
      <c r="C3099" s="2" t="s">
        <v>36</v>
      </c>
    </row>
    <row r="3100">
      <c r="A3100" s="2" t="s">
        <v>7418</v>
      </c>
      <c r="B3100" s="2" t="s">
        <v>7419</v>
      </c>
      <c r="C3100" s="2" t="s">
        <v>36</v>
      </c>
    </row>
    <row r="3101">
      <c r="A3101" s="2" t="s">
        <v>7420</v>
      </c>
      <c r="B3101" s="2" t="s">
        <v>7421</v>
      </c>
      <c r="C3101" s="2" t="s">
        <v>36</v>
      </c>
    </row>
    <row r="3102">
      <c r="A3102" s="2" t="s">
        <v>7422</v>
      </c>
      <c r="B3102" s="2" t="s">
        <v>7423</v>
      </c>
      <c r="C3102" s="2" t="s">
        <v>36</v>
      </c>
    </row>
    <row r="3103">
      <c r="A3103" s="2" t="s">
        <v>7424</v>
      </c>
      <c r="B3103" s="2" t="s">
        <v>7425</v>
      </c>
      <c r="C3103" s="2" t="s">
        <v>36</v>
      </c>
    </row>
    <row r="3104">
      <c r="A3104" s="2" t="s">
        <v>7426</v>
      </c>
      <c r="B3104" s="2" t="s">
        <v>7427</v>
      </c>
      <c r="C3104" s="2" t="s">
        <v>36</v>
      </c>
    </row>
    <row r="3105">
      <c r="A3105" s="2" t="s">
        <v>7428</v>
      </c>
      <c r="B3105" s="2" t="s">
        <v>7429</v>
      </c>
      <c r="C3105" s="2" t="s">
        <v>36</v>
      </c>
    </row>
    <row r="3106">
      <c r="A3106" s="2" t="s">
        <v>7430</v>
      </c>
      <c r="B3106" s="2" t="s">
        <v>7431</v>
      </c>
      <c r="C3106" s="2" t="s">
        <v>36</v>
      </c>
    </row>
    <row r="3107">
      <c r="A3107" s="2" t="s">
        <v>7432</v>
      </c>
      <c r="B3107" s="2" t="s">
        <v>7433</v>
      </c>
      <c r="C3107" s="2" t="s">
        <v>36</v>
      </c>
    </row>
    <row r="3108">
      <c r="A3108" s="2" t="s">
        <v>7434</v>
      </c>
      <c r="B3108" s="2" t="s">
        <v>7435</v>
      </c>
      <c r="C3108" s="2" t="s">
        <v>36</v>
      </c>
    </row>
    <row r="3109">
      <c r="A3109" s="2" t="s">
        <v>7436</v>
      </c>
      <c r="B3109" s="2" t="s">
        <v>7437</v>
      </c>
      <c r="C3109" s="2" t="s">
        <v>36</v>
      </c>
    </row>
    <row r="3110">
      <c r="A3110" s="2" t="s">
        <v>7438</v>
      </c>
      <c r="B3110" s="2" t="s">
        <v>7439</v>
      </c>
      <c r="C3110" s="2" t="s">
        <v>36</v>
      </c>
    </row>
    <row r="3111">
      <c r="A3111" s="2" t="s">
        <v>7440</v>
      </c>
      <c r="B3111" s="2" t="s">
        <v>7441</v>
      </c>
      <c r="C3111" s="2" t="s">
        <v>36</v>
      </c>
    </row>
    <row r="3112">
      <c r="A3112" s="2" t="s">
        <v>7442</v>
      </c>
      <c r="B3112" s="2" t="s">
        <v>7443</v>
      </c>
      <c r="C3112" s="2" t="s">
        <v>36</v>
      </c>
    </row>
    <row r="3113">
      <c r="A3113" s="2" t="s">
        <v>7444</v>
      </c>
      <c r="B3113" s="2" t="s">
        <v>7445</v>
      </c>
      <c r="C3113" s="2" t="s">
        <v>36</v>
      </c>
    </row>
    <row r="3114">
      <c r="A3114" s="2" t="s">
        <v>7446</v>
      </c>
      <c r="B3114" s="2" t="s">
        <v>7447</v>
      </c>
      <c r="C3114" s="2" t="s">
        <v>36</v>
      </c>
    </row>
    <row r="3115">
      <c r="A3115" s="2" t="s">
        <v>7448</v>
      </c>
      <c r="B3115" s="2" t="s">
        <v>7449</v>
      </c>
      <c r="C3115" s="2" t="s">
        <v>36</v>
      </c>
    </row>
    <row r="3116">
      <c r="A3116" s="2" t="s">
        <v>7450</v>
      </c>
      <c r="B3116" s="2" t="s">
        <v>7451</v>
      </c>
      <c r="C3116" s="2" t="s">
        <v>36</v>
      </c>
    </row>
    <row r="3117">
      <c r="A3117" s="2" t="s">
        <v>7452</v>
      </c>
      <c r="B3117" s="2" t="s">
        <v>7453</v>
      </c>
      <c r="C3117" s="2" t="s">
        <v>36</v>
      </c>
    </row>
    <row r="3118">
      <c r="A3118" s="2" t="s">
        <v>7454</v>
      </c>
      <c r="B3118" s="2" t="s">
        <v>7455</v>
      </c>
      <c r="C3118" s="2" t="s">
        <v>36</v>
      </c>
    </row>
    <row r="3119">
      <c r="A3119" s="2" t="s">
        <v>7456</v>
      </c>
      <c r="B3119" s="2" t="s">
        <v>7457</v>
      </c>
      <c r="C3119" s="2" t="s">
        <v>36</v>
      </c>
    </row>
    <row r="3120">
      <c r="A3120" s="2" t="s">
        <v>7458</v>
      </c>
      <c r="B3120" s="2" t="s">
        <v>7459</v>
      </c>
      <c r="C3120" s="2" t="s">
        <v>36</v>
      </c>
    </row>
    <row r="3121">
      <c r="A3121" s="2" t="s">
        <v>7460</v>
      </c>
      <c r="B3121" s="2" t="s">
        <v>7461</v>
      </c>
      <c r="C3121" s="2" t="s">
        <v>36</v>
      </c>
    </row>
    <row r="3122">
      <c r="A3122" s="2" t="s">
        <v>7462</v>
      </c>
      <c r="B3122" s="2" t="s">
        <v>7463</v>
      </c>
      <c r="C3122" s="2" t="s">
        <v>36</v>
      </c>
    </row>
    <row r="3123">
      <c r="A3123" s="2" t="s">
        <v>7464</v>
      </c>
      <c r="B3123" s="2" t="s">
        <v>7465</v>
      </c>
      <c r="C3123" s="2" t="s">
        <v>36</v>
      </c>
    </row>
    <row r="3124">
      <c r="A3124" s="2" t="s">
        <v>7466</v>
      </c>
      <c r="B3124" s="2" t="s">
        <v>7467</v>
      </c>
      <c r="C3124" s="2" t="s">
        <v>36</v>
      </c>
    </row>
    <row r="3125">
      <c r="A3125" s="2" t="s">
        <v>7468</v>
      </c>
      <c r="B3125" s="2" t="s">
        <v>7467</v>
      </c>
      <c r="C3125" s="2" t="s">
        <v>36</v>
      </c>
    </row>
    <row r="3126">
      <c r="A3126" s="2" t="s">
        <v>7469</v>
      </c>
      <c r="B3126" s="2" t="s">
        <v>7467</v>
      </c>
      <c r="C3126" s="2" t="s">
        <v>36</v>
      </c>
    </row>
    <row r="3127">
      <c r="A3127" s="2" t="s">
        <v>7470</v>
      </c>
      <c r="B3127" s="2" t="s">
        <v>7467</v>
      </c>
      <c r="C3127" s="2" t="s">
        <v>36</v>
      </c>
    </row>
    <row r="3128">
      <c r="A3128" s="2" t="s">
        <v>7471</v>
      </c>
      <c r="B3128" s="2" t="s">
        <v>7467</v>
      </c>
      <c r="C3128" s="2" t="s">
        <v>36</v>
      </c>
    </row>
    <row r="3129">
      <c r="A3129" s="2" t="s">
        <v>7472</v>
      </c>
      <c r="B3129" s="2" t="s">
        <v>7473</v>
      </c>
      <c r="C3129" s="2" t="s">
        <v>36</v>
      </c>
    </row>
    <row r="3130">
      <c r="A3130" s="2" t="s">
        <v>7474</v>
      </c>
      <c r="B3130" s="2" t="s">
        <v>7475</v>
      </c>
      <c r="C3130" s="2" t="s">
        <v>36</v>
      </c>
    </row>
    <row r="3131">
      <c r="A3131" s="2" t="s">
        <v>7476</v>
      </c>
      <c r="B3131" s="2" t="s">
        <v>7477</v>
      </c>
      <c r="C3131" s="2" t="s">
        <v>36</v>
      </c>
    </row>
    <row r="3132">
      <c r="A3132" s="2" t="s">
        <v>7478</v>
      </c>
      <c r="B3132" s="2" t="s">
        <v>7479</v>
      </c>
      <c r="C3132" s="2" t="s">
        <v>36</v>
      </c>
    </row>
    <row r="3133">
      <c r="A3133" s="2" t="s">
        <v>7480</v>
      </c>
      <c r="B3133" s="2" t="s">
        <v>7481</v>
      </c>
      <c r="C3133" s="2" t="s">
        <v>36</v>
      </c>
    </row>
    <row r="3134">
      <c r="A3134" s="2" t="s">
        <v>7482</v>
      </c>
      <c r="B3134" s="2" t="s">
        <v>7483</v>
      </c>
      <c r="C3134" s="2" t="s">
        <v>36</v>
      </c>
    </row>
    <row r="3135">
      <c r="A3135" s="2" t="s">
        <v>7484</v>
      </c>
      <c r="B3135" s="2" t="s">
        <v>7485</v>
      </c>
      <c r="C3135" s="2" t="s">
        <v>36</v>
      </c>
    </row>
    <row r="3136">
      <c r="A3136" s="2" t="s">
        <v>7486</v>
      </c>
      <c r="B3136" s="2" t="s">
        <v>7487</v>
      </c>
      <c r="C3136" s="2" t="s">
        <v>36</v>
      </c>
    </row>
    <row r="3137">
      <c r="A3137" s="2" t="s">
        <v>7488</v>
      </c>
      <c r="B3137" s="2" t="s">
        <v>7489</v>
      </c>
      <c r="C3137" s="2" t="s">
        <v>36</v>
      </c>
    </row>
    <row r="3138">
      <c r="A3138" s="2" t="s">
        <v>7490</v>
      </c>
      <c r="B3138" s="2" t="s">
        <v>7491</v>
      </c>
      <c r="C3138" s="2" t="s">
        <v>36</v>
      </c>
    </row>
    <row r="3139">
      <c r="A3139" s="2" t="s">
        <v>7492</v>
      </c>
      <c r="B3139" s="2" t="s">
        <v>7493</v>
      </c>
      <c r="C3139" s="2" t="s">
        <v>36</v>
      </c>
    </row>
    <row r="3140">
      <c r="A3140" s="2" t="s">
        <v>7494</v>
      </c>
      <c r="B3140" s="2" t="s">
        <v>7495</v>
      </c>
      <c r="C3140" s="2" t="s">
        <v>36</v>
      </c>
    </row>
    <row r="3141">
      <c r="A3141" s="2" t="s">
        <v>7496</v>
      </c>
      <c r="B3141" s="2" t="s">
        <v>7497</v>
      </c>
      <c r="C3141" s="2" t="s">
        <v>36</v>
      </c>
    </row>
    <row r="3142">
      <c r="A3142" s="2" t="s">
        <v>7498</v>
      </c>
      <c r="B3142" s="2" t="s">
        <v>7499</v>
      </c>
      <c r="C3142" s="2" t="s">
        <v>36</v>
      </c>
    </row>
    <row r="3143">
      <c r="A3143" s="2" t="s">
        <v>7500</v>
      </c>
      <c r="B3143" s="2" t="s">
        <v>7501</v>
      </c>
      <c r="C3143" s="2" t="s">
        <v>36</v>
      </c>
    </row>
    <row r="3144">
      <c r="A3144" s="2" t="s">
        <v>7502</v>
      </c>
      <c r="B3144" s="2" t="s">
        <v>7503</v>
      </c>
      <c r="C3144" s="2" t="s">
        <v>36</v>
      </c>
    </row>
    <row r="3145">
      <c r="A3145" s="2" t="s">
        <v>7504</v>
      </c>
      <c r="B3145" s="2" t="s">
        <v>7505</v>
      </c>
      <c r="C3145" s="2" t="s">
        <v>36</v>
      </c>
    </row>
    <row r="3146">
      <c r="A3146" s="2" t="s">
        <v>7506</v>
      </c>
      <c r="B3146" s="2" t="s">
        <v>7507</v>
      </c>
      <c r="C3146" s="2" t="s">
        <v>36</v>
      </c>
    </row>
    <row r="3147">
      <c r="A3147" s="2" t="s">
        <v>7508</v>
      </c>
      <c r="B3147" s="2" t="s">
        <v>7509</v>
      </c>
      <c r="C3147" s="2" t="s">
        <v>36</v>
      </c>
    </row>
    <row r="3148">
      <c r="A3148" s="2" t="s">
        <v>7510</v>
      </c>
      <c r="B3148" s="2" t="s">
        <v>7511</v>
      </c>
      <c r="C3148" s="2" t="s">
        <v>36</v>
      </c>
    </row>
    <row r="3149">
      <c r="A3149" s="2" t="s">
        <v>7512</v>
      </c>
      <c r="B3149" s="2" t="s">
        <v>7511</v>
      </c>
      <c r="C3149" s="2" t="s">
        <v>36</v>
      </c>
    </row>
    <row r="3150">
      <c r="A3150" s="2" t="s">
        <v>7513</v>
      </c>
      <c r="B3150" s="2" t="s">
        <v>7514</v>
      </c>
      <c r="C3150" s="2" t="s">
        <v>36</v>
      </c>
    </row>
    <row r="3151">
      <c r="A3151" s="2" t="s">
        <v>7515</v>
      </c>
      <c r="B3151" s="2" t="s">
        <v>7516</v>
      </c>
      <c r="C3151" s="2" t="s">
        <v>36</v>
      </c>
    </row>
    <row r="3152">
      <c r="A3152" s="2" t="s">
        <v>7517</v>
      </c>
      <c r="B3152" s="2" t="s">
        <v>7518</v>
      </c>
      <c r="C3152" s="2" t="s">
        <v>36</v>
      </c>
    </row>
    <row r="3153">
      <c r="A3153" s="2" t="s">
        <v>7519</v>
      </c>
      <c r="B3153" s="2" t="s">
        <v>7520</v>
      </c>
      <c r="C3153" s="2" t="s">
        <v>36</v>
      </c>
    </row>
    <row r="3154">
      <c r="A3154" s="2" t="s">
        <v>7521</v>
      </c>
      <c r="B3154" s="2" t="s">
        <v>7522</v>
      </c>
      <c r="C3154" s="2" t="s">
        <v>36</v>
      </c>
    </row>
    <row r="3155">
      <c r="A3155" s="2" t="s">
        <v>7523</v>
      </c>
      <c r="B3155" s="2" t="s">
        <v>7524</v>
      </c>
      <c r="C3155" s="2" t="s">
        <v>36</v>
      </c>
    </row>
    <row r="3156">
      <c r="A3156" s="2" t="s">
        <v>7525</v>
      </c>
      <c r="B3156" s="2" t="s">
        <v>7526</v>
      </c>
      <c r="C3156" s="2" t="s">
        <v>36</v>
      </c>
    </row>
    <row r="3157">
      <c r="A3157" s="2" t="s">
        <v>7527</v>
      </c>
      <c r="B3157" s="2" t="s">
        <v>7528</v>
      </c>
      <c r="C3157" s="2" t="s">
        <v>36</v>
      </c>
    </row>
    <row r="3158">
      <c r="A3158" s="2" t="s">
        <v>7529</v>
      </c>
      <c r="B3158" s="2" t="s">
        <v>7530</v>
      </c>
      <c r="C3158" s="2" t="s">
        <v>36</v>
      </c>
    </row>
    <row r="3159">
      <c r="A3159" s="2" t="s">
        <v>7531</v>
      </c>
      <c r="B3159" s="2" t="s">
        <v>7532</v>
      </c>
      <c r="C3159" s="2" t="s">
        <v>36</v>
      </c>
    </row>
    <row r="3160">
      <c r="A3160" s="2" t="s">
        <v>7533</v>
      </c>
      <c r="B3160" s="2" t="s">
        <v>7534</v>
      </c>
      <c r="C3160" s="2" t="s">
        <v>36</v>
      </c>
    </row>
    <row r="3161">
      <c r="A3161" s="2" t="s">
        <v>7535</v>
      </c>
      <c r="B3161" s="2" t="s">
        <v>7536</v>
      </c>
      <c r="C3161" s="2" t="s">
        <v>36</v>
      </c>
    </row>
    <row r="3162">
      <c r="A3162" s="2" t="s">
        <v>7537</v>
      </c>
      <c r="B3162" s="2" t="s">
        <v>7538</v>
      </c>
      <c r="C3162" s="2" t="s">
        <v>36</v>
      </c>
    </row>
    <row r="3163">
      <c r="A3163" s="2" t="s">
        <v>7539</v>
      </c>
      <c r="B3163" s="2" t="s">
        <v>7540</v>
      </c>
      <c r="C3163" s="2" t="s">
        <v>36</v>
      </c>
    </row>
    <row r="3164">
      <c r="A3164" s="2" t="s">
        <v>7541</v>
      </c>
      <c r="B3164" s="2" t="s">
        <v>7542</v>
      </c>
      <c r="C3164" s="2" t="s">
        <v>36</v>
      </c>
    </row>
    <row r="3165">
      <c r="A3165" s="2" t="s">
        <v>7543</v>
      </c>
      <c r="B3165" s="2" t="s">
        <v>7544</v>
      </c>
      <c r="C3165" s="2" t="s">
        <v>36</v>
      </c>
    </row>
    <row r="3166">
      <c r="A3166" s="2" t="s">
        <v>7545</v>
      </c>
      <c r="B3166" s="2" t="s">
        <v>7546</v>
      </c>
      <c r="C3166" s="2" t="s">
        <v>36</v>
      </c>
    </row>
    <row r="3167">
      <c r="A3167" s="2" t="s">
        <v>7547</v>
      </c>
      <c r="B3167" s="2" t="s">
        <v>7548</v>
      </c>
      <c r="C3167" s="2" t="s">
        <v>36</v>
      </c>
    </row>
    <row r="3168">
      <c r="A3168" s="2" t="s">
        <v>7549</v>
      </c>
      <c r="B3168" s="2" t="s">
        <v>7550</v>
      </c>
      <c r="C3168" s="2" t="s">
        <v>36</v>
      </c>
    </row>
    <row r="3169">
      <c r="A3169" s="2" t="s">
        <v>7551</v>
      </c>
      <c r="B3169" s="2" t="s">
        <v>7552</v>
      </c>
      <c r="C3169" s="2" t="s">
        <v>36</v>
      </c>
    </row>
    <row r="3170">
      <c r="A3170" s="2" t="s">
        <v>7553</v>
      </c>
      <c r="B3170" s="2" t="s">
        <v>7554</v>
      </c>
      <c r="C3170" s="2" t="s">
        <v>36</v>
      </c>
    </row>
    <row r="3171">
      <c r="A3171" s="2" t="s">
        <v>7555</v>
      </c>
      <c r="B3171" s="2" t="s">
        <v>7556</v>
      </c>
      <c r="C3171" s="2" t="s">
        <v>36</v>
      </c>
    </row>
    <row r="3172">
      <c r="A3172" s="2" t="s">
        <v>7557</v>
      </c>
      <c r="B3172" s="2" t="s">
        <v>7558</v>
      </c>
      <c r="C3172" s="2" t="s">
        <v>36</v>
      </c>
    </row>
    <row r="3173">
      <c r="A3173" s="2" t="s">
        <v>7559</v>
      </c>
      <c r="B3173" s="2" t="s">
        <v>7560</v>
      </c>
      <c r="C3173" s="2" t="s">
        <v>36</v>
      </c>
    </row>
    <row r="3174">
      <c r="A3174" s="2" t="s">
        <v>7561</v>
      </c>
      <c r="B3174" s="2" t="s">
        <v>7562</v>
      </c>
      <c r="C3174" s="2" t="s">
        <v>36</v>
      </c>
    </row>
    <row r="3175">
      <c r="A3175" s="2" t="s">
        <v>7563</v>
      </c>
      <c r="B3175" s="2" t="s">
        <v>7564</v>
      </c>
      <c r="C3175" s="2" t="s">
        <v>36</v>
      </c>
    </row>
    <row r="3176">
      <c r="A3176" s="2" t="s">
        <v>7565</v>
      </c>
      <c r="B3176" s="2" t="s">
        <v>7566</v>
      </c>
      <c r="C3176" s="2" t="s">
        <v>36</v>
      </c>
    </row>
    <row r="3177">
      <c r="A3177" s="2" t="s">
        <v>7567</v>
      </c>
      <c r="B3177" s="2" t="s">
        <v>7568</v>
      </c>
      <c r="C3177" s="2" t="s">
        <v>36</v>
      </c>
    </row>
    <row r="3178">
      <c r="A3178" s="2" t="s">
        <v>7569</v>
      </c>
      <c r="B3178" s="2" t="s">
        <v>7570</v>
      </c>
      <c r="C3178" s="2" t="s">
        <v>36</v>
      </c>
    </row>
    <row r="3179">
      <c r="A3179" s="2" t="s">
        <v>7571</v>
      </c>
      <c r="B3179" s="2" t="s">
        <v>7572</v>
      </c>
      <c r="C3179" s="2" t="s">
        <v>36</v>
      </c>
    </row>
    <row r="3180">
      <c r="A3180" s="2" t="s">
        <v>7573</v>
      </c>
      <c r="B3180" s="2" t="s">
        <v>7574</v>
      </c>
      <c r="C3180" s="2" t="s">
        <v>36</v>
      </c>
    </row>
    <row r="3181">
      <c r="A3181" s="2" t="s">
        <v>7575</v>
      </c>
      <c r="B3181" s="2" t="s">
        <v>7576</v>
      </c>
      <c r="C3181" s="2" t="s">
        <v>36</v>
      </c>
    </row>
    <row r="3182">
      <c r="A3182" s="2" t="s">
        <v>7577</v>
      </c>
      <c r="B3182" s="2" t="s">
        <v>7578</v>
      </c>
      <c r="C3182" s="2" t="s">
        <v>36</v>
      </c>
    </row>
    <row r="3183">
      <c r="A3183" s="2" t="s">
        <v>7579</v>
      </c>
      <c r="B3183" s="2" t="s">
        <v>7580</v>
      </c>
      <c r="C3183" s="2" t="s">
        <v>36</v>
      </c>
    </row>
    <row r="3184">
      <c r="A3184" s="2" t="s">
        <v>7581</v>
      </c>
      <c r="B3184" s="2" t="s">
        <v>7582</v>
      </c>
      <c r="C3184" s="2" t="s">
        <v>36</v>
      </c>
    </row>
    <row r="3185">
      <c r="A3185" s="2" t="s">
        <v>7583</v>
      </c>
      <c r="B3185" s="2" t="s">
        <v>7582</v>
      </c>
      <c r="C3185" s="2" t="s">
        <v>36</v>
      </c>
    </row>
    <row r="3186">
      <c r="A3186" s="2" t="s">
        <v>112</v>
      </c>
      <c r="B3186" s="2" t="s">
        <v>113</v>
      </c>
      <c r="C3186" s="2" t="s">
        <v>36</v>
      </c>
    </row>
    <row r="3187">
      <c r="A3187" s="2" t="s">
        <v>7584</v>
      </c>
      <c r="B3187" s="2" t="s">
        <v>7585</v>
      </c>
      <c r="C3187" s="2" t="s">
        <v>36</v>
      </c>
    </row>
    <row r="3188">
      <c r="A3188" s="2" t="s">
        <v>7586</v>
      </c>
      <c r="B3188" s="2" t="s">
        <v>7587</v>
      </c>
      <c r="C3188" s="2" t="s">
        <v>36</v>
      </c>
    </row>
    <row r="3189">
      <c r="A3189" s="2" t="s">
        <v>7588</v>
      </c>
      <c r="B3189" s="2" t="s">
        <v>7589</v>
      </c>
      <c r="C3189" s="2" t="s">
        <v>36</v>
      </c>
    </row>
    <row r="3190">
      <c r="A3190" s="2" t="s">
        <v>7590</v>
      </c>
      <c r="B3190" s="2" t="s">
        <v>7591</v>
      </c>
      <c r="C3190" s="2" t="s">
        <v>36</v>
      </c>
    </row>
    <row r="3191">
      <c r="A3191" s="2" t="s">
        <v>7592</v>
      </c>
      <c r="B3191" s="2" t="s">
        <v>7593</v>
      </c>
      <c r="C3191" s="2" t="s">
        <v>36</v>
      </c>
    </row>
    <row r="3192">
      <c r="A3192" s="2" t="s">
        <v>7594</v>
      </c>
      <c r="B3192" s="2" t="s">
        <v>7595</v>
      </c>
      <c r="C3192" s="2" t="s">
        <v>7596</v>
      </c>
    </row>
    <row r="3193">
      <c r="A3193" s="2" t="s">
        <v>7597</v>
      </c>
      <c r="B3193" s="2" t="s">
        <v>7598</v>
      </c>
      <c r="C3193" s="2" t="s">
        <v>7596</v>
      </c>
    </row>
    <row r="3194">
      <c r="A3194" s="2" t="s">
        <v>7599</v>
      </c>
      <c r="B3194" s="2" t="s">
        <v>7600</v>
      </c>
      <c r="C3194" s="2" t="s">
        <v>7596</v>
      </c>
    </row>
    <row r="3195">
      <c r="A3195" s="2" t="s">
        <v>7601</v>
      </c>
      <c r="B3195" s="2" t="s">
        <v>7602</v>
      </c>
      <c r="C3195" s="2" t="s">
        <v>7596</v>
      </c>
    </row>
    <row r="3196">
      <c r="A3196" s="2" t="s">
        <v>7603</v>
      </c>
      <c r="B3196" s="2" t="s">
        <v>7602</v>
      </c>
      <c r="C3196" s="2" t="s">
        <v>7596</v>
      </c>
    </row>
    <row r="3197">
      <c r="A3197" s="2" t="s">
        <v>7604</v>
      </c>
      <c r="B3197" s="2" t="s">
        <v>7605</v>
      </c>
      <c r="C3197" s="2" t="s">
        <v>7596</v>
      </c>
    </row>
    <row r="3198">
      <c r="A3198" s="2" t="s">
        <v>7606</v>
      </c>
      <c r="B3198" s="2" t="s">
        <v>7607</v>
      </c>
      <c r="C3198" s="2" t="s">
        <v>7596</v>
      </c>
    </row>
    <row r="3199">
      <c r="A3199" s="2" t="s">
        <v>7608</v>
      </c>
      <c r="B3199" s="2" t="s">
        <v>7609</v>
      </c>
      <c r="C3199" s="2" t="s">
        <v>7596</v>
      </c>
    </row>
    <row r="3200">
      <c r="A3200" s="2" t="s">
        <v>7610</v>
      </c>
      <c r="B3200" s="2" t="s">
        <v>7611</v>
      </c>
      <c r="C3200" s="2" t="s">
        <v>7596</v>
      </c>
    </row>
    <row r="3201">
      <c r="A3201" s="2" t="s">
        <v>7612</v>
      </c>
      <c r="B3201" s="2" t="s">
        <v>7613</v>
      </c>
      <c r="C3201" s="2" t="s">
        <v>7596</v>
      </c>
    </row>
    <row r="3202">
      <c r="A3202" s="2" t="s">
        <v>7614</v>
      </c>
      <c r="B3202" s="2" t="s">
        <v>7615</v>
      </c>
      <c r="C3202" s="2" t="s">
        <v>7596</v>
      </c>
    </row>
    <row r="3203">
      <c r="A3203" s="2" t="s">
        <v>7616</v>
      </c>
      <c r="B3203" s="2" t="s">
        <v>7615</v>
      </c>
      <c r="C3203" s="2" t="s">
        <v>7596</v>
      </c>
    </row>
    <row r="3204">
      <c r="A3204" s="2" t="s">
        <v>7617</v>
      </c>
      <c r="B3204" s="2" t="s">
        <v>7615</v>
      </c>
      <c r="C3204" s="2" t="s">
        <v>7596</v>
      </c>
    </row>
    <row r="3205">
      <c r="A3205" s="2" t="s">
        <v>7618</v>
      </c>
      <c r="B3205" s="2" t="s">
        <v>7615</v>
      </c>
      <c r="C3205" s="2" t="s">
        <v>7596</v>
      </c>
    </row>
    <row r="3206">
      <c r="A3206" s="2" t="s">
        <v>7619</v>
      </c>
      <c r="B3206" s="2" t="s">
        <v>7615</v>
      </c>
      <c r="C3206" s="2" t="s">
        <v>7596</v>
      </c>
    </row>
    <row r="3207">
      <c r="A3207" s="2" t="s">
        <v>7620</v>
      </c>
      <c r="B3207" s="2" t="s">
        <v>7615</v>
      </c>
      <c r="C3207" s="2" t="s">
        <v>7596</v>
      </c>
    </row>
    <row r="3208">
      <c r="A3208" s="2" t="s">
        <v>7621</v>
      </c>
      <c r="B3208" s="2" t="s">
        <v>7615</v>
      </c>
      <c r="C3208" s="2" t="s">
        <v>7596</v>
      </c>
    </row>
    <row r="3209">
      <c r="A3209" s="2" t="s">
        <v>7622</v>
      </c>
      <c r="B3209" s="2" t="s">
        <v>7623</v>
      </c>
      <c r="C3209" s="2" t="s">
        <v>7596</v>
      </c>
    </row>
    <row r="3210">
      <c r="A3210" s="2" t="s">
        <v>7624</v>
      </c>
      <c r="B3210" s="2" t="s">
        <v>7625</v>
      </c>
      <c r="C3210" s="2" t="s">
        <v>7596</v>
      </c>
    </row>
    <row r="3211">
      <c r="A3211" s="2" t="s">
        <v>7626</v>
      </c>
      <c r="B3211" s="2" t="s">
        <v>7627</v>
      </c>
      <c r="C3211" s="2" t="s">
        <v>7596</v>
      </c>
    </row>
    <row r="3212">
      <c r="A3212" s="2" t="s">
        <v>7628</v>
      </c>
      <c r="B3212" s="2" t="s">
        <v>7629</v>
      </c>
      <c r="C3212" s="2" t="s">
        <v>7596</v>
      </c>
    </row>
    <row r="3213">
      <c r="A3213" s="2" t="s">
        <v>7630</v>
      </c>
      <c r="B3213" s="2" t="s">
        <v>7631</v>
      </c>
      <c r="C3213" s="2" t="s">
        <v>7596</v>
      </c>
    </row>
    <row r="3214">
      <c r="A3214" s="2" t="s">
        <v>7632</v>
      </c>
      <c r="B3214" s="2" t="s">
        <v>7633</v>
      </c>
      <c r="C3214" s="2" t="s">
        <v>7596</v>
      </c>
    </row>
    <row r="3215">
      <c r="A3215" s="2" t="s">
        <v>7634</v>
      </c>
      <c r="B3215" s="2" t="s">
        <v>7635</v>
      </c>
      <c r="C3215" s="2" t="s">
        <v>7596</v>
      </c>
    </row>
    <row r="3216">
      <c r="A3216" s="2" t="s">
        <v>7636</v>
      </c>
      <c r="B3216" s="2" t="s">
        <v>7637</v>
      </c>
      <c r="C3216" s="2" t="s">
        <v>7596</v>
      </c>
    </row>
    <row r="3217">
      <c r="A3217" s="2" t="s">
        <v>7638</v>
      </c>
      <c r="B3217" s="2" t="s">
        <v>7639</v>
      </c>
      <c r="C3217" s="2" t="s">
        <v>7596</v>
      </c>
    </row>
    <row r="3218">
      <c r="A3218" s="2" t="s">
        <v>7640</v>
      </c>
      <c r="B3218" s="2" t="s">
        <v>7641</v>
      </c>
      <c r="C3218" s="2" t="s">
        <v>7596</v>
      </c>
    </row>
    <row r="3219">
      <c r="A3219" s="2" t="s">
        <v>7642</v>
      </c>
      <c r="B3219" s="2" t="s">
        <v>7643</v>
      </c>
      <c r="C3219" s="2" t="s">
        <v>7596</v>
      </c>
    </row>
    <row r="3220">
      <c r="A3220" s="2" t="s">
        <v>7644</v>
      </c>
      <c r="B3220" s="2" t="s">
        <v>7645</v>
      </c>
      <c r="C3220" s="2" t="s">
        <v>7596</v>
      </c>
    </row>
    <row r="3221">
      <c r="A3221" s="2" t="s">
        <v>7646</v>
      </c>
      <c r="B3221" s="2" t="s">
        <v>7647</v>
      </c>
      <c r="C3221" s="2" t="s">
        <v>7596</v>
      </c>
    </row>
    <row r="3222">
      <c r="A3222" s="2" t="s">
        <v>7648</v>
      </c>
      <c r="B3222" s="2" t="s">
        <v>7649</v>
      </c>
      <c r="C3222" s="2" t="s">
        <v>7596</v>
      </c>
    </row>
    <row r="3223">
      <c r="A3223" s="2" t="s">
        <v>7650</v>
      </c>
      <c r="B3223" s="2" t="s">
        <v>7651</v>
      </c>
      <c r="C3223" s="2" t="s">
        <v>7596</v>
      </c>
    </row>
    <row r="3224">
      <c r="A3224" s="2" t="s">
        <v>7652</v>
      </c>
      <c r="B3224" s="2" t="s">
        <v>7653</v>
      </c>
      <c r="C3224" s="2" t="s">
        <v>7596</v>
      </c>
    </row>
    <row r="3225">
      <c r="A3225" s="2" t="s">
        <v>7654</v>
      </c>
      <c r="B3225" s="2" t="s">
        <v>7655</v>
      </c>
      <c r="C3225" s="2" t="s">
        <v>7596</v>
      </c>
    </row>
    <row r="3226">
      <c r="A3226" s="2" t="s">
        <v>7656</v>
      </c>
      <c r="B3226" s="2" t="s">
        <v>7657</v>
      </c>
      <c r="C3226" s="2" t="s">
        <v>7596</v>
      </c>
    </row>
    <row r="3227">
      <c r="A3227" s="2" t="s">
        <v>7658</v>
      </c>
      <c r="B3227" s="2" t="s">
        <v>7659</v>
      </c>
      <c r="C3227" s="2" t="s">
        <v>7596</v>
      </c>
    </row>
    <row r="3228">
      <c r="A3228" s="2" t="s">
        <v>7660</v>
      </c>
      <c r="B3228" s="2" t="s">
        <v>7661</v>
      </c>
      <c r="C3228" s="2" t="s">
        <v>7596</v>
      </c>
    </row>
    <row r="3229">
      <c r="A3229" s="2" t="s">
        <v>7662</v>
      </c>
      <c r="B3229" s="2" t="s">
        <v>7663</v>
      </c>
      <c r="C3229" s="2" t="s">
        <v>7596</v>
      </c>
    </row>
    <row r="3230">
      <c r="A3230" s="2" t="s">
        <v>7664</v>
      </c>
      <c r="B3230" s="2" t="s">
        <v>7665</v>
      </c>
      <c r="C3230" s="2" t="s">
        <v>7596</v>
      </c>
    </row>
    <row r="3231">
      <c r="A3231" s="2" t="s">
        <v>7666</v>
      </c>
      <c r="B3231" s="2" t="s">
        <v>7667</v>
      </c>
      <c r="C3231" s="2" t="s">
        <v>7596</v>
      </c>
    </row>
    <row r="3232">
      <c r="A3232" s="2" t="s">
        <v>7668</v>
      </c>
      <c r="B3232" s="2" t="s">
        <v>7667</v>
      </c>
      <c r="C3232" s="2" t="s">
        <v>7596</v>
      </c>
    </row>
    <row r="3233">
      <c r="A3233" s="2" t="s">
        <v>7669</v>
      </c>
      <c r="B3233" s="2" t="s">
        <v>7670</v>
      </c>
      <c r="C3233" s="2" t="s">
        <v>7596</v>
      </c>
    </row>
    <row r="3234">
      <c r="A3234" s="2" t="s">
        <v>7671</v>
      </c>
      <c r="B3234" s="2" t="s">
        <v>7672</v>
      </c>
      <c r="C3234" s="2" t="s">
        <v>7596</v>
      </c>
    </row>
    <row r="3235">
      <c r="A3235" s="2" t="s">
        <v>7673</v>
      </c>
      <c r="B3235" s="2" t="s">
        <v>7674</v>
      </c>
      <c r="C3235" s="2" t="s">
        <v>7596</v>
      </c>
    </row>
    <row r="3236">
      <c r="A3236" s="2" t="s">
        <v>7675</v>
      </c>
      <c r="B3236" s="2" t="s">
        <v>7676</v>
      </c>
      <c r="C3236" s="2" t="s">
        <v>7596</v>
      </c>
    </row>
    <row r="3237">
      <c r="A3237" s="2" t="s">
        <v>7677</v>
      </c>
      <c r="B3237" s="2" t="s">
        <v>7678</v>
      </c>
      <c r="C3237" s="2" t="s">
        <v>7596</v>
      </c>
    </row>
    <row r="3238">
      <c r="A3238" s="2" t="s">
        <v>7679</v>
      </c>
      <c r="B3238" s="2" t="s">
        <v>7680</v>
      </c>
      <c r="C3238" s="2" t="s">
        <v>7596</v>
      </c>
    </row>
    <row r="3239">
      <c r="A3239" s="2" t="s">
        <v>7681</v>
      </c>
      <c r="B3239" s="2" t="s">
        <v>7682</v>
      </c>
      <c r="C3239" s="2" t="s">
        <v>7596</v>
      </c>
    </row>
    <row r="3240">
      <c r="A3240" s="2" t="s">
        <v>7683</v>
      </c>
      <c r="B3240" s="2" t="s">
        <v>7684</v>
      </c>
      <c r="C3240" s="2" t="s">
        <v>7596</v>
      </c>
    </row>
    <row r="3241">
      <c r="A3241" s="2" t="s">
        <v>7685</v>
      </c>
      <c r="B3241" s="2" t="s">
        <v>7686</v>
      </c>
      <c r="C3241" s="2" t="s">
        <v>7596</v>
      </c>
    </row>
    <row r="3242">
      <c r="A3242" s="2" t="s">
        <v>7687</v>
      </c>
      <c r="B3242" s="2" t="s">
        <v>7686</v>
      </c>
      <c r="C3242" s="2" t="s">
        <v>7596</v>
      </c>
    </row>
    <row r="3243">
      <c r="A3243" s="2" t="s">
        <v>7688</v>
      </c>
      <c r="B3243" s="2" t="s">
        <v>7686</v>
      </c>
      <c r="C3243" s="2" t="s">
        <v>7596</v>
      </c>
    </row>
    <row r="3244">
      <c r="A3244" s="2" t="s">
        <v>7689</v>
      </c>
      <c r="B3244" s="2" t="s">
        <v>7690</v>
      </c>
      <c r="C3244" s="2" t="s">
        <v>7596</v>
      </c>
    </row>
    <row r="3245">
      <c r="A3245" s="2" t="s">
        <v>7691</v>
      </c>
      <c r="B3245" s="2" t="s">
        <v>7692</v>
      </c>
      <c r="C3245" s="2" t="s">
        <v>7596</v>
      </c>
    </row>
    <row r="3246">
      <c r="A3246" s="2" t="s">
        <v>7693</v>
      </c>
      <c r="B3246" s="2" t="s">
        <v>7694</v>
      </c>
      <c r="C3246" s="2" t="s">
        <v>7596</v>
      </c>
    </row>
    <row r="3247">
      <c r="A3247" s="2" t="s">
        <v>7695</v>
      </c>
      <c r="B3247" s="2" t="s">
        <v>7696</v>
      </c>
      <c r="C3247" s="2" t="s">
        <v>7596</v>
      </c>
    </row>
    <row r="3248">
      <c r="A3248" s="2" t="s">
        <v>7697</v>
      </c>
      <c r="B3248" s="2" t="s">
        <v>7698</v>
      </c>
      <c r="C3248" s="2" t="s">
        <v>7596</v>
      </c>
    </row>
    <row r="3249">
      <c r="A3249" s="2" t="s">
        <v>7699</v>
      </c>
      <c r="B3249" s="2" t="s">
        <v>7700</v>
      </c>
      <c r="C3249" s="2" t="s">
        <v>7596</v>
      </c>
    </row>
    <row r="3250">
      <c r="A3250" s="2" t="s">
        <v>7701</v>
      </c>
      <c r="B3250" s="2" t="s">
        <v>7700</v>
      </c>
      <c r="C3250" s="2" t="s">
        <v>7596</v>
      </c>
    </row>
    <row r="3251">
      <c r="A3251" s="2" t="s">
        <v>7702</v>
      </c>
      <c r="B3251" s="2" t="s">
        <v>7703</v>
      </c>
      <c r="C3251" s="2" t="s">
        <v>7596</v>
      </c>
    </row>
    <row r="3252">
      <c r="A3252" s="2" t="s">
        <v>7704</v>
      </c>
      <c r="B3252" s="2" t="s">
        <v>7705</v>
      </c>
      <c r="C3252" s="2" t="s">
        <v>7596</v>
      </c>
    </row>
    <row r="3253">
      <c r="A3253" s="2" t="s">
        <v>7706</v>
      </c>
      <c r="B3253" s="2" t="s">
        <v>7707</v>
      </c>
      <c r="C3253" s="2" t="s">
        <v>7596</v>
      </c>
    </row>
    <row r="3254">
      <c r="A3254" s="2" t="s">
        <v>7708</v>
      </c>
      <c r="B3254" s="2" t="s">
        <v>7709</v>
      </c>
      <c r="C3254" s="2" t="s">
        <v>7596</v>
      </c>
    </row>
    <row r="3255">
      <c r="A3255" s="2" t="s">
        <v>7710</v>
      </c>
      <c r="B3255" s="2" t="s">
        <v>7711</v>
      </c>
      <c r="C3255" s="2" t="s">
        <v>7596</v>
      </c>
    </row>
    <row r="3256">
      <c r="A3256" s="2" t="s">
        <v>7712</v>
      </c>
      <c r="B3256" s="2" t="s">
        <v>7713</v>
      </c>
      <c r="C3256" s="2" t="s">
        <v>7596</v>
      </c>
    </row>
    <row r="3257">
      <c r="A3257" s="2" t="s">
        <v>7714</v>
      </c>
      <c r="B3257" s="2" t="s">
        <v>7715</v>
      </c>
      <c r="C3257" s="2" t="s">
        <v>7596</v>
      </c>
    </row>
    <row r="3258">
      <c r="A3258" s="2" t="s">
        <v>7716</v>
      </c>
      <c r="B3258" s="2" t="s">
        <v>7717</v>
      </c>
      <c r="C3258" s="2" t="s">
        <v>7596</v>
      </c>
    </row>
    <row r="3259">
      <c r="A3259" s="2" t="s">
        <v>7718</v>
      </c>
      <c r="B3259" s="2" t="s">
        <v>7719</v>
      </c>
      <c r="C3259" s="2" t="s">
        <v>7596</v>
      </c>
    </row>
    <row r="3260">
      <c r="A3260" s="2" t="s">
        <v>7720</v>
      </c>
      <c r="B3260" s="2" t="s">
        <v>7721</v>
      </c>
      <c r="C3260" s="2" t="s">
        <v>7596</v>
      </c>
    </row>
    <row r="3261">
      <c r="A3261" s="2" t="s">
        <v>7722</v>
      </c>
      <c r="B3261" s="2" t="s">
        <v>7723</v>
      </c>
      <c r="C3261" s="2" t="s">
        <v>7596</v>
      </c>
    </row>
    <row r="3262">
      <c r="A3262" s="2" t="s">
        <v>7724</v>
      </c>
      <c r="B3262" s="2" t="s">
        <v>7725</v>
      </c>
      <c r="C3262" s="2" t="s">
        <v>7596</v>
      </c>
    </row>
    <row r="3263">
      <c r="A3263" s="2" t="s">
        <v>7726</v>
      </c>
      <c r="B3263" s="2" t="s">
        <v>7727</v>
      </c>
      <c r="C3263" s="2" t="s">
        <v>7596</v>
      </c>
    </row>
    <row r="3264">
      <c r="A3264" s="2" t="s">
        <v>7728</v>
      </c>
      <c r="B3264" s="2" t="s">
        <v>7729</v>
      </c>
      <c r="C3264" s="2" t="s">
        <v>7596</v>
      </c>
    </row>
    <row r="3265">
      <c r="A3265" s="2" t="s">
        <v>7730</v>
      </c>
      <c r="B3265" s="2" t="s">
        <v>7731</v>
      </c>
      <c r="C3265" s="2" t="s">
        <v>7596</v>
      </c>
    </row>
    <row r="3266">
      <c r="A3266" s="2" t="s">
        <v>7732</v>
      </c>
      <c r="B3266" s="2" t="s">
        <v>7733</v>
      </c>
      <c r="C3266" s="2" t="s">
        <v>7596</v>
      </c>
    </row>
    <row r="3267">
      <c r="A3267" s="2" t="s">
        <v>7734</v>
      </c>
      <c r="B3267" s="2" t="s">
        <v>7735</v>
      </c>
      <c r="C3267" s="2" t="s">
        <v>7596</v>
      </c>
    </row>
    <row r="3268">
      <c r="A3268" s="2" t="s">
        <v>7736</v>
      </c>
      <c r="B3268" s="2" t="s">
        <v>7737</v>
      </c>
      <c r="C3268" s="2" t="s">
        <v>7596</v>
      </c>
    </row>
    <row r="3269">
      <c r="A3269" s="2" t="s">
        <v>7738</v>
      </c>
      <c r="B3269" s="2" t="s">
        <v>7739</v>
      </c>
      <c r="C3269" s="2" t="s">
        <v>7596</v>
      </c>
    </row>
    <row r="3270">
      <c r="A3270" s="2" t="s">
        <v>7740</v>
      </c>
      <c r="B3270" s="2" t="s">
        <v>7741</v>
      </c>
      <c r="C3270" s="2" t="s">
        <v>7596</v>
      </c>
    </row>
    <row r="3271">
      <c r="A3271" s="2" t="s">
        <v>7742</v>
      </c>
      <c r="B3271" s="2" t="s">
        <v>7743</v>
      </c>
      <c r="C3271" s="2" t="s">
        <v>7596</v>
      </c>
    </row>
    <row r="3272">
      <c r="A3272" s="2" t="s">
        <v>7744</v>
      </c>
      <c r="B3272" s="2" t="s">
        <v>7745</v>
      </c>
      <c r="C3272" s="2" t="s">
        <v>7596</v>
      </c>
    </row>
    <row r="3273">
      <c r="A3273" s="2" t="s">
        <v>7746</v>
      </c>
      <c r="B3273" s="2" t="s">
        <v>7747</v>
      </c>
      <c r="C3273" s="2" t="s">
        <v>7596</v>
      </c>
    </row>
    <row r="3274">
      <c r="A3274" s="2" t="s">
        <v>7748</v>
      </c>
      <c r="B3274" s="2" t="s">
        <v>7749</v>
      </c>
      <c r="C3274" s="2" t="s">
        <v>7596</v>
      </c>
    </row>
    <row r="3275">
      <c r="A3275" s="2" t="s">
        <v>7750</v>
      </c>
      <c r="B3275" s="2" t="s">
        <v>7751</v>
      </c>
      <c r="C3275" s="2" t="s">
        <v>7596</v>
      </c>
    </row>
    <row r="3276">
      <c r="A3276" s="2" t="s">
        <v>7752</v>
      </c>
      <c r="B3276" s="2" t="s">
        <v>7753</v>
      </c>
      <c r="C3276" s="2" t="s">
        <v>7596</v>
      </c>
    </row>
    <row r="3277">
      <c r="A3277" s="2" t="s">
        <v>7754</v>
      </c>
      <c r="B3277" s="2" t="s">
        <v>7755</v>
      </c>
      <c r="C3277" s="2" t="s">
        <v>7596</v>
      </c>
    </row>
    <row r="3278">
      <c r="A3278" s="2" t="s">
        <v>7756</v>
      </c>
      <c r="B3278" s="2" t="s">
        <v>7757</v>
      </c>
      <c r="C3278" s="2" t="s">
        <v>7596</v>
      </c>
    </row>
    <row r="3279">
      <c r="A3279" s="2" t="s">
        <v>7758</v>
      </c>
      <c r="B3279" s="2" t="s">
        <v>7759</v>
      </c>
      <c r="C3279" s="2" t="s">
        <v>7596</v>
      </c>
    </row>
    <row r="3280">
      <c r="A3280" s="2" t="s">
        <v>7760</v>
      </c>
      <c r="B3280" s="2" t="s">
        <v>7761</v>
      </c>
      <c r="C3280" s="2" t="s">
        <v>7596</v>
      </c>
    </row>
    <row r="3281">
      <c r="A3281" s="2" t="s">
        <v>7762</v>
      </c>
      <c r="B3281" s="2" t="s">
        <v>7763</v>
      </c>
      <c r="C3281" s="2" t="s">
        <v>7596</v>
      </c>
    </row>
    <row r="3282">
      <c r="A3282" s="2" t="s">
        <v>7764</v>
      </c>
      <c r="B3282" s="2" t="s">
        <v>7765</v>
      </c>
      <c r="C3282" s="2" t="s">
        <v>7596</v>
      </c>
    </row>
    <row r="3283">
      <c r="A3283" s="2" t="s">
        <v>7766</v>
      </c>
      <c r="B3283" s="2" t="s">
        <v>7767</v>
      </c>
      <c r="C3283" s="2" t="s">
        <v>7596</v>
      </c>
    </row>
    <row r="3284">
      <c r="A3284" s="2" t="s">
        <v>7768</v>
      </c>
      <c r="B3284" s="2" t="s">
        <v>7769</v>
      </c>
      <c r="C3284" s="2" t="s">
        <v>7596</v>
      </c>
    </row>
    <row r="3285">
      <c r="A3285" s="2" t="s">
        <v>7770</v>
      </c>
      <c r="B3285" s="2" t="s">
        <v>7771</v>
      </c>
      <c r="C3285" s="2" t="s">
        <v>7596</v>
      </c>
    </row>
    <row r="3286">
      <c r="A3286" s="2" t="s">
        <v>7772</v>
      </c>
      <c r="B3286" s="2" t="s">
        <v>7773</v>
      </c>
      <c r="C3286" s="2" t="s">
        <v>7596</v>
      </c>
    </row>
    <row r="3287">
      <c r="A3287" s="2" t="s">
        <v>7774</v>
      </c>
      <c r="B3287" s="2" t="s">
        <v>7775</v>
      </c>
      <c r="C3287" s="2" t="s">
        <v>7596</v>
      </c>
    </row>
    <row r="3288">
      <c r="A3288" s="2" t="s">
        <v>7776</v>
      </c>
      <c r="B3288" s="2" t="s">
        <v>7777</v>
      </c>
      <c r="C3288" s="2" t="s">
        <v>7596</v>
      </c>
    </row>
    <row r="3289">
      <c r="A3289" s="2" t="s">
        <v>7778</v>
      </c>
      <c r="B3289" s="2" t="s">
        <v>7779</v>
      </c>
      <c r="C3289" s="2" t="s">
        <v>7596</v>
      </c>
    </row>
    <row r="3290">
      <c r="A3290" s="2" t="s">
        <v>7780</v>
      </c>
      <c r="B3290" s="2" t="s">
        <v>7781</v>
      </c>
      <c r="C3290" s="2" t="s">
        <v>7596</v>
      </c>
    </row>
    <row r="3291">
      <c r="A3291" s="2" t="s">
        <v>7782</v>
      </c>
      <c r="B3291" s="2" t="s">
        <v>7783</v>
      </c>
      <c r="C3291" s="2" t="s">
        <v>7596</v>
      </c>
    </row>
    <row r="3292">
      <c r="A3292" s="2" t="s">
        <v>7784</v>
      </c>
      <c r="B3292" s="2" t="s">
        <v>7785</v>
      </c>
      <c r="C3292" s="2" t="s">
        <v>7596</v>
      </c>
    </row>
    <row r="3293">
      <c r="A3293" s="2" t="s">
        <v>7786</v>
      </c>
      <c r="B3293" s="2" t="s">
        <v>7787</v>
      </c>
      <c r="C3293" s="2" t="s">
        <v>7596</v>
      </c>
    </row>
    <row r="3294">
      <c r="A3294" s="2" t="s">
        <v>7788</v>
      </c>
      <c r="B3294" s="2" t="s">
        <v>7789</v>
      </c>
      <c r="C3294" s="2" t="s">
        <v>7596</v>
      </c>
    </row>
    <row r="3295">
      <c r="A3295" s="2" t="s">
        <v>7790</v>
      </c>
      <c r="B3295" s="2" t="s">
        <v>7791</v>
      </c>
      <c r="C3295" s="2" t="s">
        <v>7596</v>
      </c>
    </row>
    <row r="3296">
      <c r="A3296" s="2" t="s">
        <v>7792</v>
      </c>
      <c r="B3296" s="2" t="s">
        <v>7793</v>
      </c>
      <c r="C3296" s="2" t="s">
        <v>7596</v>
      </c>
    </row>
    <row r="3297">
      <c r="A3297" s="2" t="s">
        <v>7794</v>
      </c>
      <c r="B3297" s="2" t="s">
        <v>7795</v>
      </c>
      <c r="C3297" s="2" t="s">
        <v>7596</v>
      </c>
    </row>
    <row r="3298">
      <c r="A3298" s="2" t="s">
        <v>7796</v>
      </c>
      <c r="B3298" s="2" t="s">
        <v>7797</v>
      </c>
      <c r="C3298" s="2" t="s">
        <v>7596</v>
      </c>
    </row>
    <row r="3299">
      <c r="A3299" s="2" t="s">
        <v>7798</v>
      </c>
      <c r="B3299" s="2" t="s">
        <v>7799</v>
      </c>
      <c r="C3299" s="2" t="s">
        <v>7596</v>
      </c>
    </row>
    <row r="3300">
      <c r="A3300" s="2" t="s">
        <v>7800</v>
      </c>
      <c r="B3300" s="2" t="s">
        <v>7801</v>
      </c>
      <c r="C3300" s="2" t="s">
        <v>7596</v>
      </c>
    </row>
    <row r="3301">
      <c r="A3301" s="2" t="s">
        <v>7802</v>
      </c>
      <c r="B3301" s="2" t="s">
        <v>7803</v>
      </c>
      <c r="C3301" s="2" t="s">
        <v>7596</v>
      </c>
    </row>
    <row r="3302">
      <c r="A3302" s="2" t="s">
        <v>7804</v>
      </c>
      <c r="B3302" s="2" t="s">
        <v>7805</v>
      </c>
      <c r="C3302" s="2" t="s">
        <v>7596</v>
      </c>
    </row>
    <row r="3303">
      <c r="A3303" s="2" t="s">
        <v>7806</v>
      </c>
      <c r="B3303" s="2" t="s">
        <v>7807</v>
      </c>
      <c r="C3303" s="2" t="s">
        <v>7596</v>
      </c>
    </row>
    <row r="3304">
      <c r="A3304" s="2" t="s">
        <v>7808</v>
      </c>
      <c r="B3304" s="2" t="s">
        <v>7809</v>
      </c>
      <c r="C3304" s="2" t="s">
        <v>7596</v>
      </c>
    </row>
    <row r="3305">
      <c r="A3305" s="2" t="s">
        <v>7810</v>
      </c>
      <c r="B3305" s="2" t="s">
        <v>7811</v>
      </c>
      <c r="C3305" s="2" t="s">
        <v>7596</v>
      </c>
    </row>
    <row r="3306">
      <c r="A3306" s="2" t="s">
        <v>7812</v>
      </c>
      <c r="B3306" s="2" t="s">
        <v>7813</v>
      </c>
      <c r="C3306" s="2" t="s">
        <v>7596</v>
      </c>
    </row>
    <row r="3307">
      <c r="A3307" s="2" t="s">
        <v>7814</v>
      </c>
      <c r="B3307" s="2" t="s">
        <v>7815</v>
      </c>
      <c r="C3307" s="2" t="s">
        <v>7596</v>
      </c>
    </row>
    <row r="3308">
      <c r="A3308" s="2" t="s">
        <v>7816</v>
      </c>
      <c r="B3308" s="2" t="s">
        <v>7817</v>
      </c>
      <c r="C3308" s="2" t="s">
        <v>7596</v>
      </c>
    </row>
    <row r="3309">
      <c r="A3309" s="2" t="s">
        <v>7818</v>
      </c>
      <c r="B3309" s="2" t="s">
        <v>7819</v>
      </c>
      <c r="C3309" s="2" t="s">
        <v>7596</v>
      </c>
    </row>
    <row r="3310">
      <c r="A3310" s="2" t="s">
        <v>7820</v>
      </c>
      <c r="B3310" s="2" t="s">
        <v>7821</v>
      </c>
      <c r="C3310" s="2" t="s">
        <v>7596</v>
      </c>
    </row>
    <row r="3311">
      <c r="A3311" s="2" t="s">
        <v>7822</v>
      </c>
      <c r="B3311" s="2" t="s">
        <v>7823</v>
      </c>
      <c r="C3311" s="2" t="s">
        <v>7596</v>
      </c>
    </row>
    <row r="3312">
      <c r="A3312" s="2" t="s">
        <v>7824</v>
      </c>
      <c r="B3312" s="2" t="s">
        <v>7825</v>
      </c>
      <c r="C3312" s="2" t="s">
        <v>7596</v>
      </c>
    </row>
    <row r="3313">
      <c r="A3313" s="2" t="s">
        <v>7826</v>
      </c>
      <c r="B3313" s="2" t="s">
        <v>7827</v>
      </c>
      <c r="C3313" s="2" t="s">
        <v>7596</v>
      </c>
    </row>
    <row r="3314">
      <c r="A3314" s="2" t="s">
        <v>7828</v>
      </c>
      <c r="B3314" s="2" t="s">
        <v>7829</v>
      </c>
      <c r="C3314" s="2" t="s">
        <v>7596</v>
      </c>
    </row>
    <row r="3315">
      <c r="A3315" s="2" t="s">
        <v>7830</v>
      </c>
      <c r="B3315" s="2" t="s">
        <v>7831</v>
      </c>
      <c r="C3315" s="2" t="s">
        <v>7596</v>
      </c>
    </row>
    <row r="3316">
      <c r="A3316" s="2" t="s">
        <v>7832</v>
      </c>
      <c r="B3316" s="2" t="s">
        <v>7833</v>
      </c>
      <c r="C3316" s="2" t="s">
        <v>7596</v>
      </c>
    </row>
    <row r="3317">
      <c r="A3317" s="2" t="s">
        <v>7834</v>
      </c>
      <c r="B3317" s="2" t="s">
        <v>7835</v>
      </c>
      <c r="C3317" s="2" t="s">
        <v>7596</v>
      </c>
    </row>
    <row r="3318">
      <c r="A3318" s="2" t="s">
        <v>7836</v>
      </c>
      <c r="B3318" s="2" t="s">
        <v>7837</v>
      </c>
      <c r="C3318" s="2" t="s">
        <v>7596</v>
      </c>
    </row>
    <row r="3319">
      <c r="A3319" s="2" t="s">
        <v>7838</v>
      </c>
      <c r="B3319" s="2" t="s">
        <v>7839</v>
      </c>
      <c r="C3319" s="2" t="s">
        <v>7596</v>
      </c>
    </row>
    <row r="3320">
      <c r="A3320" s="2" t="s">
        <v>7840</v>
      </c>
      <c r="B3320" s="2" t="s">
        <v>7841</v>
      </c>
      <c r="C3320" s="2" t="s">
        <v>7596</v>
      </c>
    </row>
    <row r="3321">
      <c r="A3321" s="2" t="s">
        <v>7842</v>
      </c>
      <c r="B3321" s="2" t="s">
        <v>7843</v>
      </c>
      <c r="C3321" s="2" t="s">
        <v>7596</v>
      </c>
    </row>
    <row r="3322">
      <c r="A3322" s="2" t="s">
        <v>7844</v>
      </c>
      <c r="B3322" s="2" t="s">
        <v>7845</v>
      </c>
      <c r="C3322" s="2" t="s">
        <v>7596</v>
      </c>
    </row>
    <row r="3323">
      <c r="A3323" s="2" t="s">
        <v>7846</v>
      </c>
      <c r="B3323" s="2" t="s">
        <v>7847</v>
      </c>
      <c r="C3323" s="2" t="s">
        <v>7596</v>
      </c>
    </row>
    <row r="3324">
      <c r="A3324" s="2" t="s">
        <v>7848</v>
      </c>
      <c r="B3324" s="2" t="s">
        <v>7849</v>
      </c>
      <c r="C3324" s="2" t="s">
        <v>7596</v>
      </c>
    </row>
    <row r="3325">
      <c r="A3325" s="2" t="s">
        <v>7850</v>
      </c>
      <c r="B3325" s="2" t="s">
        <v>7851</v>
      </c>
      <c r="C3325" s="2" t="s">
        <v>7596</v>
      </c>
    </row>
    <row r="3326">
      <c r="A3326" s="2" t="s">
        <v>7852</v>
      </c>
      <c r="B3326" s="2" t="s">
        <v>7853</v>
      </c>
      <c r="C3326" s="2" t="s">
        <v>7596</v>
      </c>
    </row>
    <row r="3327">
      <c r="A3327" s="2" t="s">
        <v>7854</v>
      </c>
      <c r="B3327" s="2" t="s">
        <v>7853</v>
      </c>
      <c r="C3327" s="2" t="s">
        <v>7596</v>
      </c>
    </row>
    <row r="3328">
      <c r="A3328" s="2" t="s">
        <v>7855</v>
      </c>
      <c r="B3328" s="2" t="s">
        <v>7856</v>
      </c>
      <c r="C3328" s="2" t="s">
        <v>7596</v>
      </c>
    </row>
    <row r="3329">
      <c r="A3329" s="2" t="s">
        <v>7857</v>
      </c>
      <c r="B3329" s="2" t="s">
        <v>7858</v>
      </c>
      <c r="C3329" s="2" t="s">
        <v>7596</v>
      </c>
    </row>
    <row r="3330">
      <c r="A3330" s="2" t="s">
        <v>7859</v>
      </c>
      <c r="B3330" s="2" t="s">
        <v>7860</v>
      </c>
      <c r="C3330" s="2" t="s">
        <v>7596</v>
      </c>
    </row>
    <row r="3331">
      <c r="A3331" s="2" t="s">
        <v>7861</v>
      </c>
      <c r="B3331" s="2" t="s">
        <v>7862</v>
      </c>
      <c r="C3331" s="2" t="s">
        <v>7596</v>
      </c>
    </row>
    <row r="3332">
      <c r="A3332" s="2" t="s">
        <v>7863</v>
      </c>
      <c r="B3332" s="2" t="s">
        <v>7864</v>
      </c>
      <c r="C3332" s="2" t="s">
        <v>7596</v>
      </c>
    </row>
    <row r="3333">
      <c r="A3333" s="2" t="s">
        <v>7865</v>
      </c>
      <c r="B3333" s="2" t="s">
        <v>7866</v>
      </c>
      <c r="C3333" s="2" t="s">
        <v>7596</v>
      </c>
    </row>
    <row r="3334">
      <c r="A3334" s="2" t="s">
        <v>7867</v>
      </c>
      <c r="B3334" s="2" t="s">
        <v>7868</v>
      </c>
      <c r="C3334" s="2" t="s">
        <v>7596</v>
      </c>
    </row>
    <row r="3335">
      <c r="A3335" s="2" t="s">
        <v>7869</v>
      </c>
      <c r="B3335" s="2" t="s">
        <v>7870</v>
      </c>
      <c r="C3335" s="2" t="s">
        <v>7596</v>
      </c>
    </row>
    <row r="3336">
      <c r="A3336" s="2" t="s">
        <v>7871</v>
      </c>
      <c r="B3336" s="2" t="s">
        <v>7872</v>
      </c>
      <c r="C3336" s="2" t="s">
        <v>7596</v>
      </c>
    </row>
    <row r="3337">
      <c r="A3337" s="2" t="s">
        <v>7873</v>
      </c>
      <c r="B3337" s="2" t="s">
        <v>7874</v>
      </c>
      <c r="C3337" s="2" t="s">
        <v>7596</v>
      </c>
    </row>
    <row r="3338">
      <c r="A3338" s="2" t="s">
        <v>7875</v>
      </c>
      <c r="B3338" s="2" t="s">
        <v>7876</v>
      </c>
      <c r="C3338" s="2" t="s">
        <v>7596</v>
      </c>
    </row>
    <row r="3339">
      <c r="A3339" s="2" t="s">
        <v>7877</v>
      </c>
      <c r="B3339" s="2" t="s">
        <v>7878</v>
      </c>
      <c r="C3339" s="2" t="s">
        <v>7596</v>
      </c>
    </row>
    <row r="3340">
      <c r="A3340" s="2" t="s">
        <v>7879</v>
      </c>
      <c r="B3340" s="2" t="s">
        <v>7880</v>
      </c>
      <c r="C3340" s="2" t="s">
        <v>7596</v>
      </c>
    </row>
    <row r="3341">
      <c r="A3341" s="2" t="s">
        <v>7881</v>
      </c>
      <c r="B3341" s="2" t="s">
        <v>7882</v>
      </c>
      <c r="C3341" s="2" t="s">
        <v>7596</v>
      </c>
    </row>
    <row r="3342">
      <c r="A3342" s="2" t="s">
        <v>7883</v>
      </c>
      <c r="B3342" s="2" t="s">
        <v>7884</v>
      </c>
      <c r="C3342" s="2" t="s">
        <v>7596</v>
      </c>
    </row>
    <row r="3343">
      <c r="A3343" s="2" t="s">
        <v>7885</v>
      </c>
      <c r="B3343" s="2" t="s">
        <v>7886</v>
      </c>
      <c r="C3343" s="2" t="s">
        <v>7596</v>
      </c>
    </row>
    <row r="3344">
      <c r="A3344" s="2" t="s">
        <v>7887</v>
      </c>
      <c r="B3344" s="2" t="s">
        <v>7888</v>
      </c>
      <c r="C3344" s="2" t="s">
        <v>7596</v>
      </c>
    </row>
    <row r="3345">
      <c r="A3345" s="2" t="s">
        <v>7889</v>
      </c>
      <c r="B3345" s="2" t="s">
        <v>7890</v>
      </c>
      <c r="C3345" s="2" t="s">
        <v>7596</v>
      </c>
    </row>
    <row r="3346">
      <c r="A3346" s="2" t="s">
        <v>7891</v>
      </c>
      <c r="B3346" s="2" t="s">
        <v>7892</v>
      </c>
      <c r="C3346" s="2" t="s">
        <v>7596</v>
      </c>
    </row>
    <row r="3347">
      <c r="A3347" s="2" t="s">
        <v>7893</v>
      </c>
      <c r="B3347" s="2" t="s">
        <v>7894</v>
      </c>
      <c r="C3347" s="2" t="s">
        <v>7596</v>
      </c>
    </row>
    <row r="3348">
      <c r="A3348" s="2" t="s">
        <v>7895</v>
      </c>
      <c r="B3348" s="2" t="s">
        <v>7896</v>
      </c>
      <c r="C3348" s="2" t="s">
        <v>7596</v>
      </c>
    </row>
    <row r="3349">
      <c r="A3349" s="2" t="s">
        <v>7897</v>
      </c>
      <c r="B3349" s="2" t="s">
        <v>7898</v>
      </c>
      <c r="C3349" s="2" t="s">
        <v>7596</v>
      </c>
    </row>
    <row r="3350">
      <c r="A3350" s="2" t="s">
        <v>7899</v>
      </c>
      <c r="B3350" s="2" t="s">
        <v>7900</v>
      </c>
      <c r="C3350" s="2" t="s">
        <v>7596</v>
      </c>
    </row>
    <row r="3351">
      <c r="A3351" s="2" t="s">
        <v>7901</v>
      </c>
      <c r="B3351" s="2" t="s">
        <v>7902</v>
      </c>
      <c r="C3351" s="2" t="s">
        <v>7596</v>
      </c>
    </row>
    <row r="3352">
      <c r="A3352" s="2" t="s">
        <v>7903</v>
      </c>
      <c r="B3352" s="2" t="s">
        <v>7904</v>
      </c>
      <c r="C3352" s="2" t="s">
        <v>7596</v>
      </c>
    </row>
    <row r="3353">
      <c r="A3353" s="2" t="s">
        <v>7905</v>
      </c>
      <c r="B3353" s="2" t="s">
        <v>7906</v>
      </c>
      <c r="C3353" s="2" t="s">
        <v>7596</v>
      </c>
    </row>
    <row r="3354">
      <c r="A3354" s="2" t="s">
        <v>7907</v>
      </c>
      <c r="B3354" s="2" t="s">
        <v>7908</v>
      </c>
      <c r="C3354" s="2" t="s">
        <v>7596</v>
      </c>
    </row>
    <row r="3355">
      <c r="A3355" s="2" t="s">
        <v>7909</v>
      </c>
      <c r="B3355" s="2" t="s">
        <v>7910</v>
      </c>
      <c r="C3355" s="2" t="s">
        <v>7596</v>
      </c>
    </row>
    <row r="3356">
      <c r="A3356" s="2" t="s">
        <v>7911</v>
      </c>
      <c r="B3356" s="2" t="s">
        <v>7912</v>
      </c>
      <c r="C3356" s="2" t="s">
        <v>7596</v>
      </c>
    </row>
    <row r="3357">
      <c r="A3357" s="2" t="s">
        <v>7913</v>
      </c>
      <c r="B3357" s="2" t="s">
        <v>7912</v>
      </c>
      <c r="C3357" s="2" t="s">
        <v>7596</v>
      </c>
    </row>
    <row r="3358">
      <c r="A3358" s="2" t="s">
        <v>7914</v>
      </c>
      <c r="B3358" s="2" t="s">
        <v>7915</v>
      </c>
      <c r="C3358" s="2" t="s">
        <v>7596</v>
      </c>
    </row>
    <row r="3359">
      <c r="A3359" s="2" t="s">
        <v>7916</v>
      </c>
      <c r="B3359" s="2" t="s">
        <v>7917</v>
      </c>
      <c r="C3359" s="2" t="s">
        <v>7596</v>
      </c>
    </row>
    <row r="3360">
      <c r="A3360" s="2" t="s">
        <v>7918</v>
      </c>
      <c r="B3360" s="2" t="s">
        <v>7919</v>
      </c>
      <c r="C3360" s="2" t="s">
        <v>7596</v>
      </c>
    </row>
    <row r="3361">
      <c r="A3361" s="2" t="s">
        <v>7920</v>
      </c>
      <c r="B3361" s="2" t="s">
        <v>7921</v>
      </c>
      <c r="C3361" s="2" t="s">
        <v>7596</v>
      </c>
    </row>
    <row r="3362">
      <c r="A3362" s="2" t="s">
        <v>7922</v>
      </c>
      <c r="B3362" s="2" t="s">
        <v>7923</v>
      </c>
      <c r="C3362" s="2" t="s">
        <v>7596</v>
      </c>
    </row>
    <row r="3363">
      <c r="A3363" s="2" t="s">
        <v>7924</v>
      </c>
      <c r="B3363" s="2" t="s">
        <v>7925</v>
      </c>
      <c r="C3363" s="2" t="s">
        <v>7596</v>
      </c>
    </row>
    <row r="3364">
      <c r="A3364" s="2" t="s">
        <v>7926</v>
      </c>
      <c r="B3364" s="2" t="s">
        <v>7927</v>
      </c>
      <c r="C3364" s="2" t="s">
        <v>7596</v>
      </c>
    </row>
    <row r="3365">
      <c r="A3365" s="2" t="s">
        <v>7928</v>
      </c>
      <c r="B3365" s="2" t="s">
        <v>7929</v>
      </c>
      <c r="C3365" s="2" t="s">
        <v>7596</v>
      </c>
    </row>
    <row r="3366">
      <c r="A3366" s="2" t="s">
        <v>7930</v>
      </c>
      <c r="B3366" s="2" t="s">
        <v>7931</v>
      </c>
      <c r="C3366" s="2" t="s">
        <v>7596</v>
      </c>
    </row>
    <row r="3367">
      <c r="A3367" s="2" t="s">
        <v>7932</v>
      </c>
      <c r="B3367" s="2" t="s">
        <v>7933</v>
      </c>
      <c r="C3367" s="2" t="s">
        <v>7596</v>
      </c>
    </row>
    <row r="3368">
      <c r="A3368" s="2" t="s">
        <v>7934</v>
      </c>
      <c r="B3368" s="2" t="s">
        <v>7935</v>
      </c>
      <c r="C3368" s="2" t="s">
        <v>7596</v>
      </c>
    </row>
    <row r="3369">
      <c r="A3369" s="2" t="s">
        <v>7936</v>
      </c>
      <c r="B3369" s="2" t="s">
        <v>7937</v>
      </c>
      <c r="C3369" s="2" t="s">
        <v>7596</v>
      </c>
    </row>
    <row r="3370">
      <c r="A3370" s="2" t="s">
        <v>7938</v>
      </c>
      <c r="B3370" s="2" t="s">
        <v>7939</v>
      </c>
      <c r="C3370" s="2" t="s">
        <v>7596</v>
      </c>
    </row>
    <row r="3371">
      <c r="A3371" s="2" t="s">
        <v>7940</v>
      </c>
      <c r="B3371" s="2" t="s">
        <v>7941</v>
      </c>
      <c r="C3371" s="2" t="s">
        <v>7596</v>
      </c>
    </row>
    <row r="3372">
      <c r="A3372" s="2" t="s">
        <v>7942</v>
      </c>
      <c r="B3372" s="2" t="s">
        <v>7943</v>
      </c>
      <c r="C3372" s="2" t="s">
        <v>7596</v>
      </c>
    </row>
    <row r="3373">
      <c r="A3373" s="2" t="s">
        <v>7944</v>
      </c>
      <c r="B3373" s="2" t="s">
        <v>7945</v>
      </c>
      <c r="C3373" s="2" t="s">
        <v>7596</v>
      </c>
    </row>
    <row r="3374">
      <c r="A3374" s="2" t="s">
        <v>7946</v>
      </c>
      <c r="B3374" s="2" t="s">
        <v>7947</v>
      </c>
      <c r="C3374" s="2" t="s">
        <v>7596</v>
      </c>
    </row>
    <row r="3375">
      <c r="A3375" s="2" t="s">
        <v>7948</v>
      </c>
      <c r="B3375" s="2" t="s">
        <v>7949</v>
      </c>
      <c r="C3375" s="2" t="s">
        <v>7596</v>
      </c>
    </row>
    <row r="3376">
      <c r="A3376" s="2" t="s">
        <v>7950</v>
      </c>
      <c r="B3376" s="2" t="s">
        <v>7951</v>
      </c>
      <c r="C3376" s="2" t="s">
        <v>7596</v>
      </c>
    </row>
    <row r="3377">
      <c r="A3377" s="2" t="s">
        <v>7952</v>
      </c>
      <c r="B3377" s="2" t="s">
        <v>7953</v>
      </c>
      <c r="C3377" s="2" t="s">
        <v>7596</v>
      </c>
    </row>
    <row r="3378">
      <c r="A3378" s="2" t="s">
        <v>7954</v>
      </c>
      <c r="B3378" s="2" t="s">
        <v>7955</v>
      </c>
      <c r="C3378" s="2" t="s">
        <v>7596</v>
      </c>
    </row>
    <row r="3379">
      <c r="A3379" s="2" t="s">
        <v>7956</v>
      </c>
      <c r="B3379" s="2" t="s">
        <v>7957</v>
      </c>
      <c r="C3379" s="2" t="s">
        <v>7596</v>
      </c>
    </row>
    <row r="3380">
      <c r="A3380" s="2" t="s">
        <v>7958</v>
      </c>
      <c r="B3380" s="2" t="s">
        <v>7959</v>
      </c>
      <c r="C3380" s="2" t="s">
        <v>7596</v>
      </c>
    </row>
    <row r="3381">
      <c r="A3381" s="2" t="s">
        <v>7960</v>
      </c>
      <c r="B3381" s="2" t="s">
        <v>7961</v>
      </c>
      <c r="C3381" s="2" t="s">
        <v>7596</v>
      </c>
    </row>
    <row r="3382">
      <c r="A3382" s="2" t="s">
        <v>7962</v>
      </c>
      <c r="B3382" s="2" t="s">
        <v>7963</v>
      </c>
      <c r="C3382" s="2" t="s">
        <v>7596</v>
      </c>
    </row>
    <row r="3383">
      <c r="A3383" s="2" t="s">
        <v>7964</v>
      </c>
      <c r="B3383" s="2" t="s">
        <v>7965</v>
      </c>
      <c r="C3383" s="2" t="s">
        <v>7596</v>
      </c>
    </row>
    <row r="3384">
      <c r="A3384" s="2" t="s">
        <v>7966</v>
      </c>
      <c r="B3384" s="2" t="s">
        <v>7967</v>
      </c>
      <c r="C3384" s="2" t="s">
        <v>7596</v>
      </c>
    </row>
    <row r="3385">
      <c r="A3385" s="2" t="s">
        <v>7968</v>
      </c>
      <c r="B3385" s="2" t="s">
        <v>7969</v>
      </c>
      <c r="C3385" s="2" t="s">
        <v>7596</v>
      </c>
    </row>
    <row r="3386">
      <c r="A3386" s="2" t="s">
        <v>7970</v>
      </c>
      <c r="B3386" s="2" t="s">
        <v>7971</v>
      </c>
      <c r="C3386" s="2" t="s">
        <v>7596</v>
      </c>
    </row>
    <row r="3387">
      <c r="A3387" s="2" t="s">
        <v>7972</v>
      </c>
      <c r="B3387" s="2" t="s">
        <v>7973</v>
      </c>
      <c r="C3387" s="2" t="s">
        <v>7596</v>
      </c>
    </row>
    <row r="3388">
      <c r="A3388" s="2" t="s">
        <v>7974</v>
      </c>
      <c r="B3388" s="2" t="s">
        <v>7975</v>
      </c>
      <c r="C3388" s="2" t="s">
        <v>7596</v>
      </c>
    </row>
    <row r="3389">
      <c r="A3389" s="2" t="s">
        <v>7976</v>
      </c>
      <c r="B3389" s="2" t="s">
        <v>7977</v>
      </c>
      <c r="C3389" s="2" t="s">
        <v>7596</v>
      </c>
    </row>
    <row r="3390">
      <c r="A3390" s="2" t="s">
        <v>7978</v>
      </c>
      <c r="B3390" s="2" t="s">
        <v>7979</v>
      </c>
      <c r="C3390" s="2" t="s">
        <v>7596</v>
      </c>
    </row>
    <row r="3391">
      <c r="A3391" s="2" t="s">
        <v>7980</v>
      </c>
      <c r="B3391" s="2" t="s">
        <v>7981</v>
      </c>
      <c r="C3391" s="2" t="s">
        <v>7596</v>
      </c>
    </row>
    <row r="3392">
      <c r="A3392" s="2" t="s">
        <v>7982</v>
      </c>
      <c r="B3392" s="2" t="s">
        <v>7983</v>
      </c>
      <c r="C3392" s="2" t="s">
        <v>7596</v>
      </c>
    </row>
    <row r="3393">
      <c r="A3393" s="2" t="s">
        <v>7984</v>
      </c>
      <c r="B3393" s="2" t="s">
        <v>7985</v>
      </c>
      <c r="C3393" s="2" t="s">
        <v>7596</v>
      </c>
    </row>
    <row r="3394">
      <c r="A3394" s="2" t="s">
        <v>7986</v>
      </c>
      <c r="B3394" s="2" t="s">
        <v>7987</v>
      </c>
      <c r="C3394" s="2" t="s">
        <v>7596</v>
      </c>
    </row>
    <row r="3395">
      <c r="A3395" s="2" t="s">
        <v>7988</v>
      </c>
      <c r="B3395" s="2" t="s">
        <v>7989</v>
      </c>
      <c r="C3395" s="2" t="s">
        <v>7596</v>
      </c>
    </row>
    <row r="3396">
      <c r="A3396" s="2" t="s">
        <v>7990</v>
      </c>
      <c r="B3396" s="2" t="s">
        <v>7991</v>
      </c>
      <c r="C3396" s="2" t="s">
        <v>7596</v>
      </c>
    </row>
    <row r="3397">
      <c r="A3397" s="2" t="s">
        <v>7992</v>
      </c>
      <c r="B3397" s="2" t="s">
        <v>7993</v>
      </c>
      <c r="C3397" s="2" t="s">
        <v>7596</v>
      </c>
    </row>
    <row r="3398">
      <c r="A3398" s="2" t="s">
        <v>7994</v>
      </c>
      <c r="B3398" s="2" t="s">
        <v>7995</v>
      </c>
      <c r="C3398" s="2" t="s">
        <v>7596</v>
      </c>
    </row>
    <row r="3399">
      <c r="A3399" s="2" t="s">
        <v>7996</v>
      </c>
      <c r="B3399" s="2" t="s">
        <v>7997</v>
      </c>
      <c r="C3399" s="2" t="s">
        <v>7596</v>
      </c>
    </row>
    <row r="3400">
      <c r="A3400" s="2" t="s">
        <v>7998</v>
      </c>
      <c r="B3400" s="2" t="s">
        <v>7999</v>
      </c>
      <c r="C3400" s="2" t="s">
        <v>7596</v>
      </c>
    </row>
    <row r="3401">
      <c r="A3401" s="2" t="s">
        <v>8000</v>
      </c>
      <c r="B3401" s="2" t="s">
        <v>8001</v>
      </c>
      <c r="C3401" s="2" t="s">
        <v>7596</v>
      </c>
    </row>
    <row r="3402">
      <c r="A3402" s="2" t="s">
        <v>8002</v>
      </c>
      <c r="B3402" s="2" t="s">
        <v>8003</v>
      </c>
      <c r="C3402" s="2" t="s">
        <v>7596</v>
      </c>
    </row>
    <row r="3403">
      <c r="A3403" s="2" t="s">
        <v>8004</v>
      </c>
      <c r="B3403" s="2" t="s">
        <v>8005</v>
      </c>
      <c r="C3403" s="2" t="s">
        <v>7596</v>
      </c>
    </row>
    <row r="3404">
      <c r="A3404" s="2" t="s">
        <v>8006</v>
      </c>
      <c r="B3404" s="2" t="s">
        <v>8007</v>
      </c>
      <c r="C3404" s="2" t="s">
        <v>7596</v>
      </c>
    </row>
    <row r="3405">
      <c r="A3405" s="2" t="s">
        <v>8008</v>
      </c>
      <c r="B3405" s="2" t="s">
        <v>8009</v>
      </c>
      <c r="C3405" s="2" t="s">
        <v>7596</v>
      </c>
    </row>
    <row r="3406">
      <c r="A3406" s="2" t="s">
        <v>8010</v>
      </c>
      <c r="B3406" s="2" t="s">
        <v>8011</v>
      </c>
      <c r="C3406" s="2" t="s">
        <v>7596</v>
      </c>
    </row>
    <row r="3407">
      <c r="A3407" s="2" t="s">
        <v>8012</v>
      </c>
      <c r="B3407" s="2" t="s">
        <v>8013</v>
      </c>
      <c r="C3407" s="2" t="s">
        <v>7596</v>
      </c>
    </row>
    <row r="3408">
      <c r="A3408" s="2" t="s">
        <v>8014</v>
      </c>
      <c r="B3408" s="2" t="s">
        <v>8015</v>
      </c>
      <c r="C3408" s="2" t="s">
        <v>7596</v>
      </c>
    </row>
    <row r="3409">
      <c r="A3409" s="2" t="s">
        <v>8016</v>
      </c>
      <c r="B3409" s="2" t="s">
        <v>8017</v>
      </c>
      <c r="C3409" s="2" t="s">
        <v>7596</v>
      </c>
    </row>
    <row r="3410">
      <c r="A3410" s="2" t="s">
        <v>8018</v>
      </c>
      <c r="B3410" s="2" t="s">
        <v>8019</v>
      </c>
      <c r="C3410" s="2" t="s">
        <v>7596</v>
      </c>
    </row>
    <row r="3411">
      <c r="A3411" s="2" t="s">
        <v>8020</v>
      </c>
      <c r="B3411" s="2" t="s">
        <v>8021</v>
      </c>
      <c r="C3411" s="2" t="s">
        <v>7596</v>
      </c>
    </row>
    <row r="3412">
      <c r="A3412" s="2" t="s">
        <v>8022</v>
      </c>
      <c r="B3412" s="2" t="s">
        <v>8023</v>
      </c>
      <c r="C3412" s="2" t="s">
        <v>7596</v>
      </c>
    </row>
    <row r="3413">
      <c r="A3413" s="2" t="s">
        <v>8024</v>
      </c>
      <c r="B3413" s="2" t="s">
        <v>8025</v>
      </c>
      <c r="C3413" s="2" t="s">
        <v>7596</v>
      </c>
    </row>
    <row r="3414">
      <c r="A3414" s="2" t="s">
        <v>8026</v>
      </c>
      <c r="B3414" s="2" t="s">
        <v>8027</v>
      </c>
      <c r="C3414" s="2" t="s">
        <v>7596</v>
      </c>
    </row>
    <row r="3415">
      <c r="A3415" s="2" t="s">
        <v>8028</v>
      </c>
      <c r="B3415" s="2" t="s">
        <v>8029</v>
      </c>
      <c r="C3415" s="2" t="s">
        <v>7596</v>
      </c>
    </row>
    <row r="3416">
      <c r="A3416" s="2" t="s">
        <v>8030</v>
      </c>
      <c r="B3416" s="2" t="s">
        <v>8031</v>
      </c>
      <c r="C3416" s="2" t="s">
        <v>7596</v>
      </c>
    </row>
    <row r="3417">
      <c r="A3417" s="2" t="s">
        <v>8032</v>
      </c>
      <c r="B3417" s="2" t="s">
        <v>8033</v>
      </c>
      <c r="C3417" s="2" t="s">
        <v>7596</v>
      </c>
    </row>
    <row r="3418">
      <c r="A3418" s="2" t="s">
        <v>8034</v>
      </c>
      <c r="B3418" s="2" t="s">
        <v>8035</v>
      </c>
      <c r="C3418" s="2" t="s">
        <v>7596</v>
      </c>
    </row>
    <row r="3419">
      <c r="A3419" s="2" t="s">
        <v>8036</v>
      </c>
      <c r="B3419" s="2" t="s">
        <v>8037</v>
      </c>
      <c r="C3419" s="2" t="s">
        <v>7596</v>
      </c>
    </row>
    <row r="3420">
      <c r="A3420" s="2" t="s">
        <v>8038</v>
      </c>
      <c r="B3420" s="2" t="s">
        <v>8039</v>
      </c>
      <c r="C3420" s="2" t="s">
        <v>7596</v>
      </c>
    </row>
    <row r="3421">
      <c r="A3421" s="2" t="s">
        <v>8040</v>
      </c>
      <c r="B3421" s="2" t="s">
        <v>8041</v>
      </c>
      <c r="C3421" s="2" t="s">
        <v>7596</v>
      </c>
    </row>
    <row r="3422">
      <c r="A3422" s="2" t="s">
        <v>8042</v>
      </c>
      <c r="B3422" s="2" t="s">
        <v>8043</v>
      </c>
      <c r="C3422" s="2" t="s">
        <v>7596</v>
      </c>
    </row>
    <row r="3423">
      <c r="A3423" s="2" t="s">
        <v>8044</v>
      </c>
      <c r="B3423" s="2" t="s">
        <v>8045</v>
      </c>
      <c r="C3423" s="2" t="s">
        <v>7596</v>
      </c>
    </row>
    <row r="3424">
      <c r="A3424" s="2" t="s">
        <v>8046</v>
      </c>
      <c r="B3424" s="2" t="s">
        <v>8047</v>
      </c>
      <c r="C3424" s="2" t="s">
        <v>7596</v>
      </c>
    </row>
    <row r="3425">
      <c r="A3425" s="2" t="s">
        <v>8048</v>
      </c>
      <c r="B3425" s="2" t="s">
        <v>8049</v>
      </c>
      <c r="C3425" s="2" t="s">
        <v>7596</v>
      </c>
    </row>
    <row r="3426">
      <c r="A3426" s="2" t="s">
        <v>8050</v>
      </c>
      <c r="B3426" s="2" t="s">
        <v>8051</v>
      </c>
      <c r="C3426" s="2" t="s">
        <v>7596</v>
      </c>
    </row>
    <row r="3427">
      <c r="A3427" s="2" t="s">
        <v>8052</v>
      </c>
      <c r="B3427" s="2" t="s">
        <v>8053</v>
      </c>
      <c r="C3427" s="2" t="s">
        <v>7596</v>
      </c>
    </row>
    <row r="3428">
      <c r="A3428" s="2" t="s">
        <v>8054</v>
      </c>
      <c r="B3428" s="2" t="s">
        <v>8055</v>
      </c>
      <c r="C3428" s="2" t="s">
        <v>7596</v>
      </c>
    </row>
    <row r="3429">
      <c r="A3429" s="2" t="s">
        <v>8056</v>
      </c>
      <c r="B3429" s="2" t="s">
        <v>8057</v>
      </c>
      <c r="C3429" s="2" t="s">
        <v>7596</v>
      </c>
    </row>
    <row r="3430">
      <c r="A3430" s="2" t="s">
        <v>8058</v>
      </c>
      <c r="B3430" s="2" t="s">
        <v>8059</v>
      </c>
      <c r="C3430" s="2" t="s">
        <v>7596</v>
      </c>
    </row>
    <row r="3431">
      <c r="A3431" s="2" t="s">
        <v>8060</v>
      </c>
      <c r="B3431" s="2" t="s">
        <v>8061</v>
      </c>
      <c r="C3431" s="2" t="s">
        <v>7596</v>
      </c>
    </row>
    <row r="3432">
      <c r="A3432" s="2" t="s">
        <v>8062</v>
      </c>
      <c r="B3432" s="2" t="s">
        <v>8063</v>
      </c>
      <c r="C3432" s="2" t="s">
        <v>7596</v>
      </c>
    </row>
    <row r="3433">
      <c r="A3433" s="2" t="s">
        <v>8064</v>
      </c>
      <c r="B3433" s="2" t="s">
        <v>8065</v>
      </c>
      <c r="C3433" s="2" t="s">
        <v>7596</v>
      </c>
    </row>
    <row r="3434">
      <c r="A3434" s="2" t="s">
        <v>8066</v>
      </c>
      <c r="B3434" s="2" t="s">
        <v>8067</v>
      </c>
      <c r="C3434" s="2" t="s">
        <v>7596</v>
      </c>
    </row>
    <row r="3435">
      <c r="A3435" s="2" t="s">
        <v>8068</v>
      </c>
      <c r="B3435" s="2" t="s">
        <v>8069</v>
      </c>
      <c r="C3435" s="2" t="s">
        <v>7596</v>
      </c>
    </row>
    <row r="3436">
      <c r="A3436" s="2" t="s">
        <v>8070</v>
      </c>
      <c r="B3436" s="2" t="s">
        <v>8071</v>
      </c>
      <c r="C3436" s="2" t="s">
        <v>7596</v>
      </c>
    </row>
    <row r="3437">
      <c r="A3437" s="2" t="s">
        <v>8072</v>
      </c>
      <c r="B3437" s="2" t="s">
        <v>8073</v>
      </c>
      <c r="C3437" s="2" t="s">
        <v>7596</v>
      </c>
    </row>
    <row r="3438">
      <c r="A3438" s="2" t="s">
        <v>8074</v>
      </c>
      <c r="B3438" s="2" t="s">
        <v>8075</v>
      </c>
      <c r="C3438" s="2" t="s">
        <v>7596</v>
      </c>
    </row>
    <row r="3439">
      <c r="A3439" s="2" t="s">
        <v>8076</v>
      </c>
      <c r="B3439" s="2" t="s">
        <v>8077</v>
      </c>
      <c r="C3439" s="2" t="s">
        <v>7596</v>
      </c>
    </row>
    <row r="3440">
      <c r="A3440" s="2" t="s">
        <v>8078</v>
      </c>
      <c r="B3440" s="2" t="s">
        <v>8079</v>
      </c>
      <c r="C3440" s="2" t="s">
        <v>7596</v>
      </c>
    </row>
    <row r="3441">
      <c r="A3441" s="2" t="s">
        <v>8080</v>
      </c>
      <c r="B3441" s="2" t="s">
        <v>8079</v>
      </c>
      <c r="C3441" s="2" t="s">
        <v>7596</v>
      </c>
    </row>
    <row r="3442">
      <c r="A3442" s="2" t="s">
        <v>8081</v>
      </c>
      <c r="B3442" s="2" t="s">
        <v>8079</v>
      </c>
      <c r="C3442" s="2" t="s">
        <v>7596</v>
      </c>
    </row>
    <row r="3443">
      <c r="A3443" s="2" t="s">
        <v>8082</v>
      </c>
      <c r="B3443" s="2" t="s">
        <v>8083</v>
      </c>
      <c r="C3443" s="2" t="s">
        <v>7596</v>
      </c>
    </row>
    <row r="3444">
      <c r="A3444" s="2" t="s">
        <v>8084</v>
      </c>
      <c r="B3444" s="2" t="s">
        <v>8085</v>
      </c>
      <c r="C3444" s="2" t="s">
        <v>7596</v>
      </c>
    </row>
    <row r="3445">
      <c r="A3445" s="2" t="s">
        <v>8086</v>
      </c>
      <c r="B3445" s="2" t="s">
        <v>8087</v>
      </c>
      <c r="C3445" s="2" t="s">
        <v>7596</v>
      </c>
    </row>
    <row r="3446">
      <c r="A3446" s="2" t="s">
        <v>8088</v>
      </c>
      <c r="B3446" s="2" t="s">
        <v>8089</v>
      </c>
      <c r="C3446" s="2" t="s">
        <v>7596</v>
      </c>
    </row>
    <row r="3447">
      <c r="A3447" s="2" t="s">
        <v>8090</v>
      </c>
      <c r="B3447" s="2" t="s">
        <v>8091</v>
      </c>
      <c r="C3447" s="2" t="s">
        <v>7596</v>
      </c>
    </row>
    <row r="3448">
      <c r="A3448" s="2" t="s">
        <v>8092</v>
      </c>
      <c r="B3448" s="2" t="s">
        <v>8093</v>
      </c>
      <c r="C3448" s="2" t="s">
        <v>7596</v>
      </c>
    </row>
    <row r="3449">
      <c r="A3449" s="2" t="s">
        <v>8094</v>
      </c>
      <c r="B3449" s="2" t="s">
        <v>8095</v>
      </c>
      <c r="C3449" s="2" t="s">
        <v>7596</v>
      </c>
    </row>
    <row r="3450">
      <c r="A3450" s="2" t="s">
        <v>8096</v>
      </c>
      <c r="B3450" s="2" t="s">
        <v>8097</v>
      </c>
      <c r="C3450" s="2" t="s">
        <v>7596</v>
      </c>
    </row>
    <row r="3451">
      <c r="A3451" s="2" t="s">
        <v>8098</v>
      </c>
      <c r="B3451" s="2" t="s">
        <v>8099</v>
      </c>
      <c r="C3451" s="2" t="s">
        <v>7596</v>
      </c>
    </row>
    <row r="3452">
      <c r="A3452" s="2" t="s">
        <v>8100</v>
      </c>
      <c r="B3452" s="2" t="s">
        <v>8101</v>
      </c>
      <c r="C3452" s="2" t="s">
        <v>7596</v>
      </c>
    </row>
    <row r="3453">
      <c r="A3453" s="2" t="s">
        <v>8102</v>
      </c>
      <c r="B3453" s="2" t="s">
        <v>8103</v>
      </c>
      <c r="C3453" s="2" t="s">
        <v>7596</v>
      </c>
    </row>
    <row r="3454">
      <c r="A3454" s="2" t="s">
        <v>8104</v>
      </c>
      <c r="B3454" s="2" t="s">
        <v>8105</v>
      </c>
      <c r="C3454" s="2" t="s">
        <v>7596</v>
      </c>
    </row>
    <row r="3455">
      <c r="A3455" s="2" t="s">
        <v>8106</v>
      </c>
      <c r="B3455" s="2" t="s">
        <v>8107</v>
      </c>
      <c r="C3455" s="2" t="s">
        <v>7596</v>
      </c>
    </row>
    <row r="3456">
      <c r="A3456" s="2" t="s">
        <v>8108</v>
      </c>
      <c r="B3456" s="2" t="s">
        <v>8109</v>
      </c>
      <c r="C3456" s="2" t="s">
        <v>7596</v>
      </c>
    </row>
    <row r="3457">
      <c r="A3457" s="2" t="s">
        <v>8110</v>
      </c>
      <c r="B3457" s="2" t="s">
        <v>8111</v>
      </c>
      <c r="C3457" s="2" t="s">
        <v>7596</v>
      </c>
    </row>
    <row r="3458">
      <c r="A3458" s="2" t="s">
        <v>8112</v>
      </c>
      <c r="B3458" s="2" t="s">
        <v>8113</v>
      </c>
      <c r="C3458" s="2" t="s">
        <v>7596</v>
      </c>
    </row>
    <row r="3459">
      <c r="A3459" s="2" t="s">
        <v>8114</v>
      </c>
      <c r="B3459" s="2" t="s">
        <v>8115</v>
      </c>
      <c r="C3459" s="2" t="s">
        <v>7596</v>
      </c>
    </row>
    <row r="3460">
      <c r="A3460" s="2" t="s">
        <v>8116</v>
      </c>
      <c r="B3460" s="2" t="s">
        <v>8117</v>
      </c>
      <c r="C3460" s="2" t="s">
        <v>7596</v>
      </c>
    </row>
    <row r="3461">
      <c r="A3461" s="2" t="s">
        <v>8118</v>
      </c>
      <c r="B3461" s="2" t="s">
        <v>8119</v>
      </c>
      <c r="C3461" s="2" t="s">
        <v>7596</v>
      </c>
    </row>
    <row r="3462">
      <c r="A3462" s="2" t="s">
        <v>8120</v>
      </c>
      <c r="B3462" s="2" t="s">
        <v>8121</v>
      </c>
      <c r="C3462" s="2" t="s">
        <v>7596</v>
      </c>
    </row>
    <row r="3463">
      <c r="A3463" s="2" t="s">
        <v>8122</v>
      </c>
      <c r="B3463" s="2" t="s">
        <v>8123</v>
      </c>
      <c r="C3463" s="2" t="s">
        <v>7596</v>
      </c>
    </row>
    <row r="3464">
      <c r="A3464" s="2" t="s">
        <v>8124</v>
      </c>
      <c r="B3464" s="2" t="s">
        <v>8125</v>
      </c>
      <c r="C3464" s="2" t="s">
        <v>7596</v>
      </c>
    </row>
    <row r="3465">
      <c r="A3465" s="2" t="s">
        <v>8126</v>
      </c>
      <c r="B3465" s="2" t="s">
        <v>8127</v>
      </c>
      <c r="C3465" s="2" t="s">
        <v>7596</v>
      </c>
    </row>
    <row r="3466">
      <c r="A3466" s="2" t="s">
        <v>8128</v>
      </c>
      <c r="B3466" s="2" t="s">
        <v>8129</v>
      </c>
      <c r="C3466" s="2" t="s">
        <v>7596</v>
      </c>
    </row>
    <row r="3467">
      <c r="A3467" s="2" t="s">
        <v>8130</v>
      </c>
      <c r="B3467" s="2" t="s">
        <v>8131</v>
      </c>
      <c r="C3467" s="2" t="s">
        <v>7596</v>
      </c>
    </row>
    <row r="3468">
      <c r="A3468" s="2" t="s">
        <v>8132</v>
      </c>
      <c r="B3468" s="2" t="s">
        <v>8133</v>
      </c>
      <c r="C3468" s="2" t="s">
        <v>7596</v>
      </c>
    </row>
    <row r="3469">
      <c r="A3469" s="2" t="s">
        <v>8134</v>
      </c>
      <c r="B3469" s="2" t="s">
        <v>8135</v>
      </c>
      <c r="C3469" s="2" t="s">
        <v>7596</v>
      </c>
    </row>
    <row r="3470">
      <c r="A3470" s="2" t="s">
        <v>8136</v>
      </c>
      <c r="B3470" s="2" t="s">
        <v>8137</v>
      </c>
      <c r="C3470" s="2" t="s">
        <v>7596</v>
      </c>
    </row>
    <row r="3471">
      <c r="A3471" s="2" t="s">
        <v>8138</v>
      </c>
      <c r="B3471" s="2" t="s">
        <v>8139</v>
      </c>
      <c r="C3471" s="2" t="s">
        <v>7596</v>
      </c>
    </row>
    <row r="3472">
      <c r="A3472" s="2" t="s">
        <v>8140</v>
      </c>
      <c r="B3472" s="2" t="s">
        <v>8141</v>
      </c>
      <c r="C3472" s="2" t="s">
        <v>7596</v>
      </c>
    </row>
    <row r="3473">
      <c r="A3473" s="2" t="s">
        <v>8142</v>
      </c>
      <c r="B3473" s="2" t="s">
        <v>8143</v>
      </c>
      <c r="C3473" s="2" t="s">
        <v>7596</v>
      </c>
    </row>
    <row r="3474">
      <c r="A3474" s="2" t="s">
        <v>8144</v>
      </c>
      <c r="B3474" s="2" t="s">
        <v>8145</v>
      </c>
      <c r="C3474" s="2" t="s">
        <v>7596</v>
      </c>
    </row>
    <row r="3475">
      <c r="A3475" s="2" t="s">
        <v>8146</v>
      </c>
      <c r="B3475" s="2" t="s">
        <v>8147</v>
      </c>
      <c r="C3475" s="2" t="s">
        <v>7596</v>
      </c>
    </row>
    <row r="3476">
      <c r="A3476" s="2" t="s">
        <v>8148</v>
      </c>
      <c r="B3476" s="2" t="s">
        <v>8149</v>
      </c>
      <c r="C3476" s="2" t="s">
        <v>7596</v>
      </c>
    </row>
    <row r="3477">
      <c r="A3477" s="2" t="s">
        <v>8150</v>
      </c>
      <c r="B3477" s="2" t="s">
        <v>8151</v>
      </c>
      <c r="C3477" s="2" t="s">
        <v>7596</v>
      </c>
    </row>
    <row r="3478">
      <c r="A3478" s="2" t="s">
        <v>8152</v>
      </c>
      <c r="B3478" s="2" t="s">
        <v>8153</v>
      </c>
      <c r="C3478" s="2" t="s">
        <v>7596</v>
      </c>
    </row>
    <row r="3479">
      <c r="A3479" s="2" t="s">
        <v>8154</v>
      </c>
      <c r="B3479" s="2" t="s">
        <v>8155</v>
      </c>
      <c r="C3479" s="2" t="s">
        <v>7596</v>
      </c>
    </row>
    <row r="3480">
      <c r="A3480" s="2" t="s">
        <v>8156</v>
      </c>
      <c r="B3480" s="2" t="s">
        <v>8157</v>
      </c>
      <c r="C3480" s="2" t="s">
        <v>7596</v>
      </c>
    </row>
    <row r="3481">
      <c r="A3481" s="2" t="s">
        <v>8158</v>
      </c>
      <c r="B3481" s="2" t="s">
        <v>8159</v>
      </c>
      <c r="C3481" s="2" t="s">
        <v>7596</v>
      </c>
    </row>
    <row r="3482">
      <c r="A3482" s="2" t="s">
        <v>8160</v>
      </c>
      <c r="B3482" s="2" t="s">
        <v>8161</v>
      </c>
      <c r="C3482" s="2" t="s">
        <v>7596</v>
      </c>
    </row>
    <row r="3483">
      <c r="A3483" s="2" t="s">
        <v>8162</v>
      </c>
      <c r="B3483" s="2" t="s">
        <v>8163</v>
      </c>
      <c r="C3483" s="2" t="s">
        <v>7596</v>
      </c>
    </row>
    <row r="3484">
      <c r="A3484" s="2" t="s">
        <v>8164</v>
      </c>
      <c r="B3484" s="2" t="s">
        <v>8165</v>
      </c>
      <c r="C3484" s="2" t="s">
        <v>7596</v>
      </c>
    </row>
    <row r="3485">
      <c r="A3485" s="2" t="s">
        <v>8166</v>
      </c>
      <c r="B3485" s="2" t="s">
        <v>8167</v>
      </c>
      <c r="C3485" s="2" t="s">
        <v>7596</v>
      </c>
    </row>
    <row r="3486">
      <c r="A3486" s="2" t="s">
        <v>8168</v>
      </c>
      <c r="B3486" s="2" t="s">
        <v>8169</v>
      </c>
      <c r="C3486" s="2" t="s">
        <v>7596</v>
      </c>
    </row>
    <row r="3487">
      <c r="A3487" s="2" t="s">
        <v>8170</v>
      </c>
      <c r="B3487" s="2" t="s">
        <v>8171</v>
      </c>
      <c r="C3487" s="2" t="s">
        <v>7596</v>
      </c>
    </row>
    <row r="3488">
      <c r="A3488" s="2" t="s">
        <v>8172</v>
      </c>
      <c r="B3488" s="2" t="s">
        <v>8173</v>
      </c>
      <c r="C3488" s="2" t="s">
        <v>7596</v>
      </c>
    </row>
    <row r="3489">
      <c r="A3489" s="2" t="s">
        <v>8174</v>
      </c>
      <c r="B3489" s="2" t="s">
        <v>8175</v>
      </c>
      <c r="C3489" s="2" t="s">
        <v>7596</v>
      </c>
    </row>
    <row r="3490">
      <c r="A3490" s="2" t="s">
        <v>8176</v>
      </c>
      <c r="B3490" s="2" t="s">
        <v>8177</v>
      </c>
      <c r="C3490" s="2" t="s">
        <v>7596</v>
      </c>
    </row>
    <row r="3491">
      <c r="A3491" s="2" t="s">
        <v>8178</v>
      </c>
      <c r="B3491" s="2" t="s">
        <v>8179</v>
      </c>
      <c r="C3491" s="2" t="s">
        <v>7596</v>
      </c>
    </row>
    <row r="3492">
      <c r="A3492" s="2" t="s">
        <v>8180</v>
      </c>
      <c r="B3492" s="2" t="s">
        <v>8181</v>
      </c>
      <c r="C3492" s="2" t="s">
        <v>7596</v>
      </c>
    </row>
    <row r="3493">
      <c r="A3493" s="2" t="s">
        <v>8182</v>
      </c>
      <c r="B3493" s="2" t="s">
        <v>8183</v>
      </c>
      <c r="C3493" s="2" t="s">
        <v>7596</v>
      </c>
    </row>
    <row r="3494">
      <c r="A3494" s="2" t="s">
        <v>8184</v>
      </c>
      <c r="B3494" s="2" t="s">
        <v>8185</v>
      </c>
      <c r="C3494" s="2" t="s">
        <v>7596</v>
      </c>
    </row>
    <row r="3495">
      <c r="A3495" s="2" t="s">
        <v>8186</v>
      </c>
      <c r="B3495" s="2" t="s">
        <v>8187</v>
      </c>
      <c r="C3495" s="2" t="s">
        <v>7596</v>
      </c>
    </row>
    <row r="3496">
      <c r="A3496" s="2" t="s">
        <v>8188</v>
      </c>
      <c r="B3496" s="2" t="s">
        <v>8189</v>
      </c>
      <c r="C3496" s="2" t="s">
        <v>7596</v>
      </c>
    </row>
    <row r="3497">
      <c r="A3497" s="2" t="s">
        <v>8190</v>
      </c>
      <c r="B3497" s="2" t="s">
        <v>8191</v>
      </c>
      <c r="C3497" s="2" t="s">
        <v>7596</v>
      </c>
    </row>
    <row r="3498">
      <c r="A3498" s="2" t="s">
        <v>8192</v>
      </c>
      <c r="B3498" s="2" t="s">
        <v>8193</v>
      </c>
      <c r="C3498" s="2" t="s">
        <v>7596</v>
      </c>
    </row>
    <row r="3499">
      <c r="A3499" s="2" t="s">
        <v>8194</v>
      </c>
      <c r="B3499" s="2" t="s">
        <v>8195</v>
      </c>
      <c r="C3499" s="2" t="s">
        <v>7596</v>
      </c>
    </row>
    <row r="3500">
      <c r="A3500" s="2" t="s">
        <v>8196</v>
      </c>
      <c r="B3500" s="2" t="s">
        <v>8197</v>
      </c>
      <c r="C3500" s="2" t="s">
        <v>7596</v>
      </c>
    </row>
    <row r="3501">
      <c r="A3501" s="2" t="s">
        <v>8198</v>
      </c>
      <c r="B3501" s="2" t="s">
        <v>8199</v>
      </c>
      <c r="C3501" s="2" t="s">
        <v>7596</v>
      </c>
    </row>
    <row r="3502">
      <c r="A3502" s="2" t="s">
        <v>8200</v>
      </c>
      <c r="B3502" s="2" t="s">
        <v>8201</v>
      </c>
      <c r="C3502" s="2" t="s">
        <v>7596</v>
      </c>
    </row>
    <row r="3503">
      <c r="A3503" s="2" t="s">
        <v>8202</v>
      </c>
      <c r="B3503" s="2" t="s">
        <v>8203</v>
      </c>
      <c r="C3503" s="2" t="s">
        <v>7596</v>
      </c>
    </row>
    <row r="3504">
      <c r="A3504" s="2" t="s">
        <v>8204</v>
      </c>
      <c r="B3504" s="2" t="s">
        <v>8205</v>
      </c>
      <c r="C3504" s="2" t="s">
        <v>7596</v>
      </c>
    </row>
    <row r="3505">
      <c r="A3505" s="2" t="s">
        <v>8206</v>
      </c>
      <c r="B3505" s="2" t="s">
        <v>8207</v>
      </c>
      <c r="C3505" s="2" t="s">
        <v>7596</v>
      </c>
    </row>
    <row r="3506">
      <c r="A3506" s="2" t="s">
        <v>8208</v>
      </c>
      <c r="B3506" s="2" t="s">
        <v>8209</v>
      </c>
      <c r="C3506" s="2" t="s">
        <v>7596</v>
      </c>
    </row>
    <row r="3507">
      <c r="A3507" s="2" t="s">
        <v>8210</v>
      </c>
      <c r="B3507" s="2" t="s">
        <v>8211</v>
      </c>
      <c r="C3507" s="2" t="s">
        <v>7596</v>
      </c>
    </row>
    <row r="3508">
      <c r="A3508" s="2" t="s">
        <v>8212</v>
      </c>
      <c r="B3508" s="2" t="s">
        <v>8213</v>
      </c>
      <c r="C3508" s="2" t="s">
        <v>7596</v>
      </c>
    </row>
    <row r="3509">
      <c r="A3509" s="2" t="s">
        <v>8214</v>
      </c>
      <c r="B3509" s="2" t="s">
        <v>8215</v>
      </c>
      <c r="C3509" s="2" t="s">
        <v>7596</v>
      </c>
    </row>
    <row r="3510">
      <c r="A3510" s="2" t="s">
        <v>8216</v>
      </c>
      <c r="B3510" s="2" t="s">
        <v>8217</v>
      </c>
      <c r="C3510" s="2" t="s">
        <v>7596</v>
      </c>
    </row>
    <row r="3511">
      <c r="A3511" s="2" t="s">
        <v>8218</v>
      </c>
      <c r="B3511" s="2" t="s">
        <v>8219</v>
      </c>
      <c r="C3511" s="2" t="s">
        <v>7596</v>
      </c>
    </row>
    <row r="3512">
      <c r="A3512" s="2" t="s">
        <v>8220</v>
      </c>
      <c r="B3512" s="2" t="s">
        <v>8221</v>
      </c>
      <c r="C3512" s="2" t="s">
        <v>7596</v>
      </c>
    </row>
    <row r="3513">
      <c r="A3513" s="2" t="s">
        <v>8222</v>
      </c>
      <c r="B3513" s="2" t="s">
        <v>8223</v>
      </c>
      <c r="C3513" s="2" t="s">
        <v>7596</v>
      </c>
    </row>
    <row r="3514">
      <c r="A3514" s="2" t="s">
        <v>8224</v>
      </c>
      <c r="B3514" s="2" t="s">
        <v>8225</v>
      </c>
      <c r="C3514" s="2" t="s">
        <v>7596</v>
      </c>
    </row>
    <row r="3515">
      <c r="A3515" s="2" t="s">
        <v>8226</v>
      </c>
      <c r="B3515" s="2" t="s">
        <v>8227</v>
      </c>
      <c r="C3515" s="2" t="s">
        <v>7596</v>
      </c>
    </row>
    <row r="3516">
      <c r="A3516" s="2" t="s">
        <v>8228</v>
      </c>
      <c r="B3516" s="2" t="s">
        <v>8229</v>
      </c>
      <c r="C3516" s="2" t="s">
        <v>7596</v>
      </c>
    </row>
    <row r="3517">
      <c r="A3517" s="2" t="s">
        <v>8230</v>
      </c>
      <c r="B3517" s="2" t="s">
        <v>8231</v>
      </c>
      <c r="C3517" s="2" t="s">
        <v>7596</v>
      </c>
    </row>
    <row r="3518">
      <c r="A3518" s="2" t="s">
        <v>8232</v>
      </c>
      <c r="B3518" s="2" t="s">
        <v>8233</v>
      </c>
      <c r="C3518" s="2" t="s">
        <v>7596</v>
      </c>
    </row>
    <row r="3519">
      <c r="A3519" s="2" t="s">
        <v>8234</v>
      </c>
      <c r="B3519" s="2" t="s">
        <v>8235</v>
      </c>
      <c r="C3519" s="2" t="s">
        <v>7596</v>
      </c>
    </row>
    <row r="3520">
      <c r="A3520" s="2" t="s">
        <v>8236</v>
      </c>
      <c r="B3520" s="2" t="s">
        <v>8237</v>
      </c>
      <c r="C3520" s="2" t="s">
        <v>7596</v>
      </c>
    </row>
    <row r="3521">
      <c r="A3521" s="2" t="s">
        <v>8238</v>
      </c>
      <c r="B3521" s="2" t="s">
        <v>8239</v>
      </c>
      <c r="C3521" s="2" t="s">
        <v>7596</v>
      </c>
    </row>
    <row r="3522">
      <c r="A3522" s="2" t="s">
        <v>8240</v>
      </c>
      <c r="B3522" s="2" t="s">
        <v>8241</v>
      </c>
      <c r="C3522" s="2" t="s">
        <v>7596</v>
      </c>
    </row>
    <row r="3523">
      <c r="A3523" s="2" t="s">
        <v>8242</v>
      </c>
      <c r="B3523" s="2" t="s">
        <v>8243</v>
      </c>
      <c r="C3523" s="2" t="s">
        <v>7596</v>
      </c>
    </row>
    <row r="3524">
      <c r="A3524" s="2" t="s">
        <v>8244</v>
      </c>
      <c r="B3524" s="2" t="s">
        <v>8245</v>
      </c>
      <c r="C3524" s="2" t="s">
        <v>7596</v>
      </c>
    </row>
    <row r="3525">
      <c r="A3525" s="2" t="s">
        <v>8246</v>
      </c>
      <c r="B3525" s="2" t="s">
        <v>8247</v>
      </c>
      <c r="C3525" s="2" t="s">
        <v>7596</v>
      </c>
    </row>
    <row r="3526">
      <c r="A3526" s="2" t="s">
        <v>8248</v>
      </c>
      <c r="B3526" s="2" t="s">
        <v>8249</v>
      </c>
      <c r="C3526" s="2" t="s">
        <v>7596</v>
      </c>
    </row>
    <row r="3527">
      <c r="A3527" s="2" t="s">
        <v>8250</v>
      </c>
      <c r="B3527" s="2" t="s">
        <v>8251</v>
      </c>
      <c r="C3527" s="2" t="s">
        <v>7596</v>
      </c>
    </row>
    <row r="3528">
      <c r="A3528" s="2" t="s">
        <v>8252</v>
      </c>
      <c r="B3528" s="2" t="s">
        <v>8253</v>
      </c>
      <c r="C3528" s="2" t="s">
        <v>7596</v>
      </c>
    </row>
    <row r="3529">
      <c r="A3529" s="2" t="s">
        <v>8254</v>
      </c>
      <c r="B3529" s="2" t="s">
        <v>8255</v>
      </c>
      <c r="C3529" s="2" t="s">
        <v>7596</v>
      </c>
    </row>
    <row r="3530">
      <c r="A3530" s="2" t="s">
        <v>8256</v>
      </c>
      <c r="B3530" s="2" t="s">
        <v>8257</v>
      </c>
      <c r="C3530" s="2" t="s">
        <v>7596</v>
      </c>
    </row>
    <row r="3531">
      <c r="A3531" s="2" t="s">
        <v>8258</v>
      </c>
      <c r="B3531" s="2" t="s">
        <v>8259</v>
      </c>
      <c r="C3531" s="2" t="s">
        <v>7596</v>
      </c>
    </row>
    <row r="3532">
      <c r="A3532" s="2" t="s">
        <v>8260</v>
      </c>
      <c r="B3532" s="2" t="s">
        <v>8259</v>
      </c>
      <c r="C3532" s="2" t="s">
        <v>7596</v>
      </c>
    </row>
    <row r="3533">
      <c r="A3533" s="2" t="s">
        <v>8261</v>
      </c>
      <c r="B3533" s="2" t="s">
        <v>8259</v>
      </c>
      <c r="C3533" s="2" t="s">
        <v>7596</v>
      </c>
    </row>
    <row r="3534">
      <c r="A3534" s="2" t="s">
        <v>8262</v>
      </c>
      <c r="B3534" s="2" t="s">
        <v>8263</v>
      </c>
      <c r="C3534" s="2" t="s">
        <v>7596</v>
      </c>
    </row>
    <row r="3535">
      <c r="A3535" s="2" t="s">
        <v>8264</v>
      </c>
      <c r="B3535" s="2" t="s">
        <v>8265</v>
      </c>
      <c r="C3535" s="2" t="s">
        <v>7596</v>
      </c>
    </row>
    <row r="3536">
      <c r="A3536" s="2" t="s">
        <v>8266</v>
      </c>
      <c r="B3536" s="2" t="s">
        <v>8267</v>
      </c>
      <c r="C3536" s="2" t="s">
        <v>7596</v>
      </c>
    </row>
    <row r="3537">
      <c r="A3537" s="2" t="s">
        <v>8268</v>
      </c>
      <c r="B3537" s="2" t="s">
        <v>8269</v>
      </c>
      <c r="C3537" s="2" t="s">
        <v>7596</v>
      </c>
    </row>
    <row r="3538">
      <c r="A3538" s="2" t="s">
        <v>8270</v>
      </c>
      <c r="B3538" s="2" t="s">
        <v>8271</v>
      </c>
      <c r="C3538" s="2" t="s">
        <v>7596</v>
      </c>
    </row>
    <row r="3539">
      <c r="A3539" s="2" t="s">
        <v>8272</v>
      </c>
      <c r="B3539" s="2" t="s">
        <v>8273</v>
      </c>
      <c r="C3539" s="2" t="s">
        <v>7596</v>
      </c>
    </row>
    <row r="3540">
      <c r="A3540" s="2" t="s">
        <v>8274</v>
      </c>
      <c r="B3540" s="2" t="s">
        <v>8275</v>
      </c>
      <c r="C3540" s="2" t="s">
        <v>7596</v>
      </c>
    </row>
    <row r="3541">
      <c r="A3541" s="2" t="s">
        <v>8276</v>
      </c>
      <c r="B3541" s="2" t="s">
        <v>8277</v>
      </c>
      <c r="C3541" s="2" t="s">
        <v>7596</v>
      </c>
    </row>
    <row r="3542">
      <c r="A3542" s="2" t="s">
        <v>8278</v>
      </c>
      <c r="B3542" s="2" t="s">
        <v>8279</v>
      </c>
      <c r="C3542" s="2" t="s">
        <v>7596</v>
      </c>
    </row>
    <row r="3543">
      <c r="A3543" s="2" t="s">
        <v>8280</v>
      </c>
      <c r="B3543" s="2" t="s">
        <v>8281</v>
      </c>
      <c r="C3543" s="2" t="s">
        <v>7596</v>
      </c>
    </row>
    <row r="3544">
      <c r="A3544" s="2" t="s">
        <v>8282</v>
      </c>
      <c r="B3544" s="2" t="s">
        <v>8283</v>
      </c>
      <c r="C3544" s="2" t="s">
        <v>7596</v>
      </c>
    </row>
    <row r="3545">
      <c r="A3545" s="2" t="s">
        <v>8284</v>
      </c>
      <c r="B3545" s="2" t="s">
        <v>8285</v>
      </c>
      <c r="C3545" s="2" t="s">
        <v>7596</v>
      </c>
    </row>
    <row r="3546">
      <c r="A3546" s="2" t="s">
        <v>8286</v>
      </c>
      <c r="B3546" s="2" t="s">
        <v>8287</v>
      </c>
      <c r="C3546" s="2" t="s">
        <v>7596</v>
      </c>
    </row>
    <row r="3547">
      <c r="A3547" s="2" t="s">
        <v>8288</v>
      </c>
      <c r="B3547" s="2" t="s">
        <v>8289</v>
      </c>
      <c r="C3547" s="2" t="s">
        <v>7596</v>
      </c>
    </row>
    <row r="3548">
      <c r="A3548" s="2" t="s">
        <v>8290</v>
      </c>
      <c r="B3548" s="2" t="s">
        <v>8291</v>
      </c>
      <c r="C3548" s="2" t="s">
        <v>7596</v>
      </c>
    </row>
    <row r="3549">
      <c r="A3549" s="2" t="s">
        <v>8292</v>
      </c>
      <c r="B3549" s="2" t="s">
        <v>8293</v>
      </c>
      <c r="C3549" s="2" t="s">
        <v>7596</v>
      </c>
    </row>
    <row r="3550">
      <c r="A3550" s="2" t="s">
        <v>8294</v>
      </c>
      <c r="B3550" s="2" t="s">
        <v>8295</v>
      </c>
      <c r="C3550" s="2" t="s">
        <v>7596</v>
      </c>
    </row>
    <row r="3551">
      <c r="A3551" s="2" t="s">
        <v>8296</v>
      </c>
      <c r="B3551" s="2" t="s">
        <v>8297</v>
      </c>
      <c r="C3551" s="2" t="s">
        <v>7596</v>
      </c>
    </row>
    <row r="3552">
      <c r="A3552" s="2" t="s">
        <v>8298</v>
      </c>
      <c r="B3552" s="2" t="s">
        <v>8299</v>
      </c>
      <c r="C3552" s="2" t="s">
        <v>7596</v>
      </c>
    </row>
    <row r="3553">
      <c r="A3553" s="2" t="s">
        <v>8300</v>
      </c>
      <c r="B3553" s="2" t="s">
        <v>8301</v>
      </c>
      <c r="C3553" s="2" t="s">
        <v>7596</v>
      </c>
    </row>
    <row r="3554">
      <c r="A3554" s="2" t="s">
        <v>8302</v>
      </c>
      <c r="B3554" s="2" t="s">
        <v>8301</v>
      </c>
      <c r="C3554" s="2" t="s">
        <v>7596</v>
      </c>
    </row>
    <row r="3555">
      <c r="A3555" s="2" t="s">
        <v>8303</v>
      </c>
      <c r="B3555" s="2" t="s">
        <v>8304</v>
      </c>
      <c r="C3555" s="2" t="s">
        <v>7596</v>
      </c>
    </row>
    <row r="3556">
      <c r="A3556" s="2" t="s">
        <v>8305</v>
      </c>
      <c r="B3556" s="2" t="s">
        <v>8304</v>
      </c>
      <c r="C3556" s="2" t="s">
        <v>7596</v>
      </c>
    </row>
    <row r="3557">
      <c r="A3557" s="2" t="s">
        <v>8306</v>
      </c>
      <c r="B3557" s="2" t="s">
        <v>8307</v>
      </c>
      <c r="C3557" s="2" t="s">
        <v>7596</v>
      </c>
    </row>
    <row r="3558">
      <c r="A3558" s="2" t="s">
        <v>8308</v>
      </c>
      <c r="B3558" s="2" t="s">
        <v>8307</v>
      </c>
      <c r="C3558" s="2" t="s">
        <v>7596</v>
      </c>
    </row>
    <row r="3559">
      <c r="A3559" s="2" t="s">
        <v>8309</v>
      </c>
      <c r="B3559" s="2" t="s">
        <v>8310</v>
      </c>
      <c r="C3559" s="2" t="s">
        <v>7596</v>
      </c>
    </row>
    <row r="3560">
      <c r="A3560" s="2" t="s">
        <v>8311</v>
      </c>
      <c r="B3560" s="2" t="s">
        <v>8312</v>
      </c>
      <c r="C3560" s="2" t="s">
        <v>7596</v>
      </c>
    </row>
    <row r="3561">
      <c r="A3561" s="2" t="s">
        <v>8313</v>
      </c>
      <c r="B3561" s="2" t="s">
        <v>8314</v>
      </c>
      <c r="C3561" s="2" t="s">
        <v>7596</v>
      </c>
    </row>
    <row r="3562">
      <c r="A3562" s="2" t="s">
        <v>8315</v>
      </c>
      <c r="B3562" s="2" t="s">
        <v>8316</v>
      </c>
      <c r="C3562" s="2" t="s">
        <v>7596</v>
      </c>
    </row>
    <row r="3563">
      <c r="A3563" s="2" t="s">
        <v>8317</v>
      </c>
      <c r="B3563" s="2" t="s">
        <v>8318</v>
      </c>
      <c r="C3563" s="2" t="s">
        <v>7596</v>
      </c>
    </row>
    <row r="3564">
      <c r="A3564" s="2" t="s">
        <v>8319</v>
      </c>
      <c r="B3564" s="2" t="s">
        <v>8320</v>
      </c>
      <c r="C3564" s="2" t="s">
        <v>7596</v>
      </c>
    </row>
    <row r="3565">
      <c r="A3565" s="2" t="s">
        <v>8321</v>
      </c>
      <c r="B3565" s="2" t="s">
        <v>8320</v>
      </c>
      <c r="C3565" s="2" t="s">
        <v>7596</v>
      </c>
    </row>
    <row r="3566">
      <c r="A3566" s="2" t="s">
        <v>8322</v>
      </c>
      <c r="B3566" s="2" t="s">
        <v>8323</v>
      </c>
      <c r="C3566" s="2" t="s">
        <v>7596</v>
      </c>
    </row>
    <row r="3567">
      <c r="A3567" s="2" t="s">
        <v>8324</v>
      </c>
      <c r="B3567" s="2" t="s">
        <v>8323</v>
      </c>
      <c r="C3567" s="2" t="s">
        <v>7596</v>
      </c>
    </row>
    <row r="3568">
      <c r="A3568" s="2" t="s">
        <v>8325</v>
      </c>
      <c r="B3568" s="2" t="s">
        <v>8326</v>
      </c>
      <c r="C3568" s="2" t="s">
        <v>7596</v>
      </c>
    </row>
    <row r="3569">
      <c r="A3569" s="2" t="s">
        <v>8327</v>
      </c>
      <c r="B3569" s="2" t="s">
        <v>8326</v>
      </c>
      <c r="C3569" s="2" t="s">
        <v>7596</v>
      </c>
    </row>
    <row r="3570">
      <c r="A3570" s="2" t="s">
        <v>8328</v>
      </c>
      <c r="B3570" s="2" t="s">
        <v>8329</v>
      </c>
      <c r="C3570" s="2" t="s">
        <v>7596</v>
      </c>
    </row>
    <row r="3571">
      <c r="A3571" s="2" t="s">
        <v>8330</v>
      </c>
      <c r="B3571" s="2" t="s">
        <v>8329</v>
      </c>
      <c r="C3571" s="2" t="s">
        <v>7596</v>
      </c>
    </row>
    <row r="3572">
      <c r="A3572" s="2" t="s">
        <v>8331</v>
      </c>
      <c r="B3572" s="2" t="s">
        <v>8332</v>
      </c>
      <c r="C3572" s="2" t="s">
        <v>7596</v>
      </c>
    </row>
    <row r="3573">
      <c r="A3573" s="2" t="s">
        <v>8333</v>
      </c>
      <c r="B3573" s="2" t="s">
        <v>8332</v>
      </c>
      <c r="C3573" s="2" t="s">
        <v>7596</v>
      </c>
    </row>
    <row r="3574">
      <c r="A3574" s="2" t="s">
        <v>8334</v>
      </c>
      <c r="B3574" s="2" t="s">
        <v>8335</v>
      </c>
      <c r="C3574" s="2" t="s">
        <v>7596</v>
      </c>
    </row>
    <row r="3575">
      <c r="A3575" s="2" t="s">
        <v>8336</v>
      </c>
      <c r="B3575" s="2" t="s">
        <v>8335</v>
      </c>
      <c r="C3575" s="2" t="s">
        <v>7596</v>
      </c>
    </row>
    <row r="3576">
      <c r="A3576" s="2" t="s">
        <v>8337</v>
      </c>
      <c r="B3576" s="2" t="s">
        <v>8338</v>
      </c>
      <c r="C3576" s="2" t="s">
        <v>7596</v>
      </c>
    </row>
    <row r="3577">
      <c r="A3577" s="2" t="s">
        <v>8339</v>
      </c>
      <c r="B3577" s="2" t="s">
        <v>8340</v>
      </c>
      <c r="C3577" s="2" t="s">
        <v>7596</v>
      </c>
    </row>
    <row r="3578">
      <c r="A3578" s="2" t="s">
        <v>8341</v>
      </c>
      <c r="B3578" s="2" t="s">
        <v>8342</v>
      </c>
      <c r="C3578" s="2" t="s">
        <v>7596</v>
      </c>
    </row>
    <row r="3579">
      <c r="A3579" s="2" t="s">
        <v>8343</v>
      </c>
      <c r="B3579" s="2" t="s">
        <v>8342</v>
      </c>
      <c r="C3579" s="2" t="s">
        <v>7596</v>
      </c>
    </row>
    <row r="3580">
      <c r="A3580" s="2" t="s">
        <v>8344</v>
      </c>
      <c r="B3580" s="2" t="s">
        <v>8345</v>
      </c>
      <c r="C3580" s="2" t="s">
        <v>7596</v>
      </c>
    </row>
    <row r="3581">
      <c r="A3581" s="2" t="s">
        <v>8346</v>
      </c>
      <c r="B3581" s="2" t="s">
        <v>8345</v>
      </c>
      <c r="C3581" s="2" t="s">
        <v>7596</v>
      </c>
    </row>
    <row r="3582">
      <c r="A3582" s="2" t="s">
        <v>8347</v>
      </c>
      <c r="B3582" s="2" t="s">
        <v>8348</v>
      </c>
      <c r="C3582" s="2" t="s">
        <v>7596</v>
      </c>
    </row>
    <row r="3583">
      <c r="A3583" s="2" t="s">
        <v>8349</v>
      </c>
      <c r="B3583" s="2" t="s">
        <v>8348</v>
      </c>
      <c r="C3583" s="2" t="s">
        <v>7596</v>
      </c>
    </row>
    <row r="3584">
      <c r="A3584" s="2" t="s">
        <v>8350</v>
      </c>
      <c r="B3584" s="2" t="s">
        <v>8351</v>
      </c>
      <c r="C3584" s="2" t="s">
        <v>7596</v>
      </c>
    </row>
    <row r="3585">
      <c r="A3585" s="2" t="s">
        <v>8352</v>
      </c>
      <c r="B3585" s="2" t="s">
        <v>8353</v>
      </c>
      <c r="C3585" s="2" t="s">
        <v>7596</v>
      </c>
    </row>
    <row r="3586">
      <c r="A3586" s="2" t="s">
        <v>8354</v>
      </c>
      <c r="B3586" s="2" t="s">
        <v>8355</v>
      </c>
      <c r="C3586" s="2" t="s">
        <v>7596</v>
      </c>
    </row>
    <row r="3587">
      <c r="A3587" s="2" t="s">
        <v>8356</v>
      </c>
      <c r="B3587" s="2" t="s">
        <v>8355</v>
      </c>
      <c r="C3587" s="2" t="s">
        <v>7596</v>
      </c>
    </row>
    <row r="3588">
      <c r="A3588" s="2" t="s">
        <v>8357</v>
      </c>
      <c r="B3588" s="2" t="s">
        <v>8358</v>
      </c>
      <c r="C3588" s="2" t="s">
        <v>7596</v>
      </c>
    </row>
    <row r="3589">
      <c r="A3589" s="2" t="s">
        <v>8359</v>
      </c>
      <c r="B3589" s="2" t="s">
        <v>8358</v>
      </c>
      <c r="C3589" s="2" t="s">
        <v>7596</v>
      </c>
    </row>
    <row r="3590">
      <c r="A3590" s="2" t="s">
        <v>8360</v>
      </c>
      <c r="B3590" s="2" t="s">
        <v>8361</v>
      </c>
      <c r="C3590" s="2" t="s">
        <v>7596</v>
      </c>
    </row>
    <row r="3591">
      <c r="A3591" s="2" t="s">
        <v>8362</v>
      </c>
      <c r="B3591" s="2" t="s">
        <v>8361</v>
      </c>
      <c r="C3591" s="2" t="s">
        <v>7596</v>
      </c>
    </row>
    <row r="3592">
      <c r="A3592" s="2" t="s">
        <v>8363</v>
      </c>
      <c r="B3592" s="2" t="s">
        <v>8364</v>
      </c>
      <c r="C3592" s="2" t="s">
        <v>7596</v>
      </c>
    </row>
    <row r="3593">
      <c r="A3593" s="2" t="s">
        <v>8365</v>
      </c>
      <c r="B3593" s="2" t="s">
        <v>8366</v>
      </c>
      <c r="C3593" s="2" t="s">
        <v>7596</v>
      </c>
    </row>
    <row r="3594">
      <c r="A3594" s="2" t="s">
        <v>8367</v>
      </c>
      <c r="B3594" s="2" t="s">
        <v>8368</v>
      </c>
      <c r="C3594" s="2" t="s">
        <v>7596</v>
      </c>
    </row>
    <row r="3595">
      <c r="A3595" s="2" t="s">
        <v>8369</v>
      </c>
      <c r="B3595" s="2" t="s">
        <v>8370</v>
      </c>
      <c r="C3595" s="2" t="s">
        <v>7596</v>
      </c>
    </row>
    <row r="3596">
      <c r="A3596" s="2" t="s">
        <v>8371</v>
      </c>
      <c r="B3596" s="2" t="s">
        <v>8372</v>
      </c>
      <c r="C3596" s="2" t="s">
        <v>7596</v>
      </c>
    </row>
    <row r="3597">
      <c r="A3597" s="2" t="s">
        <v>8373</v>
      </c>
      <c r="B3597" s="2" t="s">
        <v>8374</v>
      </c>
      <c r="C3597" s="2" t="s">
        <v>7596</v>
      </c>
    </row>
    <row r="3598">
      <c r="A3598" s="2" t="s">
        <v>8375</v>
      </c>
      <c r="B3598" s="2" t="s">
        <v>8376</v>
      </c>
      <c r="C3598" s="2" t="s">
        <v>7596</v>
      </c>
    </row>
    <row r="3599">
      <c r="A3599" s="2" t="s">
        <v>8377</v>
      </c>
      <c r="B3599" s="2" t="s">
        <v>8378</v>
      </c>
      <c r="C3599" s="2" t="s">
        <v>7596</v>
      </c>
    </row>
    <row r="3600">
      <c r="A3600" s="2" t="s">
        <v>8379</v>
      </c>
      <c r="B3600" s="2" t="s">
        <v>8380</v>
      </c>
      <c r="C3600" s="2" t="s">
        <v>7596</v>
      </c>
    </row>
    <row r="3601">
      <c r="A3601" s="2" t="s">
        <v>8381</v>
      </c>
      <c r="B3601" s="2" t="s">
        <v>8382</v>
      </c>
      <c r="C3601" s="2" t="s">
        <v>7596</v>
      </c>
    </row>
    <row r="3602">
      <c r="A3602" s="2" t="s">
        <v>8383</v>
      </c>
      <c r="B3602" s="2" t="s">
        <v>8384</v>
      </c>
      <c r="C3602" s="2" t="s">
        <v>7596</v>
      </c>
    </row>
    <row r="3603">
      <c r="A3603" s="2" t="s">
        <v>8385</v>
      </c>
      <c r="B3603" s="2" t="s">
        <v>8386</v>
      </c>
      <c r="C3603" s="2" t="s">
        <v>7596</v>
      </c>
    </row>
    <row r="3604">
      <c r="A3604" s="2" t="s">
        <v>8387</v>
      </c>
      <c r="B3604" s="2" t="s">
        <v>8388</v>
      </c>
      <c r="C3604" s="2" t="s">
        <v>7596</v>
      </c>
    </row>
    <row r="3605">
      <c r="A3605" s="2" t="s">
        <v>8389</v>
      </c>
      <c r="B3605" s="2" t="s">
        <v>8390</v>
      </c>
      <c r="C3605" s="2" t="s">
        <v>7596</v>
      </c>
    </row>
    <row r="3606">
      <c r="A3606" s="2" t="s">
        <v>8391</v>
      </c>
      <c r="B3606" s="2" t="s">
        <v>8392</v>
      </c>
      <c r="C3606" s="2" t="s">
        <v>7596</v>
      </c>
    </row>
    <row r="3607">
      <c r="A3607" s="2" t="s">
        <v>8393</v>
      </c>
      <c r="B3607" s="2" t="s">
        <v>8394</v>
      </c>
      <c r="C3607" s="2" t="s">
        <v>7596</v>
      </c>
    </row>
    <row r="3608">
      <c r="A3608" s="2" t="s">
        <v>8395</v>
      </c>
      <c r="B3608" s="2" t="s">
        <v>8396</v>
      </c>
      <c r="C3608" s="2" t="s">
        <v>7596</v>
      </c>
    </row>
    <row r="3609">
      <c r="A3609" s="2" t="s">
        <v>8397</v>
      </c>
      <c r="B3609" s="2" t="s">
        <v>8398</v>
      </c>
      <c r="C3609" s="2" t="s">
        <v>7596</v>
      </c>
    </row>
    <row r="3610">
      <c r="A3610" s="2" t="s">
        <v>8399</v>
      </c>
      <c r="B3610" s="2" t="s">
        <v>8400</v>
      </c>
      <c r="C3610" s="2" t="s">
        <v>7596</v>
      </c>
    </row>
    <row r="3611">
      <c r="A3611" s="2" t="s">
        <v>8401</v>
      </c>
      <c r="B3611" s="2" t="s">
        <v>8402</v>
      </c>
      <c r="C3611" s="2" t="s">
        <v>7596</v>
      </c>
    </row>
    <row r="3612">
      <c r="A3612" s="2" t="s">
        <v>8403</v>
      </c>
      <c r="B3612" s="2" t="s">
        <v>8404</v>
      </c>
      <c r="C3612" s="2" t="s">
        <v>7596</v>
      </c>
    </row>
    <row r="3613">
      <c r="A3613" s="2" t="s">
        <v>8405</v>
      </c>
      <c r="B3613" s="2" t="s">
        <v>8406</v>
      </c>
      <c r="C3613" s="2" t="s">
        <v>7596</v>
      </c>
    </row>
    <row r="3614">
      <c r="A3614" s="2" t="s">
        <v>8407</v>
      </c>
      <c r="B3614" s="2" t="s">
        <v>8408</v>
      </c>
      <c r="C3614" s="2" t="s">
        <v>7596</v>
      </c>
    </row>
    <row r="3615">
      <c r="A3615" s="2" t="s">
        <v>8409</v>
      </c>
      <c r="B3615" s="2" t="s">
        <v>8410</v>
      </c>
      <c r="C3615" s="2" t="s">
        <v>7596</v>
      </c>
    </row>
    <row r="3616">
      <c r="A3616" s="2" t="s">
        <v>8411</v>
      </c>
      <c r="B3616" s="2" t="s">
        <v>8412</v>
      </c>
      <c r="C3616" s="2" t="s">
        <v>7596</v>
      </c>
    </row>
    <row r="3617">
      <c r="A3617" s="2" t="s">
        <v>8413</v>
      </c>
      <c r="B3617" s="2" t="s">
        <v>8414</v>
      </c>
      <c r="C3617" s="2" t="s">
        <v>7596</v>
      </c>
    </row>
    <row r="3618">
      <c r="A3618" s="2" t="s">
        <v>8415</v>
      </c>
      <c r="B3618" s="2" t="s">
        <v>8416</v>
      </c>
      <c r="C3618" s="2" t="s">
        <v>7596</v>
      </c>
    </row>
    <row r="3619">
      <c r="A3619" s="2" t="s">
        <v>8417</v>
      </c>
      <c r="B3619" s="2" t="s">
        <v>8416</v>
      </c>
      <c r="C3619" s="2" t="s">
        <v>7596</v>
      </c>
    </row>
    <row r="3620">
      <c r="A3620" s="2" t="s">
        <v>8418</v>
      </c>
      <c r="B3620" s="2" t="s">
        <v>8419</v>
      </c>
      <c r="C3620" s="2" t="s">
        <v>7596</v>
      </c>
    </row>
    <row r="3621">
      <c r="A3621" s="2" t="s">
        <v>8420</v>
      </c>
      <c r="B3621" s="2" t="s">
        <v>8421</v>
      </c>
      <c r="C3621" s="2" t="s">
        <v>7596</v>
      </c>
    </row>
    <row r="3622">
      <c r="A3622" s="2" t="s">
        <v>8422</v>
      </c>
      <c r="B3622" s="2" t="s">
        <v>8423</v>
      </c>
      <c r="C3622" s="2" t="s">
        <v>7596</v>
      </c>
    </row>
    <row r="3623">
      <c r="A3623" s="2" t="s">
        <v>8424</v>
      </c>
      <c r="B3623" s="2" t="s">
        <v>8425</v>
      </c>
      <c r="C3623" s="2" t="s">
        <v>7596</v>
      </c>
    </row>
    <row r="3624">
      <c r="A3624" s="2" t="s">
        <v>8426</v>
      </c>
      <c r="B3624" s="2" t="s">
        <v>8427</v>
      </c>
      <c r="C3624" s="2" t="s">
        <v>7596</v>
      </c>
    </row>
    <row r="3625">
      <c r="A3625" s="2" t="s">
        <v>8428</v>
      </c>
      <c r="B3625" s="2" t="s">
        <v>8429</v>
      </c>
      <c r="C3625" s="2" t="s">
        <v>7596</v>
      </c>
    </row>
    <row r="3626">
      <c r="A3626" s="2" t="s">
        <v>8430</v>
      </c>
      <c r="B3626" s="2" t="s">
        <v>8431</v>
      </c>
      <c r="C3626" s="2" t="s">
        <v>7596</v>
      </c>
    </row>
    <row r="3627">
      <c r="A3627" s="2" t="s">
        <v>8432</v>
      </c>
      <c r="B3627" s="2" t="s">
        <v>8433</v>
      </c>
      <c r="C3627" s="2" t="s">
        <v>7596</v>
      </c>
    </row>
    <row r="3628">
      <c r="A3628" s="2" t="s">
        <v>8434</v>
      </c>
      <c r="B3628" s="2" t="s">
        <v>8435</v>
      </c>
      <c r="C3628" s="2" t="s">
        <v>7596</v>
      </c>
    </row>
    <row r="3629">
      <c r="A3629" s="2" t="s">
        <v>8436</v>
      </c>
      <c r="B3629" s="2" t="s">
        <v>8437</v>
      </c>
      <c r="C3629" s="2" t="s">
        <v>7596</v>
      </c>
    </row>
    <row r="3630">
      <c r="A3630" s="2" t="s">
        <v>8438</v>
      </c>
      <c r="B3630" s="2" t="s">
        <v>8439</v>
      </c>
      <c r="C3630" s="2" t="s">
        <v>7596</v>
      </c>
    </row>
    <row r="3631">
      <c r="A3631" s="2" t="s">
        <v>8440</v>
      </c>
      <c r="B3631" s="2" t="s">
        <v>8441</v>
      </c>
      <c r="C3631" s="2" t="s">
        <v>7596</v>
      </c>
    </row>
    <row r="3632">
      <c r="A3632" s="2" t="s">
        <v>8442</v>
      </c>
      <c r="B3632" s="2" t="s">
        <v>8443</v>
      </c>
      <c r="C3632" s="2" t="s">
        <v>7596</v>
      </c>
    </row>
    <row r="3633">
      <c r="A3633" s="2" t="s">
        <v>8444</v>
      </c>
      <c r="B3633" s="2" t="s">
        <v>8445</v>
      </c>
      <c r="C3633" s="2" t="s">
        <v>7596</v>
      </c>
    </row>
    <row r="3634">
      <c r="A3634" s="2" t="s">
        <v>8446</v>
      </c>
      <c r="B3634" s="2" t="s">
        <v>8447</v>
      </c>
      <c r="C3634" s="2" t="s">
        <v>7596</v>
      </c>
    </row>
    <row r="3635">
      <c r="A3635" s="2" t="s">
        <v>8448</v>
      </c>
      <c r="B3635" s="2" t="s">
        <v>8449</v>
      </c>
      <c r="C3635" s="2" t="s">
        <v>7596</v>
      </c>
    </row>
    <row r="3636">
      <c r="A3636" s="2" t="s">
        <v>8450</v>
      </c>
      <c r="B3636" s="2" t="s">
        <v>8451</v>
      </c>
      <c r="C3636" s="2" t="s">
        <v>7596</v>
      </c>
    </row>
    <row r="3637">
      <c r="A3637" s="2" t="s">
        <v>8452</v>
      </c>
      <c r="B3637" s="2" t="s">
        <v>8453</v>
      </c>
      <c r="C3637" s="2" t="s">
        <v>7596</v>
      </c>
    </row>
    <row r="3638">
      <c r="A3638" s="2" t="s">
        <v>8454</v>
      </c>
      <c r="B3638" s="2" t="s">
        <v>8455</v>
      </c>
      <c r="C3638" s="2" t="s">
        <v>7596</v>
      </c>
    </row>
    <row r="3639">
      <c r="A3639" s="2" t="s">
        <v>8456</v>
      </c>
      <c r="B3639" s="2" t="s">
        <v>8457</v>
      </c>
      <c r="C3639" s="2" t="s">
        <v>7596</v>
      </c>
    </row>
    <row r="3640">
      <c r="A3640" s="2" t="s">
        <v>8458</v>
      </c>
      <c r="B3640" s="2" t="s">
        <v>8457</v>
      </c>
      <c r="C3640" s="2" t="s">
        <v>7596</v>
      </c>
    </row>
    <row r="3641">
      <c r="A3641" s="2" t="s">
        <v>8459</v>
      </c>
      <c r="B3641" s="2" t="s">
        <v>8457</v>
      </c>
      <c r="C3641" s="2" t="s">
        <v>7596</v>
      </c>
    </row>
    <row r="3642">
      <c r="A3642" s="2" t="s">
        <v>8460</v>
      </c>
      <c r="B3642" s="2" t="s">
        <v>8457</v>
      </c>
      <c r="C3642" s="2" t="s">
        <v>7596</v>
      </c>
    </row>
    <row r="3643">
      <c r="A3643" s="2" t="s">
        <v>8461</v>
      </c>
      <c r="B3643" s="2" t="s">
        <v>8462</v>
      </c>
      <c r="C3643" s="2" t="s">
        <v>7596</v>
      </c>
    </row>
    <row r="3644">
      <c r="A3644" s="2" t="s">
        <v>8463</v>
      </c>
      <c r="B3644" s="2" t="s">
        <v>8464</v>
      </c>
      <c r="C3644" s="2" t="s">
        <v>7596</v>
      </c>
    </row>
    <row r="3645">
      <c r="A3645" s="2" t="s">
        <v>8465</v>
      </c>
      <c r="B3645" s="2" t="s">
        <v>8466</v>
      </c>
      <c r="C3645" s="2" t="s">
        <v>7596</v>
      </c>
    </row>
    <row r="3646">
      <c r="A3646" s="2" t="s">
        <v>8467</v>
      </c>
      <c r="B3646" s="2" t="s">
        <v>8468</v>
      </c>
      <c r="C3646" s="2" t="s">
        <v>7596</v>
      </c>
    </row>
    <row r="3647">
      <c r="A3647" s="2" t="s">
        <v>8469</v>
      </c>
      <c r="B3647" s="2" t="s">
        <v>8468</v>
      </c>
      <c r="C3647" s="2" t="s">
        <v>7596</v>
      </c>
    </row>
    <row r="3648">
      <c r="A3648" s="2" t="s">
        <v>8470</v>
      </c>
      <c r="B3648" s="2" t="s">
        <v>8471</v>
      </c>
      <c r="C3648" s="2" t="s">
        <v>7596</v>
      </c>
    </row>
    <row r="3649">
      <c r="A3649" s="2" t="s">
        <v>8472</v>
      </c>
      <c r="B3649" s="2" t="s">
        <v>8473</v>
      </c>
      <c r="C3649" s="2" t="s">
        <v>7596</v>
      </c>
    </row>
    <row r="3650">
      <c r="A3650" s="2" t="s">
        <v>8474</v>
      </c>
      <c r="B3650" s="2" t="s">
        <v>8475</v>
      </c>
      <c r="C3650" s="2" t="s">
        <v>7596</v>
      </c>
    </row>
    <row r="3651">
      <c r="A3651" s="2" t="s">
        <v>8476</v>
      </c>
      <c r="B3651" s="2" t="s">
        <v>8477</v>
      </c>
      <c r="C3651" s="2" t="s">
        <v>7596</v>
      </c>
    </row>
    <row r="3652">
      <c r="A3652" s="2" t="s">
        <v>8478</v>
      </c>
      <c r="B3652" s="2" t="s">
        <v>8479</v>
      </c>
      <c r="C3652" s="2" t="s">
        <v>7596</v>
      </c>
    </row>
    <row r="3653">
      <c r="A3653" s="2" t="s">
        <v>8480</v>
      </c>
      <c r="B3653" s="2" t="s">
        <v>8481</v>
      </c>
      <c r="C3653" s="2" t="s">
        <v>7596</v>
      </c>
    </row>
    <row r="3654">
      <c r="A3654" s="2" t="s">
        <v>8482</v>
      </c>
      <c r="B3654" s="2" t="s">
        <v>8483</v>
      </c>
      <c r="C3654" s="2" t="s">
        <v>7596</v>
      </c>
    </row>
    <row r="3655">
      <c r="A3655" s="2" t="s">
        <v>8484</v>
      </c>
      <c r="B3655" s="2" t="s">
        <v>8485</v>
      </c>
      <c r="C3655" s="2" t="s">
        <v>7596</v>
      </c>
    </row>
    <row r="3656">
      <c r="A3656" s="2" t="s">
        <v>8486</v>
      </c>
      <c r="B3656" s="2" t="s">
        <v>8487</v>
      </c>
      <c r="C3656" s="2" t="s">
        <v>7596</v>
      </c>
    </row>
    <row r="3657">
      <c r="A3657" s="2" t="s">
        <v>8488</v>
      </c>
      <c r="B3657" s="2" t="s">
        <v>8489</v>
      </c>
      <c r="C3657" s="2" t="s">
        <v>7596</v>
      </c>
    </row>
    <row r="3658">
      <c r="A3658" s="2" t="s">
        <v>8490</v>
      </c>
      <c r="B3658" s="2" t="s">
        <v>8491</v>
      </c>
      <c r="C3658" s="2" t="s">
        <v>7596</v>
      </c>
    </row>
    <row r="3659">
      <c r="A3659" s="2" t="s">
        <v>8492</v>
      </c>
      <c r="B3659" s="2" t="s">
        <v>8493</v>
      </c>
      <c r="C3659" s="2" t="s">
        <v>7596</v>
      </c>
    </row>
    <row r="3660">
      <c r="A3660" s="2" t="s">
        <v>8494</v>
      </c>
      <c r="B3660" s="2" t="s">
        <v>8495</v>
      </c>
      <c r="C3660" s="2" t="s">
        <v>7596</v>
      </c>
    </row>
    <row r="3661">
      <c r="A3661" s="2" t="s">
        <v>8496</v>
      </c>
      <c r="B3661" s="2" t="s">
        <v>8497</v>
      </c>
      <c r="C3661" s="2" t="s">
        <v>7596</v>
      </c>
    </row>
    <row r="3662">
      <c r="A3662" s="2" t="s">
        <v>8498</v>
      </c>
      <c r="B3662" s="2" t="s">
        <v>8499</v>
      </c>
      <c r="C3662" s="2" t="s">
        <v>7596</v>
      </c>
    </row>
    <row r="3663">
      <c r="A3663" s="2" t="s">
        <v>8500</v>
      </c>
      <c r="B3663" s="2" t="s">
        <v>8501</v>
      </c>
      <c r="C3663" s="2" t="s">
        <v>7596</v>
      </c>
    </row>
    <row r="3664">
      <c r="A3664" s="2" t="s">
        <v>8502</v>
      </c>
      <c r="B3664" s="2" t="s">
        <v>8503</v>
      </c>
      <c r="C3664" s="2" t="s">
        <v>7596</v>
      </c>
    </row>
    <row r="3665">
      <c r="A3665" s="2" t="s">
        <v>8504</v>
      </c>
      <c r="B3665" s="2" t="s">
        <v>8505</v>
      </c>
      <c r="C3665" s="2" t="s">
        <v>7596</v>
      </c>
    </row>
    <row r="3666">
      <c r="A3666" s="2" t="s">
        <v>8506</v>
      </c>
      <c r="B3666" s="2" t="s">
        <v>8507</v>
      </c>
      <c r="C3666" s="2" t="s">
        <v>7596</v>
      </c>
    </row>
    <row r="3667">
      <c r="A3667" s="2" t="s">
        <v>8508</v>
      </c>
      <c r="B3667" s="2" t="s">
        <v>8509</v>
      </c>
      <c r="C3667" s="2" t="s">
        <v>7596</v>
      </c>
    </row>
    <row r="3668">
      <c r="A3668" s="2" t="s">
        <v>8510</v>
      </c>
      <c r="B3668" s="2" t="s">
        <v>8511</v>
      </c>
      <c r="C3668" s="2" t="s">
        <v>7596</v>
      </c>
    </row>
    <row r="3669">
      <c r="A3669" s="2" t="s">
        <v>8512</v>
      </c>
      <c r="B3669" s="2" t="s">
        <v>8513</v>
      </c>
      <c r="C3669" s="2" t="s">
        <v>7596</v>
      </c>
    </row>
    <row r="3670">
      <c r="A3670" s="2" t="s">
        <v>8514</v>
      </c>
      <c r="B3670" s="2" t="s">
        <v>8515</v>
      </c>
      <c r="C3670" s="2" t="s">
        <v>7596</v>
      </c>
    </row>
    <row r="3671">
      <c r="A3671" s="2" t="s">
        <v>8516</v>
      </c>
      <c r="B3671" s="2" t="s">
        <v>8517</v>
      </c>
      <c r="C3671" s="2" t="s">
        <v>7596</v>
      </c>
    </row>
    <row r="3672">
      <c r="A3672" s="2" t="s">
        <v>8518</v>
      </c>
      <c r="B3672" s="2" t="s">
        <v>8519</v>
      </c>
      <c r="C3672" s="2" t="s">
        <v>7596</v>
      </c>
    </row>
    <row r="3673">
      <c r="A3673" s="2" t="s">
        <v>8520</v>
      </c>
      <c r="B3673" s="2" t="s">
        <v>8521</v>
      </c>
      <c r="C3673" s="2" t="s">
        <v>7596</v>
      </c>
    </row>
    <row r="3674">
      <c r="A3674" s="2" t="s">
        <v>8522</v>
      </c>
      <c r="B3674" s="2" t="s">
        <v>8523</v>
      </c>
      <c r="C3674" s="2" t="s">
        <v>7596</v>
      </c>
    </row>
    <row r="3675">
      <c r="A3675" s="2" t="s">
        <v>8524</v>
      </c>
      <c r="B3675" s="2" t="s">
        <v>8523</v>
      </c>
      <c r="C3675" s="2" t="s">
        <v>7596</v>
      </c>
    </row>
    <row r="3676">
      <c r="A3676" s="2" t="s">
        <v>8525</v>
      </c>
      <c r="B3676" s="2" t="s">
        <v>8523</v>
      </c>
      <c r="C3676" s="2" t="s">
        <v>7596</v>
      </c>
    </row>
    <row r="3677">
      <c r="A3677" s="2" t="s">
        <v>8526</v>
      </c>
      <c r="B3677" s="2" t="s">
        <v>8527</v>
      </c>
      <c r="C3677" s="2" t="s">
        <v>7596</v>
      </c>
    </row>
    <row r="3678">
      <c r="A3678" s="2" t="s">
        <v>8528</v>
      </c>
      <c r="B3678" s="2" t="s">
        <v>8529</v>
      </c>
      <c r="C3678" s="2" t="s">
        <v>7596</v>
      </c>
    </row>
    <row r="3679">
      <c r="A3679" s="2" t="s">
        <v>8530</v>
      </c>
      <c r="B3679" s="2" t="s">
        <v>8531</v>
      </c>
      <c r="C3679" s="2" t="s">
        <v>7596</v>
      </c>
    </row>
    <row r="3680">
      <c r="A3680" s="2" t="s">
        <v>8532</v>
      </c>
      <c r="B3680" s="2" t="s">
        <v>8533</v>
      </c>
      <c r="C3680" s="2" t="s">
        <v>7596</v>
      </c>
    </row>
    <row r="3681">
      <c r="A3681" s="2" t="s">
        <v>8534</v>
      </c>
      <c r="B3681" s="2" t="s">
        <v>8533</v>
      </c>
      <c r="C3681" s="2" t="s">
        <v>7596</v>
      </c>
    </row>
    <row r="3682">
      <c r="A3682" s="2" t="s">
        <v>8535</v>
      </c>
      <c r="B3682" s="2" t="s">
        <v>8536</v>
      </c>
      <c r="C3682" s="2" t="s">
        <v>7596</v>
      </c>
    </row>
    <row r="3683">
      <c r="A3683" s="2" t="s">
        <v>8537</v>
      </c>
      <c r="B3683" s="2" t="s">
        <v>8536</v>
      </c>
      <c r="C3683" s="2" t="s">
        <v>7596</v>
      </c>
    </row>
    <row r="3684">
      <c r="A3684" s="2" t="s">
        <v>8538</v>
      </c>
      <c r="B3684" s="2" t="s">
        <v>8539</v>
      </c>
      <c r="C3684" s="2" t="s">
        <v>7596</v>
      </c>
    </row>
    <row r="3685">
      <c r="A3685" s="2" t="s">
        <v>8540</v>
      </c>
      <c r="B3685" s="2" t="s">
        <v>8541</v>
      </c>
      <c r="C3685" s="2" t="s">
        <v>7596</v>
      </c>
    </row>
    <row r="3686">
      <c r="A3686" s="2" t="s">
        <v>8542</v>
      </c>
      <c r="B3686" s="2" t="s">
        <v>8543</v>
      </c>
      <c r="C3686" s="2" t="s">
        <v>7596</v>
      </c>
    </row>
    <row r="3687">
      <c r="A3687" s="2" t="s">
        <v>8544</v>
      </c>
      <c r="B3687" s="2" t="s">
        <v>8543</v>
      </c>
      <c r="C3687" s="2" t="s">
        <v>7596</v>
      </c>
    </row>
    <row r="3688">
      <c r="A3688" s="2" t="s">
        <v>8545</v>
      </c>
      <c r="B3688" s="2" t="s">
        <v>8546</v>
      </c>
      <c r="C3688" s="2" t="s">
        <v>7596</v>
      </c>
    </row>
    <row r="3689">
      <c r="A3689" s="2" t="s">
        <v>8547</v>
      </c>
      <c r="B3689" s="2" t="s">
        <v>8546</v>
      </c>
      <c r="C3689" s="2" t="s">
        <v>7596</v>
      </c>
    </row>
    <row r="3690">
      <c r="A3690" s="2" t="s">
        <v>8548</v>
      </c>
      <c r="B3690" s="2" t="s">
        <v>8549</v>
      </c>
      <c r="C3690" s="2" t="s">
        <v>7596</v>
      </c>
    </row>
    <row r="3691">
      <c r="A3691" s="2" t="s">
        <v>8550</v>
      </c>
      <c r="B3691" s="2" t="s">
        <v>8551</v>
      </c>
      <c r="C3691" s="2" t="s">
        <v>7596</v>
      </c>
    </row>
    <row r="3692">
      <c r="A3692" s="2" t="s">
        <v>8552</v>
      </c>
      <c r="B3692" s="2" t="s">
        <v>8553</v>
      </c>
      <c r="C3692" s="2" t="s">
        <v>7596</v>
      </c>
    </row>
    <row r="3693">
      <c r="A3693" s="2" t="s">
        <v>8554</v>
      </c>
      <c r="B3693" s="2" t="s">
        <v>8553</v>
      </c>
      <c r="C3693" s="2" t="s">
        <v>7596</v>
      </c>
    </row>
    <row r="3694">
      <c r="A3694" s="2" t="s">
        <v>8555</v>
      </c>
      <c r="B3694" s="2" t="s">
        <v>8556</v>
      </c>
      <c r="C3694" s="2" t="s">
        <v>7596</v>
      </c>
    </row>
    <row r="3695">
      <c r="A3695" s="2" t="s">
        <v>8557</v>
      </c>
      <c r="B3695" s="2" t="s">
        <v>8556</v>
      </c>
      <c r="C3695" s="2" t="s">
        <v>7596</v>
      </c>
    </row>
    <row r="3696">
      <c r="A3696" s="2" t="s">
        <v>8558</v>
      </c>
      <c r="B3696" s="2" t="s">
        <v>8559</v>
      </c>
      <c r="C3696" s="2" t="s">
        <v>7596</v>
      </c>
    </row>
    <row r="3697">
      <c r="A3697" s="2" t="s">
        <v>8560</v>
      </c>
      <c r="B3697" s="2" t="s">
        <v>8561</v>
      </c>
      <c r="C3697" s="2" t="s">
        <v>7596</v>
      </c>
    </row>
    <row r="3698">
      <c r="A3698" s="2" t="s">
        <v>8562</v>
      </c>
      <c r="B3698" s="2" t="s">
        <v>8563</v>
      </c>
      <c r="C3698" s="2" t="s">
        <v>7596</v>
      </c>
    </row>
    <row r="3699">
      <c r="A3699" s="2" t="s">
        <v>8564</v>
      </c>
      <c r="B3699" s="2" t="s">
        <v>8563</v>
      </c>
      <c r="C3699" s="2" t="s">
        <v>7596</v>
      </c>
    </row>
    <row r="3700">
      <c r="A3700" s="2" t="s">
        <v>8565</v>
      </c>
      <c r="B3700" s="2" t="s">
        <v>8566</v>
      </c>
      <c r="C3700" s="2" t="s">
        <v>7596</v>
      </c>
    </row>
    <row r="3701">
      <c r="A3701" s="2" t="s">
        <v>8567</v>
      </c>
      <c r="B3701" s="2" t="s">
        <v>8566</v>
      </c>
      <c r="C3701" s="2" t="s">
        <v>7596</v>
      </c>
    </row>
    <row r="3702">
      <c r="A3702" s="2" t="s">
        <v>8568</v>
      </c>
      <c r="B3702" s="2" t="s">
        <v>8569</v>
      </c>
      <c r="C3702" s="2" t="s">
        <v>7596</v>
      </c>
    </row>
    <row r="3703">
      <c r="A3703" s="2" t="s">
        <v>8570</v>
      </c>
      <c r="B3703" s="2" t="s">
        <v>8571</v>
      </c>
      <c r="C3703" s="2" t="s">
        <v>7596</v>
      </c>
    </row>
    <row r="3704">
      <c r="A3704" s="2" t="s">
        <v>8572</v>
      </c>
      <c r="B3704" s="2" t="s">
        <v>8573</v>
      </c>
      <c r="C3704" s="2" t="s">
        <v>7596</v>
      </c>
    </row>
    <row r="3705">
      <c r="A3705" s="2" t="s">
        <v>8574</v>
      </c>
      <c r="B3705" s="2" t="s">
        <v>8575</v>
      </c>
      <c r="C3705" s="2" t="s">
        <v>7596</v>
      </c>
    </row>
    <row r="3706">
      <c r="A3706" s="2" t="s">
        <v>8576</v>
      </c>
      <c r="B3706" s="2" t="s">
        <v>8575</v>
      </c>
      <c r="C3706" s="2" t="s">
        <v>7596</v>
      </c>
    </row>
    <row r="3707">
      <c r="A3707" s="2" t="s">
        <v>8577</v>
      </c>
      <c r="B3707" s="2" t="s">
        <v>8578</v>
      </c>
      <c r="C3707" s="2" t="s">
        <v>7596</v>
      </c>
    </row>
    <row r="3708">
      <c r="A3708" s="2" t="s">
        <v>8579</v>
      </c>
      <c r="B3708" s="2" t="s">
        <v>8578</v>
      </c>
      <c r="C3708" s="2" t="s">
        <v>7596</v>
      </c>
    </row>
    <row r="3709">
      <c r="A3709" s="2" t="s">
        <v>8580</v>
      </c>
      <c r="B3709" s="2" t="s">
        <v>8581</v>
      </c>
      <c r="C3709" s="2" t="s">
        <v>7596</v>
      </c>
    </row>
    <row r="3710">
      <c r="A3710" s="2" t="s">
        <v>8582</v>
      </c>
      <c r="B3710" s="2" t="s">
        <v>8581</v>
      </c>
      <c r="C3710" s="2" t="s">
        <v>7596</v>
      </c>
    </row>
    <row r="3711">
      <c r="A3711" s="2" t="s">
        <v>8583</v>
      </c>
      <c r="B3711" s="2" t="s">
        <v>8584</v>
      </c>
      <c r="C3711" s="2" t="s">
        <v>7596</v>
      </c>
    </row>
    <row r="3712">
      <c r="A3712" s="2" t="s">
        <v>8585</v>
      </c>
      <c r="B3712" s="2" t="s">
        <v>8586</v>
      </c>
      <c r="C3712" s="2" t="s">
        <v>7596</v>
      </c>
    </row>
    <row r="3713">
      <c r="A3713" s="2" t="s">
        <v>8587</v>
      </c>
      <c r="B3713" s="2" t="s">
        <v>8586</v>
      </c>
      <c r="C3713" s="2" t="s">
        <v>7596</v>
      </c>
    </row>
    <row r="3714">
      <c r="A3714" s="2" t="s">
        <v>8588</v>
      </c>
      <c r="B3714" s="2" t="s">
        <v>8589</v>
      </c>
      <c r="C3714" s="2" t="s">
        <v>7596</v>
      </c>
    </row>
    <row r="3715">
      <c r="A3715" s="2" t="s">
        <v>8590</v>
      </c>
      <c r="B3715" s="2" t="s">
        <v>8591</v>
      </c>
      <c r="C3715" s="2" t="s">
        <v>7596</v>
      </c>
    </row>
    <row r="3716">
      <c r="A3716" s="2" t="s">
        <v>8592</v>
      </c>
      <c r="B3716" s="2" t="s">
        <v>8591</v>
      </c>
      <c r="C3716" s="2" t="s">
        <v>7596</v>
      </c>
    </row>
    <row r="3717">
      <c r="A3717" s="2" t="s">
        <v>8593</v>
      </c>
      <c r="B3717" s="2" t="s">
        <v>8594</v>
      </c>
      <c r="C3717" s="2" t="s">
        <v>7596</v>
      </c>
    </row>
    <row r="3718">
      <c r="A3718" s="2" t="s">
        <v>8595</v>
      </c>
      <c r="B3718" s="2" t="s">
        <v>8596</v>
      </c>
      <c r="C3718" s="2" t="s">
        <v>7596</v>
      </c>
    </row>
    <row r="3719">
      <c r="A3719" s="2" t="s">
        <v>8597</v>
      </c>
      <c r="B3719" s="2" t="s">
        <v>8598</v>
      </c>
      <c r="C3719" s="2" t="s">
        <v>7596</v>
      </c>
    </row>
    <row r="3720">
      <c r="A3720" s="2" t="s">
        <v>8599</v>
      </c>
      <c r="B3720" s="2" t="s">
        <v>8600</v>
      </c>
      <c r="C3720" s="2" t="s">
        <v>7596</v>
      </c>
    </row>
    <row r="3721">
      <c r="A3721" s="2" t="s">
        <v>8601</v>
      </c>
      <c r="B3721" s="2" t="s">
        <v>8600</v>
      </c>
      <c r="C3721" s="2" t="s">
        <v>7596</v>
      </c>
    </row>
    <row r="3722">
      <c r="A3722" s="2" t="s">
        <v>8602</v>
      </c>
      <c r="B3722" s="2" t="s">
        <v>8603</v>
      </c>
      <c r="C3722" s="2" t="s">
        <v>7596</v>
      </c>
    </row>
    <row r="3723">
      <c r="A3723" s="2" t="s">
        <v>8604</v>
      </c>
      <c r="B3723" s="2" t="s">
        <v>8605</v>
      </c>
      <c r="C3723" s="2" t="s">
        <v>7596</v>
      </c>
    </row>
    <row r="3724">
      <c r="A3724" s="2" t="s">
        <v>8606</v>
      </c>
      <c r="B3724" s="2" t="s">
        <v>8607</v>
      </c>
      <c r="C3724" s="2" t="s">
        <v>7596</v>
      </c>
    </row>
    <row r="3725">
      <c r="A3725" s="2" t="s">
        <v>8608</v>
      </c>
      <c r="B3725" s="2" t="s">
        <v>8607</v>
      </c>
      <c r="C3725" s="2" t="s">
        <v>7596</v>
      </c>
    </row>
    <row r="3726">
      <c r="A3726" s="2" t="s">
        <v>8609</v>
      </c>
      <c r="B3726" s="2" t="s">
        <v>8610</v>
      </c>
      <c r="C3726" s="2" t="s">
        <v>7596</v>
      </c>
    </row>
    <row r="3727">
      <c r="A3727" s="2" t="s">
        <v>8611</v>
      </c>
      <c r="B3727" s="2" t="s">
        <v>8610</v>
      </c>
      <c r="C3727" s="2" t="s">
        <v>7596</v>
      </c>
    </row>
    <row r="3728">
      <c r="A3728" s="2" t="s">
        <v>8612</v>
      </c>
      <c r="B3728" s="2" t="s">
        <v>8613</v>
      </c>
      <c r="C3728" s="2" t="s">
        <v>7596</v>
      </c>
    </row>
    <row r="3729">
      <c r="A3729" s="2" t="s">
        <v>8614</v>
      </c>
      <c r="B3729" s="2" t="s">
        <v>8613</v>
      </c>
      <c r="C3729" s="2" t="s">
        <v>7596</v>
      </c>
    </row>
    <row r="3730">
      <c r="A3730" s="2" t="s">
        <v>8615</v>
      </c>
      <c r="B3730" s="2" t="s">
        <v>8616</v>
      </c>
      <c r="C3730" s="2" t="s">
        <v>7596</v>
      </c>
    </row>
    <row r="3731">
      <c r="A3731" s="2" t="s">
        <v>8617</v>
      </c>
      <c r="B3731" s="2" t="s">
        <v>8616</v>
      </c>
      <c r="C3731" s="2" t="s">
        <v>7596</v>
      </c>
    </row>
    <row r="3732">
      <c r="A3732" s="2" t="s">
        <v>8618</v>
      </c>
      <c r="B3732" s="2" t="s">
        <v>8619</v>
      </c>
      <c r="C3732" s="2" t="s">
        <v>7596</v>
      </c>
    </row>
    <row r="3733">
      <c r="A3733" s="2" t="s">
        <v>8620</v>
      </c>
      <c r="B3733" s="2" t="s">
        <v>8621</v>
      </c>
      <c r="C3733" s="2" t="s">
        <v>7596</v>
      </c>
    </row>
    <row r="3734">
      <c r="A3734" s="2" t="s">
        <v>8622</v>
      </c>
      <c r="B3734" s="2" t="s">
        <v>8623</v>
      </c>
      <c r="C3734" s="2" t="s">
        <v>7596</v>
      </c>
    </row>
    <row r="3735">
      <c r="A3735" s="2" t="s">
        <v>8624</v>
      </c>
      <c r="B3735" s="2" t="s">
        <v>8625</v>
      </c>
      <c r="C3735" s="2" t="s">
        <v>7596</v>
      </c>
    </row>
    <row r="3736">
      <c r="A3736" s="2" t="s">
        <v>8626</v>
      </c>
      <c r="B3736" s="2" t="s">
        <v>8627</v>
      </c>
      <c r="C3736" s="2" t="s">
        <v>7596</v>
      </c>
    </row>
    <row r="3737">
      <c r="A3737" s="2" t="s">
        <v>8628</v>
      </c>
      <c r="B3737" s="2" t="s">
        <v>8629</v>
      </c>
      <c r="C3737" s="2" t="s">
        <v>7596</v>
      </c>
    </row>
    <row r="3738">
      <c r="A3738" s="2" t="s">
        <v>8630</v>
      </c>
      <c r="B3738" s="2" t="s">
        <v>8631</v>
      </c>
      <c r="C3738" s="2" t="s">
        <v>7596</v>
      </c>
    </row>
    <row r="3739">
      <c r="A3739" s="2" t="s">
        <v>8632</v>
      </c>
      <c r="B3739" s="2" t="s">
        <v>8633</v>
      </c>
      <c r="C3739" s="2" t="s">
        <v>7596</v>
      </c>
    </row>
    <row r="3740">
      <c r="A3740" s="2" t="s">
        <v>8634</v>
      </c>
      <c r="B3740" s="2" t="s">
        <v>8635</v>
      </c>
      <c r="C3740" s="2" t="s">
        <v>7596</v>
      </c>
    </row>
    <row r="3741">
      <c r="A3741" s="2" t="s">
        <v>8636</v>
      </c>
      <c r="B3741" s="2" t="s">
        <v>8637</v>
      </c>
      <c r="C3741" s="2" t="s">
        <v>7596</v>
      </c>
    </row>
    <row r="3742">
      <c r="A3742" s="2" t="s">
        <v>8638</v>
      </c>
      <c r="B3742" s="2" t="s">
        <v>8639</v>
      </c>
      <c r="C3742" s="2" t="s">
        <v>7596</v>
      </c>
    </row>
    <row r="3743">
      <c r="A3743" s="2" t="s">
        <v>8640</v>
      </c>
      <c r="B3743" s="2" t="s">
        <v>8641</v>
      </c>
      <c r="C3743" s="2" t="s">
        <v>7596</v>
      </c>
    </row>
    <row r="3744">
      <c r="A3744" s="2" t="s">
        <v>8642</v>
      </c>
      <c r="B3744" s="2" t="s">
        <v>8643</v>
      </c>
      <c r="C3744" s="2" t="s">
        <v>7596</v>
      </c>
    </row>
    <row r="3745">
      <c r="A3745" s="2" t="s">
        <v>8644</v>
      </c>
      <c r="B3745" s="2" t="s">
        <v>8645</v>
      </c>
      <c r="C3745" s="2" t="s">
        <v>7596</v>
      </c>
    </row>
    <row r="3746">
      <c r="A3746" s="2" t="s">
        <v>8646</v>
      </c>
      <c r="B3746" s="2" t="s">
        <v>8647</v>
      </c>
      <c r="C3746" s="2" t="s">
        <v>7596</v>
      </c>
    </row>
    <row r="3747">
      <c r="A3747" s="2" t="s">
        <v>8648</v>
      </c>
      <c r="B3747" s="2" t="s">
        <v>8649</v>
      </c>
      <c r="C3747" s="2" t="s">
        <v>7596</v>
      </c>
    </row>
    <row r="3748">
      <c r="A3748" s="2" t="s">
        <v>8650</v>
      </c>
      <c r="B3748" s="2" t="s">
        <v>8651</v>
      </c>
      <c r="C3748" s="2" t="s">
        <v>7596</v>
      </c>
    </row>
    <row r="3749">
      <c r="A3749" s="2" t="s">
        <v>8652</v>
      </c>
      <c r="B3749" s="2" t="s">
        <v>8653</v>
      </c>
      <c r="C3749" s="2" t="s">
        <v>7596</v>
      </c>
    </row>
    <row r="3750">
      <c r="A3750" s="2" t="s">
        <v>8654</v>
      </c>
      <c r="B3750" s="2" t="s">
        <v>8655</v>
      </c>
      <c r="C3750" s="2" t="s">
        <v>7596</v>
      </c>
    </row>
    <row r="3751">
      <c r="A3751" s="2" t="s">
        <v>8656</v>
      </c>
      <c r="B3751" s="2" t="s">
        <v>8657</v>
      </c>
      <c r="C3751" s="2" t="s">
        <v>7596</v>
      </c>
    </row>
    <row r="3752">
      <c r="A3752" s="2" t="s">
        <v>8658</v>
      </c>
      <c r="B3752" s="2" t="s">
        <v>8659</v>
      </c>
      <c r="C3752" s="2" t="s">
        <v>7596</v>
      </c>
    </row>
    <row r="3753">
      <c r="A3753" s="2" t="s">
        <v>8660</v>
      </c>
      <c r="B3753" s="2" t="s">
        <v>8661</v>
      </c>
      <c r="C3753" s="2" t="s">
        <v>7596</v>
      </c>
    </row>
    <row r="3754">
      <c r="A3754" s="2" t="s">
        <v>8662</v>
      </c>
      <c r="B3754" s="2" t="s">
        <v>8663</v>
      </c>
      <c r="C3754" s="2" t="s">
        <v>7596</v>
      </c>
    </row>
    <row r="3755">
      <c r="A3755" s="2" t="s">
        <v>8664</v>
      </c>
      <c r="B3755" s="2" t="s">
        <v>8665</v>
      </c>
      <c r="C3755" s="2" t="s">
        <v>7596</v>
      </c>
    </row>
    <row r="3756">
      <c r="A3756" s="2" t="s">
        <v>8666</v>
      </c>
      <c r="B3756" s="2" t="s">
        <v>8667</v>
      </c>
      <c r="C3756" s="2" t="s">
        <v>7596</v>
      </c>
    </row>
    <row r="3757">
      <c r="A3757" s="2" t="s">
        <v>8668</v>
      </c>
      <c r="B3757" s="2" t="s">
        <v>8669</v>
      </c>
      <c r="C3757" s="2" t="s">
        <v>7596</v>
      </c>
    </row>
    <row r="3758">
      <c r="A3758" s="2" t="s">
        <v>8670</v>
      </c>
      <c r="B3758" s="2" t="s">
        <v>8671</v>
      </c>
      <c r="C3758" s="2" t="s">
        <v>7596</v>
      </c>
    </row>
    <row r="3759">
      <c r="A3759" s="2" t="s">
        <v>8672</v>
      </c>
      <c r="B3759" s="2" t="s">
        <v>8673</v>
      </c>
      <c r="C3759" s="2" t="s">
        <v>7596</v>
      </c>
    </row>
    <row r="3760">
      <c r="A3760" s="2" t="s">
        <v>8674</v>
      </c>
      <c r="B3760" s="2" t="s">
        <v>8675</v>
      </c>
      <c r="C3760" s="2" t="s">
        <v>7596</v>
      </c>
    </row>
    <row r="3761">
      <c r="A3761" s="2" t="s">
        <v>8676</v>
      </c>
      <c r="B3761" s="2" t="s">
        <v>8677</v>
      </c>
      <c r="C3761" s="2" t="s">
        <v>7596</v>
      </c>
    </row>
    <row r="3762">
      <c r="A3762" s="2" t="s">
        <v>8678</v>
      </c>
      <c r="B3762" s="2" t="s">
        <v>8677</v>
      </c>
      <c r="C3762" s="2" t="s">
        <v>7596</v>
      </c>
    </row>
    <row r="3763">
      <c r="A3763" s="2" t="s">
        <v>8679</v>
      </c>
      <c r="B3763" s="2" t="s">
        <v>8680</v>
      </c>
      <c r="C3763" s="2" t="s">
        <v>7596</v>
      </c>
    </row>
    <row r="3764">
      <c r="A3764" s="2" t="s">
        <v>8681</v>
      </c>
      <c r="B3764" s="2" t="s">
        <v>8682</v>
      </c>
      <c r="C3764" s="2" t="s">
        <v>7596</v>
      </c>
    </row>
    <row r="3765">
      <c r="A3765" s="2" t="s">
        <v>8683</v>
      </c>
      <c r="B3765" s="2" t="s">
        <v>8684</v>
      </c>
      <c r="C3765" s="2" t="s">
        <v>7596</v>
      </c>
    </row>
    <row r="3766">
      <c r="A3766" s="2" t="s">
        <v>8685</v>
      </c>
      <c r="B3766" s="2" t="s">
        <v>8686</v>
      </c>
      <c r="C3766" s="2" t="s">
        <v>7596</v>
      </c>
    </row>
    <row r="3767">
      <c r="A3767" s="2" t="s">
        <v>8687</v>
      </c>
      <c r="B3767" s="2" t="s">
        <v>8688</v>
      </c>
      <c r="C3767" s="2" t="s">
        <v>7596</v>
      </c>
    </row>
    <row r="3768">
      <c r="A3768" s="2" t="s">
        <v>8689</v>
      </c>
      <c r="B3768" s="2" t="s">
        <v>8690</v>
      </c>
      <c r="C3768" s="2" t="s">
        <v>7596</v>
      </c>
    </row>
    <row r="3769">
      <c r="A3769" s="2" t="s">
        <v>8691</v>
      </c>
      <c r="B3769" s="2" t="s">
        <v>8692</v>
      </c>
      <c r="C3769" s="2" t="s">
        <v>7596</v>
      </c>
    </row>
    <row r="3770">
      <c r="A3770" s="2" t="s">
        <v>8693</v>
      </c>
      <c r="B3770" s="2" t="s">
        <v>8694</v>
      </c>
      <c r="C3770" s="2" t="s">
        <v>7596</v>
      </c>
    </row>
    <row r="3771">
      <c r="A3771" s="2" t="s">
        <v>8695</v>
      </c>
      <c r="B3771" s="2" t="s">
        <v>8696</v>
      </c>
      <c r="C3771" s="2" t="s">
        <v>7596</v>
      </c>
    </row>
    <row r="3772">
      <c r="A3772" s="2" t="s">
        <v>8697</v>
      </c>
      <c r="B3772" s="2" t="s">
        <v>8698</v>
      </c>
      <c r="C3772" s="2" t="s">
        <v>7596</v>
      </c>
    </row>
    <row r="3773">
      <c r="A3773" s="2" t="s">
        <v>8699</v>
      </c>
      <c r="B3773" s="2" t="s">
        <v>8700</v>
      </c>
      <c r="C3773" s="2" t="s">
        <v>7596</v>
      </c>
    </row>
    <row r="3774">
      <c r="A3774" s="2" t="s">
        <v>8701</v>
      </c>
      <c r="B3774" s="2" t="s">
        <v>8702</v>
      </c>
      <c r="C3774" s="2" t="s">
        <v>7596</v>
      </c>
    </row>
    <row r="3775">
      <c r="A3775" s="2" t="s">
        <v>8703</v>
      </c>
      <c r="B3775" s="2" t="s">
        <v>8704</v>
      </c>
      <c r="C3775" s="2" t="s">
        <v>7596</v>
      </c>
    </row>
    <row r="3776">
      <c r="A3776" s="2" t="s">
        <v>8705</v>
      </c>
      <c r="B3776" s="2" t="s">
        <v>8706</v>
      </c>
      <c r="C3776" s="2" t="s">
        <v>7596</v>
      </c>
    </row>
    <row r="3777">
      <c r="A3777" s="2" t="s">
        <v>8707</v>
      </c>
      <c r="B3777" s="2" t="s">
        <v>8708</v>
      </c>
      <c r="C3777" s="2" t="s">
        <v>7596</v>
      </c>
    </row>
    <row r="3778">
      <c r="A3778" s="2" t="s">
        <v>8709</v>
      </c>
      <c r="B3778" s="2" t="s">
        <v>8710</v>
      </c>
      <c r="C3778" s="2" t="s">
        <v>7596</v>
      </c>
    </row>
    <row r="3779">
      <c r="A3779" s="2" t="s">
        <v>8711</v>
      </c>
      <c r="B3779" s="2" t="s">
        <v>8712</v>
      </c>
      <c r="C3779" s="2" t="s">
        <v>7596</v>
      </c>
    </row>
    <row r="3780">
      <c r="A3780" s="2" t="s">
        <v>8713</v>
      </c>
      <c r="B3780" s="2" t="s">
        <v>8714</v>
      </c>
      <c r="C3780" s="2" t="s">
        <v>7596</v>
      </c>
    </row>
    <row r="3781">
      <c r="A3781" s="2" t="s">
        <v>8715</v>
      </c>
      <c r="B3781" s="2" t="s">
        <v>8716</v>
      </c>
      <c r="C3781" s="2" t="s">
        <v>7596</v>
      </c>
    </row>
    <row r="3782">
      <c r="A3782" s="2" t="s">
        <v>8717</v>
      </c>
      <c r="B3782" s="2" t="s">
        <v>8718</v>
      </c>
      <c r="C3782" s="2" t="s">
        <v>7596</v>
      </c>
    </row>
    <row r="3783">
      <c r="A3783" s="2" t="s">
        <v>8719</v>
      </c>
      <c r="B3783" s="2" t="s">
        <v>8720</v>
      </c>
      <c r="C3783" s="2" t="s">
        <v>7596</v>
      </c>
    </row>
    <row r="3784">
      <c r="A3784" s="2" t="s">
        <v>8721</v>
      </c>
      <c r="B3784" s="2" t="s">
        <v>8722</v>
      </c>
      <c r="C3784" s="2" t="s">
        <v>7596</v>
      </c>
    </row>
    <row r="3785">
      <c r="A3785" s="2" t="s">
        <v>8723</v>
      </c>
      <c r="B3785" s="2" t="s">
        <v>8724</v>
      </c>
      <c r="C3785" s="2" t="s">
        <v>7596</v>
      </c>
    </row>
    <row r="3786">
      <c r="A3786" s="2" t="s">
        <v>8725</v>
      </c>
      <c r="B3786" s="2" t="s">
        <v>8726</v>
      </c>
      <c r="C3786" s="2" t="s">
        <v>7596</v>
      </c>
    </row>
    <row r="3787">
      <c r="A3787" s="2" t="s">
        <v>8727</v>
      </c>
      <c r="B3787" s="2" t="s">
        <v>8728</v>
      </c>
      <c r="C3787" s="2" t="s">
        <v>7596</v>
      </c>
    </row>
    <row r="3788">
      <c r="A3788" s="2" t="s">
        <v>8729</v>
      </c>
      <c r="B3788" s="2" t="s">
        <v>8730</v>
      </c>
      <c r="C3788" s="2" t="s">
        <v>7596</v>
      </c>
    </row>
    <row r="3789">
      <c r="A3789" s="2" t="s">
        <v>8731</v>
      </c>
      <c r="B3789" s="2" t="s">
        <v>8732</v>
      </c>
      <c r="C3789" s="2" t="s">
        <v>7596</v>
      </c>
    </row>
    <row r="3790">
      <c r="A3790" s="2" t="s">
        <v>8733</v>
      </c>
      <c r="B3790" s="2" t="s">
        <v>8734</v>
      </c>
      <c r="C3790" s="2" t="s">
        <v>7596</v>
      </c>
    </row>
    <row r="3791">
      <c r="A3791" s="2" t="s">
        <v>8735</v>
      </c>
      <c r="B3791" s="2" t="s">
        <v>8736</v>
      </c>
      <c r="C3791" s="2" t="s">
        <v>7596</v>
      </c>
    </row>
    <row r="3792">
      <c r="A3792" s="2" t="s">
        <v>8737</v>
      </c>
      <c r="B3792" s="2" t="s">
        <v>8738</v>
      </c>
      <c r="C3792" s="2" t="s">
        <v>7596</v>
      </c>
    </row>
    <row r="3793">
      <c r="A3793" s="2" t="s">
        <v>8739</v>
      </c>
      <c r="B3793" s="2" t="s">
        <v>8740</v>
      </c>
      <c r="C3793" s="2" t="s">
        <v>7596</v>
      </c>
    </row>
    <row r="3794">
      <c r="A3794" s="2" t="s">
        <v>8741</v>
      </c>
      <c r="B3794" s="2" t="s">
        <v>8742</v>
      </c>
      <c r="C3794" s="2" t="s">
        <v>7596</v>
      </c>
    </row>
    <row r="3795">
      <c r="A3795" s="2" t="s">
        <v>8743</v>
      </c>
      <c r="B3795" s="2" t="s">
        <v>8744</v>
      </c>
      <c r="C3795" s="2" t="s">
        <v>7596</v>
      </c>
    </row>
    <row r="3796">
      <c r="A3796" s="2" t="s">
        <v>8745</v>
      </c>
      <c r="B3796" s="2" t="s">
        <v>8746</v>
      </c>
      <c r="C3796" s="2" t="s">
        <v>7596</v>
      </c>
    </row>
    <row r="3797">
      <c r="A3797" s="2" t="s">
        <v>8747</v>
      </c>
      <c r="B3797" s="2" t="s">
        <v>8748</v>
      </c>
      <c r="C3797" s="2" t="s">
        <v>7596</v>
      </c>
    </row>
    <row r="3798">
      <c r="A3798" s="2" t="s">
        <v>8749</v>
      </c>
      <c r="B3798" s="2" t="s">
        <v>8750</v>
      </c>
      <c r="C3798" s="2" t="s">
        <v>7596</v>
      </c>
    </row>
    <row r="3799">
      <c r="A3799" s="2" t="s">
        <v>8751</v>
      </c>
      <c r="B3799" s="2" t="s">
        <v>8752</v>
      </c>
      <c r="C3799" s="2" t="s">
        <v>7596</v>
      </c>
    </row>
    <row r="3800">
      <c r="A3800" s="2" t="s">
        <v>8753</v>
      </c>
      <c r="B3800" s="2" t="s">
        <v>8754</v>
      </c>
      <c r="C3800" s="2" t="s">
        <v>7596</v>
      </c>
    </row>
    <row r="3801">
      <c r="A3801" s="2" t="s">
        <v>8755</v>
      </c>
      <c r="B3801" s="2" t="s">
        <v>8756</v>
      </c>
      <c r="C3801" s="2" t="s">
        <v>7596</v>
      </c>
    </row>
    <row r="3802">
      <c r="A3802" s="2" t="s">
        <v>8757</v>
      </c>
      <c r="B3802" s="2" t="s">
        <v>8758</v>
      </c>
      <c r="C3802" s="2" t="s">
        <v>7596</v>
      </c>
    </row>
    <row r="3803">
      <c r="A3803" s="2" t="s">
        <v>8759</v>
      </c>
      <c r="B3803" s="2" t="s">
        <v>8760</v>
      </c>
      <c r="C3803" s="2" t="s">
        <v>7596</v>
      </c>
    </row>
    <row r="3804">
      <c r="A3804" s="2" t="s">
        <v>8761</v>
      </c>
      <c r="B3804" s="2" t="s">
        <v>8762</v>
      </c>
      <c r="C3804" s="2" t="s">
        <v>7596</v>
      </c>
    </row>
    <row r="3805">
      <c r="A3805" s="2" t="s">
        <v>8763</v>
      </c>
      <c r="B3805" s="2" t="s">
        <v>8764</v>
      </c>
      <c r="C3805" s="2" t="s">
        <v>7596</v>
      </c>
    </row>
    <row r="3806">
      <c r="A3806" s="2" t="s">
        <v>8765</v>
      </c>
      <c r="B3806" s="2" t="s">
        <v>8766</v>
      </c>
      <c r="C3806" s="2" t="s">
        <v>7596</v>
      </c>
    </row>
    <row r="3807">
      <c r="A3807" s="2" t="s">
        <v>8767</v>
      </c>
      <c r="B3807" s="2" t="s">
        <v>8768</v>
      </c>
      <c r="C3807" s="2" t="s">
        <v>7596</v>
      </c>
    </row>
    <row r="3808">
      <c r="A3808" s="2" t="s">
        <v>8769</v>
      </c>
      <c r="B3808" s="2" t="s">
        <v>8770</v>
      </c>
      <c r="C3808" s="2" t="s">
        <v>7596</v>
      </c>
    </row>
    <row r="3809">
      <c r="A3809" s="2" t="s">
        <v>8771</v>
      </c>
      <c r="B3809" s="2" t="s">
        <v>8772</v>
      </c>
      <c r="C3809" s="2" t="s">
        <v>7596</v>
      </c>
    </row>
    <row r="3810">
      <c r="A3810" s="2" t="s">
        <v>8773</v>
      </c>
      <c r="B3810" s="2" t="s">
        <v>8774</v>
      </c>
      <c r="C3810" s="2" t="s">
        <v>7596</v>
      </c>
    </row>
    <row r="3811">
      <c r="A3811" s="2" t="s">
        <v>8775</v>
      </c>
      <c r="B3811" s="2" t="s">
        <v>8776</v>
      </c>
      <c r="C3811" s="2" t="s">
        <v>7596</v>
      </c>
    </row>
    <row r="3812">
      <c r="A3812" s="2" t="s">
        <v>8777</v>
      </c>
      <c r="B3812" s="2" t="s">
        <v>8778</v>
      </c>
      <c r="C3812" s="2" t="s">
        <v>7596</v>
      </c>
    </row>
    <row r="3813">
      <c r="A3813" s="2" t="s">
        <v>8779</v>
      </c>
      <c r="B3813" s="2" t="s">
        <v>8780</v>
      </c>
      <c r="C3813" s="2" t="s">
        <v>7596</v>
      </c>
    </row>
    <row r="3814">
      <c r="A3814" s="2" t="s">
        <v>8781</v>
      </c>
      <c r="B3814" s="2" t="s">
        <v>8782</v>
      </c>
      <c r="C3814" s="2" t="s">
        <v>7596</v>
      </c>
    </row>
    <row r="3815">
      <c r="A3815" s="2" t="s">
        <v>8783</v>
      </c>
      <c r="B3815" s="2" t="s">
        <v>8784</v>
      </c>
      <c r="C3815" s="2" t="s">
        <v>7596</v>
      </c>
    </row>
    <row r="3816">
      <c r="A3816" s="2" t="s">
        <v>8785</v>
      </c>
      <c r="B3816" s="2" t="s">
        <v>8786</v>
      </c>
      <c r="C3816" s="2" t="s">
        <v>7596</v>
      </c>
    </row>
    <row r="3817">
      <c r="A3817" s="2" t="s">
        <v>8787</v>
      </c>
      <c r="B3817" s="2" t="s">
        <v>8788</v>
      </c>
      <c r="C3817" s="2" t="s">
        <v>7596</v>
      </c>
    </row>
    <row r="3818">
      <c r="A3818" s="2" t="s">
        <v>8789</v>
      </c>
      <c r="B3818" s="2" t="s">
        <v>8790</v>
      </c>
      <c r="C3818" s="2" t="s">
        <v>7596</v>
      </c>
    </row>
    <row r="3819">
      <c r="A3819" s="2" t="s">
        <v>8791</v>
      </c>
      <c r="B3819" s="2" t="s">
        <v>8792</v>
      </c>
      <c r="C3819" s="2" t="s">
        <v>7596</v>
      </c>
    </row>
    <row r="3820">
      <c r="A3820" s="2" t="s">
        <v>8793</v>
      </c>
      <c r="B3820" s="2" t="s">
        <v>8794</v>
      </c>
      <c r="C3820" s="2" t="s">
        <v>7596</v>
      </c>
    </row>
    <row r="3821">
      <c r="A3821" s="2" t="s">
        <v>8795</v>
      </c>
      <c r="B3821" s="2" t="s">
        <v>8796</v>
      </c>
      <c r="C3821" s="2" t="s">
        <v>7596</v>
      </c>
    </row>
    <row r="3822">
      <c r="A3822" s="2" t="s">
        <v>8797</v>
      </c>
      <c r="B3822" s="2" t="s">
        <v>8798</v>
      </c>
      <c r="C3822" s="2" t="s">
        <v>7596</v>
      </c>
    </row>
    <row r="3823">
      <c r="A3823" s="2" t="s">
        <v>8799</v>
      </c>
      <c r="B3823" s="2" t="s">
        <v>8800</v>
      </c>
      <c r="C3823" s="2" t="s">
        <v>7596</v>
      </c>
    </row>
    <row r="3824">
      <c r="A3824" s="2" t="s">
        <v>8801</v>
      </c>
      <c r="B3824" s="2" t="s">
        <v>8802</v>
      </c>
      <c r="C3824" s="2" t="s">
        <v>7596</v>
      </c>
    </row>
    <row r="3825">
      <c r="A3825" s="2" t="s">
        <v>8803</v>
      </c>
      <c r="B3825" s="2" t="s">
        <v>8804</v>
      </c>
      <c r="C3825" s="2" t="s">
        <v>7596</v>
      </c>
    </row>
    <row r="3826">
      <c r="A3826" s="2" t="s">
        <v>8805</v>
      </c>
      <c r="B3826" s="2" t="s">
        <v>8806</v>
      </c>
      <c r="C3826" s="2" t="s">
        <v>7596</v>
      </c>
    </row>
    <row r="3827">
      <c r="A3827" s="2" t="s">
        <v>8807</v>
      </c>
      <c r="B3827" s="2" t="s">
        <v>8808</v>
      </c>
      <c r="C3827" s="2" t="s">
        <v>7596</v>
      </c>
    </row>
    <row r="3828">
      <c r="A3828" s="2" t="s">
        <v>8809</v>
      </c>
      <c r="B3828" s="2" t="s">
        <v>8810</v>
      </c>
      <c r="C3828" s="2" t="s">
        <v>7596</v>
      </c>
    </row>
    <row r="3829">
      <c r="A3829" s="2" t="s">
        <v>8811</v>
      </c>
      <c r="B3829" s="2" t="s">
        <v>8812</v>
      </c>
      <c r="C3829" s="2" t="s">
        <v>7596</v>
      </c>
    </row>
    <row r="3830">
      <c r="A3830" s="2" t="s">
        <v>8813</v>
      </c>
      <c r="B3830" s="2" t="s">
        <v>8814</v>
      </c>
      <c r="C3830" s="2" t="s">
        <v>7596</v>
      </c>
    </row>
    <row r="3831">
      <c r="A3831" s="2" t="s">
        <v>8815</v>
      </c>
      <c r="B3831" s="2" t="s">
        <v>8816</v>
      </c>
      <c r="C3831" s="2" t="s">
        <v>7596</v>
      </c>
    </row>
    <row r="3832">
      <c r="A3832" s="2" t="s">
        <v>8817</v>
      </c>
      <c r="B3832" s="2" t="s">
        <v>8818</v>
      </c>
      <c r="C3832" s="2" t="s">
        <v>7596</v>
      </c>
    </row>
    <row r="3833">
      <c r="A3833" s="2" t="s">
        <v>8819</v>
      </c>
      <c r="B3833" s="2" t="s">
        <v>8820</v>
      </c>
      <c r="C3833" s="2" t="s">
        <v>7596</v>
      </c>
    </row>
    <row r="3834">
      <c r="A3834" s="2" t="s">
        <v>8821</v>
      </c>
      <c r="B3834" s="2" t="s">
        <v>8822</v>
      </c>
      <c r="C3834" s="2" t="s">
        <v>7596</v>
      </c>
    </row>
    <row r="3835">
      <c r="A3835" s="2" t="s">
        <v>8823</v>
      </c>
      <c r="B3835" s="2" t="s">
        <v>8824</v>
      </c>
      <c r="C3835" s="2" t="s">
        <v>7596</v>
      </c>
    </row>
    <row r="3836">
      <c r="A3836" s="2" t="s">
        <v>8825</v>
      </c>
      <c r="B3836" s="2" t="s">
        <v>8826</v>
      </c>
      <c r="C3836" s="2" t="s">
        <v>7596</v>
      </c>
    </row>
    <row r="3837">
      <c r="A3837" s="2" t="s">
        <v>8827</v>
      </c>
      <c r="B3837" s="2" t="s">
        <v>8828</v>
      </c>
      <c r="C3837" s="2" t="s">
        <v>7596</v>
      </c>
    </row>
    <row r="3838">
      <c r="A3838" s="2" t="s">
        <v>8829</v>
      </c>
      <c r="B3838" s="2" t="s">
        <v>8830</v>
      </c>
      <c r="C3838" s="2" t="s">
        <v>7596</v>
      </c>
    </row>
    <row r="3839">
      <c r="A3839" s="2" t="s">
        <v>8831</v>
      </c>
      <c r="B3839" s="2" t="s">
        <v>8832</v>
      </c>
      <c r="C3839" s="2" t="s">
        <v>7596</v>
      </c>
    </row>
    <row r="3840">
      <c r="A3840" s="2" t="s">
        <v>8833</v>
      </c>
      <c r="B3840" s="2" t="s">
        <v>8834</v>
      </c>
      <c r="C3840" s="2" t="s">
        <v>7596</v>
      </c>
    </row>
    <row r="3841">
      <c r="A3841" s="2" t="s">
        <v>8835</v>
      </c>
      <c r="B3841" s="2" t="s">
        <v>8836</v>
      </c>
      <c r="C3841" s="2" t="s">
        <v>7596</v>
      </c>
    </row>
    <row r="3842">
      <c r="A3842" s="2" t="s">
        <v>8837</v>
      </c>
      <c r="B3842" s="2" t="s">
        <v>8838</v>
      </c>
      <c r="C3842" s="2" t="s">
        <v>7596</v>
      </c>
    </row>
    <row r="3843">
      <c r="A3843" s="2" t="s">
        <v>8839</v>
      </c>
      <c r="B3843" s="2" t="s">
        <v>8840</v>
      </c>
      <c r="C3843" s="2" t="s">
        <v>7596</v>
      </c>
    </row>
    <row r="3844">
      <c r="A3844" s="2" t="s">
        <v>8841</v>
      </c>
      <c r="B3844" s="2" t="s">
        <v>8842</v>
      </c>
      <c r="C3844" s="2" t="s">
        <v>7596</v>
      </c>
    </row>
    <row r="3845">
      <c r="A3845" s="2" t="s">
        <v>8843</v>
      </c>
      <c r="B3845" s="2" t="s">
        <v>8844</v>
      </c>
      <c r="C3845" s="2" t="s">
        <v>7596</v>
      </c>
    </row>
    <row r="3846">
      <c r="A3846" s="2" t="s">
        <v>8845</v>
      </c>
      <c r="B3846" s="2" t="s">
        <v>8846</v>
      </c>
      <c r="C3846" s="2" t="s">
        <v>7596</v>
      </c>
    </row>
    <row r="3847">
      <c r="A3847" s="2" t="s">
        <v>8847</v>
      </c>
      <c r="B3847" s="2" t="s">
        <v>8848</v>
      </c>
      <c r="C3847" s="2" t="s">
        <v>7596</v>
      </c>
    </row>
    <row r="3848">
      <c r="A3848" s="2" t="s">
        <v>8849</v>
      </c>
      <c r="B3848" s="2" t="s">
        <v>8850</v>
      </c>
      <c r="C3848" s="2" t="s">
        <v>7596</v>
      </c>
    </row>
    <row r="3849">
      <c r="A3849" s="2" t="s">
        <v>8851</v>
      </c>
      <c r="B3849" s="2" t="s">
        <v>8852</v>
      </c>
      <c r="C3849" s="2" t="s">
        <v>7596</v>
      </c>
    </row>
    <row r="3850">
      <c r="A3850" s="2" t="s">
        <v>8853</v>
      </c>
      <c r="B3850" s="2" t="s">
        <v>8854</v>
      </c>
      <c r="C3850" s="2" t="s">
        <v>7596</v>
      </c>
    </row>
    <row r="3851">
      <c r="A3851" s="2" t="s">
        <v>8855</v>
      </c>
      <c r="B3851" s="2" t="s">
        <v>8856</v>
      </c>
      <c r="C3851" s="2" t="s">
        <v>7596</v>
      </c>
    </row>
    <row r="3852">
      <c r="A3852" s="2" t="s">
        <v>8857</v>
      </c>
      <c r="B3852" s="2" t="s">
        <v>8858</v>
      </c>
      <c r="C3852" s="2" t="s">
        <v>7596</v>
      </c>
    </row>
    <row r="3853">
      <c r="A3853" s="2" t="s">
        <v>8859</v>
      </c>
      <c r="B3853" s="2" t="s">
        <v>8860</v>
      </c>
      <c r="C3853" s="2" t="s">
        <v>7596</v>
      </c>
    </row>
    <row r="3854">
      <c r="A3854" s="2" t="s">
        <v>8861</v>
      </c>
      <c r="B3854" s="2" t="s">
        <v>8862</v>
      </c>
      <c r="C3854" s="2" t="s">
        <v>7596</v>
      </c>
    </row>
    <row r="3855">
      <c r="A3855" s="2" t="s">
        <v>8863</v>
      </c>
      <c r="B3855" s="2" t="s">
        <v>8864</v>
      </c>
      <c r="C3855" s="2" t="s">
        <v>7596</v>
      </c>
    </row>
    <row r="3856">
      <c r="A3856" s="2" t="s">
        <v>8865</v>
      </c>
      <c r="B3856" s="2" t="s">
        <v>8866</v>
      </c>
      <c r="C3856" s="2" t="s">
        <v>7596</v>
      </c>
    </row>
    <row r="3857">
      <c r="A3857" s="2" t="s">
        <v>8867</v>
      </c>
      <c r="B3857" s="2" t="s">
        <v>8868</v>
      </c>
      <c r="C3857" s="2" t="s">
        <v>7596</v>
      </c>
    </row>
    <row r="3858">
      <c r="A3858" s="2" t="s">
        <v>8869</v>
      </c>
      <c r="B3858" s="2" t="s">
        <v>8870</v>
      </c>
      <c r="C3858" s="2" t="s">
        <v>7596</v>
      </c>
    </row>
    <row r="3859">
      <c r="A3859" s="2" t="s">
        <v>8871</v>
      </c>
      <c r="B3859" s="2" t="s">
        <v>8872</v>
      </c>
      <c r="C3859" s="2" t="s">
        <v>7596</v>
      </c>
    </row>
    <row r="3860">
      <c r="A3860" s="2" t="s">
        <v>8873</v>
      </c>
      <c r="B3860" s="2" t="s">
        <v>8874</v>
      </c>
      <c r="C3860" s="2" t="s">
        <v>7596</v>
      </c>
    </row>
    <row r="3861">
      <c r="A3861" s="2" t="s">
        <v>8875</v>
      </c>
      <c r="B3861" s="2" t="s">
        <v>8876</v>
      </c>
      <c r="C3861" s="2" t="s">
        <v>7596</v>
      </c>
    </row>
    <row r="3862">
      <c r="A3862" s="2" t="s">
        <v>8877</v>
      </c>
      <c r="B3862" s="2" t="s">
        <v>8878</v>
      </c>
      <c r="C3862" s="2" t="s">
        <v>7596</v>
      </c>
    </row>
    <row r="3863">
      <c r="A3863" s="2" t="s">
        <v>8879</v>
      </c>
      <c r="B3863" s="2" t="s">
        <v>8880</v>
      </c>
      <c r="C3863" s="2" t="s">
        <v>7596</v>
      </c>
    </row>
    <row r="3864">
      <c r="A3864" s="2" t="s">
        <v>8881</v>
      </c>
      <c r="B3864" s="2" t="s">
        <v>8882</v>
      </c>
      <c r="C3864" s="2" t="s">
        <v>7596</v>
      </c>
    </row>
    <row r="3865">
      <c r="A3865" s="2" t="s">
        <v>8883</v>
      </c>
      <c r="B3865" s="2" t="s">
        <v>8884</v>
      </c>
      <c r="C3865" s="2" t="s">
        <v>7596</v>
      </c>
    </row>
    <row r="3866">
      <c r="A3866" s="2" t="s">
        <v>8885</v>
      </c>
      <c r="B3866" s="2" t="s">
        <v>8886</v>
      </c>
      <c r="C3866" s="2" t="s">
        <v>7596</v>
      </c>
    </row>
    <row r="3867">
      <c r="A3867" s="2" t="s">
        <v>8887</v>
      </c>
      <c r="B3867" s="2" t="s">
        <v>8888</v>
      </c>
      <c r="C3867" s="2" t="s">
        <v>7596</v>
      </c>
    </row>
    <row r="3868">
      <c r="A3868" s="2" t="s">
        <v>8889</v>
      </c>
      <c r="B3868" s="2" t="s">
        <v>8890</v>
      </c>
      <c r="C3868" s="2" t="s">
        <v>7596</v>
      </c>
    </row>
    <row r="3869">
      <c r="A3869" s="2" t="s">
        <v>8891</v>
      </c>
      <c r="B3869" s="2" t="s">
        <v>8892</v>
      </c>
      <c r="C3869" s="2" t="s">
        <v>7596</v>
      </c>
    </row>
    <row r="3870">
      <c r="A3870" s="2" t="s">
        <v>8893</v>
      </c>
      <c r="B3870" s="2" t="s">
        <v>8894</v>
      </c>
      <c r="C3870" s="2" t="s">
        <v>7596</v>
      </c>
    </row>
    <row r="3871">
      <c r="A3871" s="2" t="s">
        <v>8895</v>
      </c>
      <c r="B3871" s="2" t="s">
        <v>8896</v>
      </c>
      <c r="C3871" s="2" t="s">
        <v>7596</v>
      </c>
    </row>
    <row r="3872">
      <c r="A3872" s="2" t="s">
        <v>8897</v>
      </c>
      <c r="B3872" s="2" t="s">
        <v>8898</v>
      </c>
      <c r="C3872" s="2" t="s">
        <v>7596</v>
      </c>
    </row>
    <row r="3873">
      <c r="A3873" s="2" t="s">
        <v>8899</v>
      </c>
      <c r="B3873" s="2" t="s">
        <v>8900</v>
      </c>
      <c r="C3873" s="2" t="s">
        <v>7596</v>
      </c>
    </row>
    <row r="3874">
      <c r="A3874" s="2" t="s">
        <v>8901</v>
      </c>
      <c r="B3874" s="2" t="s">
        <v>8902</v>
      </c>
      <c r="C3874" s="2" t="s">
        <v>7596</v>
      </c>
    </row>
    <row r="3875">
      <c r="A3875" s="2" t="s">
        <v>8903</v>
      </c>
      <c r="B3875" s="2" t="s">
        <v>8904</v>
      </c>
      <c r="C3875" s="2" t="s">
        <v>7596</v>
      </c>
    </row>
    <row r="3876">
      <c r="A3876" s="2" t="s">
        <v>8905</v>
      </c>
      <c r="B3876" s="2" t="s">
        <v>8906</v>
      </c>
      <c r="C3876" s="2" t="s">
        <v>7596</v>
      </c>
    </row>
    <row r="3877">
      <c r="A3877" s="2" t="s">
        <v>8907</v>
      </c>
      <c r="B3877" s="2" t="s">
        <v>8908</v>
      </c>
      <c r="C3877" s="2" t="s">
        <v>7596</v>
      </c>
    </row>
    <row r="3878">
      <c r="A3878" s="2" t="s">
        <v>8909</v>
      </c>
      <c r="B3878" s="2" t="s">
        <v>8910</v>
      </c>
      <c r="C3878" s="2" t="s">
        <v>7596</v>
      </c>
    </row>
    <row r="3879">
      <c r="A3879" s="2" t="s">
        <v>8911</v>
      </c>
      <c r="B3879" s="2" t="s">
        <v>8912</v>
      </c>
      <c r="C3879" s="2" t="s">
        <v>7596</v>
      </c>
    </row>
    <row r="3880">
      <c r="A3880" s="2" t="s">
        <v>8913</v>
      </c>
      <c r="B3880" s="2" t="s">
        <v>8914</v>
      </c>
      <c r="C3880" s="2" t="s">
        <v>7596</v>
      </c>
    </row>
    <row r="3881">
      <c r="A3881" s="2" t="s">
        <v>8915</v>
      </c>
      <c r="B3881" s="2" t="s">
        <v>8916</v>
      </c>
      <c r="C3881" s="2" t="s">
        <v>7596</v>
      </c>
    </row>
    <row r="3882">
      <c r="A3882" s="2" t="s">
        <v>8917</v>
      </c>
      <c r="B3882" s="2" t="s">
        <v>8918</v>
      </c>
      <c r="C3882" s="2" t="s">
        <v>7596</v>
      </c>
    </row>
    <row r="3883">
      <c r="A3883" s="2" t="s">
        <v>8919</v>
      </c>
      <c r="B3883" s="2" t="s">
        <v>8920</v>
      </c>
      <c r="C3883" s="2" t="s">
        <v>7596</v>
      </c>
    </row>
    <row r="3884">
      <c r="A3884" s="2" t="s">
        <v>8921</v>
      </c>
      <c r="B3884" s="2" t="s">
        <v>8922</v>
      </c>
      <c r="C3884" s="2" t="s">
        <v>7596</v>
      </c>
    </row>
    <row r="3885">
      <c r="A3885" s="2" t="s">
        <v>8923</v>
      </c>
      <c r="B3885" s="2" t="s">
        <v>8924</v>
      </c>
      <c r="C3885" s="2" t="s">
        <v>7596</v>
      </c>
    </row>
    <row r="3886">
      <c r="A3886" s="2" t="s">
        <v>8925</v>
      </c>
      <c r="B3886" s="2" t="s">
        <v>8926</v>
      </c>
      <c r="C3886" s="2" t="s">
        <v>7596</v>
      </c>
    </row>
    <row r="3887">
      <c r="A3887" s="2" t="s">
        <v>8927</v>
      </c>
      <c r="B3887" s="2" t="s">
        <v>8928</v>
      </c>
      <c r="C3887" s="2" t="s">
        <v>7596</v>
      </c>
    </row>
    <row r="3888">
      <c r="A3888" s="2" t="s">
        <v>8929</v>
      </c>
      <c r="B3888" s="2" t="s">
        <v>8930</v>
      </c>
      <c r="C3888" s="2" t="s">
        <v>7596</v>
      </c>
    </row>
    <row r="3889">
      <c r="A3889" s="2" t="s">
        <v>8931</v>
      </c>
      <c r="B3889" s="2" t="s">
        <v>8932</v>
      </c>
      <c r="C3889" s="2" t="s">
        <v>7596</v>
      </c>
    </row>
    <row r="3890">
      <c r="A3890" s="2" t="s">
        <v>8933</v>
      </c>
      <c r="B3890" s="2" t="s">
        <v>8934</v>
      </c>
      <c r="C3890" s="2" t="s">
        <v>7596</v>
      </c>
    </row>
    <row r="3891">
      <c r="A3891" s="2" t="s">
        <v>8935</v>
      </c>
      <c r="B3891" s="2" t="s">
        <v>8936</v>
      </c>
      <c r="C3891" s="2" t="s">
        <v>7596</v>
      </c>
    </row>
    <row r="3892">
      <c r="A3892" s="2" t="s">
        <v>8937</v>
      </c>
      <c r="B3892" s="2" t="s">
        <v>8938</v>
      </c>
      <c r="C3892" s="2" t="s">
        <v>7596</v>
      </c>
    </row>
    <row r="3893">
      <c r="A3893" s="2" t="s">
        <v>8939</v>
      </c>
      <c r="B3893" s="2" t="s">
        <v>8940</v>
      </c>
      <c r="C3893" s="2" t="s">
        <v>7596</v>
      </c>
    </row>
    <row r="3894">
      <c r="A3894" s="2" t="s">
        <v>8941</v>
      </c>
      <c r="B3894" s="2" t="s">
        <v>8942</v>
      </c>
      <c r="C3894" s="2" t="s">
        <v>7596</v>
      </c>
    </row>
    <row r="3895">
      <c r="A3895" s="2" t="s">
        <v>8943</v>
      </c>
      <c r="B3895" s="2" t="s">
        <v>8944</v>
      </c>
      <c r="C3895" s="2" t="s">
        <v>7596</v>
      </c>
    </row>
    <row r="3896">
      <c r="A3896" s="2" t="s">
        <v>8945</v>
      </c>
      <c r="B3896" s="2" t="s">
        <v>8946</v>
      </c>
      <c r="C3896" s="2" t="s">
        <v>7596</v>
      </c>
    </row>
    <row r="3897">
      <c r="A3897" s="2" t="s">
        <v>8947</v>
      </c>
      <c r="B3897" s="2" t="s">
        <v>8948</v>
      </c>
      <c r="C3897" s="2" t="s">
        <v>7596</v>
      </c>
    </row>
    <row r="3898">
      <c r="A3898" s="2" t="s">
        <v>8949</v>
      </c>
      <c r="B3898" s="2" t="s">
        <v>8950</v>
      </c>
      <c r="C3898" s="2" t="s">
        <v>7596</v>
      </c>
    </row>
    <row r="3899">
      <c r="A3899" s="2" t="s">
        <v>8951</v>
      </c>
      <c r="B3899" s="2" t="s">
        <v>8952</v>
      </c>
      <c r="C3899" s="2" t="s">
        <v>7596</v>
      </c>
    </row>
    <row r="3900">
      <c r="A3900" s="2" t="s">
        <v>8953</v>
      </c>
      <c r="B3900" s="2" t="s">
        <v>8954</v>
      </c>
      <c r="C3900" s="2" t="s">
        <v>7596</v>
      </c>
    </row>
    <row r="3901">
      <c r="A3901" s="2" t="s">
        <v>8955</v>
      </c>
      <c r="B3901" s="2" t="s">
        <v>8956</v>
      </c>
      <c r="C3901" s="2" t="s">
        <v>7596</v>
      </c>
    </row>
    <row r="3902">
      <c r="A3902" s="2" t="s">
        <v>8957</v>
      </c>
      <c r="B3902" s="2" t="s">
        <v>8958</v>
      </c>
      <c r="C3902" s="2" t="s">
        <v>7596</v>
      </c>
    </row>
    <row r="3903">
      <c r="A3903" s="2" t="s">
        <v>8959</v>
      </c>
      <c r="B3903" s="2" t="s">
        <v>8960</v>
      </c>
      <c r="C3903" s="2" t="s">
        <v>7596</v>
      </c>
    </row>
    <row r="3904">
      <c r="A3904" s="2" t="s">
        <v>8961</v>
      </c>
      <c r="B3904" s="2" t="s">
        <v>8962</v>
      </c>
      <c r="C3904" s="2" t="s">
        <v>7596</v>
      </c>
    </row>
    <row r="3905">
      <c r="A3905" s="2" t="s">
        <v>8963</v>
      </c>
      <c r="B3905" s="2" t="s">
        <v>8964</v>
      </c>
      <c r="C3905" s="2" t="s">
        <v>7596</v>
      </c>
    </row>
    <row r="3906">
      <c r="A3906" s="2" t="s">
        <v>8965</v>
      </c>
      <c r="B3906" s="2" t="s">
        <v>8966</v>
      </c>
      <c r="C3906" s="2" t="s">
        <v>7596</v>
      </c>
    </row>
    <row r="3907">
      <c r="A3907" s="2" t="s">
        <v>8967</v>
      </c>
      <c r="B3907" s="2" t="s">
        <v>8968</v>
      </c>
      <c r="C3907" s="2" t="s">
        <v>7596</v>
      </c>
    </row>
    <row r="3908">
      <c r="A3908" s="2" t="s">
        <v>8969</v>
      </c>
      <c r="B3908" s="2" t="s">
        <v>8970</v>
      </c>
      <c r="C3908" s="2" t="s">
        <v>7596</v>
      </c>
    </row>
    <row r="3909">
      <c r="A3909" s="2" t="s">
        <v>8971</v>
      </c>
      <c r="B3909" s="2" t="s">
        <v>8972</v>
      </c>
      <c r="C3909" s="2" t="s">
        <v>7596</v>
      </c>
    </row>
    <row r="3910">
      <c r="A3910" s="2" t="s">
        <v>8973</v>
      </c>
      <c r="B3910" s="2" t="s">
        <v>8974</v>
      </c>
      <c r="C3910" s="2" t="s">
        <v>7596</v>
      </c>
    </row>
    <row r="3911">
      <c r="A3911" s="2" t="s">
        <v>8975</v>
      </c>
      <c r="B3911" s="2" t="s">
        <v>8976</v>
      </c>
      <c r="C3911" s="2" t="s">
        <v>7596</v>
      </c>
    </row>
    <row r="3912">
      <c r="A3912" s="2" t="s">
        <v>8977</v>
      </c>
      <c r="B3912" s="2" t="s">
        <v>8978</v>
      </c>
      <c r="C3912" s="2" t="s">
        <v>7596</v>
      </c>
    </row>
    <row r="3913">
      <c r="A3913" s="2" t="s">
        <v>8979</v>
      </c>
      <c r="B3913" s="2" t="s">
        <v>8980</v>
      </c>
      <c r="C3913" s="2" t="s">
        <v>7596</v>
      </c>
    </row>
    <row r="3914">
      <c r="A3914" s="2" t="s">
        <v>8981</v>
      </c>
      <c r="B3914" s="2" t="s">
        <v>8982</v>
      </c>
      <c r="C3914" s="2" t="s">
        <v>7596</v>
      </c>
    </row>
    <row r="3915">
      <c r="A3915" s="2" t="s">
        <v>8983</v>
      </c>
      <c r="B3915" s="2" t="s">
        <v>8984</v>
      </c>
      <c r="C3915" s="2" t="s">
        <v>7596</v>
      </c>
    </row>
    <row r="3916">
      <c r="A3916" s="2" t="s">
        <v>8985</v>
      </c>
      <c r="B3916" s="2" t="s">
        <v>8986</v>
      </c>
      <c r="C3916" s="2" t="s">
        <v>7596</v>
      </c>
    </row>
    <row r="3917">
      <c r="A3917" s="2" t="s">
        <v>8987</v>
      </c>
      <c r="B3917" s="2" t="s">
        <v>8988</v>
      </c>
      <c r="C3917" s="2" t="s">
        <v>7596</v>
      </c>
    </row>
    <row r="3918">
      <c r="A3918" s="2" t="s">
        <v>8989</v>
      </c>
      <c r="B3918" s="2" t="s">
        <v>8990</v>
      </c>
      <c r="C3918" s="2" t="s">
        <v>7596</v>
      </c>
    </row>
    <row r="3919">
      <c r="A3919" s="2" t="s">
        <v>8991</v>
      </c>
      <c r="B3919" s="2" t="s">
        <v>8990</v>
      </c>
      <c r="C3919" s="2" t="s">
        <v>7596</v>
      </c>
    </row>
    <row r="3920">
      <c r="A3920" s="2" t="s">
        <v>8992</v>
      </c>
      <c r="B3920" s="2" t="s">
        <v>8993</v>
      </c>
      <c r="C3920" s="2" t="s">
        <v>7596</v>
      </c>
    </row>
    <row r="3921">
      <c r="A3921" s="2" t="s">
        <v>8994</v>
      </c>
      <c r="B3921" s="2" t="s">
        <v>8993</v>
      </c>
      <c r="C3921" s="2" t="s">
        <v>7596</v>
      </c>
    </row>
    <row r="3922">
      <c r="A3922" s="2" t="s">
        <v>8995</v>
      </c>
      <c r="B3922" s="2" t="s">
        <v>8996</v>
      </c>
      <c r="C3922" s="2" t="s">
        <v>7596</v>
      </c>
    </row>
    <row r="3923">
      <c r="A3923" s="2" t="s">
        <v>8997</v>
      </c>
      <c r="B3923" s="2" t="s">
        <v>8996</v>
      </c>
      <c r="C3923" s="2" t="s">
        <v>7596</v>
      </c>
    </row>
    <row r="3924">
      <c r="A3924" s="2" t="s">
        <v>8998</v>
      </c>
      <c r="B3924" s="2" t="s">
        <v>8999</v>
      </c>
      <c r="C3924" s="2" t="s">
        <v>7596</v>
      </c>
    </row>
    <row r="3925">
      <c r="A3925" s="2" t="s">
        <v>9000</v>
      </c>
      <c r="B3925" s="2" t="s">
        <v>9001</v>
      </c>
      <c r="C3925" s="2" t="s">
        <v>7596</v>
      </c>
    </row>
    <row r="3926">
      <c r="A3926" s="2" t="s">
        <v>9002</v>
      </c>
      <c r="B3926" s="2" t="s">
        <v>9003</v>
      </c>
      <c r="C3926" s="2" t="s">
        <v>7596</v>
      </c>
    </row>
    <row r="3927">
      <c r="A3927" s="2" t="s">
        <v>9004</v>
      </c>
      <c r="B3927" s="2" t="s">
        <v>9005</v>
      </c>
      <c r="C3927" s="2" t="s">
        <v>7596</v>
      </c>
    </row>
    <row r="3928">
      <c r="A3928" s="2" t="s">
        <v>9006</v>
      </c>
      <c r="B3928" s="2" t="s">
        <v>9007</v>
      </c>
      <c r="C3928" s="2" t="s">
        <v>7596</v>
      </c>
    </row>
    <row r="3929">
      <c r="A3929" s="2" t="s">
        <v>9008</v>
      </c>
      <c r="B3929" s="2" t="s">
        <v>9009</v>
      </c>
      <c r="C3929" s="2" t="s">
        <v>7596</v>
      </c>
    </row>
    <row r="3930">
      <c r="A3930" s="2" t="s">
        <v>9010</v>
      </c>
      <c r="B3930" s="2" t="s">
        <v>9011</v>
      </c>
      <c r="C3930" s="2" t="s">
        <v>7596</v>
      </c>
    </row>
    <row r="3931">
      <c r="A3931" s="2" t="s">
        <v>9012</v>
      </c>
      <c r="B3931" s="2" t="s">
        <v>9013</v>
      </c>
      <c r="C3931" s="2" t="s">
        <v>7596</v>
      </c>
    </row>
    <row r="3932">
      <c r="A3932" s="2" t="s">
        <v>9014</v>
      </c>
      <c r="B3932" s="2" t="s">
        <v>9015</v>
      </c>
      <c r="C3932" s="2" t="s">
        <v>7596</v>
      </c>
    </row>
    <row r="3933">
      <c r="A3933" s="2" t="s">
        <v>9016</v>
      </c>
      <c r="B3933" s="2" t="s">
        <v>9017</v>
      </c>
      <c r="C3933" s="2" t="s">
        <v>7596</v>
      </c>
    </row>
    <row r="3934">
      <c r="A3934" s="2" t="s">
        <v>9018</v>
      </c>
      <c r="B3934" s="2" t="s">
        <v>9019</v>
      </c>
      <c r="C3934" s="2" t="s">
        <v>7596</v>
      </c>
    </row>
    <row r="3935">
      <c r="A3935" s="2" t="s">
        <v>9020</v>
      </c>
      <c r="B3935" s="2" t="s">
        <v>9021</v>
      </c>
      <c r="C3935" s="2" t="s">
        <v>7596</v>
      </c>
    </row>
    <row r="3936">
      <c r="A3936" s="2" t="s">
        <v>9022</v>
      </c>
      <c r="B3936" s="2" t="s">
        <v>9023</v>
      </c>
      <c r="C3936" s="2" t="s">
        <v>7596</v>
      </c>
    </row>
    <row r="3937">
      <c r="A3937" s="2" t="s">
        <v>9024</v>
      </c>
      <c r="B3937" s="2" t="s">
        <v>9025</v>
      </c>
      <c r="C3937" s="2" t="s">
        <v>7596</v>
      </c>
    </row>
    <row r="3938">
      <c r="A3938" s="2" t="s">
        <v>9026</v>
      </c>
      <c r="B3938" s="2" t="s">
        <v>9027</v>
      </c>
      <c r="C3938" s="2" t="s">
        <v>7596</v>
      </c>
    </row>
    <row r="3939">
      <c r="A3939" s="2" t="s">
        <v>9028</v>
      </c>
      <c r="B3939" s="2" t="s">
        <v>9029</v>
      </c>
      <c r="C3939" s="2" t="s">
        <v>7596</v>
      </c>
    </row>
    <row r="3940">
      <c r="A3940" s="2" t="s">
        <v>9030</v>
      </c>
      <c r="B3940" s="2" t="s">
        <v>9031</v>
      </c>
      <c r="C3940" s="2" t="s">
        <v>7596</v>
      </c>
    </row>
    <row r="3941">
      <c r="A3941" s="2" t="s">
        <v>9032</v>
      </c>
      <c r="B3941" s="2" t="s">
        <v>9033</v>
      </c>
      <c r="C3941" s="2" t="s">
        <v>7596</v>
      </c>
    </row>
    <row r="3942">
      <c r="A3942" s="2" t="s">
        <v>9034</v>
      </c>
      <c r="B3942" s="2" t="s">
        <v>9035</v>
      </c>
      <c r="C3942" s="2" t="s">
        <v>7596</v>
      </c>
    </row>
    <row r="3943">
      <c r="A3943" s="2" t="s">
        <v>9036</v>
      </c>
      <c r="B3943" s="2" t="s">
        <v>9037</v>
      </c>
      <c r="C3943" s="2" t="s">
        <v>7596</v>
      </c>
    </row>
    <row r="3944">
      <c r="A3944" s="2" t="s">
        <v>9038</v>
      </c>
      <c r="B3944" s="2" t="s">
        <v>9039</v>
      </c>
      <c r="C3944" s="2" t="s">
        <v>7596</v>
      </c>
    </row>
    <row r="3945">
      <c r="A3945" s="2" t="s">
        <v>9040</v>
      </c>
      <c r="B3945" s="2" t="s">
        <v>9041</v>
      </c>
      <c r="C3945" s="2" t="s">
        <v>7596</v>
      </c>
    </row>
    <row r="3946">
      <c r="A3946" s="2" t="s">
        <v>9042</v>
      </c>
      <c r="B3946" s="2" t="s">
        <v>9043</v>
      </c>
      <c r="C3946" s="2" t="s">
        <v>7596</v>
      </c>
    </row>
    <row r="3947">
      <c r="A3947" s="2" t="s">
        <v>9044</v>
      </c>
      <c r="B3947" s="2" t="s">
        <v>9045</v>
      </c>
      <c r="C3947" s="2" t="s">
        <v>7596</v>
      </c>
    </row>
    <row r="3948">
      <c r="A3948" s="2" t="s">
        <v>9046</v>
      </c>
      <c r="B3948" s="2" t="s">
        <v>9047</v>
      </c>
      <c r="C3948" s="2" t="s">
        <v>7596</v>
      </c>
    </row>
    <row r="3949">
      <c r="A3949" s="2" t="s">
        <v>9048</v>
      </c>
      <c r="B3949" s="2" t="s">
        <v>9049</v>
      </c>
      <c r="C3949" s="2" t="s">
        <v>7596</v>
      </c>
    </row>
    <row r="3950">
      <c r="A3950" s="2" t="s">
        <v>9050</v>
      </c>
      <c r="B3950" s="2" t="s">
        <v>9051</v>
      </c>
      <c r="C3950" s="2" t="s">
        <v>7596</v>
      </c>
    </row>
    <row r="3951">
      <c r="A3951" s="2" t="s">
        <v>9052</v>
      </c>
      <c r="B3951" s="2" t="s">
        <v>9053</v>
      </c>
      <c r="C3951" s="2" t="s">
        <v>7596</v>
      </c>
    </row>
    <row r="3952">
      <c r="A3952" s="2" t="s">
        <v>9054</v>
      </c>
      <c r="B3952" s="2" t="s">
        <v>9055</v>
      </c>
      <c r="C3952" s="2" t="s">
        <v>7596</v>
      </c>
    </row>
    <row r="3953">
      <c r="A3953" s="2" t="s">
        <v>9056</v>
      </c>
      <c r="B3953" s="2" t="s">
        <v>9057</v>
      </c>
      <c r="C3953" s="2" t="s">
        <v>7596</v>
      </c>
    </row>
    <row r="3954">
      <c r="A3954" s="2" t="s">
        <v>9058</v>
      </c>
      <c r="B3954" s="2" t="s">
        <v>9059</v>
      </c>
      <c r="C3954" s="2" t="s">
        <v>7596</v>
      </c>
    </row>
    <row r="3955">
      <c r="A3955" s="2" t="s">
        <v>9060</v>
      </c>
      <c r="B3955" s="2" t="s">
        <v>9061</v>
      </c>
      <c r="C3955" s="2" t="s">
        <v>7596</v>
      </c>
    </row>
    <row r="3956">
      <c r="A3956" s="2" t="s">
        <v>9062</v>
      </c>
      <c r="B3956" s="2" t="s">
        <v>9063</v>
      </c>
      <c r="C3956" s="2" t="s">
        <v>7596</v>
      </c>
    </row>
    <row r="3957">
      <c r="A3957" s="2" t="s">
        <v>9064</v>
      </c>
      <c r="B3957" s="2" t="s">
        <v>9065</v>
      </c>
      <c r="C3957" s="2" t="s">
        <v>7596</v>
      </c>
    </row>
    <row r="3958">
      <c r="A3958" s="2" t="s">
        <v>9066</v>
      </c>
      <c r="B3958" s="2" t="s">
        <v>9067</v>
      </c>
      <c r="C3958" s="2" t="s">
        <v>7596</v>
      </c>
    </row>
    <row r="3959">
      <c r="A3959" s="2" t="s">
        <v>9068</v>
      </c>
      <c r="B3959" s="2" t="s">
        <v>9069</v>
      </c>
      <c r="C3959" s="2" t="s">
        <v>7596</v>
      </c>
    </row>
    <row r="3960">
      <c r="A3960" s="2" t="s">
        <v>9070</v>
      </c>
      <c r="B3960" s="2" t="s">
        <v>9071</v>
      </c>
      <c r="C3960" s="2" t="s">
        <v>7596</v>
      </c>
    </row>
    <row r="3961">
      <c r="A3961" s="2" t="s">
        <v>9072</v>
      </c>
      <c r="B3961" s="2" t="s">
        <v>9073</v>
      </c>
      <c r="C3961" s="2" t="s">
        <v>7596</v>
      </c>
    </row>
    <row r="3962">
      <c r="A3962" s="2" t="s">
        <v>9074</v>
      </c>
      <c r="B3962" s="2" t="s">
        <v>9075</v>
      </c>
      <c r="C3962" s="2" t="s">
        <v>7596</v>
      </c>
    </row>
    <row r="3963">
      <c r="A3963" s="2" t="s">
        <v>9076</v>
      </c>
      <c r="B3963" s="2" t="s">
        <v>9077</v>
      </c>
      <c r="C3963" s="2" t="s">
        <v>7596</v>
      </c>
    </row>
    <row r="3964">
      <c r="A3964" s="2" t="s">
        <v>9078</v>
      </c>
      <c r="B3964" s="2" t="s">
        <v>9079</v>
      </c>
      <c r="C3964" s="2" t="s">
        <v>7596</v>
      </c>
    </row>
    <row r="3965">
      <c r="A3965" s="2" t="s">
        <v>9080</v>
      </c>
      <c r="B3965" s="2" t="s">
        <v>9081</v>
      </c>
      <c r="C3965" s="2" t="s">
        <v>7596</v>
      </c>
    </row>
    <row r="3966">
      <c r="A3966" s="2" t="s">
        <v>9082</v>
      </c>
      <c r="B3966" s="2" t="s">
        <v>9083</v>
      </c>
      <c r="C3966" s="2" t="s">
        <v>7596</v>
      </c>
    </row>
    <row r="3967">
      <c r="A3967" s="2" t="s">
        <v>9084</v>
      </c>
      <c r="B3967" s="2" t="s">
        <v>9085</v>
      </c>
      <c r="C3967" s="2" t="s">
        <v>7596</v>
      </c>
    </row>
    <row r="3968">
      <c r="A3968" s="2" t="s">
        <v>9086</v>
      </c>
      <c r="B3968" s="2" t="s">
        <v>9087</v>
      </c>
      <c r="C3968" s="2" t="s">
        <v>7596</v>
      </c>
    </row>
    <row r="3969">
      <c r="A3969" s="2" t="s">
        <v>9088</v>
      </c>
      <c r="B3969" s="2" t="s">
        <v>9089</v>
      </c>
      <c r="C3969" s="2" t="s">
        <v>7596</v>
      </c>
    </row>
    <row r="3970">
      <c r="A3970" s="2" t="s">
        <v>9090</v>
      </c>
      <c r="B3970" s="2" t="s">
        <v>9091</v>
      </c>
      <c r="C3970" s="2" t="s">
        <v>7596</v>
      </c>
    </row>
    <row r="3971">
      <c r="A3971" s="2" t="s">
        <v>9092</v>
      </c>
      <c r="B3971" s="2" t="s">
        <v>9093</v>
      </c>
      <c r="C3971" s="2" t="s">
        <v>7596</v>
      </c>
    </row>
    <row r="3972">
      <c r="A3972" s="2" t="s">
        <v>9094</v>
      </c>
      <c r="B3972" s="2" t="s">
        <v>9095</v>
      </c>
      <c r="C3972" s="2" t="s">
        <v>7596</v>
      </c>
    </row>
    <row r="3973">
      <c r="A3973" s="2" t="s">
        <v>9096</v>
      </c>
      <c r="B3973" s="2" t="s">
        <v>9097</v>
      </c>
      <c r="C3973" s="2" t="s">
        <v>7596</v>
      </c>
    </row>
    <row r="3974">
      <c r="A3974" s="2" t="s">
        <v>9098</v>
      </c>
      <c r="B3974" s="2" t="s">
        <v>9099</v>
      </c>
      <c r="C3974" s="2" t="s">
        <v>7596</v>
      </c>
    </row>
    <row r="3975">
      <c r="A3975" s="2" t="s">
        <v>9100</v>
      </c>
      <c r="B3975" s="2" t="s">
        <v>9101</v>
      </c>
      <c r="C3975" s="2" t="s">
        <v>7596</v>
      </c>
    </row>
    <row r="3976">
      <c r="A3976" s="2" t="s">
        <v>9102</v>
      </c>
      <c r="B3976" s="2" t="s">
        <v>9103</v>
      </c>
      <c r="C3976" s="2" t="s">
        <v>7596</v>
      </c>
    </row>
    <row r="3977">
      <c r="A3977" s="2" t="s">
        <v>9104</v>
      </c>
      <c r="B3977" s="2" t="s">
        <v>9105</v>
      </c>
      <c r="C3977" s="2" t="s">
        <v>7596</v>
      </c>
    </row>
    <row r="3978">
      <c r="A3978" s="2" t="s">
        <v>9106</v>
      </c>
      <c r="B3978" s="2" t="s">
        <v>9107</v>
      </c>
      <c r="C3978" s="2" t="s">
        <v>7596</v>
      </c>
    </row>
    <row r="3979">
      <c r="A3979" s="2" t="s">
        <v>9108</v>
      </c>
      <c r="B3979" s="2" t="s">
        <v>9109</v>
      </c>
      <c r="C3979" s="2" t="s">
        <v>7596</v>
      </c>
    </row>
    <row r="3980">
      <c r="A3980" s="2" t="s">
        <v>9110</v>
      </c>
      <c r="B3980" s="2" t="s">
        <v>9111</v>
      </c>
      <c r="C3980" s="2" t="s">
        <v>7596</v>
      </c>
    </row>
    <row r="3981">
      <c r="A3981" s="2" t="s">
        <v>9112</v>
      </c>
      <c r="B3981" s="2" t="s">
        <v>9113</v>
      </c>
      <c r="C3981" s="2" t="s">
        <v>7596</v>
      </c>
    </row>
    <row r="3982">
      <c r="A3982" s="2" t="s">
        <v>9114</v>
      </c>
      <c r="B3982" s="2" t="s">
        <v>9115</v>
      </c>
      <c r="C3982" s="2" t="s">
        <v>7596</v>
      </c>
    </row>
    <row r="3983">
      <c r="A3983" s="2" t="s">
        <v>9116</v>
      </c>
      <c r="B3983" s="2" t="s">
        <v>9117</v>
      </c>
      <c r="C3983" s="2" t="s">
        <v>7596</v>
      </c>
    </row>
    <row r="3984">
      <c r="A3984" s="2" t="s">
        <v>9118</v>
      </c>
      <c r="B3984" s="2" t="s">
        <v>9119</v>
      </c>
      <c r="C3984" s="2" t="s">
        <v>7596</v>
      </c>
    </row>
    <row r="3985">
      <c r="A3985" s="2" t="s">
        <v>9120</v>
      </c>
      <c r="B3985" s="2" t="s">
        <v>9121</v>
      </c>
      <c r="C3985" s="2" t="s">
        <v>7596</v>
      </c>
    </row>
    <row r="3986">
      <c r="A3986" s="2" t="s">
        <v>9122</v>
      </c>
      <c r="B3986" s="2" t="s">
        <v>9123</v>
      </c>
      <c r="C3986" s="2" t="s">
        <v>7596</v>
      </c>
    </row>
    <row r="3987">
      <c r="A3987" s="2" t="s">
        <v>9124</v>
      </c>
      <c r="B3987" s="2" t="s">
        <v>9125</v>
      </c>
      <c r="C3987" s="2" t="s">
        <v>7596</v>
      </c>
    </row>
    <row r="3988">
      <c r="A3988" s="2" t="s">
        <v>9126</v>
      </c>
      <c r="B3988" s="2" t="s">
        <v>9127</v>
      </c>
      <c r="C3988" s="2" t="s">
        <v>7596</v>
      </c>
    </row>
    <row r="3989">
      <c r="A3989" s="2" t="s">
        <v>9128</v>
      </c>
      <c r="B3989" s="2" t="s">
        <v>9129</v>
      </c>
      <c r="C3989" s="2" t="s">
        <v>7596</v>
      </c>
    </row>
    <row r="3990">
      <c r="A3990" s="2" t="s">
        <v>9130</v>
      </c>
      <c r="B3990" s="2" t="s">
        <v>9131</v>
      </c>
      <c r="C3990" s="2" t="s">
        <v>7596</v>
      </c>
    </row>
    <row r="3991">
      <c r="A3991" s="2" t="s">
        <v>9132</v>
      </c>
      <c r="B3991" s="2" t="s">
        <v>9133</v>
      </c>
      <c r="C3991" s="2" t="s">
        <v>7596</v>
      </c>
    </row>
    <row r="3992">
      <c r="A3992" s="2" t="s">
        <v>9134</v>
      </c>
      <c r="B3992" s="2" t="s">
        <v>9135</v>
      </c>
      <c r="C3992" s="2" t="s">
        <v>7596</v>
      </c>
    </row>
    <row r="3993">
      <c r="A3993" s="2" t="s">
        <v>9136</v>
      </c>
      <c r="B3993" s="2" t="s">
        <v>9137</v>
      </c>
      <c r="C3993" s="2" t="s">
        <v>7596</v>
      </c>
    </row>
    <row r="3994">
      <c r="A3994" s="2" t="s">
        <v>9138</v>
      </c>
      <c r="B3994" s="2" t="s">
        <v>9139</v>
      </c>
      <c r="C3994" s="2" t="s">
        <v>7596</v>
      </c>
    </row>
    <row r="3995">
      <c r="A3995" s="2" t="s">
        <v>9140</v>
      </c>
      <c r="B3995" s="2" t="s">
        <v>9141</v>
      </c>
      <c r="C3995" s="2" t="s">
        <v>7596</v>
      </c>
    </row>
    <row r="3996">
      <c r="A3996" s="2" t="s">
        <v>9142</v>
      </c>
      <c r="B3996" s="2" t="s">
        <v>9143</v>
      </c>
      <c r="C3996" s="2" t="s">
        <v>7596</v>
      </c>
    </row>
    <row r="3997">
      <c r="A3997" s="2" t="s">
        <v>9144</v>
      </c>
      <c r="B3997" s="2" t="s">
        <v>9145</v>
      </c>
      <c r="C3997" s="2" t="s">
        <v>7596</v>
      </c>
    </row>
    <row r="3998">
      <c r="A3998" s="2" t="s">
        <v>9146</v>
      </c>
      <c r="B3998" s="2" t="s">
        <v>9147</v>
      </c>
      <c r="C3998" s="2" t="s">
        <v>7596</v>
      </c>
    </row>
    <row r="3999">
      <c r="A3999" s="2" t="s">
        <v>9148</v>
      </c>
      <c r="B3999" s="2" t="s">
        <v>9149</v>
      </c>
      <c r="C3999" s="2" t="s">
        <v>7596</v>
      </c>
    </row>
    <row r="4000">
      <c r="A4000" s="2" t="s">
        <v>9150</v>
      </c>
      <c r="B4000" s="2" t="s">
        <v>9151</v>
      </c>
      <c r="C4000" s="2" t="s">
        <v>7596</v>
      </c>
    </row>
    <row r="4001">
      <c r="A4001" s="2" t="s">
        <v>9152</v>
      </c>
      <c r="B4001" s="2" t="s">
        <v>9153</v>
      </c>
      <c r="C4001" s="2" t="s">
        <v>7596</v>
      </c>
    </row>
    <row r="4002">
      <c r="A4002" s="2" t="s">
        <v>9154</v>
      </c>
      <c r="B4002" s="2" t="s">
        <v>9155</v>
      </c>
      <c r="C4002" s="2" t="s">
        <v>7596</v>
      </c>
    </row>
    <row r="4003">
      <c r="A4003" s="2" t="s">
        <v>9156</v>
      </c>
      <c r="B4003" s="2" t="s">
        <v>9157</v>
      </c>
      <c r="C4003" s="2" t="s">
        <v>7596</v>
      </c>
    </row>
    <row r="4004">
      <c r="A4004" s="2" t="s">
        <v>9158</v>
      </c>
      <c r="B4004" s="2" t="s">
        <v>9159</v>
      </c>
      <c r="C4004" s="2" t="s">
        <v>7596</v>
      </c>
    </row>
    <row r="4005">
      <c r="A4005" s="2" t="s">
        <v>9160</v>
      </c>
      <c r="B4005" s="2" t="s">
        <v>9161</v>
      </c>
      <c r="C4005" s="2" t="s">
        <v>7596</v>
      </c>
    </row>
    <row r="4006">
      <c r="A4006" s="2" t="s">
        <v>9162</v>
      </c>
      <c r="B4006" s="2" t="s">
        <v>9163</v>
      </c>
      <c r="C4006" s="2" t="s">
        <v>7596</v>
      </c>
    </row>
    <row r="4007">
      <c r="A4007" s="2" t="s">
        <v>9164</v>
      </c>
      <c r="B4007" s="2" t="s">
        <v>9165</v>
      </c>
      <c r="C4007" s="2" t="s">
        <v>7596</v>
      </c>
    </row>
    <row r="4008">
      <c r="A4008" s="2" t="s">
        <v>9166</v>
      </c>
      <c r="B4008" s="2" t="s">
        <v>9167</v>
      </c>
      <c r="C4008" s="2" t="s">
        <v>7596</v>
      </c>
    </row>
    <row r="4009">
      <c r="A4009" s="2" t="s">
        <v>9168</v>
      </c>
      <c r="B4009" s="2" t="s">
        <v>9167</v>
      </c>
      <c r="C4009" s="2" t="s">
        <v>7596</v>
      </c>
    </row>
    <row r="4010">
      <c r="A4010" s="2" t="s">
        <v>9169</v>
      </c>
      <c r="B4010" s="2" t="s">
        <v>9170</v>
      </c>
      <c r="C4010" s="2" t="s">
        <v>7596</v>
      </c>
    </row>
    <row r="4011">
      <c r="A4011" s="2" t="s">
        <v>9171</v>
      </c>
      <c r="B4011" s="2" t="s">
        <v>9172</v>
      </c>
      <c r="C4011" s="2" t="s">
        <v>7596</v>
      </c>
    </row>
    <row r="4012">
      <c r="A4012" s="2" t="s">
        <v>9173</v>
      </c>
      <c r="B4012" s="2" t="s">
        <v>9174</v>
      </c>
      <c r="C4012" s="2" t="s">
        <v>7596</v>
      </c>
    </row>
    <row r="4013">
      <c r="A4013" s="2" t="s">
        <v>9175</v>
      </c>
      <c r="B4013" s="2" t="s">
        <v>9176</v>
      </c>
      <c r="C4013" s="2" t="s">
        <v>7596</v>
      </c>
    </row>
    <row r="4014">
      <c r="A4014" s="2" t="s">
        <v>9177</v>
      </c>
      <c r="B4014" s="2" t="s">
        <v>9178</v>
      </c>
      <c r="C4014" s="2" t="s">
        <v>7596</v>
      </c>
    </row>
    <row r="4015">
      <c r="A4015" s="2" t="s">
        <v>9179</v>
      </c>
      <c r="B4015" s="2" t="s">
        <v>9180</v>
      </c>
      <c r="C4015" s="2" t="s">
        <v>7596</v>
      </c>
    </row>
    <row r="4016">
      <c r="A4016" s="2" t="s">
        <v>9181</v>
      </c>
      <c r="B4016" s="2" t="s">
        <v>9182</v>
      </c>
      <c r="C4016" s="2" t="s">
        <v>7596</v>
      </c>
    </row>
    <row r="4017">
      <c r="A4017" s="2" t="s">
        <v>9183</v>
      </c>
      <c r="B4017" s="2" t="s">
        <v>9184</v>
      </c>
      <c r="C4017" s="2" t="s">
        <v>7596</v>
      </c>
    </row>
    <row r="4018">
      <c r="A4018" s="2" t="s">
        <v>9185</v>
      </c>
      <c r="B4018" s="2" t="s">
        <v>9186</v>
      </c>
      <c r="C4018" s="2" t="s">
        <v>7596</v>
      </c>
    </row>
    <row r="4019">
      <c r="A4019" s="2" t="s">
        <v>9187</v>
      </c>
      <c r="B4019" s="2" t="s">
        <v>9188</v>
      </c>
      <c r="C4019" s="2" t="s">
        <v>7596</v>
      </c>
    </row>
    <row r="4020">
      <c r="A4020" s="2" t="s">
        <v>9189</v>
      </c>
      <c r="B4020" s="2" t="s">
        <v>9190</v>
      </c>
      <c r="C4020" s="2" t="s">
        <v>7596</v>
      </c>
    </row>
    <row r="4021">
      <c r="A4021" s="2" t="s">
        <v>9191</v>
      </c>
      <c r="B4021" s="2" t="s">
        <v>9190</v>
      </c>
      <c r="C4021" s="2" t="s">
        <v>7596</v>
      </c>
    </row>
    <row r="4022">
      <c r="A4022" s="2" t="s">
        <v>9192</v>
      </c>
      <c r="B4022" s="2" t="s">
        <v>9193</v>
      </c>
      <c r="C4022" s="2" t="s">
        <v>7596</v>
      </c>
    </row>
    <row r="4023">
      <c r="A4023" s="2" t="s">
        <v>9194</v>
      </c>
      <c r="B4023" s="2" t="s">
        <v>9193</v>
      </c>
      <c r="C4023" s="2" t="s">
        <v>7596</v>
      </c>
    </row>
    <row r="4024">
      <c r="A4024" s="2" t="s">
        <v>9195</v>
      </c>
      <c r="B4024" s="2" t="s">
        <v>9193</v>
      </c>
      <c r="C4024" s="2" t="s">
        <v>7596</v>
      </c>
    </row>
    <row r="4025">
      <c r="A4025" s="2" t="s">
        <v>9196</v>
      </c>
      <c r="B4025" s="2" t="s">
        <v>9193</v>
      </c>
      <c r="C4025" s="2" t="s">
        <v>7596</v>
      </c>
    </row>
    <row r="4026">
      <c r="A4026" s="2" t="s">
        <v>9197</v>
      </c>
      <c r="B4026" s="2" t="s">
        <v>9193</v>
      </c>
      <c r="C4026" s="2" t="s">
        <v>7596</v>
      </c>
    </row>
    <row r="4027">
      <c r="A4027" s="2" t="s">
        <v>9198</v>
      </c>
      <c r="B4027" s="2" t="s">
        <v>9199</v>
      </c>
      <c r="C4027" s="2" t="s">
        <v>7596</v>
      </c>
    </row>
    <row r="4028">
      <c r="A4028" s="2" t="s">
        <v>9200</v>
      </c>
      <c r="B4028" s="2" t="s">
        <v>9201</v>
      </c>
      <c r="C4028" s="2" t="s">
        <v>7596</v>
      </c>
    </row>
    <row r="4029">
      <c r="A4029" s="2" t="s">
        <v>9202</v>
      </c>
      <c r="B4029" s="2" t="s">
        <v>9203</v>
      </c>
      <c r="C4029" s="2" t="s">
        <v>7596</v>
      </c>
    </row>
    <row r="4030">
      <c r="A4030" s="2" t="s">
        <v>9204</v>
      </c>
      <c r="B4030" s="2" t="s">
        <v>9205</v>
      </c>
      <c r="C4030" s="2" t="s">
        <v>7596</v>
      </c>
    </row>
    <row r="4031">
      <c r="A4031" s="2" t="s">
        <v>9206</v>
      </c>
      <c r="B4031" s="2" t="s">
        <v>9207</v>
      </c>
      <c r="C4031" s="2" t="s">
        <v>7596</v>
      </c>
    </row>
    <row r="4032">
      <c r="A4032" s="2" t="s">
        <v>9208</v>
      </c>
      <c r="B4032" s="2" t="s">
        <v>9209</v>
      </c>
      <c r="C4032" s="2" t="s">
        <v>7596</v>
      </c>
    </row>
    <row r="4033">
      <c r="A4033" s="2" t="s">
        <v>9210</v>
      </c>
      <c r="B4033" s="2" t="s">
        <v>9211</v>
      </c>
      <c r="C4033" s="2" t="s">
        <v>7596</v>
      </c>
    </row>
    <row r="4034">
      <c r="A4034" s="2" t="s">
        <v>9212</v>
      </c>
      <c r="B4034" s="2" t="s">
        <v>9213</v>
      </c>
      <c r="C4034" s="2" t="s">
        <v>7596</v>
      </c>
    </row>
    <row r="4035">
      <c r="A4035" s="2" t="s">
        <v>9214</v>
      </c>
      <c r="B4035" s="2" t="s">
        <v>9215</v>
      </c>
      <c r="C4035" s="2" t="s">
        <v>7596</v>
      </c>
    </row>
    <row r="4036">
      <c r="A4036" s="2" t="s">
        <v>9216</v>
      </c>
      <c r="B4036" s="2" t="s">
        <v>9217</v>
      </c>
      <c r="C4036" s="2" t="s">
        <v>7596</v>
      </c>
    </row>
    <row r="4037">
      <c r="A4037" s="2" t="s">
        <v>9218</v>
      </c>
      <c r="B4037" s="2" t="s">
        <v>9217</v>
      </c>
      <c r="C4037" s="2" t="s">
        <v>7596</v>
      </c>
    </row>
    <row r="4038">
      <c r="A4038" s="2" t="s">
        <v>9219</v>
      </c>
      <c r="B4038" s="2" t="s">
        <v>9220</v>
      </c>
      <c r="C4038" s="2" t="s">
        <v>7596</v>
      </c>
    </row>
    <row r="4039">
      <c r="A4039" s="2" t="s">
        <v>9221</v>
      </c>
      <c r="B4039" s="2" t="s">
        <v>9222</v>
      </c>
      <c r="C4039" s="2" t="s">
        <v>7596</v>
      </c>
    </row>
    <row r="4040">
      <c r="A4040" s="2" t="s">
        <v>9223</v>
      </c>
      <c r="B4040" s="2" t="s">
        <v>9224</v>
      </c>
      <c r="C4040" s="2" t="s">
        <v>7596</v>
      </c>
    </row>
    <row r="4041">
      <c r="A4041" s="2" t="s">
        <v>9225</v>
      </c>
      <c r="B4041" s="2" t="s">
        <v>9226</v>
      </c>
      <c r="C4041" s="2" t="s">
        <v>7596</v>
      </c>
    </row>
    <row r="4042">
      <c r="A4042" s="2" t="s">
        <v>9227</v>
      </c>
      <c r="B4042" s="2" t="s">
        <v>9228</v>
      </c>
      <c r="C4042" s="2" t="s">
        <v>7596</v>
      </c>
    </row>
    <row r="4043">
      <c r="A4043" s="2" t="s">
        <v>9229</v>
      </c>
      <c r="B4043" s="2" t="s">
        <v>9230</v>
      </c>
      <c r="C4043" s="2" t="s">
        <v>7596</v>
      </c>
    </row>
    <row r="4044">
      <c r="A4044" s="2" t="s">
        <v>9231</v>
      </c>
      <c r="B4044" s="2" t="s">
        <v>9232</v>
      </c>
      <c r="C4044" s="2" t="s">
        <v>7596</v>
      </c>
    </row>
    <row r="4045">
      <c r="A4045" s="2" t="s">
        <v>9233</v>
      </c>
      <c r="B4045" s="2" t="s">
        <v>9234</v>
      </c>
      <c r="C4045" s="2" t="s">
        <v>7596</v>
      </c>
    </row>
    <row r="4046">
      <c r="A4046" s="2" t="s">
        <v>9235</v>
      </c>
      <c r="B4046" s="2" t="s">
        <v>9236</v>
      </c>
      <c r="C4046" s="2" t="s">
        <v>7596</v>
      </c>
    </row>
    <row r="4047">
      <c r="A4047" s="2" t="s">
        <v>9237</v>
      </c>
      <c r="B4047" s="2" t="s">
        <v>9238</v>
      </c>
      <c r="C4047" s="2" t="s">
        <v>7596</v>
      </c>
    </row>
    <row r="4048">
      <c r="A4048" s="2" t="s">
        <v>9239</v>
      </c>
      <c r="B4048" s="2" t="s">
        <v>9240</v>
      </c>
      <c r="C4048" s="2" t="s">
        <v>7596</v>
      </c>
    </row>
    <row r="4049">
      <c r="A4049" s="2" t="s">
        <v>9241</v>
      </c>
      <c r="B4049" s="2" t="s">
        <v>9242</v>
      </c>
      <c r="C4049" s="2" t="s">
        <v>7596</v>
      </c>
    </row>
    <row r="4050">
      <c r="A4050" s="2" t="s">
        <v>9243</v>
      </c>
      <c r="B4050" s="2" t="s">
        <v>9244</v>
      </c>
      <c r="C4050" s="2" t="s">
        <v>7596</v>
      </c>
    </row>
    <row r="4051">
      <c r="A4051" s="2" t="s">
        <v>9245</v>
      </c>
      <c r="B4051" s="2" t="s">
        <v>9246</v>
      </c>
      <c r="C4051" s="2" t="s">
        <v>7596</v>
      </c>
    </row>
    <row r="4052">
      <c r="A4052" s="2" t="s">
        <v>9247</v>
      </c>
      <c r="B4052" s="2" t="s">
        <v>9246</v>
      </c>
      <c r="C4052" s="2" t="s">
        <v>7596</v>
      </c>
    </row>
    <row r="4053">
      <c r="A4053" s="2" t="s">
        <v>9248</v>
      </c>
      <c r="B4053" s="2" t="s">
        <v>9246</v>
      </c>
      <c r="C4053" s="2" t="s">
        <v>7596</v>
      </c>
    </row>
    <row r="4054">
      <c r="A4054" s="2" t="s">
        <v>9249</v>
      </c>
      <c r="B4054" s="2" t="s">
        <v>9246</v>
      </c>
      <c r="C4054" s="2" t="s">
        <v>7596</v>
      </c>
    </row>
    <row r="4055">
      <c r="A4055" s="2" t="s">
        <v>9250</v>
      </c>
      <c r="B4055" s="2" t="s">
        <v>9246</v>
      </c>
      <c r="C4055" s="2" t="s">
        <v>7596</v>
      </c>
    </row>
    <row r="4056">
      <c r="A4056" s="2" t="s">
        <v>9251</v>
      </c>
      <c r="B4056" s="2" t="s">
        <v>9246</v>
      </c>
      <c r="C4056" s="2" t="s">
        <v>7596</v>
      </c>
    </row>
    <row r="4057">
      <c r="A4057" s="2" t="s">
        <v>9252</v>
      </c>
      <c r="B4057" s="2" t="s">
        <v>9246</v>
      </c>
      <c r="C4057" s="2" t="s">
        <v>7596</v>
      </c>
    </row>
    <row r="4058">
      <c r="A4058" s="2" t="s">
        <v>9253</v>
      </c>
      <c r="B4058" s="2" t="s">
        <v>9246</v>
      </c>
      <c r="C4058" s="2" t="s">
        <v>7596</v>
      </c>
    </row>
    <row r="4059">
      <c r="A4059" s="2" t="s">
        <v>9254</v>
      </c>
      <c r="B4059" s="2" t="s">
        <v>9246</v>
      </c>
      <c r="C4059" s="2" t="s">
        <v>7596</v>
      </c>
    </row>
    <row r="4060">
      <c r="A4060" s="2" t="s">
        <v>9255</v>
      </c>
      <c r="B4060" s="2" t="s">
        <v>9246</v>
      </c>
      <c r="C4060" s="2" t="s">
        <v>7596</v>
      </c>
    </row>
    <row r="4061">
      <c r="A4061" s="2" t="s">
        <v>9256</v>
      </c>
      <c r="B4061" s="2" t="s">
        <v>9246</v>
      </c>
      <c r="C4061" s="2" t="s">
        <v>7596</v>
      </c>
    </row>
    <row r="4062">
      <c r="A4062" s="2" t="s">
        <v>9257</v>
      </c>
      <c r="B4062" s="2" t="s">
        <v>9246</v>
      </c>
      <c r="C4062" s="2" t="s">
        <v>7596</v>
      </c>
    </row>
    <row r="4063">
      <c r="A4063" s="2" t="s">
        <v>9258</v>
      </c>
      <c r="B4063" s="2" t="s">
        <v>9246</v>
      </c>
      <c r="C4063" s="2" t="s">
        <v>7596</v>
      </c>
    </row>
    <row r="4064">
      <c r="A4064" s="2" t="s">
        <v>9259</v>
      </c>
      <c r="B4064" s="2" t="s">
        <v>9246</v>
      </c>
      <c r="C4064" s="2" t="s">
        <v>7596</v>
      </c>
    </row>
    <row r="4065">
      <c r="A4065" s="2" t="s">
        <v>9260</v>
      </c>
      <c r="B4065" s="2" t="s">
        <v>9261</v>
      </c>
      <c r="C4065" s="2" t="s">
        <v>7596</v>
      </c>
    </row>
    <row r="4066">
      <c r="A4066" s="2" t="s">
        <v>9262</v>
      </c>
      <c r="B4066" s="2" t="s">
        <v>9263</v>
      </c>
      <c r="C4066" s="2" t="s">
        <v>7596</v>
      </c>
    </row>
    <row r="4067">
      <c r="A4067" s="2" t="s">
        <v>9264</v>
      </c>
      <c r="B4067" s="2" t="s">
        <v>9265</v>
      </c>
      <c r="C4067" s="2" t="s">
        <v>7596</v>
      </c>
    </row>
    <row r="4068">
      <c r="A4068" s="2" t="s">
        <v>9266</v>
      </c>
      <c r="B4068" s="2" t="s">
        <v>9267</v>
      </c>
      <c r="C4068" s="2" t="s">
        <v>7596</v>
      </c>
    </row>
    <row r="4069">
      <c r="A4069" s="2" t="s">
        <v>9268</v>
      </c>
      <c r="B4069" s="2" t="s">
        <v>9269</v>
      </c>
      <c r="C4069" s="2" t="s">
        <v>7596</v>
      </c>
    </row>
    <row r="4070">
      <c r="A4070" s="2" t="s">
        <v>9270</v>
      </c>
      <c r="B4070" s="2" t="s">
        <v>9271</v>
      </c>
      <c r="C4070" s="2" t="s">
        <v>7596</v>
      </c>
    </row>
    <row r="4071">
      <c r="A4071" s="2" t="s">
        <v>9272</v>
      </c>
      <c r="B4071" s="2" t="s">
        <v>9273</v>
      </c>
      <c r="C4071" s="2" t="s">
        <v>7596</v>
      </c>
    </row>
    <row r="4072">
      <c r="A4072" s="2" t="s">
        <v>9274</v>
      </c>
      <c r="B4072" s="2" t="s">
        <v>9275</v>
      </c>
      <c r="C4072" s="2" t="s">
        <v>7596</v>
      </c>
    </row>
    <row r="4073">
      <c r="A4073" s="2" t="s">
        <v>9276</v>
      </c>
      <c r="B4073" s="2" t="s">
        <v>9277</v>
      </c>
      <c r="C4073" s="2" t="s">
        <v>7596</v>
      </c>
    </row>
    <row r="4074">
      <c r="A4074" s="2" t="s">
        <v>9278</v>
      </c>
      <c r="B4074" s="2" t="s">
        <v>9279</v>
      </c>
      <c r="C4074" s="2" t="s">
        <v>7596</v>
      </c>
    </row>
    <row r="4075">
      <c r="A4075" s="2" t="s">
        <v>9280</v>
      </c>
      <c r="B4075" s="2" t="s">
        <v>9281</v>
      </c>
      <c r="C4075" s="2" t="s">
        <v>7596</v>
      </c>
    </row>
    <row r="4076">
      <c r="A4076" s="2" t="s">
        <v>9282</v>
      </c>
      <c r="B4076" s="2" t="s">
        <v>9283</v>
      </c>
      <c r="C4076" s="2" t="s">
        <v>7596</v>
      </c>
    </row>
    <row r="4077">
      <c r="A4077" s="2" t="s">
        <v>9284</v>
      </c>
      <c r="B4077" s="2" t="s">
        <v>9285</v>
      </c>
      <c r="C4077" s="2" t="s">
        <v>7596</v>
      </c>
    </row>
    <row r="4078">
      <c r="A4078" s="2" t="s">
        <v>9286</v>
      </c>
      <c r="B4078" s="2" t="s">
        <v>9287</v>
      </c>
      <c r="C4078" s="2" t="s">
        <v>7596</v>
      </c>
    </row>
    <row r="4079">
      <c r="A4079" s="2" t="s">
        <v>9288</v>
      </c>
      <c r="B4079" s="2" t="s">
        <v>9289</v>
      </c>
      <c r="C4079" s="2" t="s">
        <v>7596</v>
      </c>
    </row>
    <row r="4080">
      <c r="A4080" s="2" t="s">
        <v>9290</v>
      </c>
      <c r="B4080" s="2" t="s">
        <v>9291</v>
      </c>
      <c r="C4080" s="2" t="s">
        <v>7596</v>
      </c>
    </row>
    <row r="4081">
      <c r="A4081" s="2" t="s">
        <v>9292</v>
      </c>
      <c r="B4081" s="2" t="s">
        <v>9293</v>
      </c>
      <c r="C4081" s="2" t="s">
        <v>7596</v>
      </c>
    </row>
    <row r="4082">
      <c r="A4082" s="2" t="s">
        <v>9294</v>
      </c>
      <c r="B4082" s="2" t="s">
        <v>9295</v>
      </c>
      <c r="C4082" s="2" t="s">
        <v>7596</v>
      </c>
    </row>
    <row r="4083">
      <c r="A4083" s="2" t="s">
        <v>9296</v>
      </c>
      <c r="B4083" s="2" t="s">
        <v>9297</v>
      </c>
      <c r="C4083" s="2" t="s">
        <v>7596</v>
      </c>
    </row>
    <row r="4084">
      <c r="A4084" s="2" t="s">
        <v>9298</v>
      </c>
      <c r="B4084" s="2" t="s">
        <v>9299</v>
      </c>
      <c r="C4084" s="2" t="s">
        <v>7596</v>
      </c>
    </row>
    <row r="4085">
      <c r="A4085" s="2" t="s">
        <v>9300</v>
      </c>
      <c r="B4085" s="2" t="s">
        <v>9301</v>
      </c>
      <c r="C4085" s="2" t="s">
        <v>7596</v>
      </c>
    </row>
    <row r="4086">
      <c r="A4086" s="2" t="s">
        <v>9302</v>
      </c>
      <c r="B4086" s="2" t="s">
        <v>9303</v>
      </c>
      <c r="C4086" s="2" t="s">
        <v>7596</v>
      </c>
    </row>
    <row r="4087">
      <c r="A4087" s="2" t="s">
        <v>9304</v>
      </c>
      <c r="B4087" s="2" t="s">
        <v>9305</v>
      </c>
      <c r="C4087" s="2" t="s">
        <v>7596</v>
      </c>
    </row>
    <row r="4088">
      <c r="A4088" s="2" t="s">
        <v>9306</v>
      </c>
      <c r="B4088" s="2" t="s">
        <v>9307</v>
      </c>
      <c r="C4088" s="2" t="s">
        <v>7596</v>
      </c>
    </row>
    <row r="4089">
      <c r="A4089" s="2" t="s">
        <v>9308</v>
      </c>
      <c r="B4089" s="2" t="s">
        <v>9309</v>
      </c>
      <c r="C4089" s="2" t="s">
        <v>7596</v>
      </c>
    </row>
    <row r="4090">
      <c r="A4090" s="2" t="s">
        <v>9310</v>
      </c>
      <c r="B4090" s="2" t="s">
        <v>9311</v>
      </c>
      <c r="C4090" s="2" t="s">
        <v>7596</v>
      </c>
    </row>
    <row r="4091">
      <c r="A4091" s="2" t="s">
        <v>9312</v>
      </c>
      <c r="B4091" s="2" t="s">
        <v>9313</v>
      </c>
      <c r="C4091" s="2" t="s">
        <v>7596</v>
      </c>
    </row>
    <row r="4092">
      <c r="A4092" s="2" t="s">
        <v>9314</v>
      </c>
      <c r="B4092" s="2" t="s">
        <v>9315</v>
      </c>
      <c r="C4092" s="2" t="s">
        <v>7596</v>
      </c>
    </row>
    <row r="4093">
      <c r="A4093" s="2" t="s">
        <v>9316</v>
      </c>
      <c r="B4093" s="2" t="s">
        <v>9317</v>
      </c>
      <c r="C4093" s="2" t="s">
        <v>7596</v>
      </c>
    </row>
    <row r="4094">
      <c r="A4094" s="2" t="s">
        <v>9318</v>
      </c>
      <c r="B4094" s="2" t="s">
        <v>9319</v>
      </c>
      <c r="C4094" s="2" t="s">
        <v>7596</v>
      </c>
    </row>
    <row r="4095">
      <c r="A4095" s="2" t="s">
        <v>9320</v>
      </c>
      <c r="B4095" s="2" t="s">
        <v>9321</v>
      </c>
      <c r="C4095" s="2" t="s">
        <v>7596</v>
      </c>
    </row>
    <row r="4096">
      <c r="A4096" s="2" t="s">
        <v>9322</v>
      </c>
      <c r="B4096" s="2" t="s">
        <v>9323</v>
      </c>
      <c r="C4096" s="2" t="s">
        <v>7596</v>
      </c>
    </row>
    <row r="4097">
      <c r="A4097" s="2" t="s">
        <v>9324</v>
      </c>
      <c r="B4097" s="2" t="s">
        <v>9325</v>
      </c>
      <c r="C4097" s="2" t="s">
        <v>7596</v>
      </c>
    </row>
    <row r="4098">
      <c r="A4098" s="2" t="s">
        <v>9326</v>
      </c>
      <c r="B4098" s="2" t="s">
        <v>9327</v>
      </c>
      <c r="C4098" s="2" t="s">
        <v>7596</v>
      </c>
    </row>
    <row r="4099">
      <c r="A4099" s="2" t="s">
        <v>9328</v>
      </c>
      <c r="B4099" s="2" t="s">
        <v>9329</v>
      </c>
      <c r="C4099" s="2" t="s">
        <v>7596</v>
      </c>
    </row>
    <row r="4100">
      <c r="A4100" s="2" t="s">
        <v>9330</v>
      </c>
      <c r="B4100" s="2" t="s">
        <v>9331</v>
      </c>
      <c r="C4100" s="2" t="s">
        <v>7596</v>
      </c>
    </row>
    <row r="4101">
      <c r="A4101" s="2" t="s">
        <v>9332</v>
      </c>
      <c r="B4101" s="2" t="s">
        <v>9333</v>
      </c>
      <c r="C4101" s="2" t="s">
        <v>7596</v>
      </c>
    </row>
    <row r="4102">
      <c r="A4102" s="2" t="s">
        <v>9334</v>
      </c>
      <c r="B4102" s="2" t="s">
        <v>9335</v>
      </c>
      <c r="C4102" s="2" t="s">
        <v>7596</v>
      </c>
    </row>
    <row r="4103">
      <c r="A4103" s="2" t="s">
        <v>9336</v>
      </c>
      <c r="B4103" s="2" t="s">
        <v>9337</v>
      </c>
      <c r="C4103" s="2" t="s">
        <v>7596</v>
      </c>
    </row>
    <row r="4104">
      <c r="A4104" s="2" t="s">
        <v>9338</v>
      </c>
      <c r="B4104" s="2" t="s">
        <v>9339</v>
      </c>
      <c r="C4104" s="2" t="s">
        <v>7596</v>
      </c>
    </row>
    <row r="4105">
      <c r="A4105" s="2" t="s">
        <v>9340</v>
      </c>
      <c r="B4105" s="2" t="s">
        <v>9341</v>
      </c>
      <c r="C4105" s="2" t="s">
        <v>7596</v>
      </c>
    </row>
    <row r="4106">
      <c r="A4106" s="2" t="s">
        <v>9342</v>
      </c>
      <c r="B4106" s="2" t="s">
        <v>9343</v>
      </c>
      <c r="C4106" s="2" t="s">
        <v>7596</v>
      </c>
    </row>
    <row r="4107">
      <c r="A4107" s="2" t="s">
        <v>9344</v>
      </c>
      <c r="B4107" s="2" t="s">
        <v>9345</v>
      </c>
      <c r="C4107" s="2" t="s">
        <v>7596</v>
      </c>
    </row>
    <row r="4108">
      <c r="A4108" s="2" t="s">
        <v>9346</v>
      </c>
      <c r="B4108" s="2" t="s">
        <v>9347</v>
      </c>
      <c r="C4108" s="2" t="s">
        <v>7596</v>
      </c>
    </row>
    <row r="4109">
      <c r="A4109" s="2" t="s">
        <v>9348</v>
      </c>
      <c r="B4109" s="2" t="s">
        <v>9349</v>
      </c>
      <c r="C4109" s="2" t="s">
        <v>7596</v>
      </c>
    </row>
    <row r="4110">
      <c r="A4110" s="2" t="s">
        <v>9350</v>
      </c>
      <c r="B4110" s="2" t="s">
        <v>9351</v>
      </c>
      <c r="C4110" s="2" t="s">
        <v>7596</v>
      </c>
    </row>
    <row r="4111">
      <c r="A4111" s="2" t="s">
        <v>9352</v>
      </c>
      <c r="B4111" s="2" t="s">
        <v>9353</v>
      </c>
      <c r="C4111" s="2" t="s">
        <v>7596</v>
      </c>
    </row>
    <row r="4112">
      <c r="A4112" s="2" t="s">
        <v>9354</v>
      </c>
      <c r="B4112" s="2" t="s">
        <v>9355</v>
      </c>
      <c r="C4112" s="2" t="s">
        <v>7596</v>
      </c>
    </row>
    <row r="4113">
      <c r="A4113" s="2" t="s">
        <v>9356</v>
      </c>
      <c r="B4113" s="2" t="s">
        <v>9357</v>
      </c>
      <c r="C4113" s="2" t="s">
        <v>7596</v>
      </c>
    </row>
    <row r="4114">
      <c r="A4114" s="2" t="s">
        <v>9358</v>
      </c>
      <c r="B4114" s="2" t="s">
        <v>9359</v>
      </c>
      <c r="C4114" s="2" t="s">
        <v>7596</v>
      </c>
    </row>
    <row r="4115">
      <c r="A4115" s="2" t="s">
        <v>9360</v>
      </c>
      <c r="B4115" s="2" t="s">
        <v>9361</v>
      </c>
      <c r="C4115" s="2" t="s">
        <v>7596</v>
      </c>
    </row>
    <row r="4116">
      <c r="A4116" s="2" t="s">
        <v>9362</v>
      </c>
      <c r="B4116" s="2" t="s">
        <v>9363</v>
      </c>
      <c r="C4116" s="2" t="s">
        <v>7596</v>
      </c>
    </row>
    <row r="4117">
      <c r="A4117" s="2" t="s">
        <v>9364</v>
      </c>
      <c r="B4117" s="2" t="s">
        <v>9365</v>
      </c>
      <c r="C4117" s="2" t="s">
        <v>7596</v>
      </c>
    </row>
    <row r="4118">
      <c r="A4118" s="2" t="s">
        <v>9366</v>
      </c>
      <c r="B4118" s="2" t="s">
        <v>9367</v>
      </c>
      <c r="C4118" s="2" t="s">
        <v>7596</v>
      </c>
    </row>
    <row r="4119">
      <c r="A4119" s="2" t="s">
        <v>9368</v>
      </c>
      <c r="B4119" s="2" t="s">
        <v>9369</v>
      </c>
      <c r="C4119" s="2" t="s">
        <v>7596</v>
      </c>
    </row>
    <row r="4120">
      <c r="A4120" s="2" t="s">
        <v>9370</v>
      </c>
      <c r="B4120" s="2" t="s">
        <v>9371</v>
      </c>
      <c r="C4120" s="2" t="s">
        <v>7596</v>
      </c>
    </row>
    <row r="4121">
      <c r="A4121" s="2" t="s">
        <v>9372</v>
      </c>
      <c r="B4121" s="2" t="s">
        <v>9373</v>
      </c>
      <c r="C4121" s="2" t="s">
        <v>7596</v>
      </c>
    </row>
    <row r="4122">
      <c r="A4122" s="2" t="s">
        <v>9374</v>
      </c>
      <c r="B4122" s="2" t="s">
        <v>9375</v>
      </c>
      <c r="C4122" s="2" t="s">
        <v>7596</v>
      </c>
    </row>
    <row r="4123">
      <c r="A4123" s="2" t="s">
        <v>9376</v>
      </c>
      <c r="B4123" s="2" t="s">
        <v>9377</v>
      </c>
      <c r="C4123" s="2" t="s">
        <v>7596</v>
      </c>
    </row>
    <row r="4124">
      <c r="A4124" s="2" t="s">
        <v>9378</v>
      </c>
      <c r="B4124" s="2" t="s">
        <v>9379</v>
      </c>
      <c r="C4124" s="2" t="s">
        <v>7596</v>
      </c>
    </row>
    <row r="4125">
      <c r="A4125" s="2" t="s">
        <v>9380</v>
      </c>
      <c r="B4125" s="2" t="s">
        <v>9381</v>
      </c>
      <c r="C4125" s="2" t="s">
        <v>7596</v>
      </c>
    </row>
    <row r="4126">
      <c r="A4126" s="2" t="s">
        <v>9382</v>
      </c>
      <c r="B4126" s="2" t="s">
        <v>9383</v>
      </c>
      <c r="C4126" s="2" t="s">
        <v>7596</v>
      </c>
    </row>
    <row r="4127">
      <c r="A4127" s="2" t="s">
        <v>9384</v>
      </c>
      <c r="B4127" s="2" t="s">
        <v>9385</v>
      </c>
      <c r="C4127" s="2" t="s">
        <v>7596</v>
      </c>
    </row>
    <row r="4128">
      <c r="A4128" s="2" t="s">
        <v>9386</v>
      </c>
      <c r="B4128" s="2" t="s">
        <v>9387</v>
      </c>
      <c r="C4128" s="2" t="s">
        <v>7596</v>
      </c>
    </row>
    <row r="4129">
      <c r="A4129" s="2" t="s">
        <v>9388</v>
      </c>
      <c r="B4129" s="2" t="s">
        <v>9389</v>
      </c>
      <c r="C4129" s="2" t="s">
        <v>7596</v>
      </c>
    </row>
    <row r="4130">
      <c r="A4130" s="2" t="s">
        <v>9390</v>
      </c>
      <c r="B4130" s="2" t="s">
        <v>9391</v>
      </c>
      <c r="C4130" s="2" t="s">
        <v>7596</v>
      </c>
    </row>
    <row r="4131">
      <c r="A4131" s="2" t="s">
        <v>9392</v>
      </c>
      <c r="B4131" s="2" t="s">
        <v>9393</v>
      </c>
      <c r="C4131" s="2" t="s">
        <v>7596</v>
      </c>
    </row>
    <row r="4132">
      <c r="A4132" s="2" t="s">
        <v>9394</v>
      </c>
      <c r="B4132" s="2" t="s">
        <v>9395</v>
      </c>
      <c r="C4132" s="2" t="s">
        <v>7596</v>
      </c>
    </row>
    <row r="4133">
      <c r="A4133" s="2" t="s">
        <v>9396</v>
      </c>
      <c r="B4133" s="2" t="s">
        <v>9397</v>
      </c>
      <c r="C4133" s="2" t="s">
        <v>7596</v>
      </c>
    </row>
    <row r="4134">
      <c r="A4134" s="2" t="s">
        <v>9398</v>
      </c>
      <c r="B4134" s="2" t="s">
        <v>9399</v>
      </c>
      <c r="C4134" s="2" t="s">
        <v>7596</v>
      </c>
    </row>
    <row r="4135">
      <c r="A4135" s="2" t="s">
        <v>9400</v>
      </c>
      <c r="B4135" s="2" t="s">
        <v>9401</v>
      </c>
      <c r="C4135" s="2" t="s">
        <v>7596</v>
      </c>
    </row>
    <row r="4136">
      <c r="A4136" s="2" t="s">
        <v>9402</v>
      </c>
      <c r="B4136" s="2" t="s">
        <v>9403</v>
      </c>
      <c r="C4136" s="2" t="s">
        <v>7596</v>
      </c>
    </row>
    <row r="4137">
      <c r="A4137" s="2" t="s">
        <v>9404</v>
      </c>
      <c r="B4137" s="2" t="s">
        <v>9405</v>
      </c>
      <c r="C4137" s="2" t="s">
        <v>7596</v>
      </c>
    </row>
    <row r="4138">
      <c r="A4138" s="2" t="s">
        <v>9406</v>
      </c>
      <c r="B4138" s="2" t="s">
        <v>9407</v>
      </c>
      <c r="C4138" s="2" t="s">
        <v>7596</v>
      </c>
    </row>
    <row r="4139">
      <c r="A4139" s="2" t="s">
        <v>9408</v>
      </c>
      <c r="B4139" s="2" t="s">
        <v>9409</v>
      </c>
      <c r="C4139" s="2" t="s">
        <v>7596</v>
      </c>
    </row>
    <row r="4140">
      <c r="A4140" s="2" t="s">
        <v>9410</v>
      </c>
      <c r="B4140" s="2" t="s">
        <v>9411</v>
      </c>
      <c r="C4140" s="2" t="s">
        <v>7596</v>
      </c>
    </row>
    <row r="4141">
      <c r="A4141" s="2" t="s">
        <v>9412</v>
      </c>
      <c r="B4141" s="2" t="s">
        <v>9413</v>
      </c>
      <c r="C4141" s="2" t="s">
        <v>7596</v>
      </c>
    </row>
    <row r="4142">
      <c r="A4142" s="2" t="s">
        <v>9414</v>
      </c>
      <c r="B4142" s="2" t="s">
        <v>9415</v>
      </c>
      <c r="C4142" s="2" t="s">
        <v>7596</v>
      </c>
    </row>
    <row r="4143">
      <c r="A4143" s="2" t="s">
        <v>9416</v>
      </c>
      <c r="B4143" s="2" t="s">
        <v>9417</v>
      </c>
      <c r="C4143" s="2" t="s">
        <v>7596</v>
      </c>
    </row>
    <row r="4144">
      <c r="A4144" s="2" t="s">
        <v>9418</v>
      </c>
      <c r="B4144" s="2" t="s">
        <v>9419</v>
      </c>
      <c r="C4144" s="2" t="s">
        <v>7596</v>
      </c>
    </row>
    <row r="4145">
      <c r="A4145" s="2" t="s">
        <v>9420</v>
      </c>
      <c r="B4145" s="2" t="s">
        <v>9421</v>
      </c>
      <c r="C4145" s="2" t="s">
        <v>7596</v>
      </c>
    </row>
    <row r="4146">
      <c r="A4146" s="2" t="s">
        <v>9422</v>
      </c>
      <c r="B4146" s="2" t="s">
        <v>9423</v>
      </c>
      <c r="C4146" s="2" t="s">
        <v>7596</v>
      </c>
    </row>
    <row r="4147">
      <c r="A4147" s="2" t="s">
        <v>9424</v>
      </c>
      <c r="B4147" s="2" t="s">
        <v>9425</v>
      </c>
      <c r="C4147" s="2" t="s">
        <v>7596</v>
      </c>
    </row>
    <row r="4148">
      <c r="A4148" s="2" t="s">
        <v>9426</v>
      </c>
      <c r="B4148" s="2" t="s">
        <v>9427</v>
      </c>
      <c r="C4148" s="2" t="s">
        <v>7596</v>
      </c>
    </row>
    <row r="4149">
      <c r="A4149" s="2" t="s">
        <v>9428</v>
      </c>
      <c r="B4149" s="2" t="s">
        <v>9429</v>
      </c>
      <c r="C4149" s="2" t="s">
        <v>7596</v>
      </c>
    </row>
    <row r="4150">
      <c r="A4150" s="2" t="s">
        <v>9430</v>
      </c>
      <c r="B4150" s="2" t="s">
        <v>9431</v>
      </c>
      <c r="C4150" s="2" t="s">
        <v>7596</v>
      </c>
    </row>
    <row r="4151">
      <c r="A4151" s="2" t="s">
        <v>9432</v>
      </c>
      <c r="B4151" s="2" t="s">
        <v>9433</v>
      </c>
      <c r="C4151" s="2" t="s">
        <v>7596</v>
      </c>
    </row>
    <row r="4152">
      <c r="A4152" s="2" t="s">
        <v>9434</v>
      </c>
      <c r="B4152" s="2" t="s">
        <v>9435</v>
      </c>
      <c r="C4152" s="2" t="s">
        <v>7596</v>
      </c>
    </row>
    <row r="4153">
      <c r="A4153" s="2" t="s">
        <v>9436</v>
      </c>
      <c r="B4153" s="2" t="s">
        <v>9437</v>
      </c>
      <c r="C4153" s="2" t="s">
        <v>7596</v>
      </c>
    </row>
    <row r="4154">
      <c r="A4154" s="2" t="s">
        <v>9438</v>
      </c>
      <c r="B4154" s="2" t="s">
        <v>9439</v>
      </c>
      <c r="C4154" s="2" t="s">
        <v>7596</v>
      </c>
    </row>
    <row r="4155">
      <c r="A4155" s="2" t="s">
        <v>9440</v>
      </c>
      <c r="B4155" s="2" t="s">
        <v>9441</v>
      </c>
      <c r="C4155" s="2" t="s">
        <v>7596</v>
      </c>
    </row>
    <row r="4156">
      <c r="A4156" s="2" t="s">
        <v>9442</v>
      </c>
      <c r="B4156" s="2" t="s">
        <v>9443</v>
      </c>
      <c r="C4156" s="2" t="s">
        <v>7596</v>
      </c>
    </row>
    <row r="4157">
      <c r="A4157" s="2" t="s">
        <v>9444</v>
      </c>
      <c r="B4157" s="2" t="s">
        <v>9445</v>
      </c>
      <c r="C4157" s="2" t="s">
        <v>7596</v>
      </c>
    </row>
    <row r="4158">
      <c r="A4158" s="2" t="s">
        <v>9446</v>
      </c>
      <c r="B4158" s="2" t="s">
        <v>9445</v>
      </c>
      <c r="C4158" s="2" t="s">
        <v>7596</v>
      </c>
    </row>
    <row r="4159">
      <c r="A4159" s="2" t="s">
        <v>9447</v>
      </c>
      <c r="B4159" s="2" t="s">
        <v>9448</v>
      </c>
      <c r="C4159" s="2" t="s">
        <v>7596</v>
      </c>
    </row>
    <row r="4160">
      <c r="A4160" s="2" t="s">
        <v>9449</v>
      </c>
      <c r="B4160" s="2" t="s">
        <v>9448</v>
      </c>
      <c r="C4160" s="2" t="s">
        <v>7596</v>
      </c>
    </row>
    <row r="4161">
      <c r="A4161" s="2" t="s">
        <v>9450</v>
      </c>
      <c r="B4161" s="2" t="s">
        <v>9451</v>
      </c>
      <c r="C4161" s="2" t="s">
        <v>7596</v>
      </c>
    </row>
    <row r="4162">
      <c r="A4162" s="2" t="s">
        <v>9452</v>
      </c>
      <c r="B4162" s="2" t="s">
        <v>9451</v>
      </c>
      <c r="C4162" s="2" t="s">
        <v>7596</v>
      </c>
    </row>
    <row r="4163">
      <c r="A4163" s="2" t="s">
        <v>9453</v>
      </c>
      <c r="B4163" s="2" t="s">
        <v>9454</v>
      </c>
      <c r="C4163" s="2" t="s">
        <v>7596</v>
      </c>
    </row>
    <row r="4164">
      <c r="A4164" s="2" t="s">
        <v>9455</v>
      </c>
      <c r="B4164" s="2" t="s">
        <v>9454</v>
      </c>
      <c r="C4164" s="2" t="s">
        <v>7596</v>
      </c>
    </row>
    <row r="4165">
      <c r="A4165" s="2" t="s">
        <v>9456</v>
      </c>
      <c r="B4165" s="2" t="s">
        <v>9457</v>
      </c>
      <c r="C4165" s="2" t="s">
        <v>7596</v>
      </c>
    </row>
    <row r="4166">
      <c r="A4166" s="2" t="s">
        <v>9458</v>
      </c>
      <c r="B4166" s="2" t="s">
        <v>9457</v>
      </c>
      <c r="C4166" s="2" t="s">
        <v>7596</v>
      </c>
    </row>
    <row r="4167">
      <c r="A4167" s="2" t="s">
        <v>9459</v>
      </c>
      <c r="B4167" s="2" t="s">
        <v>9460</v>
      </c>
      <c r="C4167" s="2" t="s">
        <v>7596</v>
      </c>
    </row>
    <row r="4168">
      <c r="A4168" s="2" t="s">
        <v>9461</v>
      </c>
      <c r="B4168" s="2" t="s">
        <v>9460</v>
      </c>
      <c r="C4168" s="2" t="s">
        <v>7596</v>
      </c>
    </row>
    <row r="4169">
      <c r="A4169" s="2" t="s">
        <v>9462</v>
      </c>
      <c r="B4169" s="2" t="s">
        <v>9463</v>
      </c>
      <c r="C4169" s="2" t="s">
        <v>7596</v>
      </c>
    </row>
    <row r="4170">
      <c r="A4170" s="2" t="s">
        <v>9464</v>
      </c>
      <c r="B4170" s="2" t="s">
        <v>9463</v>
      </c>
      <c r="C4170" s="2" t="s">
        <v>7596</v>
      </c>
    </row>
    <row r="4171">
      <c r="A4171" s="2" t="s">
        <v>9465</v>
      </c>
      <c r="B4171" s="2" t="s">
        <v>9466</v>
      </c>
      <c r="C4171" s="2" t="s">
        <v>7596</v>
      </c>
    </row>
    <row r="4172">
      <c r="A4172" s="2" t="s">
        <v>9467</v>
      </c>
      <c r="B4172" s="2" t="s">
        <v>9468</v>
      </c>
      <c r="C4172" s="2" t="s">
        <v>7596</v>
      </c>
    </row>
    <row r="4173">
      <c r="A4173" s="2" t="s">
        <v>9469</v>
      </c>
      <c r="B4173" s="2" t="s">
        <v>9470</v>
      </c>
      <c r="C4173" s="2" t="s">
        <v>7596</v>
      </c>
    </row>
    <row r="4174">
      <c r="A4174" s="2" t="s">
        <v>9471</v>
      </c>
      <c r="B4174" s="2" t="s">
        <v>9472</v>
      </c>
      <c r="C4174" s="2" t="s">
        <v>7596</v>
      </c>
    </row>
    <row r="4175">
      <c r="A4175" s="2" t="s">
        <v>9473</v>
      </c>
      <c r="B4175" s="2" t="s">
        <v>9472</v>
      </c>
      <c r="C4175" s="2" t="s">
        <v>7596</v>
      </c>
    </row>
    <row r="4176">
      <c r="A4176" s="2" t="s">
        <v>9474</v>
      </c>
      <c r="B4176" s="2" t="s">
        <v>9475</v>
      </c>
      <c r="C4176" s="2" t="s">
        <v>7596</v>
      </c>
    </row>
    <row r="4177">
      <c r="A4177" s="2" t="s">
        <v>9476</v>
      </c>
      <c r="B4177" s="2" t="s">
        <v>9475</v>
      </c>
      <c r="C4177" s="2" t="s">
        <v>7596</v>
      </c>
    </row>
    <row r="4178">
      <c r="A4178" s="2" t="s">
        <v>9477</v>
      </c>
      <c r="B4178" s="2" t="s">
        <v>9478</v>
      </c>
      <c r="C4178" s="2" t="s">
        <v>7596</v>
      </c>
    </row>
    <row r="4179">
      <c r="A4179" s="2" t="s">
        <v>9479</v>
      </c>
      <c r="B4179" s="2" t="s">
        <v>9478</v>
      </c>
      <c r="C4179" s="2" t="s">
        <v>7596</v>
      </c>
    </row>
    <row r="4180">
      <c r="A4180" s="2" t="s">
        <v>9480</v>
      </c>
      <c r="B4180" s="2" t="s">
        <v>9481</v>
      </c>
      <c r="C4180" s="2" t="s">
        <v>7596</v>
      </c>
    </row>
    <row r="4181">
      <c r="A4181" s="2" t="s">
        <v>9482</v>
      </c>
      <c r="B4181" s="2" t="s">
        <v>9481</v>
      </c>
      <c r="C4181" s="2" t="s">
        <v>7596</v>
      </c>
    </row>
    <row r="4182">
      <c r="A4182" s="2" t="s">
        <v>9483</v>
      </c>
      <c r="B4182" s="2" t="s">
        <v>9484</v>
      </c>
      <c r="C4182" s="2" t="s">
        <v>7596</v>
      </c>
    </row>
    <row r="4183">
      <c r="A4183" s="2" t="s">
        <v>9485</v>
      </c>
      <c r="B4183" s="2" t="s">
        <v>9486</v>
      </c>
      <c r="C4183" s="2" t="s">
        <v>7596</v>
      </c>
    </row>
    <row r="4184">
      <c r="A4184" s="2" t="s">
        <v>9487</v>
      </c>
      <c r="B4184" s="2" t="s">
        <v>9486</v>
      </c>
      <c r="C4184" s="2" t="s">
        <v>7596</v>
      </c>
    </row>
    <row r="4185">
      <c r="A4185" s="2" t="s">
        <v>9488</v>
      </c>
      <c r="B4185" s="2" t="s">
        <v>9489</v>
      </c>
      <c r="C4185" s="2" t="s">
        <v>7596</v>
      </c>
    </row>
    <row r="4186">
      <c r="A4186" s="2" t="s">
        <v>9490</v>
      </c>
      <c r="B4186" s="2" t="s">
        <v>9489</v>
      </c>
      <c r="C4186" s="2" t="s">
        <v>7596</v>
      </c>
    </row>
    <row r="4187">
      <c r="A4187" s="2" t="s">
        <v>9491</v>
      </c>
      <c r="B4187" s="2" t="s">
        <v>9492</v>
      </c>
      <c r="C4187" s="2" t="s">
        <v>7596</v>
      </c>
    </row>
    <row r="4188">
      <c r="A4188" s="2" t="s">
        <v>9493</v>
      </c>
      <c r="B4188" s="2" t="s">
        <v>9492</v>
      </c>
      <c r="C4188" s="2" t="s">
        <v>7596</v>
      </c>
    </row>
    <row r="4189">
      <c r="A4189" s="2" t="s">
        <v>9494</v>
      </c>
      <c r="B4189" s="2" t="s">
        <v>9495</v>
      </c>
      <c r="C4189" s="2" t="s">
        <v>7596</v>
      </c>
    </row>
    <row r="4190">
      <c r="A4190" s="2" t="s">
        <v>9496</v>
      </c>
      <c r="B4190" s="2" t="s">
        <v>9495</v>
      </c>
      <c r="C4190" s="2" t="s">
        <v>7596</v>
      </c>
    </row>
    <row r="4191">
      <c r="A4191" s="2" t="s">
        <v>9497</v>
      </c>
      <c r="B4191" s="2" t="s">
        <v>9498</v>
      </c>
      <c r="C4191" s="2" t="s">
        <v>7596</v>
      </c>
    </row>
    <row r="4192">
      <c r="A4192" s="2" t="s">
        <v>9499</v>
      </c>
      <c r="B4192" s="2" t="s">
        <v>9500</v>
      </c>
      <c r="C4192" s="2" t="s">
        <v>7596</v>
      </c>
    </row>
    <row r="4193">
      <c r="A4193" s="2" t="s">
        <v>9501</v>
      </c>
      <c r="B4193" s="2" t="s">
        <v>9502</v>
      </c>
      <c r="C4193" s="2" t="s">
        <v>7596</v>
      </c>
    </row>
    <row r="4194">
      <c r="A4194" s="2" t="s">
        <v>9503</v>
      </c>
      <c r="B4194" s="2" t="s">
        <v>9504</v>
      </c>
      <c r="C4194" s="2" t="s">
        <v>7596</v>
      </c>
    </row>
    <row r="4195">
      <c r="A4195" s="2" t="s">
        <v>9505</v>
      </c>
      <c r="B4195" s="2" t="s">
        <v>9506</v>
      </c>
      <c r="C4195" s="2" t="s">
        <v>7596</v>
      </c>
    </row>
    <row r="4196">
      <c r="A4196" s="2" t="s">
        <v>9507</v>
      </c>
      <c r="B4196" s="2" t="s">
        <v>9508</v>
      </c>
      <c r="C4196" s="2" t="s">
        <v>7596</v>
      </c>
    </row>
    <row r="4197">
      <c r="A4197" s="2" t="s">
        <v>9509</v>
      </c>
      <c r="B4197" s="2" t="s">
        <v>9510</v>
      </c>
      <c r="C4197" s="2" t="s">
        <v>7596</v>
      </c>
    </row>
    <row r="4198">
      <c r="A4198" s="2" t="s">
        <v>9511</v>
      </c>
      <c r="B4198" s="2" t="s">
        <v>9512</v>
      </c>
      <c r="C4198" s="2" t="s">
        <v>7596</v>
      </c>
    </row>
    <row r="4199">
      <c r="A4199" s="2" t="s">
        <v>9513</v>
      </c>
      <c r="B4199" s="2" t="s">
        <v>9514</v>
      </c>
      <c r="C4199" s="2" t="s">
        <v>7596</v>
      </c>
    </row>
    <row r="4200">
      <c r="A4200" s="2" t="s">
        <v>9515</v>
      </c>
      <c r="B4200" s="2" t="s">
        <v>9516</v>
      </c>
      <c r="C4200" s="2" t="s">
        <v>7596</v>
      </c>
    </row>
    <row r="4201">
      <c r="A4201" s="2" t="s">
        <v>9517</v>
      </c>
      <c r="B4201" s="2" t="s">
        <v>9518</v>
      </c>
      <c r="C4201" s="2" t="s">
        <v>7596</v>
      </c>
    </row>
    <row r="4202">
      <c r="A4202" s="2" t="s">
        <v>9519</v>
      </c>
      <c r="B4202" s="2" t="s">
        <v>9520</v>
      </c>
      <c r="C4202" s="2" t="s">
        <v>7596</v>
      </c>
    </row>
    <row r="4203">
      <c r="A4203" s="2" t="s">
        <v>9521</v>
      </c>
      <c r="B4203" s="2" t="s">
        <v>9522</v>
      </c>
      <c r="C4203" s="2" t="s">
        <v>7596</v>
      </c>
    </row>
    <row r="4204">
      <c r="A4204" s="2" t="s">
        <v>9523</v>
      </c>
      <c r="B4204" s="2" t="s">
        <v>9524</v>
      </c>
      <c r="C4204" s="2" t="s">
        <v>7596</v>
      </c>
    </row>
    <row r="4205">
      <c r="A4205" s="2" t="s">
        <v>9525</v>
      </c>
      <c r="B4205" s="2" t="s">
        <v>9526</v>
      </c>
      <c r="C4205" s="2" t="s">
        <v>7596</v>
      </c>
    </row>
    <row r="4206">
      <c r="A4206" s="2" t="s">
        <v>9527</v>
      </c>
      <c r="B4206" s="2" t="s">
        <v>9528</v>
      </c>
      <c r="C4206" s="2" t="s">
        <v>7596</v>
      </c>
    </row>
    <row r="4207">
      <c r="A4207" s="2" t="s">
        <v>9529</v>
      </c>
      <c r="B4207" s="2" t="s">
        <v>9530</v>
      </c>
      <c r="C4207" s="2" t="s">
        <v>7596</v>
      </c>
    </row>
    <row r="4208">
      <c r="A4208" s="2" t="s">
        <v>9531</v>
      </c>
      <c r="B4208" s="2" t="s">
        <v>9532</v>
      </c>
      <c r="C4208" s="2" t="s">
        <v>7596</v>
      </c>
    </row>
    <row r="4209">
      <c r="A4209" s="2" t="s">
        <v>9533</v>
      </c>
      <c r="B4209" s="2" t="s">
        <v>9534</v>
      </c>
      <c r="C4209" s="2" t="s">
        <v>7596</v>
      </c>
    </row>
    <row r="4210">
      <c r="A4210" s="2" t="s">
        <v>9535</v>
      </c>
      <c r="B4210" s="2" t="s">
        <v>9536</v>
      </c>
      <c r="C4210" s="2" t="s">
        <v>7596</v>
      </c>
    </row>
    <row r="4211">
      <c r="A4211" s="2" t="s">
        <v>9537</v>
      </c>
      <c r="B4211" s="2" t="s">
        <v>9538</v>
      </c>
      <c r="C4211" s="2" t="s">
        <v>7596</v>
      </c>
    </row>
    <row r="4212">
      <c r="A4212" s="2" t="s">
        <v>9539</v>
      </c>
      <c r="B4212" s="2" t="s">
        <v>9540</v>
      </c>
      <c r="C4212" s="2" t="s">
        <v>7596</v>
      </c>
    </row>
    <row r="4213">
      <c r="A4213" s="2" t="s">
        <v>9541</v>
      </c>
      <c r="B4213" s="2" t="s">
        <v>9542</v>
      </c>
      <c r="C4213" s="2" t="s">
        <v>7596</v>
      </c>
    </row>
    <row r="4214">
      <c r="A4214" s="2" t="s">
        <v>9543</v>
      </c>
      <c r="B4214" s="2" t="s">
        <v>9544</v>
      </c>
      <c r="C4214" s="2" t="s">
        <v>7596</v>
      </c>
    </row>
    <row r="4215">
      <c r="A4215" s="2" t="s">
        <v>9545</v>
      </c>
      <c r="B4215" s="2" t="s">
        <v>9546</v>
      </c>
      <c r="C4215" s="2" t="s">
        <v>7596</v>
      </c>
    </row>
    <row r="4216">
      <c r="A4216" s="2" t="s">
        <v>9547</v>
      </c>
      <c r="B4216" s="2" t="s">
        <v>9548</v>
      </c>
      <c r="C4216" s="2" t="s">
        <v>7596</v>
      </c>
    </row>
    <row r="4217">
      <c r="A4217" s="2" t="s">
        <v>9549</v>
      </c>
      <c r="B4217" s="2" t="s">
        <v>9550</v>
      </c>
      <c r="C4217" s="2" t="s">
        <v>7596</v>
      </c>
    </row>
    <row r="4218">
      <c r="A4218" s="2" t="s">
        <v>9551</v>
      </c>
      <c r="B4218" s="2" t="s">
        <v>9552</v>
      </c>
      <c r="C4218" s="2" t="s">
        <v>7596</v>
      </c>
    </row>
    <row r="4219">
      <c r="A4219" s="2" t="s">
        <v>9553</v>
      </c>
      <c r="B4219" s="2" t="s">
        <v>9554</v>
      </c>
      <c r="C4219" s="2" t="s">
        <v>7596</v>
      </c>
    </row>
    <row r="4220">
      <c r="A4220" s="2" t="s">
        <v>9555</v>
      </c>
      <c r="B4220" s="2" t="s">
        <v>9556</v>
      </c>
      <c r="C4220" s="2" t="s">
        <v>7596</v>
      </c>
    </row>
    <row r="4221">
      <c r="A4221" s="2" t="s">
        <v>9557</v>
      </c>
      <c r="B4221" s="2" t="s">
        <v>9558</v>
      </c>
      <c r="C4221" s="2" t="s">
        <v>7596</v>
      </c>
    </row>
    <row r="4222">
      <c r="A4222" s="2" t="s">
        <v>9559</v>
      </c>
      <c r="B4222" s="2" t="s">
        <v>9560</v>
      </c>
      <c r="C4222" s="2" t="s">
        <v>7596</v>
      </c>
    </row>
    <row r="4223">
      <c r="A4223" s="2" t="s">
        <v>9561</v>
      </c>
      <c r="B4223" s="2" t="s">
        <v>9562</v>
      </c>
      <c r="C4223" s="2" t="s">
        <v>7596</v>
      </c>
    </row>
    <row r="4224">
      <c r="A4224" s="2" t="s">
        <v>9563</v>
      </c>
      <c r="B4224" s="2" t="s">
        <v>9564</v>
      </c>
      <c r="C4224" s="2" t="s">
        <v>7596</v>
      </c>
    </row>
    <row r="4225">
      <c r="A4225" s="2" t="s">
        <v>9565</v>
      </c>
      <c r="B4225" s="2" t="s">
        <v>9566</v>
      </c>
      <c r="C4225" s="2" t="s">
        <v>7596</v>
      </c>
    </row>
    <row r="4226">
      <c r="A4226" s="2" t="s">
        <v>9567</v>
      </c>
      <c r="B4226" s="2" t="s">
        <v>9568</v>
      </c>
      <c r="C4226" s="2" t="s">
        <v>7596</v>
      </c>
    </row>
    <row r="4227">
      <c r="A4227" s="2" t="s">
        <v>9569</v>
      </c>
      <c r="B4227" s="2" t="s">
        <v>9570</v>
      </c>
      <c r="C4227" s="2" t="s">
        <v>7596</v>
      </c>
    </row>
    <row r="4228">
      <c r="A4228" s="2" t="s">
        <v>9571</v>
      </c>
      <c r="B4228" s="2" t="s">
        <v>9572</v>
      </c>
      <c r="C4228" s="2" t="s">
        <v>7596</v>
      </c>
    </row>
    <row r="4229">
      <c r="A4229" s="2" t="s">
        <v>9573</v>
      </c>
      <c r="B4229" s="2" t="s">
        <v>9574</v>
      </c>
      <c r="C4229" s="2" t="s">
        <v>7596</v>
      </c>
    </row>
    <row r="4230">
      <c r="A4230" s="2" t="s">
        <v>9575</v>
      </c>
      <c r="B4230" s="2" t="s">
        <v>9576</v>
      </c>
      <c r="C4230" s="2" t="s">
        <v>7596</v>
      </c>
    </row>
    <row r="4231">
      <c r="A4231" s="2" t="s">
        <v>9577</v>
      </c>
      <c r="B4231" s="2" t="s">
        <v>9578</v>
      </c>
      <c r="C4231" s="2" t="s">
        <v>7596</v>
      </c>
    </row>
    <row r="4232">
      <c r="A4232" s="2" t="s">
        <v>9579</v>
      </c>
      <c r="B4232" s="2" t="s">
        <v>9580</v>
      </c>
      <c r="C4232" s="2" t="s">
        <v>7596</v>
      </c>
    </row>
    <row r="4233">
      <c r="A4233" s="2" t="s">
        <v>9581</v>
      </c>
      <c r="B4233" s="2" t="s">
        <v>9580</v>
      </c>
      <c r="C4233" s="2" t="s">
        <v>7596</v>
      </c>
    </row>
    <row r="4234">
      <c r="A4234" s="2" t="s">
        <v>9582</v>
      </c>
      <c r="B4234" s="2" t="s">
        <v>9583</v>
      </c>
      <c r="C4234" s="2" t="s">
        <v>7596</v>
      </c>
    </row>
    <row r="4235">
      <c r="A4235" s="2" t="s">
        <v>9584</v>
      </c>
      <c r="B4235" s="2" t="s">
        <v>9585</v>
      </c>
      <c r="C4235" s="2" t="s">
        <v>7596</v>
      </c>
    </row>
    <row r="4236">
      <c r="A4236" s="2" t="s">
        <v>9586</v>
      </c>
      <c r="B4236" s="2" t="s">
        <v>9587</v>
      </c>
      <c r="C4236" s="2" t="s">
        <v>7596</v>
      </c>
    </row>
    <row r="4237">
      <c r="A4237" s="2" t="s">
        <v>9588</v>
      </c>
      <c r="B4237" s="2" t="s">
        <v>9589</v>
      </c>
      <c r="C4237" s="2" t="s">
        <v>7596</v>
      </c>
    </row>
    <row r="4238">
      <c r="A4238" s="2" t="s">
        <v>9590</v>
      </c>
      <c r="B4238" s="2" t="s">
        <v>9591</v>
      </c>
      <c r="C4238" s="2" t="s">
        <v>7596</v>
      </c>
    </row>
    <row r="4239">
      <c r="A4239" s="2" t="s">
        <v>9592</v>
      </c>
      <c r="B4239" s="2" t="s">
        <v>9593</v>
      </c>
      <c r="C4239" s="2" t="s">
        <v>7596</v>
      </c>
    </row>
    <row r="4240">
      <c r="A4240" s="2" t="s">
        <v>9594</v>
      </c>
      <c r="B4240" s="2" t="s">
        <v>9595</v>
      </c>
      <c r="C4240" s="2" t="s">
        <v>7596</v>
      </c>
    </row>
    <row r="4241">
      <c r="A4241" s="2" t="s">
        <v>9596</v>
      </c>
      <c r="B4241" s="2" t="s">
        <v>9597</v>
      </c>
      <c r="C4241" s="2" t="s">
        <v>7596</v>
      </c>
    </row>
    <row r="4242">
      <c r="A4242" s="2" t="s">
        <v>9598</v>
      </c>
      <c r="B4242" s="2" t="s">
        <v>9599</v>
      </c>
      <c r="C4242" s="2" t="s">
        <v>7596</v>
      </c>
    </row>
    <row r="4243">
      <c r="A4243" s="2" t="s">
        <v>9600</v>
      </c>
      <c r="B4243" s="2" t="s">
        <v>9601</v>
      </c>
      <c r="C4243" s="2" t="s">
        <v>7596</v>
      </c>
    </row>
    <row r="4244">
      <c r="A4244" s="2" t="s">
        <v>9602</v>
      </c>
      <c r="B4244" s="2" t="s">
        <v>9603</v>
      </c>
      <c r="C4244" s="2" t="s">
        <v>7596</v>
      </c>
    </row>
    <row r="4245">
      <c r="A4245" s="2" t="s">
        <v>9604</v>
      </c>
      <c r="B4245" s="2" t="s">
        <v>9605</v>
      </c>
      <c r="C4245" s="2" t="s">
        <v>7596</v>
      </c>
    </row>
    <row r="4246">
      <c r="A4246" s="2" t="s">
        <v>9606</v>
      </c>
      <c r="B4246" s="2" t="s">
        <v>9607</v>
      </c>
      <c r="C4246" s="2" t="s">
        <v>7596</v>
      </c>
    </row>
    <row r="4247">
      <c r="A4247" s="2" t="s">
        <v>9608</v>
      </c>
      <c r="B4247" s="2" t="s">
        <v>9609</v>
      </c>
      <c r="C4247" s="2" t="s">
        <v>7596</v>
      </c>
    </row>
    <row r="4248">
      <c r="A4248" s="2" t="s">
        <v>9610</v>
      </c>
      <c r="B4248" s="2" t="s">
        <v>9611</v>
      </c>
      <c r="C4248" s="2" t="s">
        <v>7596</v>
      </c>
    </row>
    <row r="4249">
      <c r="A4249" s="2" t="s">
        <v>9612</v>
      </c>
      <c r="B4249" s="2" t="s">
        <v>9613</v>
      </c>
      <c r="C4249" s="2" t="s">
        <v>7596</v>
      </c>
    </row>
    <row r="4250">
      <c r="A4250" s="2" t="s">
        <v>9614</v>
      </c>
      <c r="B4250" s="2" t="s">
        <v>9615</v>
      </c>
      <c r="C4250" s="2" t="s">
        <v>7596</v>
      </c>
    </row>
    <row r="4251">
      <c r="A4251" s="2" t="s">
        <v>9616</v>
      </c>
      <c r="B4251" s="2" t="s">
        <v>9617</v>
      </c>
      <c r="C4251" s="2" t="s">
        <v>7596</v>
      </c>
    </row>
    <row r="4252">
      <c r="A4252" s="2" t="s">
        <v>9618</v>
      </c>
      <c r="B4252" s="2" t="s">
        <v>9619</v>
      </c>
      <c r="C4252" s="2" t="s">
        <v>7596</v>
      </c>
    </row>
    <row r="4253">
      <c r="A4253" s="2" t="s">
        <v>9620</v>
      </c>
      <c r="B4253" s="2" t="s">
        <v>9621</v>
      </c>
      <c r="C4253" s="2" t="s">
        <v>7596</v>
      </c>
    </row>
    <row r="4254">
      <c r="A4254" s="2" t="s">
        <v>9622</v>
      </c>
      <c r="B4254" s="2" t="s">
        <v>9623</v>
      </c>
      <c r="C4254" s="2" t="s">
        <v>7596</v>
      </c>
    </row>
    <row r="4255">
      <c r="A4255" s="2" t="s">
        <v>9624</v>
      </c>
      <c r="B4255" s="2" t="s">
        <v>9625</v>
      </c>
      <c r="C4255" s="2" t="s">
        <v>7596</v>
      </c>
    </row>
    <row r="4256">
      <c r="A4256" s="2" t="s">
        <v>9626</v>
      </c>
      <c r="B4256" s="2" t="s">
        <v>9627</v>
      </c>
      <c r="C4256" s="2" t="s">
        <v>7596</v>
      </c>
    </row>
    <row r="4257">
      <c r="A4257" s="2" t="s">
        <v>9628</v>
      </c>
      <c r="B4257" s="2" t="s">
        <v>9629</v>
      </c>
      <c r="C4257" s="2" t="s">
        <v>7596</v>
      </c>
    </row>
    <row r="4258">
      <c r="A4258" s="2" t="s">
        <v>9630</v>
      </c>
      <c r="B4258" s="2" t="s">
        <v>9631</v>
      </c>
      <c r="C4258" s="2" t="s">
        <v>7596</v>
      </c>
    </row>
    <row r="4259">
      <c r="A4259" s="2" t="s">
        <v>9632</v>
      </c>
      <c r="B4259" s="2" t="s">
        <v>9633</v>
      </c>
      <c r="C4259" s="2" t="s">
        <v>7596</v>
      </c>
    </row>
    <row r="4260">
      <c r="A4260" s="2" t="s">
        <v>9634</v>
      </c>
      <c r="B4260" s="2" t="s">
        <v>9635</v>
      </c>
      <c r="C4260" s="2" t="s">
        <v>7596</v>
      </c>
    </row>
    <row r="4261">
      <c r="A4261" s="2" t="s">
        <v>9636</v>
      </c>
      <c r="B4261" s="2" t="s">
        <v>9635</v>
      </c>
      <c r="C4261" s="2" t="s">
        <v>7596</v>
      </c>
    </row>
    <row r="4262">
      <c r="A4262" s="2" t="s">
        <v>9637</v>
      </c>
      <c r="B4262" s="2" t="s">
        <v>9635</v>
      </c>
      <c r="C4262" s="2" t="s">
        <v>7596</v>
      </c>
    </row>
    <row r="4263">
      <c r="A4263" s="2" t="s">
        <v>9638</v>
      </c>
      <c r="B4263" s="2" t="s">
        <v>9639</v>
      </c>
      <c r="C4263" s="2" t="s">
        <v>7596</v>
      </c>
    </row>
    <row r="4264">
      <c r="A4264" s="2" t="s">
        <v>9640</v>
      </c>
      <c r="B4264" s="2" t="s">
        <v>9641</v>
      </c>
      <c r="C4264" s="2" t="s">
        <v>7596</v>
      </c>
    </row>
    <row r="4265">
      <c r="A4265" s="2" t="s">
        <v>9642</v>
      </c>
      <c r="B4265" s="2" t="s">
        <v>9643</v>
      </c>
      <c r="C4265" s="2" t="s">
        <v>7596</v>
      </c>
    </row>
    <row r="4266">
      <c r="A4266" s="2" t="s">
        <v>9644</v>
      </c>
      <c r="B4266" s="2" t="s">
        <v>9645</v>
      </c>
      <c r="C4266" s="2" t="s">
        <v>7596</v>
      </c>
    </row>
    <row r="4267">
      <c r="A4267" s="2" t="s">
        <v>9646</v>
      </c>
      <c r="B4267" s="2" t="s">
        <v>9647</v>
      </c>
      <c r="C4267" s="2" t="s">
        <v>7596</v>
      </c>
    </row>
    <row r="4268">
      <c r="A4268" s="2" t="s">
        <v>9648</v>
      </c>
      <c r="B4268" s="2" t="s">
        <v>9649</v>
      </c>
      <c r="C4268" s="2" t="s">
        <v>7596</v>
      </c>
    </row>
    <row r="4269">
      <c r="A4269" s="2" t="s">
        <v>9650</v>
      </c>
      <c r="B4269" s="2" t="s">
        <v>9649</v>
      </c>
      <c r="C4269" s="2" t="s">
        <v>7596</v>
      </c>
    </row>
    <row r="4270">
      <c r="A4270" s="2" t="s">
        <v>9651</v>
      </c>
      <c r="B4270" s="2" t="s">
        <v>9652</v>
      </c>
      <c r="C4270" s="2" t="s">
        <v>7596</v>
      </c>
    </row>
    <row r="4271">
      <c r="A4271" s="2" t="s">
        <v>9653</v>
      </c>
      <c r="B4271" s="2" t="s">
        <v>9654</v>
      </c>
      <c r="C4271" s="2" t="s">
        <v>7596</v>
      </c>
    </row>
    <row r="4272">
      <c r="A4272" s="2" t="s">
        <v>9655</v>
      </c>
      <c r="B4272" s="2" t="s">
        <v>9654</v>
      </c>
      <c r="C4272" s="2" t="s">
        <v>7596</v>
      </c>
    </row>
    <row r="4273">
      <c r="A4273" s="2" t="s">
        <v>9656</v>
      </c>
      <c r="B4273" s="2" t="s">
        <v>9657</v>
      </c>
      <c r="C4273" s="2" t="s">
        <v>7596</v>
      </c>
    </row>
    <row r="4274">
      <c r="A4274" s="2" t="s">
        <v>9658</v>
      </c>
      <c r="B4274" s="2" t="s">
        <v>9657</v>
      </c>
      <c r="C4274" s="2" t="s">
        <v>7596</v>
      </c>
    </row>
    <row r="4275">
      <c r="A4275" s="2" t="s">
        <v>9659</v>
      </c>
      <c r="B4275" s="2" t="s">
        <v>9660</v>
      </c>
      <c r="C4275" s="2" t="s">
        <v>7596</v>
      </c>
    </row>
    <row r="4276">
      <c r="A4276" s="2" t="s">
        <v>9661</v>
      </c>
      <c r="B4276" s="2" t="s">
        <v>9662</v>
      </c>
      <c r="C4276" s="2" t="s">
        <v>7596</v>
      </c>
    </row>
    <row r="4277">
      <c r="A4277" s="2" t="s">
        <v>9663</v>
      </c>
      <c r="B4277" s="2" t="s">
        <v>9662</v>
      </c>
      <c r="C4277" s="2" t="s">
        <v>7596</v>
      </c>
    </row>
    <row r="4278">
      <c r="A4278" s="2" t="s">
        <v>9664</v>
      </c>
      <c r="B4278" s="2" t="s">
        <v>9665</v>
      </c>
      <c r="C4278" s="2" t="s">
        <v>7596</v>
      </c>
    </row>
    <row r="4279">
      <c r="A4279" s="2" t="s">
        <v>9666</v>
      </c>
      <c r="B4279" s="2" t="s">
        <v>9667</v>
      </c>
      <c r="C4279" s="2" t="s">
        <v>7596</v>
      </c>
    </row>
    <row r="4280">
      <c r="A4280" s="2" t="s">
        <v>9668</v>
      </c>
      <c r="B4280" s="2" t="s">
        <v>9669</v>
      </c>
      <c r="C4280" s="2" t="s">
        <v>7596</v>
      </c>
    </row>
    <row r="4281">
      <c r="A4281" s="2" t="s">
        <v>9670</v>
      </c>
      <c r="B4281" s="2" t="s">
        <v>9671</v>
      </c>
      <c r="C4281" s="2" t="s">
        <v>7596</v>
      </c>
    </row>
    <row r="4282">
      <c r="A4282" s="2" t="s">
        <v>9672</v>
      </c>
      <c r="B4282" s="2" t="s">
        <v>9671</v>
      </c>
      <c r="C4282" s="2" t="s">
        <v>7596</v>
      </c>
    </row>
    <row r="4283">
      <c r="A4283" s="2" t="s">
        <v>9673</v>
      </c>
      <c r="B4283" s="2" t="s">
        <v>9674</v>
      </c>
      <c r="C4283" s="2" t="s">
        <v>7596</v>
      </c>
    </row>
    <row r="4284">
      <c r="A4284" s="2" t="s">
        <v>9675</v>
      </c>
      <c r="B4284" s="2" t="s">
        <v>9676</v>
      </c>
      <c r="C4284" s="2" t="s">
        <v>7596</v>
      </c>
    </row>
    <row r="4285">
      <c r="A4285" s="2" t="s">
        <v>9677</v>
      </c>
      <c r="B4285" s="2" t="s">
        <v>9676</v>
      </c>
      <c r="C4285" s="2" t="s">
        <v>7596</v>
      </c>
    </row>
    <row r="4286">
      <c r="A4286" s="2" t="s">
        <v>9678</v>
      </c>
      <c r="B4286" s="2" t="s">
        <v>9679</v>
      </c>
      <c r="C4286" s="2" t="s">
        <v>7596</v>
      </c>
    </row>
    <row r="4287">
      <c r="A4287" s="2" t="s">
        <v>9680</v>
      </c>
      <c r="B4287" s="2" t="s">
        <v>9681</v>
      </c>
      <c r="C4287" s="2" t="s">
        <v>7596</v>
      </c>
    </row>
    <row r="4288">
      <c r="A4288" s="2" t="s">
        <v>9682</v>
      </c>
      <c r="B4288" s="2" t="s">
        <v>9683</v>
      </c>
      <c r="C4288" s="2" t="s">
        <v>7596</v>
      </c>
    </row>
    <row r="4289">
      <c r="A4289" s="2" t="s">
        <v>9684</v>
      </c>
      <c r="B4289" s="2" t="s">
        <v>9683</v>
      </c>
      <c r="C4289" s="2" t="s">
        <v>7596</v>
      </c>
    </row>
    <row r="4290">
      <c r="A4290" s="2" t="s">
        <v>9685</v>
      </c>
      <c r="B4290" s="2" t="s">
        <v>9686</v>
      </c>
      <c r="C4290" s="2" t="s">
        <v>7596</v>
      </c>
    </row>
    <row r="4291">
      <c r="A4291" s="2" t="s">
        <v>9687</v>
      </c>
      <c r="B4291" s="2" t="s">
        <v>9686</v>
      </c>
      <c r="C4291" s="2" t="s">
        <v>7596</v>
      </c>
    </row>
    <row r="4292">
      <c r="A4292" s="2" t="s">
        <v>9688</v>
      </c>
      <c r="B4292" s="2" t="s">
        <v>9689</v>
      </c>
      <c r="C4292" s="2" t="s">
        <v>7596</v>
      </c>
    </row>
    <row r="4293">
      <c r="A4293" s="2" t="s">
        <v>9690</v>
      </c>
      <c r="B4293" s="2" t="s">
        <v>9691</v>
      </c>
      <c r="C4293" s="2" t="s">
        <v>7596</v>
      </c>
    </row>
    <row r="4294">
      <c r="A4294" s="2" t="s">
        <v>9692</v>
      </c>
      <c r="B4294" s="2" t="s">
        <v>9693</v>
      </c>
      <c r="C4294" s="2" t="s">
        <v>7596</v>
      </c>
    </row>
    <row r="4295">
      <c r="A4295" s="2" t="s">
        <v>9694</v>
      </c>
      <c r="B4295" s="2" t="s">
        <v>9693</v>
      </c>
      <c r="C4295" s="2" t="s">
        <v>7596</v>
      </c>
    </row>
    <row r="4296">
      <c r="A4296" s="2" t="s">
        <v>9695</v>
      </c>
      <c r="B4296" s="2" t="s">
        <v>9696</v>
      </c>
      <c r="C4296" s="2" t="s">
        <v>7596</v>
      </c>
    </row>
    <row r="4297">
      <c r="A4297" s="2" t="s">
        <v>9697</v>
      </c>
      <c r="B4297" s="2" t="s">
        <v>9696</v>
      </c>
      <c r="C4297" s="2" t="s">
        <v>7596</v>
      </c>
    </row>
    <row r="4298">
      <c r="A4298" s="2" t="s">
        <v>9698</v>
      </c>
      <c r="B4298" s="2" t="s">
        <v>9699</v>
      </c>
      <c r="C4298" s="2" t="s">
        <v>7596</v>
      </c>
    </row>
    <row r="4299">
      <c r="A4299" s="2" t="s">
        <v>9700</v>
      </c>
      <c r="B4299" s="2" t="s">
        <v>9699</v>
      </c>
      <c r="C4299" s="2" t="s">
        <v>7596</v>
      </c>
    </row>
    <row r="4300">
      <c r="A4300" s="2" t="s">
        <v>9701</v>
      </c>
      <c r="B4300" s="2" t="s">
        <v>9702</v>
      </c>
      <c r="C4300" s="2" t="s">
        <v>7596</v>
      </c>
    </row>
    <row r="4301">
      <c r="A4301" s="2" t="s">
        <v>9703</v>
      </c>
      <c r="B4301" s="2" t="s">
        <v>9704</v>
      </c>
      <c r="C4301" s="2" t="s">
        <v>7596</v>
      </c>
    </row>
    <row r="4302">
      <c r="A4302" s="2" t="s">
        <v>9705</v>
      </c>
      <c r="B4302" s="2" t="s">
        <v>9706</v>
      </c>
      <c r="C4302" s="2" t="s">
        <v>7596</v>
      </c>
    </row>
    <row r="4303">
      <c r="A4303" s="2" t="s">
        <v>9707</v>
      </c>
      <c r="B4303" s="2" t="s">
        <v>9706</v>
      </c>
      <c r="C4303" s="2" t="s">
        <v>7596</v>
      </c>
    </row>
    <row r="4304">
      <c r="A4304" s="2" t="s">
        <v>9708</v>
      </c>
      <c r="B4304" s="2" t="s">
        <v>9709</v>
      </c>
      <c r="C4304" s="2" t="s">
        <v>7596</v>
      </c>
    </row>
    <row r="4305">
      <c r="A4305" s="2" t="s">
        <v>9710</v>
      </c>
      <c r="B4305" s="2" t="s">
        <v>9711</v>
      </c>
      <c r="C4305" s="2" t="s">
        <v>7596</v>
      </c>
    </row>
    <row r="4306">
      <c r="A4306" s="2" t="s">
        <v>9712</v>
      </c>
      <c r="B4306" s="2" t="s">
        <v>9713</v>
      </c>
      <c r="C4306" s="2" t="s">
        <v>7596</v>
      </c>
    </row>
    <row r="4307">
      <c r="A4307" s="2" t="s">
        <v>9714</v>
      </c>
      <c r="B4307" s="2" t="s">
        <v>9715</v>
      </c>
      <c r="C4307" s="2" t="s">
        <v>7596</v>
      </c>
    </row>
    <row r="4308">
      <c r="A4308" s="2" t="s">
        <v>9716</v>
      </c>
      <c r="B4308" s="2" t="s">
        <v>9717</v>
      </c>
      <c r="C4308" s="2" t="s">
        <v>7596</v>
      </c>
    </row>
    <row r="4309">
      <c r="A4309" s="2" t="s">
        <v>9718</v>
      </c>
      <c r="B4309" s="2" t="s">
        <v>9719</v>
      </c>
      <c r="C4309" s="2" t="s">
        <v>7596</v>
      </c>
    </row>
    <row r="4310">
      <c r="A4310" s="2" t="s">
        <v>9720</v>
      </c>
      <c r="B4310" s="2" t="s">
        <v>9721</v>
      </c>
      <c r="C4310" s="2" t="s">
        <v>7596</v>
      </c>
    </row>
    <row r="4311">
      <c r="A4311" s="2" t="s">
        <v>9722</v>
      </c>
      <c r="B4311" s="2" t="s">
        <v>9723</v>
      </c>
      <c r="C4311" s="2" t="s">
        <v>7596</v>
      </c>
    </row>
    <row r="4312">
      <c r="A4312" s="2" t="s">
        <v>9724</v>
      </c>
      <c r="B4312" s="2" t="s">
        <v>9725</v>
      </c>
      <c r="C4312" s="2" t="s">
        <v>7596</v>
      </c>
    </row>
    <row r="4313">
      <c r="A4313" s="2" t="s">
        <v>9726</v>
      </c>
      <c r="B4313" s="2" t="s">
        <v>9727</v>
      </c>
      <c r="C4313" s="2" t="s">
        <v>7596</v>
      </c>
    </row>
    <row r="4314">
      <c r="A4314" s="2" t="s">
        <v>9728</v>
      </c>
      <c r="B4314" s="2" t="s">
        <v>9729</v>
      </c>
      <c r="C4314" s="2" t="s">
        <v>7596</v>
      </c>
    </row>
    <row r="4315">
      <c r="A4315" s="2" t="s">
        <v>9730</v>
      </c>
      <c r="B4315" s="2" t="s">
        <v>9731</v>
      </c>
      <c r="C4315" s="2" t="s">
        <v>7596</v>
      </c>
    </row>
    <row r="4316">
      <c r="A4316" s="2" t="s">
        <v>9732</v>
      </c>
      <c r="B4316" s="2" t="s">
        <v>9733</v>
      </c>
      <c r="C4316" s="2" t="s">
        <v>7596</v>
      </c>
    </row>
    <row r="4317">
      <c r="A4317" s="2" t="s">
        <v>9734</v>
      </c>
      <c r="B4317" s="2" t="s">
        <v>9735</v>
      </c>
      <c r="C4317" s="2" t="s">
        <v>7596</v>
      </c>
    </row>
    <row r="4318">
      <c r="A4318" s="2" t="s">
        <v>9736</v>
      </c>
      <c r="B4318" s="2" t="s">
        <v>9737</v>
      </c>
      <c r="C4318" s="2" t="s">
        <v>7596</v>
      </c>
    </row>
    <row r="4319">
      <c r="A4319" s="2" t="s">
        <v>9738</v>
      </c>
      <c r="B4319" s="2" t="s">
        <v>9739</v>
      </c>
      <c r="C4319" s="2" t="s">
        <v>7596</v>
      </c>
    </row>
    <row r="4320">
      <c r="A4320" s="2" t="s">
        <v>9740</v>
      </c>
      <c r="B4320" s="2" t="s">
        <v>9739</v>
      </c>
      <c r="C4320" s="2" t="s">
        <v>7596</v>
      </c>
    </row>
    <row r="4321">
      <c r="A4321" s="2" t="s">
        <v>9741</v>
      </c>
      <c r="B4321" s="2" t="s">
        <v>9742</v>
      </c>
      <c r="C4321" s="2" t="s">
        <v>7596</v>
      </c>
    </row>
    <row r="4322">
      <c r="A4322" s="2" t="s">
        <v>9743</v>
      </c>
      <c r="B4322" s="2" t="s">
        <v>9744</v>
      </c>
      <c r="C4322" s="2" t="s">
        <v>7596</v>
      </c>
    </row>
    <row r="4323">
      <c r="A4323" s="2" t="s">
        <v>9745</v>
      </c>
      <c r="B4323" s="2" t="s">
        <v>9746</v>
      </c>
      <c r="C4323" s="2" t="s">
        <v>7596</v>
      </c>
    </row>
    <row r="4324">
      <c r="A4324" s="2" t="s">
        <v>9747</v>
      </c>
      <c r="B4324" s="2" t="s">
        <v>9748</v>
      </c>
      <c r="C4324" s="2" t="s">
        <v>7596</v>
      </c>
    </row>
    <row r="4325">
      <c r="A4325" s="2" t="s">
        <v>9749</v>
      </c>
      <c r="B4325" s="2" t="s">
        <v>9750</v>
      </c>
      <c r="C4325" s="2" t="s">
        <v>7596</v>
      </c>
    </row>
    <row r="4326">
      <c r="A4326" s="2" t="s">
        <v>9751</v>
      </c>
      <c r="B4326" s="2" t="s">
        <v>9752</v>
      </c>
      <c r="C4326" s="2" t="s">
        <v>7596</v>
      </c>
    </row>
    <row r="4327">
      <c r="A4327" s="2" t="s">
        <v>9753</v>
      </c>
      <c r="B4327" s="2" t="s">
        <v>9754</v>
      </c>
      <c r="C4327" s="2" t="s">
        <v>7596</v>
      </c>
    </row>
    <row r="4328">
      <c r="A4328" s="2" t="s">
        <v>9755</v>
      </c>
      <c r="B4328" s="2" t="s">
        <v>9756</v>
      </c>
      <c r="C4328" s="2" t="s">
        <v>7596</v>
      </c>
    </row>
    <row r="4329">
      <c r="A4329" s="2" t="s">
        <v>9757</v>
      </c>
      <c r="B4329" s="2" t="s">
        <v>9758</v>
      </c>
      <c r="C4329" s="2" t="s">
        <v>7596</v>
      </c>
    </row>
    <row r="4330">
      <c r="A4330" s="2" t="s">
        <v>9759</v>
      </c>
      <c r="B4330" s="2" t="s">
        <v>9760</v>
      </c>
      <c r="C4330" s="2" t="s">
        <v>7596</v>
      </c>
    </row>
    <row r="4331">
      <c r="A4331" s="2" t="s">
        <v>9761</v>
      </c>
      <c r="B4331" s="2" t="s">
        <v>9762</v>
      </c>
      <c r="C4331" s="2" t="s">
        <v>7596</v>
      </c>
    </row>
    <row r="4332">
      <c r="A4332" s="2" t="s">
        <v>9763</v>
      </c>
      <c r="B4332" s="2" t="s">
        <v>9764</v>
      </c>
      <c r="C4332" s="2" t="s">
        <v>7596</v>
      </c>
    </row>
    <row r="4333">
      <c r="A4333" s="2" t="s">
        <v>9765</v>
      </c>
      <c r="B4333" s="2" t="s">
        <v>9766</v>
      </c>
      <c r="C4333" s="2" t="s">
        <v>7596</v>
      </c>
    </row>
    <row r="4334">
      <c r="A4334" s="2" t="s">
        <v>9767</v>
      </c>
      <c r="B4334" s="2" t="s">
        <v>9768</v>
      </c>
      <c r="C4334" s="2" t="s">
        <v>7596</v>
      </c>
    </row>
    <row r="4335">
      <c r="A4335" s="2" t="s">
        <v>9769</v>
      </c>
      <c r="B4335" s="2" t="s">
        <v>9770</v>
      </c>
      <c r="C4335" s="2" t="s">
        <v>7596</v>
      </c>
    </row>
    <row r="4336">
      <c r="A4336" s="2" t="s">
        <v>9771</v>
      </c>
      <c r="B4336" s="2" t="s">
        <v>9772</v>
      </c>
      <c r="C4336" s="2" t="s">
        <v>7596</v>
      </c>
    </row>
    <row r="4337">
      <c r="A4337" s="2" t="s">
        <v>9773</v>
      </c>
      <c r="B4337" s="2" t="s">
        <v>9774</v>
      </c>
      <c r="C4337" s="2" t="s">
        <v>7596</v>
      </c>
    </row>
    <row r="4338">
      <c r="A4338" s="2" t="s">
        <v>9775</v>
      </c>
      <c r="B4338" s="2" t="s">
        <v>9776</v>
      </c>
      <c r="C4338" s="2" t="s">
        <v>7596</v>
      </c>
    </row>
    <row r="4339">
      <c r="A4339" s="2" t="s">
        <v>9777</v>
      </c>
      <c r="B4339" s="2" t="s">
        <v>9778</v>
      </c>
      <c r="C4339" s="2" t="s">
        <v>7596</v>
      </c>
    </row>
    <row r="4340">
      <c r="A4340" s="2" t="s">
        <v>9779</v>
      </c>
      <c r="B4340" s="2" t="s">
        <v>9780</v>
      </c>
      <c r="C4340" s="2" t="s">
        <v>7596</v>
      </c>
    </row>
    <row r="4341">
      <c r="A4341" s="2" t="s">
        <v>9781</v>
      </c>
      <c r="B4341" s="2" t="s">
        <v>9782</v>
      </c>
      <c r="C4341" s="2" t="s">
        <v>7596</v>
      </c>
    </row>
    <row r="4342">
      <c r="A4342" s="2" t="s">
        <v>9783</v>
      </c>
      <c r="B4342" s="2" t="s">
        <v>9784</v>
      </c>
      <c r="C4342" s="2" t="s">
        <v>7596</v>
      </c>
    </row>
    <row r="4343">
      <c r="A4343" s="2" t="s">
        <v>9785</v>
      </c>
      <c r="B4343" s="2" t="s">
        <v>9786</v>
      </c>
      <c r="C4343" s="2" t="s">
        <v>7596</v>
      </c>
    </row>
    <row r="4344">
      <c r="A4344" s="2" t="s">
        <v>9787</v>
      </c>
      <c r="B4344" s="2" t="s">
        <v>9788</v>
      </c>
      <c r="C4344" s="2" t="s">
        <v>7596</v>
      </c>
    </row>
    <row r="4345">
      <c r="A4345" s="2" t="s">
        <v>9789</v>
      </c>
      <c r="B4345" s="2" t="s">
        <v>9790</v>
      </c>
      <c r="C4345" s="2" t="s">
        <v>7596</v>
      </c>
    </row>
    <row r="4346">
      <c r="A4346" s="2" t="s">
        <v>9791</v>
      </c>
      <c r="B4346" s="2" t="s">
        <v>9792</v>
      </c>
      <c r="C4346" s="2" t="s">
        <v>7596</v>
      </c>
    </row>
    <row r="4347">
      <c r="A4347" s="2" t="s">
        <v>9793</v>
      </c>
      <c r="B4347" s="2" t="s">
        <v>9794</v>
      </c>
      <c r="C4347" s="2" t="s">
        <v>7596</v>
      </c>
    </row>
    <row r="4348">
      <c r="A4348" s="2" t="s">
        <v>9795</v>
      </c>
      <c r="B4348" s="2" t="s">
        <v>9796</v>
      </c>
      <c r="C4348" s="2" t="s">
        <v>7596</v>
      </c>
    </row>
    <row r="4349">
      <c r="A4349" s="2" t="s">
        <v>9797</v>
      </c>
      <c r="B4349" s="2" t="s">
        <v>9798</v>
      </c>
      <c r="C4349" s="2" t="s">
        <v>7596</v>
      </c>
    </row>
    <row r="4350">
      <c r="A4350" s="2" t="s">
        <v>9799</v>
      </c>
      <c r="B4350" s="2" t="s">
        <v>9800</v>
      </c>
      <c r="C4350" s="2" t="s">
        <v>7596</v>
      </c>
    </row>
    <row r="4351">
      <c r="A4351" s="2" t="s">
        <v>9801</v>
      </c>
      <c r="B4351" s="2" t="s">
        <v>9802</v>
      </c>
      <c r="C4351" s="2" t="s">
        <v>7596</v>
      </c>
    </row>
    <row r="4352">
      <c r="A4352" s="2" t="s">
        <v>9803</v>
      </c>
      <c r="B4352" s="2" t="s">
        <v>9804</v>
      </c>
      <c r="C4352" s="2" t="s">
        <v>7596</v>
      </c>
    </row>
    <row r="4353">
      <c r="A4353" s="2" t="s">
        <v>9805</v>
      </c>
      <c r="B4353" s="2" t="s">
        <v>9806</v>
      </c>
      <c r="C4353" s="2" t="s">
        <v>7596</v>
      </c>
    </row>
    <row r="4354">
      <c r="A4354" s="2" t="s">
        <v>9807</v>
      </c>
      <c r="B4354" s="2" t="s">
        <v>9808</v>
      </c>
      <c r="C4354" s="2" t="s">
        <v>7596</v>
      </c>
    </row>
    <row r="4355">
      <c r="A4355" s="2" t="s">
        <v>9809</v>
      </c>
      <c r="B4355" s="2" t="s">
        <v>9810</v>
      </c>
      <c r="C4355" s="2" t="s">
        <v>7596</v>
      </c>
    </row>
    <row r="4356">
      <c r="A4356" s="2" t="s">
        <v>9811</v>
      </c>
      <c r="B4356" s="2" t="s">
        <v>9812</v>
      </c>
      <c r="C4356" s="2" t="s">
        <v>7596</v>
      </c>
    </row>
    <row r="4357">
      <c r="A4357" s="2" t="s">
        <v>9813</v>
      </c>
      <c r="B4357" s="2" t="s">
        <v>9814</v>
      </c>
      <c r="C4357" s="2" t="s">
        <v>7596</v>
      </c>
    </row>
    <row r="4358">
      <c r="A4358" s="2" t="s">
        <v>9815</v>
      </c>
      <c r="B4358" s="2" t="s">
        <v>9816</v>
      </c>
      <c r="C4358" s="2" t="s">
        <v>7596</v>
      </c>
    </row>
    <row r="4359">
      <c r="A4359" s="2" t="s">
        <v>9817</v>
      </c>
      <c r="B4359" s="2" t="s">
        <v>9818</v>
      </c>
      <c r="C4359" s="2" t="s">
        <v>7596</v>
      </c>
    </row>
    <row r="4360">
      <c r="A4360" s="2" t="s">
        <v>9819</v>
      </c>
      <c r="B4360" s="2" t="s">
        <v>9820</v>
      </c>
      <c r="C4360" s="2" t="s">
        <v>7596</v>
      </c>
    </row>
    <row r="4361">
      <c r="A4361" s="2" t="s">
        <v>9821</v>
      </c>
      <c r="B4361" s="2" t="s">
        <v>9822</v>
      </c>
      <c r="C4361" s="2" t="s">
        <v>7596</v>
      </c>
    </row>
    <row r="4362">
      <c r="A4362" s="2" t="s">
        <v>9823</v>
      </c>
      <c r="B4362" s="2" t="s">
        <v>9824</v>
      </c>
      <c r="C4362" s="2" t="s">
        <v>7596</v>
      </c>
    </row>
    <row r="4363">
      <c r="A4363" s="2" t="s">
        <v>9825</v>
      </c>
      <c r="B4363" s="2" t="s">
        <v>9826</v>
      </c>
      <c r="C4363" s="2" t="s">
        <v>7596</v>
      </c>
    </row>
    <row r="4364">
      <c r="A4364" s="2" t="s">
        <v>9827</v>
      </c>
      <c r="B4364" s="2" t="s">
        <v>9828</v>
      </c>
      <c r="C4364" s="2" t="s">
        <v>7596</v>
      </c>
    </row>
    <row r="4365">
      <c r="A4365" s="2" t="s">
        <v>9829</v>
      </c>
      <c r="B4365" s="2" t="s">
        <v>9830</v>
      </c>
      <c r="C4365" s="2" t="s">
        <v>7596</v>
      </c>
    </row>
    <row r="4366">
      <c r="A4366" s="2" t="s">
        <v>9831</v>
      </c>
      <c r="B4366" s="2" t="s">
        <v>9832</v>
      </c>
      <c r="C4366" s="2" t="s">
        <v>7596</v>
      </c>
    </row>
    <row r="4367">
      <c r="A4367" s="2" t="s">
        <v>9833</v>
      </c>
      <c r="B4367" s="2" t="s">
        <v>9834</v>
      </c>
      <c r="C4367" s="2" t="s">
        <v>7596</v>
      </c>
    </row>
    <row r="4368">
      <c r="A4368" s="2" t="s">
        <v>9835</v>
      </c>
      <c r="B4368" s="2" t="s">
        <v>9836</v>
      </c>
      <c r="C4368" s="2" t="s">
        <v>7596</v>
      </c>
    </row>
    <row r="4369">
      <c r="A4369" s="2" t="s">
        <v>9837</v>
      </c>
      <c r="B4369" s="2" t="s">
        <v>9838</v>
      </c>
      <c r="C4369" s="2" t="s">
        <v>7596</v>
      </c>
    </row>
    <row r="4370">
      <c r="A4370" s="2" t="s">
        <v>9839</v>
      </c>
      <c r="B4370" s="2" t="s">
        <v>9840</v>
      </c>
      <c r="C4370" s="2" t="s">
        <v>7596</v>
      </c>
    </row>
    <row r="4371">
      <c r="A4371" s="2" t="s">
        <v>9841</v>
      </c>
      <c r="B4371" s="2" t="s">
        <v>9842</v>
      </c>
      <c r="C4371" s="2" t="s">
        <v>7596</v>
      </c>
    </row>
    <row r="4372">
      <c r="A4372" s="2" t="s">
        <v>9843</v>
      </c>
      <c r="B4372" s="2" t="s">
        <v>9844</v>
      </c>
      <c r="C4372" s="2" t="s">
        <v>7596</v>
      </c>
    </row>
    <row r="4373">
      <c r="A4373" s="2" t="s">
        <v>9845</v>
      </c>
      <c r="B4373" s="2" t="s">
        <v>9846</v>
      </c>
      <c r="C4373" s="2" t="s">
        <v>7596</v>
      </c>
    </row>
    <row r="4374">
      <c r="A4374" s="2" t="s">
        <v>9847</v>
      </c>
      <c r="B4374" s="2" t="s">
        <v>9848</v>
      </c>
      <c r="C4374" s="2" t="s">
        <v>7596</v>
      </c>
    </row>
    <row r="4375">
      <c r="A4375" s="2" t="s">
        <v>9849</v>
      </c>
      <c r="B4375" s="2" t="s">
        <v>9850</v>
      </c>
      <c r="C4375" s="2" t="s">
        <v>7596</v>
      </c>
    </row>
    <row r="4376">
      <c r="A4376" s="2" t="s">
        <v>9851</v>
      </c>
      <c r="B4376" s="2" t="s">
        <v>9852</v>
      </c>
      <c r="C4376" s="2" t="s">
        <v>7596</v>
      </c>
    </row>
    <row r="4377">
      <c r="A4377" s="2" t="s">
        <v>9853</v>
      </c>
      <c r="B4377" s="2" t="s">
        <v>9854</v>
      </c>
      <c r="C4377" s="2" t="s">
        <v>7596</v>
      </c>
    </row>
    <row r="4378">
      <c r="A4378" s="2" t="s">
        <v>9855</v>
      </c>
      <c r="B4378" s="2" t="s">
        <v>9856</v>
      </c>
      <c r="C4378" s="2" t="s">
        <v>7596</v>
      </c>
    </row>
    <row r="4379">
      <c r="A4379" s="2" t="s">
        <v>9857</v>
      </c>
      <c r="B4379" s="2" t="s">
        <v>9858</v>
      </c>
      <c r="C4379" s="2" t="s">
        <v>7596</v>
      </c>
    </row>
    <row r="4380">
      <c r="A4380" s="2" t="s">
        <v>9859</v>
      </c>
      <c r="B4380" s="2" t="s">
        <v>9860</v>
      </c>
      <c r="C4380" s="2" t="s">
        <v>7596</v>
      </c>
    </row>
    <row r="4381">
      <c r="A4381" s="2" t="s">
        <v>9861</v>
      </c>
      <c r="B4381" s="2" t="s">
        <v>9862</v>
      </c>
      <c r="C4381" s="2" t="s">
        <v>7596</v>
      </c>
    </row>
    <row r="4382">
      <c r="A4382" s="2" t="s">
        <v>9863</v>
      </c>
      <c r="B4382" s="2" t="s">
        <v>9864</v>
      </c>
      <c r="C4382" s="2" t="s">
        <v>7596</v>
      </c>
    </row>
    <row r="4383">
      <c r="A4383" s="2" t="s">
        <v>9865</v>
      </c>
      <c r="B4383" s="2" t="s">
        <v>9866</v>
      </c>
      <c r="C4383" s="2" t="s">
        <v>7596</v>
      </c>
    </row>
    <row r="4384">
      <c r="A4384" s="2" t="s">
        <v>9867</v>
      </c>
      <c r="B4384" s="2" t="s">
        <v>9868</v>
      </c>
      <c r="C4384" s="2" t="s">
        <v>7596</v>
      </c>
    </row>
    <row r="4385">
      <c r="A4385" s="2" t="s">
        <v>9869</v>
      </c>
      <c r="B4385" s="2" t="s">
        <v>9870</v>
      </c>
      <c r="C4385" s="2" t="s">
        <v>7596</v>
      </c>
    </row>
    <row r="4386">
      <c r="A4386" s="2" t="s">
        <v>9871</v>
      </c>
      <c r="B4386" s="2" t="s">
        <v>9872</v>
      </c>
      <c r="C4386" s="2" t="s">
        <v>7596</v>
      </c>
    </row>
    <row r="4387">
      <c r="A4387" s="2" t="s">
        <v>9873</v>
      </c>
      <c r="B4387" s="2" t="s">
        <v>9874</v>
      </c>
      <c r="C4387" s="2" t="s">
        <v>7596</v>
      </c>
    </row>
    <row r="4388">
      <c r="A4388" s="2" t="s">
        <v>9875</v>
      </c>
      <c r="B4388" s="2" t="s">
        <v>9876</v>
      </c>
      <c r="C4388" s="2" t="s">
        <v>7596</v>
      </c>
    </row>
    <row r="4389">
      <c r="A4389" s="2" t="s">
        <v>9877</v>
      </c>
      <c r="B4389" s="2" t="s">
        <v>9878</v>
      </c>
      <c r="C4389" s="2" t="s">
        <v>7596</v>
      </c>
    </row>
    <row r="4390">
      <c r="A4390" s="2" t="s">
        <v>9879</v>
      </c>
      <c r="B4390" s="2" t="s">
        <v>9880</v>
      </c>
      <c r="C4390" s="2" t="s">
        <v>7596</v>
      </c>
    </row>
    <row r="4391">
      <c r="A4391" s="2" t="s">
        <v>9881</v>
      </c>
      <c r="B4391" s="2" t="s">
        <v>9882</v>
      </c>
      <c r="C4391" s="2" t="s">
        <v>7596</v>
      </c>
    </row>
    <row r="4392">
      <c r="A4392" s="2" t="s">
        <v>9883</v>
      </c>
      <c r="B4392" s="2" t="s">
        <v>9884</v>
      </c>
      <c r="C4392" s="2" t="s">
        <v>7596</v>
      </c>
    </row>
    <row r="4393">
      <c r="A4393" s="2" t="s">
        <v>9885</v>
      </c>
      <c r="B4393" s="2" t="s">
        <v>9886</v>
      </c>
      <c r="C4393" s="2" t="s">
        <v>7596</v>
      </c>
    </row>
    <row r="4394">
      <c r="A4394" s="2" t="s">
        <v>9887</v>
      </c>
      <c r="B4394" s="2" t="s">
        <v>9888</v>
      </c>
      <c r="C4394" s="2" t="s">
        <v>7596</v>
      </c>
    </row>
    <row r="4395">
      <c r="A4395" s="2" t="s">
        <v>9889</v>
      </c>
      <c r="B4395" s="2" t="s">
        <v>9890</v>
      </c>
      <c r="C4395" s="2" t="s">
        <v>7596</v>
      </c>
    </row>
    <row r="4396">
      <c r="A4396" s="2" t="s">
        <v>9891</v>
      </c>
      <c r="B4396" s="2" t="s">
        <v>9892</v>
      </c>
      <c r="C4396" s="2" t="s">
        <v>7596</v>
      </c>
    </row>
    <row r="4397">
      <c r="A4397" s="2" t="s">
        <v>9893</v>
      </c>
      <c r="B4397" s="2" t="s">
        <v>9894</v>
      </c>
      <c r="C4397" s="2" t="s">
        <v>7596</v>
      </c>
    </row>
    <row r="4398">
      <c r="A4398" s="2" t="s">
        <v>9895</v>
      </c>
      <c r="B4398" s="2" t="s">
        <v>9896</v>
      </c>
      <c r="C4398" s="2" t="s">
        <v>7596</v>
      </c>
    </row>
    <row r="4399">
      <c r="A4399" s="2" t="s">
        <v>9897</v>
      </c>
      <c r="B4399" s="2" t="s">
        <v>9898</v>
      </c>
      <c r="C4399" s="2" t="s">
        <v>7596</v>
      </c>
    </row>
    <row r="4400">
      <c r="A4400" s="2" t="s">
        <v>9899</v>
      </c>
      <c r="B4400" s="2" t="s">
        <v>9900</v>
      </c>
      <c r="C4400" s="2" t="s">
        <v>7596</v>
      </c>
    </row>
    <row r="4401">
      <c r="A4401" s="2" t="s">
        <v>9901</v>
      </c>
      <c r="B4401" s="2" t="s">
        <v>9902</v>
      </c>
      <c r="C4401" s="2" t="s">
        <v>7596</v>
      </c>
    </row>
    <row r="4402">
      <c r="A4402" s="2" t="s">
        <v>9903</v>
      </c>
      <c r="B4402" s="2" t="s">
        <v>9904</v>
      </c>
      <c r="C4402" s="2" t="s">
        <v>7596</v>
      </c>
    </row>
    <row r="4403">
      <c r="A4403" s="2" t="s">
        <v>9905</v>
      </c>
      <c r="B4403" s="2" t="s">
        <v>9906</v>
      </c>
      <c r="C4403" s="2" t="s">
        <v>7596</v>
      </c>
    </row>
    <row r="4404">
      <c r="A4404" s="2" t="s">
        <v>9907</v>
      </c>
      <c r="B4404" s="2" t="s">
        <v>9908</v>
      </c>
      <c r="C4404" s="2" t="s">
        <v>7596</v>
      </c>
    </row>
    <row r="4405">
      <c r="A4405" s="2" t="s">
        <v>9909</v>
      </c>
      <c r="B4405" s="2" t="s">
        <v>9908</v>
      </c>
      <c r="C4405" s="2" t="s">
        <v>7596</v>
      </c>
    </row>
    <row r="4406">
      <c r="A4406" s="2" t="s">
        <v>9910</v>
      </c>
      <c r="B4406" s="2" t="s">
        <v>9911</v>
      </c>
      <c r="C4406" s="2" t="s">
        <v>7596</v>
      </c>
    </row>
    <row r="4407">
      <c r="A4407" s="2" t="s">
        <v>9912</v>
      </c>
      <c r="B4407" s="2" t="s">
        <v>9911</v>
      </c>
      <c r="C4407" s="2" t="s">
        <v>7596</v>
      </c>
    </row>
    <row r="4408">
      <c r="A4408" s="2" t="s">
        <v>9913</v>
      </c>
      <c r="B4408" s="2" t="s">
        <v>9914</v>
      </c>
      <c r="C4408" s="2" t="s">
        <v>7596</v>
      </c>
    </row>
    <row r="4409">
      <c r="A4409" s="2" t="s">
        <v>9915</v>
      </c>
      <c r="B4409" s="2" t="s">
        <v>9914</v>
      </c>
      <c r="C4409" s="2" t="s">
        <v>7596</v>
      </c>
    </row>
    <row r="4410">
      <c r="A4410" s="2" t="s">
        <v>9916</v>
      </c>
      <c r="B4410" s="2" t="s">
        <v>9917</v>
      </c>
      <c r="C4410" s="2" t="s">
        <v>7596</v>
      </c>
    </row>
    <row r="4411">
      <c r="A4411" s="2" t="s">
        <v>9918</v>
      </c>
      <c r="B4411" s="2" t="s">
        <v>9917</v>
      </c>
      <c r="C4411" s="2" t="s">
        <v>7596</v>
      </c>
    </row>
    <row r="4412">
      <c r="A4412" s="2" t="s">
        <v>9919</v>
      </c>
      <c r="B4412" s="2" t="s">
        <v>9920</v>
      </c>
      <c r="C4412" s="2" t="s">
        <v>7596</v>
      </c>
    </row>
    <row r="4413">
      <c r="A4413" s="2" t="s">
        <v>9921</v>
      </c>
      <c r="B4413" s="2" t="s">
        <v>9920</v>
      </c>
      <c r="C4413" s="2" t="s">
        <v>7596</v>
      </c>
    </row>
    <row r="4414">
      <c r="A4414" s="2" t="s">
        <v>9922</v>
      </c>
      <c r="B4414" s="2" t="s">
        <v>9923</v>
      </c>
      <c r="C4414" s="2" t="s">
        <v>7596</v>
      </c>
    </row>
    <row r="4415">
      <c r="A4415" s="2" t="s">
        <v>9924</v>
      </c>
      <c r="B4415" s="2" t="s">
        <v>9923</v>
      </c>
      <c r="C4415" s="2" t="s">
        <v>7596</v>
      </c>
    </row>
    <row r="4416">
      <c r="A4416" s="2" t="s">
        <v>9925</v>
      </c>
      <c r="B4416" s="2" t="s">
        <v>9926</v>
      </c>
      <c r="C4416" s="2" t="s">
        <v>7596</v>
      </c>
    </row>
    <row r="4417">
      <c r="A4417" s="2" t="s">
        <v>9927</v>
      </c>
      <c r="B4417" s="2" t="s">
        <v>9926</v>
      </c>
      <c r="C4417" s="2" t="s">
        <v>7596</v>
      </c>
    </row>
    <row r="4418">
      <c r="A4418" s="2" t="s">
        <v>9928</v>
      </c>
      <c r="B4418" s="2" t="s">
        <v>9929</v>
      </c>
      <c r="C4418" s="2" t="s">
        <v>7596</v>
      </c>
    </row>
    <row r="4419">
      <c r="A4419" s="2" t="s">
        <v>9930</v>
      </c>
      <c r="B4419" s="2" t="s">
        <v>9929</v>
      </c>
      <c r="C4419" s="2" t="s">
        <v>7596</v>
      </c>
    </row>
    <row r="4420">
      <c r="A4420" s="2" t="s">
        <v>9931</v>
      </c>
      <c r="B4420" s="2" t="s">
        <v>9932</v>
      </c>
      <c r="C4420" s="2" t="s">
        <v>7596</v>
      </c>
    </row>
    <row r="4421">
      <c r="A4421" s="2" t="s">
        <v>9933</v>
      </c>
      <c r="B4421" s="2" t="s">
        <v>9932</v>
      </c>
      <c r="C4421" s="2" t="s">
        <v>7596</v>
      </c>
    </row>
    <row r="4422">
      <c r="A4422" s="2" t="s">
        <v>9934</v>
      </c>
      <c r="B4422" s="2" t="s">
        <v>9935</v>
      </c>
      <c r="C4422" s="2" t="s">
        <v>7596</v>
      </c>
    </row>
    <row r="4423">
      <c r="A4423" s="2" t="s">
        <v>9936</v>
      </c>
      <c r="B4423" s="2" t="s">
        <v>9935</v>
      </c>
      <c r="C4423" s="2" t="s">
        <v>7596</v>
      </c>
    </row>
    <row r="4424">
      <c r="A4424" s="2" t="s">
        <v>9937</v>
      </c>
      <c r="B4424" s="2" t="s">
        <v>9938</v>
      </c>
      <c r="C4424" s="2" t="s">
        <v>7596</v>
      </c>
    </row>
    <row r="4425">
      <c r="A4425" s="2" t="s">
        <v>9939</v>
      </c>
      <c r="B4425" s="2" t="s">
        <v>9938</v>
      </c>
      <c r="C4425" s="2" t="s">
        <v>7596</v>
      </c>
    </row>
    <row r="4426">
      <c r="A4426" s="2" t="s">
        <v>9940</v>
      </c>
      <c r="B4426" s="2" t="s">
        <v>9941</v>
      </c>
      <c r="C4426" s="2" t="s">
        <v>7596</v>
      </c>
    </row>
    <row r="4427">
      <c r="A4427" s="2" t="s">
        <v>9942</v>
      </c>
      <c r="B4427" s="2" t="s">
        <v>9941</v>
      </c>
      <c r="C4427" s="2" t="s">
        <v>7596</v>
      </c>
    </row>
    <row r="4428">
      <c r="A4428" s="2" t="s">
        <v>9943</v>
      </c>
      <c r="B4428" s="2" t="s">
        <v>9944</v>
      </c>
      <c r="C4428" s="2" t="s">
        <v>7596</v>
      </c>
    </row>
    <row r="4429">
      <c r="A4429" s="2" t="s">
        <v>9945</v>
      </c>
      <c r="B4429" s="2" t="s">
        <v>9944</v>
      </c>
      <c r="C4429" s="2" t="s">
        <v>7596</v>
      </c>
    </row>
    <row r="4430">
      <c r="A4430" s="2" t="s">
        <v>9946</v>
      </c>
      <c r="B4430" s="2" t="s">
        <v>9947</v>
      </c>
      <c r="C4430" s="2" t="s">
        <v>7596</v>
      </c>
    </row>
    <row r="4431">
      <c r="A4431" s="2" t="s">
        <v>9948</v>
      </c>
      <c r="B4431" s="2" t="s">
        <v>9947</v>
      </c>
      <c r="C4431" s="2" t="s">
        <v>7596</v>
      </c>
    </row>
    <row r="4432">
      <c r="A4432" s="2" t="s">
        <v>9949</v>
      </c>
      <c r="B4432" s="2" t="s">
        <v>9950</v>
      </c>
      <c r="C4432" s="2" t="s">
        <v>7596</v>
      </c>
    </row>
    <row r="4433">
      <c r="A4433" s="2" t="s">
        <v>9951</v>
      </c>
      <c r="B4433" s="2" t="s">
        <v>9950</v>
      </c>
      <c r="C4433" s="2" t="s">
        <v>7596</v>
      </c>
    </row>
    <row r="4434">
      <c r="A4434" s="2" t="s">
        <v>9952</v>
      </c>
      <c r="B4434" s="2" t="s">
        <v>9953</v>
      </c>
      <c r="C4434" s="2" t="s">
        <v>7596</v>
      </c>
    </row>
    <row r="4435">
      <c r="A4435" s="2" t="s">
        <v>9954</v>
      </c>
      <c r="B4435" s="2" t="s">
        <v>9955</v>
      </c>
      <c r="C4435" s="2" t="s">
        <v>7596</v>
      </c>
    </row>
    <row r="4436">
      <c r="A4436" s="2" t="s">
        <v>9956</v>
      </c>
      <c r="B4436" s="2" t="s">
        <v>9957</v>
      </c>
      <c r="C4436" s="2" t="s">
        <v>7596</v>
      </c>
    </row>
    <row r="4437">
      <c r="A4437" s="2" t="s">
        <v>9958</v>
      </c>
      <c r="B4437" s="2" t="s">
        <v>9959</v>
      </c>
      <c r="C4437" s="2" t="s">
        <v>7596</v>
      </c>
    </row>
    <row r="4438">
      <c r="A4438" s="2" t="s">
        <v>9960</v>
      </c>
      <c r="B4438" s="2" t="s">
        <v>9961</v>
      </c>
      <c r="C4438" s="2" t="s">
        <v>7596</v>
      </c>
    </row>
    <row r="4439">
      <c r="A4439" s="2" t="s">
        <v>9962</v>
      </c>
      <c r="B4439" s="2" t="s">
        <v>9963</v>
      </c>
      <c r="C4439" s="2" t="s">
        <v>7596</v>
      </c>
    </row>
    <row r="4440">
      <c r="A4440" s="2" t="s">
        <v>9964</v>
      </c>
      <c r="B4440" s="2" t="s">
        <v>9965</v>
      </c>
      <c r="C4440" s="2" t="s">
        <v>7596</v>
      </c>
    </row>
    <row r="4441">
      <c r="A4441" s="2" t="s">
        <v>9966</v>
      </c>
      <c r="B4441" s="2" t="s">
        <v>9967</v>
      </c>
      <c r="C4441" s="2" t="s">
        <v>7596</v>
      </c>
    </row>
    <row r="4442">
      <c r="A4442" s="2" t="s">
        <v>9968</v>
      </c>
      <c r="B4442" s="2" t="s">
        <v>9969</v>
      </c>
      <c r="C4442" s="2" t="s">
        <v>7596</v>
      </c>
    </row>
    <row r="4443">
      <c r="A4443" s="2" t="s">
        <v>9970</v>
      </c>
      <c r="B4443" s="2" t="s">
        <v>9971</v>
      </c>
      <c r="C4443" s="2" t="s">
        <v>7596</v>
      </c>
    </row>
    <row r="4444">
      <c r="A4444" s="2" t="s">
        <v>9972</v>
      </c>
      <c r="B4444" s="2" t="s">
        <v>9973</v>
      </c>
      <c r="C4444" s="2" t="s">
        <v>7596</v>
      </c>
    </row>
    <row r="4445">
      <c r="A4445" s="2" t="s">
        <v>9974</v>
      </c>
      <c r="B4445" s="2" t="s">
        <v>9975</v>
      </c>
      <c r="C4445" s="2" t="s">
        <v>7596</v>
      </c>
    </row>
    <row r="4446">
      <c r="A4446" s="2" t="s">
        <v>9976</v>
      </c>
      <c r="B4446" s="2" t="s">
        <v>9977</v>
      </c>
      <c r="C4446" s="2" t="s">
        <v>7596</v>
      </c>
    </row>
    <row r="4447">
      <c r="A4447" s="2" t="s">
        <v>9978</v>
      </c>
      <c r="B4447" s="2" t="s">
        <v>9979</v>
      </c>
      <c r="C4447" s="2" t="s">
        <v>7596</v>
      </c>
    </row>
    <row r="4448">
      <c r="A4448" s="2" t="s">
        <v>9980</v>
      </c>
      <c r="B4448" s="2" t="s">
        <v>9981</v>
      </c>
      <c r="C4448" s="2" t="s">
        <v>7596</v>
      </c>
    </row>
    <row r="4449">
      <c r="A4449" s="2" t="s">
        <v>9982</v>
      </c>
      <c r="B4449" s="2" t="s">
        <v>9983</v>
      </c>
      <c r="C4449" s="2" t="s">
        <v>7596</v>
      </c>
    </row>
    <row r="4450">
      <c r="A4450" s="2" t="s">
        <v>9984</v>
      </c>
      <c r="B4450" s="2" t="s">
        <v>9985</v>
      </c>
      <c r="C4450" s="2" t="s">
        <v>7596</v>
      </c>
    </row>
    <row r="4451">
      <c r="A4451" s="2" t="s">
        <v>9986</v>
      </c>
      <c r="B4451" s="2" t="s">
        <v>9987</v>
      </c>
      <c r="C4451" s="2" t="s">
        <v>7596</v>
      </c>
    </row>
    <row r="4452">
      <c r="A4452" s="2" t="s">
        <v>9988</v>
      </c>
      <c r="B4452" s="2" t="s">
        <v>9989</v>
      </c>
      <c r="C4452" s="2" t="s">
        <v>7596</v>
      </c>
    </row>
    <row r="4453">
      <c r="A4453" s="2" t="s">
        <v>9990</v>
      </c>
      <c r="B4453" s="2" t="s">
        <v>9991</v>
      </c>
      <c r="C4453" s="2" t="s">
        <v>7596</v>
      </c>
    </row>
    <row r="4454">
      <c r="A4454" s="2" t="s">
        <v>9992</v>
      </c>
      <c r="B4454" s="2" t="s">
        <v>9993</v>
      </c>
      <c r="C4454" s="2" t="s">
        <v>7596</v>
      </c>
    </row>
    <row r="4455">
      <c r="A4455" s="2" t="s">
        <v>9994</v>
      </c>
      <c r="B4455" s="2" t="s">
        <v>9995</v>
      </c>
      <c r="C4455" s="2" t="s">
        <v>7596</v>
      </c>
    </row>
    <row r="4456">
      <c r="A4456" s="2" t="s">
        <v>9996</v>
      </c>
      <c r="B4456" s="2" t="s">
        <v>9997</v>
      </c>
      <c r="C4456" s="2" t="s">
        <v>7596</v>
      </c>
    </row>
    <row r="4457">
      <c r="A4457" s="2" t="s">
        <v>9998</v>
      </c>
      <c r="B4457" s="2" t="s">
        <v>9999</v>
      </c>
      <c r="C4457" s="2" t="s">
        <v>7596</v>
      </c>
    </row>
    <row r="4458">
      <c r="A4458" s="2" t="s">
        <v>10000</v>
      </c>
      <c r="B4458" s="2" t="s">
        <v>10001</v>
      </c>
      <c r="C4458" s="2" t="s">
        <v>7596</v>
      </c>
    </row>
    <row r="4459">
      <c r="A4459" s="2" t="s">
        <v>10002</v>
      </c>
      <c r="B4459" s="2" t="s">
        <v>10003</v>
      </c>
      <c r="C4459" s="2" t="s">
        <v>7596</v>
      </c>
    </row>
    <row r="4460">
      <c r="A4460" s="2" t="s">
        <v>10004</v>
      </c>
      <c r="B4460" s="2" t="s">
        <v>10005</v>
      </c>
      <c r="C4460" s="2" t="s">
        <v>7596</v>
      </c>
    </row>
    <row r="4461">
      <c r="A4461" s="2" t="s">
        <v>10006</v>
      </c>
      <c r="B4461" s="2" t="s">
        <v>10007</v>
      </c>
      <c r="C4461" s="2" t="s">
        <v>7596</v>
      </c>
    </row>
    <row r="4462">
      <c r="A4462" s="2" t="s">
        <v>10008</v>
      </c>
      <c r="B4462" s="2" t="s">
        <v>10009</v>
      </c>
      <c r="C4462" s="2" t="s">
        <v>7596</v>
      </c>
    </row>
    <row r="4463">
      <c r="A4463" s="2" t="s">
        <v>10010</v>
      </c>
      <c r="B4463" s="2" t="s">
        <v>10011</v>
      </c>
      <c r="C4463" s="2" t="s">
        <v>7596</v>
      </c>
    </row>
    <row r="4464">
      <c r="A4464" s="2" t="s">
        <v>10012</v>
      </c>
      <c r="B4464" s="2" t="s">
        <v>10013</v>
      </c>
      <c r="C4464" s="2" t="s">
        <v>7596</v>
      </c>
    </row>
    <row r="4465">
      <c r="A4465" s="2" t="s">
        <v>10014</v>
      </c>
      <c r="B4465" s="2" t="s">
        <v>10015</v>
      </c>
      <c r="C4465" s="2" t="s">
        <v>7596</v>
      </c>
    </row>
    <row r="4466">
      <c r="A4466" s="2" t="s">
        <v>10016</v>
      </c>
      <c r="B4466" s="2" t="s">
        <v>10017</v>
      </c>
      <c r="C4466" s="2" t="s">
        <v>7596</v>
      </c>
    </row>
    <row r="4467">
      <c r="A4467" s="2" t="s">
        <v>10018</v>
      </c>
      <c r="B4467" s="2" t="s">
        <v>10019</v>
      </c>
      <c r="C4467" s="2" t="s">
        <v>7596</v>
      </c>
    </row>
    <row r="4468">
      <c r="A4468" s="2" t="s">
        <v>10020</v>
      </c>
      <c r="B4468" s="2" t="s">
        <v>10021</v>
      </c>
      <c r="C4468" s="2" t="s">
        <v>7596</v>
      </c>
    </row>
    <row r="4469">
      <c r="A4469" s="2" t="s">
        <v>10022</v>
      </c>
      <c r="B4469" s="2" t="s">
        <v>10023</v>
      </c>
      <c r="C4469" s="2" t="s">
        <v>7596</v>
      </c>
    </row>
    <row r="4470">
      <c r="A4470" s="2" t="s">
        <v>10024</v>
      </c>
      <c r="B4470" s="2" t="s">
        <v>10025</v>
      </c>
      <c r="C4470" s="2" t="s">
        <v>7596</v>
      </c>
    </row>
    <row r="4471">
      <c r="A4471" s="2" t="s">
        <v>10026</v>
      </c>
      <c r="B4471" s="2" t="s">
        <v>10027</v>
      </c>
      <c r="C4471" s="2" t="s">
        <v>7596</v>
      </c>
    </row>
    <row r="4472">
      <c r="A4472" s="2" t="s">
        <v>10028</v>
      </c>
      <c r="B4472" s="2" t="s">
        <v>10029</v>
      </c>
      <c r="C4472" s="2" t="s">
        <v>7596</v>
      </c>
    </row>
    <row r="4473">
      <c r="A4473" s="2" t="s">
        <v>10030</v>
      </c>
      <c r="B4473" s="2" t="s">
        <v>10031</v>
      </c>
      <c r="C4473" s="2" t="s">
        <v>7596</v>
      </c>
    </row>
    <row r="4474">
      <c r="A4474" s="2" t="s">
        <v>10032</v>
      </c>
      <c r="B4474" s="2" t="s">
        <v>10033</v>
      </c>
      <c r="C4474" s="2" t="s">
        <v>7596</v>
      </c>
    </row>
    <row r="4475">
      <c r="A4475" s="2" t="s">
        <v>10034</v>
      </c>
      <c r="B4475" s="2" t="s">
        <v>10035</v>
      </c>
      <c r="C4475" s="2" t="s">
        <v>7596</v>
      </c>
    </row>
    <row r="4476">
      <c r="A4476" s="2" t="s">
        <v>10036</v>
      </c>
      <c r="B4476" s="2" t="s">
        <v>10037</v>
      </c>
      <c r="C4476" s="2" t="s">
        <v>7596</v>
      </c>
    </row>
    <row r="4477">
      <c r="A4477" s="2" t="s">
        <v>10038</v>
      </c>
      <c r="B4477" s="2" t="s">
        <v>10039</v>
      </c>
      <c r="C4477" s="2" t="s">
        <v>7596</v>
      </c>
    </row>
    <row r="4478">
      <c r="A4478" s="2" t="s">
        <v>10040</v>
      </c>
      <c r="B4478" s="2" t="s">
        <v>10041</v>
      </c>
      <c r="C4478" s="2" t="s">
        <v>7596</v>
      </c>
    </row>
    <row r="4479">
      <c r="A4479" s="2" t="s">
        <v>10042</v>
      </c>
      <c r="B4479" s="2" t="s">
        <v>10043</v>
      </c>
      <c r="C4479" s="2" t="s">
        <v>7596</v>
      </c>
    </row>
    <row r="4480">
      <c r="A4480" s="2" t="s">
        <v>10044</v>
      </c>
      <c r="B4480" s="2" t="s">
        <v>10045</v>
      </c>
      <c r="C4480" s="2" t="s">
        <v>7596</v>
      </c>
    </row>
    <row r="4481">
      <c r="A4481" s="2" t="s">
        <v>10046</v>
      </c>
      <c r="B4481" s="2" t="s">
        <v>10047</v>
      </c>
      <c r="C4481" s="2" t="s">
        <v>7596</v>
      </c>
    </row>
    <row r="4482">
      <c r="A4482" s="2" t="s">
        <v>10048</v>
      </c>
      <c r="B4482" s="2" t="s">
        <v>10049</v>
      </c>
      <c r="C4482" s="2" t="s">
        <v>7596</v>
      </c>
    </row>
    <row r="4483">
      <c r="A4483" s="2" t="s">
        <v>10050</v>
      </c>
      <c r="B4483" s="2" t="s">
        <v>10051</v>
      </c>
      <c r="C4483" s="2" t="s">
        <v>7596</v>
      </c>
    </row>
    <row r="4484">
      <c r="A4484" s="2" t="s">
        <v>10052</v>
      </c>
      <c r="B4484" s="2" t="s">
        <v>10051</v>
      </c>
      <c r="C4484" s="2" t="s">
        <v>7596</v>
      </c>
    </row>
    <row r="4485">
      <c r="A4485" s="2" t="s">
        <v>10053</v>
      </c>
      <c r="B4485" s="2" t="s">
        <v>10051</v>
      </c>
      <c r="C4485" s="2" t="s">
        <v>7596</v>
      </c>
    </row>
    <row r="4486">
      <c r="A4486" s="2" t="s">
        <v>10054</v>
      </c>
      <c r="B4486" s="2" t="s">
        <v>10055</v>
      </c>
      <c r="C4486" s="2" t="s">
        <v>7596</v>
      </c>
    </row>
    <row r="4487">
      <c r="A4487" s="2" t="s">
        <v>10056</v>
      </c>
      <c r="B4487" s="2" t="s">
        <v>10057</v>
      </c>
      <c r="C4487" s="2" t="s">
        <v>7596</v>
      </c>
    </row>
    <row r="4488">
      <c r="A4488" s="2" t="s">
        <v>10058</v>
      </c>
      <c r="B4488" s="2" t="s">
        <v>10059</v>
      </c>
      <c r="C4488" s="2" t="s">
        <v>7596</v>
      </c>
    </row>
    <row r="4489">
      <c r="A4489" s="2" t="s">
        <v>10060</v>
      </c>
      <c r="B4489" s="2" t="s">
        <v>10061</v>
      </c>
      <c r="C4489" s="2" t="s">
        <v>7596</v>
      </c>
    </row>
    <row r="4490">
      <c r="A4490" s="2" t="s">
        <v>10062</v>
      </c>
      <c r="B4490" s="2" t="s">
        <v>10063</v>
      </c>
      <c r="C4490" s="2" t="s">
        <v>7596</v>
      </c>
    </row>
    <row r="4491">
      <c r="A4491" s="2" t="s">
        <v>10064</v>
      </c>
      <c r="B4491" s="2" t="s">
        <v>10065</v>
      </c>
      <c r="C4491" s="2" t="s">
        <v>7596</v>
      </c>
    </row>
    <row r="4492">
      <c r="A4492" s="2" t="s">
        <v>10066</v>
      </c>
      <c r="B4492" s="2" t="s">
        <v>10067</v>
      </c>
      <c r="C4492" s="2" t="s">
        <v>7596</v>
      </c>
    </row>
    <row r="4493">
      <c r="A4493" s="2" t="s">
        <v>10068</v>
      </c>
      <c r="B4493" s="2" t="s">
        <v>10069</v>
      </c>
      <c r="C4493" s="2" t="s">
        <v>7596</v>
      </c>
    </row>
    <row r="4494">
      <c r="A4494" s="2" t="s">
        <v>10070</v>
      </c>
      <c r="B4494" s="2" t="s">
        <v>10071</v>
      </c>
      <c r="C4494" s="2" t="s">
        <v>7596</v>
      </c>
    </row>
    <row r="4495">
      <c r="A4495" s="2" t="s">
        <v>10072</v>
      </c>
      <c r="B4495" s="2" t="s">
        <v>10073</v>
      </c>
      <c r="C4495" s="2" t="s">
        <v>7596</v>
      </c>
    </row>
    <row r="4496">
      <c r="A4496" s="2" t="s">
        <v>10074</v>
      </c>
      <c r="B4496" s="2" t="s">
        <v>10075</v>
      </c>
      <c r="C4496" s="2" t="s">
        <v>7596</v>
      </c>
    </row>
    <row r="4497">
      <c r="A4497" s="2" t="s">
        <v>10076</v>
      </c>
      <c r="B4497" s="2" t="s">
        <v>10077</v>
      </c>
      <c r="C4497" s="2" t="s">
        <v>7596</v>
      </c>
    </row>
    <row r="4498">
      <c r="A4498" s="2" t="s">
        <v>10078</v>
      </c>
      <c r="B4498" s="2" t="s">
        <v>10079</v>
      </c>
      <c r="C4498" s="2" t="s">
        <v>7596</v>
      </c>
    </row>
    <row r="4499">
      <c r="A4499" s="2" t="s">
        <v>10080</v>
      </c>
      <c r="B4499" s="2" t="s">
        <v>10081</v>
      </c>
      <c r="C4499" s="2" t="s">
        <v>7596</v>
      </c>
    </row>
    <row r="4500">
      <c r="A4500" s="2" t="s">
        <v>10082</v>
      </c>
      <c r="B4500" s="2" t="s">
        <v>10083</v>
      </c>
      <c r="C4500" s="2" t="s">
        <v>7596</v>
      </c>
    </row>
    <row r="4501">
      <c r="A4501" s="2" t="s">
        <v>10084</v>
      </c>
      <c r="B4501" s="2" t="s">
        <v>10085</v>
      </c>
      <c r="C4501" s="2" t="s">
        <v>7596</v>
      </c>
    </row>
    <row r="4502">
      <c r="A4502" s="2" t="s">
        <v>10086</v>
      </c>
      <c r="B4502" s="2" t="s">
        <v>10087</v>
      </c>
      <c r="C4502" s="2" t="s">
        <v>7596</v>
      </c>
    </row>
    <row r="4503">
      <c r="A4503" s="2" t="s">
        <v>10088</v>
      </c>
      <c r="B4503" s="2" t="s">
        <v>10089</v>
      </c>
      <c r="C4503" s="2" t="s">
        <v>7596</v>
      </c>
    </row>
    <row r="4504">
      <c r="A4504" s="2" t="s">
        <v>10090</v>
      </c>
      <c r="B4504" s="2" t="s">
        <v>10091</v>
      </c>
      <c r="C4504" s="2" t="s">
        <v>7596</v>
      </c>
    </row>
    <row r="4505">
      <c r="A4505" s="2" t="s">
        <v>10092</v>
      </c>
      <c r="B4505" s="2" t="s">
        <v>10093</v>
      </c>
      <c r="C4505" s="2" t="s">
        <v>7596</v>
      </c>
    </row>
    <row r="4506">
      <c r="A4506" s="2" t="s">
        <v>10094</v>
      </c>
      <c r="B4506" s="2" t="s">
        <v>10095</v>
      </c>
      <c r="C4506" s="2" t="s">
        <v>7596</v>
      </c>
    </row>
    <row r="4507">
      <c r="A4507" s="2" t="s">
        <v>10096</v>
      </c>
      <c r="B4507" s="2" t="s">
        <v>10097</v>
      </c>
      <c r="C4507" s="2" t="s">
        <v>7596</v>
      </c>
    </row>
    <row r="4508">
      <c r="A4508" s="2" t="s">
        <v>10098</v>
      </c>
      <c r="B4508" s="2" t="s">
        <v>10099</v>
      </c>
      <c r="C4508" s="2" t="s">
        <v>7596</v>
      </c>
    </row>
    <row r="4509">
      <c r="A4509" s="2" t="s">
        <v>10100</v>
      </c>
      <c r="B4509" s="2" t="s">
        <v>10101</v>
      </c>
      <c r="C4509" s="2" t="s">
        <v>7596</v>
      </c>
    </row>
    <row r="4510">
      <c r="A4510" s="2" t="s">
        <v>10102</v>
      </c>
      <c r="B4510" s="2" t="s">
        <v>10103</v>
      </c>
      <c r="C4510" s="2" t="s">
        <v>7596</v>
      </c>
    </row>
    <row r="4511">
      <c r="A4511" s="2" t="s">
        <v>10104</v>
      </c>
      <c r="B4511" s="2" t="s">
        <v>10105</v>
      </c>
      <c r="C4511" s="2" t="s">
        <v>7596</v>
      </c>
    </row>
    <row r="4512">
      <c r="A4512" s="2" t="s">
        <v>10106</v>
      </c>
      <c r="B4512" s="2" t="s">
        <v>10107</v>
      </c>
      <c r="C4512" s="2" t="s">
        <v>7596</v>
      </c>
    </row>
    <row r="4513">
      <c r="A4513" s="2" t="s">
        <v>10108</v>
      </c>
      <c r="B4513" s="2" t="s">
        <v>10109</v>
      </c>
      <c r="C4513" s="2" t="s">
        <v>7596</v>
      </c>
    </row>
    <row r="4514">
      <c r="A4514" s="2" t="s">
        <v>10110</v>
      </c>
      <c r="B4514" s="2" t="s">
        <v>10111</v>
      </c>
      <c r="C4514" s="2" t="s">
        <v>7596</v>
      </c>
    </row>
    <row r="4515">
      <c r="A4515" s="2" t="s">
        <v>10112</v>
      </c>
      <c r="B4515" s="2" t="s">
        <v>10113</v>
      </c>
      <c r="C4515" s="2" t="s">
        <v>7596</v>
      </c>
    </row>
    <row r="4516">
      <c r="A4516" s="2" t="s">
        <v>10114</v>
      </c>
      <c r="B4516" s="2" t="s">
        <v>10115</v>
      </c>
      <c r="C4516" s="2" t="s">
        <v>7596</v>
      </c>
    </row>
    <row r="4517">
      <c r="A4517" s="2" t="s">
        <v>10116</v>
      </c>
      <c r="B4517" s="2" t="s">
        <v>10117</v>
      </c>
      <c r="C4517" s="2" t="s">
        <v>7596</v>
      </c>
    </row>
    <row r="4518">
      <c r="A4518" s="2" t="s">
        <v>10118</v>
      </c>
      <c r="B4518" s="2" t="s">
        <v>10119</v>
      </c>
      <c r="C4518" s="2" t="s">
        <v>7596</v>
      </c>
    </row>
    <row r="4519">
      <c r="A4519" s="2" t="s">
        <v>10120</v>
      </c>
      <c r="B4519" s="2" t="s">
        <v>10121</v>
      </c>
      <c r="C4519" s="2" t="s">
        <v>7596</v>
      </c>
    </row>
    <row r="4520">
      <c r="A4520" s="2" t="s">
        <v>10122</v>
      </c>
      <c r="B4520" s="2" t="s">
        <v>10123</v>
      </c>
      <c r="C4520" s="2" t="s">
        <v>7596</v>
      </c>
    </row>
    <row r="4521">
      <c r="A4521" s="2" t="s">
        <v>10124</v>
      </c>
      <c r="B4521" s="2" t="s">
        <v>10125</v>
      </c>
      <c r="C4521" s="2" t="s">
        <v>7596</v>
      </c>
    </row>
    <row r="4522">
      <c r="A4522" s="2" t="s">
        <v>10126</v>
      </c>
      <c r="B4522" s="2" t="s">
        <v>10127</v>
      </c>
      <c r="C4522" s="2" t="s">
        <v>7596</v>
      </c>
    </row>
    <row r="4523">
      <c r="A4523" s="2" t="s">
        <v>10128</v>
      </c>
      <c r="B4523" s="2" t="s">
        <v>10129</v>
      </c>
      <c r="C4523" s="2" t="s">
        <v>7596</v>
      </c>
    </row>
    <row r="4524">
      <c r="A4524" s="2" t="s">
        <v>10130</v>
      </c>
      <c r="B4524" s="2" t="s">
        <v>10129</v>
      </c>
      <c r="C4524" s="2" t="s">
        <v>7596</v>
      </c>
    </row>
    <row r="4525">
      <c r="A4525" s="2" t="s">
        <v>10131</v>
      </c>
      <c r="B4525" s="2" t="s">
        <v>10132</v>
      </c>
      <c r="C4525" s="2" t="s">
        <v>7596</v>
      </c>
    </row>
    <row r="4526">
      <c r="A4526" s="2" t="s">
        <v>10133</v>
      </c>
      <c r="B4526" s="2" t="s">
        <v>10134</v>
      </c>
      <c r="C4526" s="2" t="s">
        <v>7596</v>
      </c>
    </row>
    <row r="4527">
      <c r="A4527" s="2" t="s">
        <v>10135</v>
      </c>
      <c r="B4527" s="2" t="s">
        <v>10136</v>
      </c>
      <c r="C4527" s="2" t="s">
        <v>7596</v>
      </c>
    </row>
    <row r="4528">
      <c r="A4528" s="2" t="s">
        <v>10137</v>
      </c>
      <c r="B4528" s="2" t="s">
        <v>10138</v>
      </c>
      <c r="C4528" s="2" t="s">
        <v>7596</v>
      </c>
    </row>
    <row r="4529">
      <c r="A4529" s="2" t="s">
        <v>10139</v>
      </c>
      <c r="B4529" s="2" t="s">
        <v>10140</v>
      </c>
      <c r="C4529" s="2" t="s">
        <v>7596</v>
      </c>
    </row>
    <row r="4530">
      <c r="A4530" s="2" t="s">
        <v>10141</v>
      </c>
      <c r="B4530" s="2" t="s">
        <v>10142</v>
      </c>
      <c r="C4530" s="2" t="s">
        <v>7596</v>
      </c>
    </row>
    <row r="4531">
      <c r="A4531" s="2" t="s">
        <v>10143</v>
      </c>
      <c r="B4531" s="2" t="s">
        <v>10144</v>
      </c>
      <c r="C4531" s="2" t="s">
        <v>7596</v>
      </c>
    </row>
    <row r="4532">
      <c r="A4532" s="2" t="s">
        <v>10145</v>
      </c>
      <c r="B4532" s="2" t="s">
        <v>10146</v>
      </c>
      <c r="C4532" s="2" t="s">
        <v>7596</v>
      </c>
    </row>
    <row r="4533">
      <c r="A4533" s="2" t="s">
        <v>10147</v>
      </c>
      <c r="B4533" s="2" t="s">
        <v>10148</v>
      </c>
      <c r="C4533" s="2" t="s">
        <v>7596</v>
      </c>
    </row>
    <row r="4534">
      <c r="A4534" s="2" t="s">
        <v>10149</v>
      </c>
      <c r="B4534" s="2" t="s">
        <v>10150</v>
      </c>
      <c r="C4534" s="2" t="s">
        <v>7596</v>
      </c>
    </row>
    <row r="4535">
      <c r="A4535" s="2" t="s">
        <v>10151</v>
      </c>
      <c r="B4535" s="2" t="s">
        <v>10152</v>
      </c>
      <c r="C4535" s="2" t="s">
        <v>7596</v>
      </c>
    </row>
    <row r="4536">
      <c r="A4536" s="2" t="s">
        <v>10153</v>
      </c>
      <c r="B4536" s="2" t="s">
        <v>10154</v>
      </c>
      <c r="C4536" s="2" t="s">
        <v>7596</v>
      </c>
    </row>
    <row r="4537">
      <c r="A4537" s="2" t="s">
        <v>10155</v>
      </c>
      <c r="B4537" s="2" t="s">
        <v>10156</v>
      </c>
      <c r="C4537" s="2" t="s">
        <v>7596</v>
      </c>
    </row>
    <row r="4538">
      <c r="A4538" s="2" t="s">
        <v>10157</v>
      </c>
      <c r="B4538" s="2" t="s">
        <v>10158</v>
      </c>
      <c r="C4538" s="2" t="s">
        <v>7596</v>
      </c>
    </row>
    <row r="4539">
      <c r="A4539" s="2" t="s">
        <v>10159</v>
      </c>
      <c r="B4539" s="2" t="s">
        <v>10160</v>
      </c>
      <c r="C4539" s="2" t="s">
        <v>7596</v>
      </c>
    </row>
    <row r="4540">
      <c r="A4540" s="2" t="s">
        <v>10161</v>
      </c>
      <c r="B4540" s="2" t="s">
        <v>10162</v>
      </c>
      <c r="C4540" s="2" t="s">
        <v>7596</v>
      </c>
    </row>
    <row r="4541">
      <c r="A4541" s="2" t="s">
        <v>10163</v>
      </c>
      <c r="B4541" s="2" t="s">
        <v>10164</v>
      </c>
      <c r="C4541" s="2" t="s">
        <v>7596</v>
      </c>
    </row>
    <row r="4542">
      <c r="A4542" s="2" t="s">
        <v>10165</v>
      </c>
      <c r="B4542" s="2" t="s">
        <v>10166</v>
      </c>
      <c r="C4542" s="2" t="s">
        <v>7596</v>
      </c>
    </row>
    <row r="4543">
      <c r="A4543" s="2" t="s">
        <v>10167</v>
      </c>
      <c r="B4543" s="2" t="s">
        <v>10168</v>
      </c>
      <c r="C4543" s="2" t="s">
        <v>7596</v>
      </c>
    </row>
    <row r="4544">
      <c r="A4544" s="2" t="s">
        <v>10169</v>
      </c>
      <c r="B4544" s="2" t="s">
        <v>10170</v>
      </c>
      <c r="C4544" s="2" t="s">
        <v>7596</v>
      </c>
    </row>
    <row r="4545">
      <c r="A4545" s="2" t="s">
        <v>10171</v>
      </c>
      <c r="B4545" s="2" t="s">
        <v>10172</v>
      </c>
      <c r="C4545" s="2" t="s">
        <v>7596</v>
      </c>
    </row>
    <row r="4546">
      <c r="A4546" s="2" t="s">
        <v>10173</v>
      </c>
      <c r="B4546" s="2" t="s">
        <v>10174</v>
      </c>
      <c r="C4546" s="2" t="s">
        <v>7596</v>
      </c>
    </row>
    <row r="4547">
      <c r="A4547" s="2" t="s">
        <v>10175</v>
      </c>
      <c r="B4547" s="2" t="s">
        <v>10176</v>
      </c>
      <c r="C4547" s="2" t="s">
        <v>7596</v>
      </c>
    </row>
    <row r="4548">
      <c r="A4548" s="2" t="s">
        <v>10177</v>
      </c>
      <c r="B4548" s="2" t="s">
        <v>10178</v>
      </c>
      <c r="C4548" s="2" t="s">
        <v>7596</v>
      </c>
    </row>
    <row r="4549">
      <c r="A4549" s="2" t="s">
        <v>10179</v>
      </c>
      <c r="B4549" s="2" t="s">
        <v>10180</v>
      </c>
      <c r="C4549" s="2" t="s">
        <v>7596</v>
      </c>
    </row>
    <row r="4550">
      <c r="A4550" s="2" t="s">
        <v>10181</v>
      </c>
      <c r="B4550" s="2" t="s">
        <v>10182</v>
      </c>
      <c r="C4550" s="2" t="s">
        <v>7596</v>
      </c>
    </row>
    <row r="4551">
      <c r="A4551" s="2" t="s">
        <v>10183</v>
      </c>
      <c r="B4551" s="2" t="s">
        <v>10184</v>
      </c>
      <c r="C4551" s="2" t="s">
        <v>7596</v>
      </c>
    </row>
    <row r="4552">
      <c r="A4552" s="2" t="s">
        <v>10185</v>
      </c>
      <c r="B4552" s="2" t="s">
        <v>10186</v>
      </c>
      <c r="C4552" s="2" t="s">
        <v>7596</v>
      </c>
    </row>
    <row r="4553">
      <c r="A4553" s="2" t="s">
        <v>10187</v>
      </c>
      <c r="B4553" s="2" t="s">
        <v>10188</v>
      </c>
      <c r="C4553" s="2" t="s">
        <v>7596</v>
      </c>
    </row>
    <row r="4554">
      <c r="A4554" s="2" t="s">
        <v>10189</v>
      </c>
      <c r="B4554" s="2" t="s">
        <v>10190</v>
      </c>
      <c r="C4554" s="2" t="s">
        <v>7596</v>
      </c>
    </row>
    <row r="4555">
      <c r="A4555" s="2" t="s">
        <v>10191</v>
      </c>
      <c r="B4555" s="2" t="s">
        <v>10192</v>
      </c>
      <c r="C4555" s="2" t="s">
        <v>7596</v>
      </c>
    </row>
    <row r="4556">
      <c r="A4556" s="2" t="s">
        <v>10193</v>
      </c>
      <c r="B4556" s="2" t="s">
        <v>10194</v>
      </c>
      <c r="C4556" s="2" t="s">
        <v>7596</v>
      </c>
    </row>
    <row r="4557">
      <c r="A4557" s="2" t="s">
        <v>10195</v>
      </c>
      <c r="B4557" s="2" t="s">
        <v>10196</v>
      </c>
      <c r="C4557" s="2" t="s">
        <v>7596</v>
      </c>
    </row>
    <row r="4558">
      <c r="A4558" s="2" t="s">
        <v>10197</v>
      </c>
      <c r="B4558" s="2" t="s">
        <v>10198</v>
      </c>
      <c r="C4558" s="2" t="s">
        <v>7596</v>
      </c>
    </row>
    <row r="4559">
      <c r="A4559" s="2" t="s">
        <v>10199</v>
      </c>
      <c r="B4559" s="2" t="s">
        <v>10200</v>
      </c>
      <c r="C4559" s="2" t="s">
        <v>7596</v>
      </c>
    </row>
    <row r="4560">
      <c r="A4560" s="2" t="s">
        <v>10201</v>
      </c>
      <c r="B4560" s="2" t="s">
        <v>10202</v>
      </c>
      <c r="C4560" s="2" t="s">
        <v>7596</v>
      </c>
    </row>
    <row r="4561">
      <c r="A4561" s="2" t="s">
        <v>10203</v>
      </c>
      <c r="B4561" s="2" t="s">
        <v>10204</v>
      </c>
      <c r="C4561" s="2" t="s">
        <v>7596</v>
      </c>
    </row>
    <row r="4562">
      <c r="A4562" s="2" t="s">
        <v>10205</v>
      </c>
      <c r="B4562" s="2" t="s">
        <v>10206</v>
      </c>
      <c r="C4562" s="2" t="s">
        <v>7596</v>
      </c>
    </row>
    <row r="4563">
      <c r="A4563" s="2" t="s">
        <v>10207</v>
      </c>
      <c r="B4563" s="2" t="s">
        <v>10208</v>
      </c>
      <c r="C4563" s="2" t="s">
        <v>7596</v>
      </c>
    </row>
    <row r="4564">
      <c r="A4564" s="2" t="s">
        <v>10209</v>
      </c>
      <c r="B4564" s="2" t="s">
        <v>10210</v>
      </c>
      <c r="C4564" s="2" t="s">
        <v>7596</v>
      </c>
    </row>
    <row r="4565">
      <c r="A4565" s="2" t="s">
        <v>10211</v>
      </c>
      <c r="B4565" s="2" t="s">
        <v>10212</v>
      </c>
      <c r="C4565" s="2" t="s">
        <v>7596</v>
      </c>
    </row>
    <row r="4566">
      <c r="A4566" s="2" t="s">
        <v>10213</v>
      </c>
      <c r="B4566" s="2" t="s">
        <v>10214</v>
      </c>
      <c r="C4566" s="2" t="s">
        <v>7596</v>
      </c>
    </row>
    <row r="4567">
      <c r="A4567" s="2" t="s">
        <v>10215</v>
      </c>
      <c r="B4567" s="2" t="s">
        <v>10216</v>
      </c>
      <c r="C4567" s="2" t="s">
        <v>7596</v>
      </c>
    </row>
    <row r="4568">
      <c r="A4568" s="2" t="s">
        <v>10217</v>
      </c>
      <c r="B4568" s="2" t="s">
        <v>10218</v>
      </c>
      <c r="C4568" s="2" t="s">
        <v>7596</v>
      </c>
    </row>
    <row r="4569">
      <c r="A4569" s="2" t="s">
        <v>10219</v>
      </c>
      <c r="B4569" s="2" t="s">
        <v>10220</v>
      </c>
      <c r="C4569" s="2" t="s">
        <v>7596</v>
      </c>
    </row>
    <row r="4570">
      <c r="A4570" s="2" t="s">
        <v>10221</v>
      </c>
      <c r="B4570" s="2" t="s">
        <v>10222</v>
      </c>
      <c r="C4570" s="2" t="s">
        <v>7596</v>
      </c>
    </row>
    <row r="4571">
      <c r="A4571" s="2" t="s">
        <v>10223</v>
      </c>
      <c r="B4571" s="2" t="s">
        <v>10224</v>
      </c>
      <c r="C4571" s="2" t="s">
        <v>7596</v>
      </c>
    </row>
    <row r="4572">
      <c r="A4572" s="2" t="s">
        <v>10225</v>
      </c>
      <c r="B4572" s="2" t="s">
        <v>10226</v>
      </c>
      <c r="C4572" s="2" t="s">
        <v>7596</v>
      </c>
    </row>
    <row r="4573">
      <c r="A4573" s="2" t="s">
        <v>10227</v>
      </c>
      <c r="B4573" s="2" t="s">
        <v>10228</v>
      </c>
      <c r="C4573" s="2" t="s">
        <v>7596</v>
      </c>
    </row>
    <row r="4574">
      <c r="A4574" s="2" t="s">
        <v>10229</v>
      </c>
      <c r="B4574" s="2" t="s">
        <v>10230</v>
      </c>
      <c r="C4574" s="2" t="s">
        <v>7596</v>
      </c>
    </row>
    <row r="4575">
      <c r="A4575" s="2" t="s">
        <v>10231</v>
      </c>
      <c r="B4575" s="2" t="s">
        <v>10232</v>
      </c>
      <c r="C4575" s="2" t="s">
        <v>7596</v>
      </c>
    </row>
    <row r="4576">
      <c r="A4576" s="2" t="s">
        <v>10233</v>
      </c>
      <c r="B4576" s="2" t="s">
        <v>10234</v>
      </c>
      <c r="C4576" s="2" t="s">
        <v>7596</v>
      </c>
    </row>
    <row r="4577">
      <c r="A4577" s="2" t="s">
        <v>10235</v>
      </c>
      <c r="B4577" s="2" t="s">
        <v>10236</v>
      </c>
      <c r="C4577" s="2" t="s">
        <v>7596</v>
      </c>
    </row>
    <row r="4578">
      <c r="A4578" s="2" t="s">
        <v>10237</v>
      </c>
      <c r="B4578" s="2" t="s">
        <v>10238</v>
      </c>
      <c r="C4578" s="2" t="s">
        <v>7596</v>
      </c>
    </row>
    <row r="4579">
      <c r="A4579" s="2" t="s">
        <v>10239</v>
      </c>
      <c r="B4579" s="2" t="s">
        <v>10240</v>
      </c>
      <c r="C4579" s="2" t="s">
        <v>7596</v>
      </c>
    </row>
    <row r="4580">
      <c r="A4580" s="2" t="s">
        <v>10241</v>
      </c>
      <c r="B4580" s="2" t="s">
        <v>10242</v>
      </c>
      <c r="C4580" s="2" t="s">
        <v>7596</v>
      </c>
    </row>
    <row r="4581">
      <c r="A4581" s="2" t="s">
        <v>10243</v>
      </c>
      <c r="B4581" s="2" t="s">
        <v>10244</v>
      </c>
      <c r="C4581" s="2" t="s">
        <v>7596</v>
      </c>
    </row>
    <row r="4582">
      <c r="A4582" s="2" t="s">
        <v>10245</v>
      </c>
      <c r="B4582" s="2" t="s">
        <v>10246</v>
      </c>
      <c r="C4582" s="2" t="s">
        <v>7596</v>
      </c>
    </row>
    <row r="4583">
      <c r="A4583" s="2" t="s">
        <v>10247</v>
      </c>
      <c r="B4583" s="2" t="s">
        <v>10248</v>
      </c>
      <c r="C4583" s="2" t="s">
        <v>7596</v>
      </c>
    </row>
    <row r="4584">
      <c r="A4584" s="2" t="s">
        <v>10249</v>
      </c>
      <c r="B4584" s="2" t="s">
        <v>10250</v>
      </c>
      <c r="C4584" s="2" t="s">
        <v>7596</v>
      </c>
    </row>
    <row r="4585">
      <c r="A4585" s="2" t="s">
        <v>10251</v>
      </c>
      <c r="B4585" s="2" t="s">
        <v>10252</v>
      </c>
      <c r="C4585" s="2" t="s">
        <v>7596</v>
      </c>
    </row>
    <row r="4586">
      <c r="A4586" s="2" t="s">
        <v>10253</v>
      </c>
      <c r="B4586" s="2" t="s">
        <v>10254</v>
      </c>
      <c r="C4586" s="2" t="s">
        <v>7596</v>
      </c>
    </row>
    <row r="4587">
      <c r="A4587" s="2" t="s">
        <v>10255</v>
      </c>
      <c r="B4587" s="2" t="s">
        <v>10256</v>
      </c>
      <c r="C4587" s="2" t="s">
        <v>7596</v>
      </c>
    </row>
    <row r="4588">
      <c r="A4588" s="2" t="s">
        <v>10257</v>
      </c>
      <c r="B4588" s="2" t="s">
        <v>10258</v>
      </c>
      <c r="C4588" s="2" t="s">
        <v>7596</v>
      </c>
    </row>
    <row r="4589">
      <c r="A4589" s="2" t="s">
        <v>10259</v>
      </c>
      <c r="B4589" s="2" t="s">
        <v>10260</v>
      </c>
      <c r="C4589" s="2" t="s">
        <v>7596</v>
      </c>
    </row>
    <row r="4590">
      <c r="A4590" s="2" t="s">
        <v>10261</v>
      </c>
      <c r="B4590" s="2" t="s">
        <v>10262</v>
      </c>
      <c r="C4590" s="2" t="s">
        <v>7596</v>
      </c>
    </row>
    <row r="4591">
      <c r="A4591" s="2" t="s">
        <v>10263</v>
      </c>
      <c r="B4591" s="2" t="s">
        <v>10264</v>
      </c>
      <c r="C4591" s="2" t="s">
        <v>7596</v>
      </c>
    </row>
    <row r="4592">
      <c r="A4592" s="2" t="s">
        <v>10265</v>
      </c>
      <c r="B4592" s="2" t="s">
        <v>10266</v>
      </c>
      <c r="C4592" s="2" t="s">
        <v>7596</v>
      </c>
    </row>
    <row r="4593">
      <c r="A4593" s="2" t="s">
        <v>10267</v>
      </c>
      <c r="B4593" s="2" t="s">
        <v>10268</v>
      </c>
      <c r="C4593" s="2" t="s">
        <v>7596</v>
      </c>
    </row>
    <row r="4594">
      <c r="A4594" s="2" t="s">
        <v>10269</v>
      </c>
      <c r="B4594" s="2" t="s">
        <v>10270</v>
      </c>
      <c r="C4594" s="2" t="s">
        <v>7596</v>
      </c>
    </row>
    <row r="4595">
      <c r="A4595" s="2" t="s">
        <v>10271</v>
      </c>
      <c r="B4595" s="2" t="s">
        <v>10272</v>
      </c>
      <c r="C4595" s="2" t="s">
        <v>7596</v>
      </c>
    </row>
    <row r="4596">
      <c r="A4596" s="2" t="s">
        <v>10273</v>
      </c>
      <c r="B4596" s="2" t="s">
        <v>10274</v>
      </c>
      <c r="C4596" s="2" t="s">
        <v>7596</v>
      </c>
    </row>
    <row r="4597">
      <c r="A4597" s="2" t="s">
        <v>10275</v>
      </c>
      <c r="B4597" s="2" t="s">
        <v>10276</v>
      </c>
      <c r="C4597" s="2" t="s">
        <v>7596</v>
      </c>
    </row>
    <row r="4598">
      <c r="A4598" s="2" t="s">
        <v>10277</v>
      </c>
      <c r="B4598" s="2" t="s">
        <v>10278</v>
      </c>
      <c r="C4598" s="2" t="s">
        <v>7596</v>
      </c>
    </row>
    <row r="4599">
      <c r="A4599" s="2" t="s">
        <v>10279</v>
      </c>
      <c r="B4599" s="2" t="s">
        <v>10280</v>
      </c>
      <c r="C4599" s="2" t="s">
        <v>7596</v>
      </c>
    </row>
    <row r="4600">
      <c r="A4600" s="2" t="s">
        <v>10281</v>
      </c>
      <c r="B4600" s="2" t="s">
        <v>10282</v>
      </c>
      <c r="C4600" s="2" t="s">
        <v>7596</v>
      </c>
    </row>
    <row r="4601">
      <c r="A4601" s="2" t="s">
        <v>10283</v>
      </c>
      <c r="B4601" s="2" t="s">
        <v>10284</v>
      </c>
      <c r="C4601" s="2" t="s">
        <v>7596</v>
      </c>
    </row>
    <row r="4602">
      <c r="A4602" s="2" t="s">
        <v>10285</v>
      </c>
      <c r="B4602" s="2" t="s">
        <v>10286</v>
      </c>
      <c r="C4602" s="2" t="s">
        <v>7596</v>
      </c>
    </row>
    <row r="4603">
      <c r="A4603" s="2" t="s">
        <v>10287</v>
      </c>
      <c r="B4603" s="2" t="s">
        <v>10288</v>
      </c>
      <c r="C4603" s="2" t="s">
        <v>7596</v>
      </c>
    </row>
    <row r="4604">
      <c r="A4604" s="2" t="s">
        <v>10289</v>
      </c>
      <c r="B4604" s="2" t="s">
        <v>10290</v>
      </c>
      <c r="C4604" s="2" t="s">
        <v>7596</v>
      </c>
    </row>
    <row r="4605">
      <c r="A4605" s="2" t="s">
        <v>10291</v>
      </c>
      <c r="B4605" s="2" t="s">
        <v>10292</v>
      </c>
      <c r="C4605" s="2" t="s">
        <v>7596</v>
      </c>
    </row>
    <row r="4606">
      <c r="A4606" s="2" t="s">
        <v>10293</v>
      </c>
      <c r="B4606" s="2" t="s">
        <v>10294</v>
      </c>
      <c r="C4606" s="2" t="s">
        <v>7596</v>
      </c>
    </row>
    <row r="4607">
      <c r="A4607" s="2" t="s">
        <v>10295</v>
      </c>
      <c r="B4607" s="2" t="s">
        <v>10296</v>
      </c>
      <c r="C4607" s="2" t="s">
        <v>7596</v>
      </c>
    </row>
    <row r="4608">
      <c r="A4608" s="2" t="s">
        <v>10297</v>
      </c>
      <c r="B4608" s="2" t="s">
        <v>10298</v>
      </c>
      <c r="C4608" s="2" t="s">
        <v>7596</v>
      </c>
    </row>
    <row r="4609">
      <c r="A4609" s="2" t="s">
        <v>10299</v>
      </c>
      <c r="B4609" s="2" t="s">
        <v>10300</v>
      </c>
      <c r="C4609" s="2" t="s">
        <v>7596</v>
      </c>
    </row>
    <row r="4610">
      <c r="A4610" s="2" t="s">
        <v>10301</v>
      </c>
      <c r="B4610" s="2" t="s">
        <v>10300</v>
      </c>
      <c r="C4610" s="2" t="s">
        <v>7596</v>
      </c>
    </row>
    <row r="4611">
      <c r="A4611" s="2" t="s">
        <v>10302</v>
      </c>
      <c r="B4611" s="2" t="s">
        <v>10300</v>
      </c>
      <c r="C4611" s="2" t="s">
        <v>7596</v>
      </c>
    </row>
    <row r="4612">
      <c r="A4612" s="2" t="s">
        <v>10303</v>
      </c>
      <c r="B4612" s="2" t="s">
        <v>10300</v>
      </c>
      <c r="C4612" s="2" t="s">
        <v>7596</v>
      </c>
    </row>
    <row r="4613">
      <c r="A4613" s="2" t="s">
        <v>10304</v>
      </c>
      <c r="B4613" s="2" t="s">
        <v>10300</v>
      </c>
      <c r="C4613" s="2" t="s">
        <v>7596</v>
      </c>
    </row>
    <row r="4614">
      <c r="A4614" s="2" t="s">
        <v>10305</v>
      </c>
      <c r="B4614" s="2" t="s">
        <v>10306</v>
      </c>
      <c r="C4614" s="2" t="s">
        <v>7596</v>
      </c>
    </row>
    <row r="4615">
      <c r="A4615" s="2" t="s">
        <v>10307</v>
      </c>
      <c r="B4615" s="2" t="s">
        <v>10308</v>
      </c>
      <c r="C4615" s="2" t="s">
        <v>7596</v>
      </c>
    </row>
    <row r="4616">
      <c r="A4616" s="2" t="s">
        <v>10309</v>
      </c>
      <c r="B4616" s="2" t="s">
        <v>10310</v>
      </c>
      <c r="C4616" s="2" t="s">
        <v>7596</v>
      </c>
    </row>
    <row r="4617">
      <c r="A4617" s="2" t="s">
        <v>10311</v>
      </c>
      <c r="B4617" s="2" t="s">
        <v>10312</v>
      </c>
      <c r="C4617" s="2" t="s">
        <v>7596</v>
      </c>
    </row>
    <row r="4618">
      <c r="A4618" s="2" t="s">
        <v>10313</v>
      </c>
      <c r="B4618" s="2" t="s">
        <v>10314</v>
      </c>
      <c r="C4618" s="2" t="s">
        <v>7596</v>
      </c>
    </row>
    <row r="4619">
      <c r="A4619" s="2" t="s">
        <v>10315</v>
      </c>
      <c r="B4619" s="2" t="s">
        <v>10316</v>
      </c>
      <c r="C4619" s="2" t="s">
        <v>7596</v>
      </c>
    </row>
    <row r="4620">
      <c r="A4620" s="2" t="s">
        <v>10317</v>
      </c>
      <c r="B4620" s="2" t="s">
        <v>10318</v>
      </c>
      <c r="C4620" s="2" t="s">
        <v>7596</v>
      </c>
    </row>
    <row r="4621">
      <c r="A4621" s="2" t="s">
        <v>10319</v>
      </c>
      <c r="B4621" s="2" t="s">
        <v>10320</v>
      </c>
      <c r="C4621" s="2" t="s">
        <v>7596</v>
      </c>
    </row>
    <row r="4622">
      <c r="A4622" s="2" t="s">
        <v>10321</v>
      </c>
      <c r="B4622" s="2" t="s">
        <v>10322</v>
      </c>
      <c r="C4622" s="2" t="s">
        <v>7596</v>
      </c>
    </row>
    <row r="4623">
      <c r="A4623" s="2" t="s">
        <v>10323</v>
      </c>
      <c r="B4623" s="2" t="s">
        <v>10324</v>
      </c>
      <c r="C4623" s="2" t="s">
        <v>7596</v>
      </c>
    </row>
    <row r="4624">
      <c r="A4624" s="2" t="s">
        <v>10325</v>
      </c>
      <c r="B4624" s="2" t="s">
        <v>10326</v>
      </c>
      <c r="C4624" s="2" t="s">
        <v>7596</v>
      </c>
    </row>
    <row r="4625">
      <c r="A4625" s="2" t="s">
        <v>10327</v>
      </c>
      <c r="B4625" s="2" t="s">
        <v>10328</v>
      </c>
      <c r="C4625" s="2" t="s">
        <v>7596</v>
      </c>
    </row>
    <row r="4626">
      <c r="A4626" s="2" t="s">
        <v>10329</v>
      </c>
      <c r="B4626" s="2" t="s">
        <v>10330</v>
      </c>
      <c r="C4626" s="2" t="s">
        <v>7596</v>
      </c>
    </row>
    <row r="4627">
      <c r="A4627" s="2" t="s">
        <v>10331</v>
      </c>
      <c r="B4627" s="2" t="s">
        <v>10332</v>
      </c>
      <c r="C4627" s="2" t="s">
        <v>7596</v>
      </c>
    </row>
    <row r="4628">
      <c r="A4628" s="2" t="s">
        <v>10333</v>
      </c>
      <c r="B4628" s="2" t="s">
        <v>10334</v>
      </c>
      <c r="C4628" s="2" t="s">
        <v>7596</v>
      </c>
    </row>
    <row r="4629">
      <c r="A4629" s="2" t="s">
        <v>10335</v>
      </c>
      <c r="B4629" s="2" t="s">
        <v>10336</v>
      </c>
      <c r="C4629" s="2" t="s">
        <v>7596</v>
      </c>
    </row>
    <row r="4630">
      <c r="A4630" s="2" t="s">
        <v>10337</v>
      </c>
      <c r="B4630" s="2" t="s">
        <v>10338</v>
      </c>
      <c r="C4630" s="2" t="s">
        <v>7596</v>
      </c>
    </row>
    <row r="4631">
      <c r="A4631" s="2" t="s">
        <v>10339</v>
      </c>
      <c r="B4631" s="2" t="s">
        <v>10340</v>
      </c>
      <c r="C4631" s="2" t="s">
        <v>7596</v>
      </c>
    </row>
    <row r="4632">
      <c r="A4632" s="2" t="s">
        <v>10341</v>
      </c>
      <c r="B4632" s="2" t="s">
        <v>10342</v>
      </c>
      <c r="C4632" s="2" t="s">
        <v>7596</v>
      </c>
    </row>
    <row r="4633">
      <c r="A4633" s="2" t="s">
        <v>10343</v>
      </c>
      <c r="B4633" s="2" t="s">
        <v>10344</v>
      </c>
      <c r="C4633" s="2" t="s">
        <v>7596</v>
      </c>
    </row>
    <row r="4634">
      <c r="A4634" s="2" t="s">
        <v>10345</v>
      </c>
      <c r="B4634" s="2" t="s">
        <v>10346</v>
      </c>
      <c r="C4634" s="2" t="s">
        <v>7596</v>
      </c>
    </row>
    <row r="4635">
      <c r="A4635" s="2" t="s">
        <v>10347</v>
      </c>
      <c r="B4635" s="2" t="s">
        <v>10348</v>
      </c>
      <c r="C4635" s="2" t="s">
        <v>7596</v>
      </c>
    </row>
    <row r="4636">
      <c r="A4636" s="2" t="s">
        <v>10349</v>
      </c>
      <c r="B4636" s="2" t="s">
        <v>10350</v>
      </c>
      <c r="C4636" s="2" t="s">
        <v>7596</v>
      </c>
    </row>
    <row r="4637">
      <c r="A4637" s="2" t="s">
        <v>10351</v>
      </c>
      <c r="B4637" s="2" t="s">
        <v>10352</v>
      </c>
      <c r="C4637" s="2" t="s">
        <v>7596</v>
      </c>
    </row>
    <row r="4638">
      <c r="A4638" s="2" t="s">
        <v>10353</v>
      </c>
      <c r="B4638" s="2" t="s">
        <v>10354</v>
      </c>
      <c r="C4638" s="2" t="s">
        <v>7596</v>
      </c>
    </row>
    <row r="4639">
      <c r="A4639" s="2" t="s">
        <v>10355</v>
      </c>
      <c r="B4639" s="2" t="s">
        <v>10356</v>
      </c>
      <c r="C4639" s="2" t="s">
        <v>7596</v>
      </c>
    </row>
    <row r="4640">
      <c r="A4640" s="2" t="s">
        <v>10357</v>
      </c>
      <c r="B4640" s="2" t="s">
        <v>10358</v>
      </c>
      <c r="C4640" s="2" t="s">
        <v>7596</v>
      </c>
    </row>
    <row r="4641">
      <c r="A4641" s="2" t="s">
        <v>10359</v>
      </c>
      <c r="B4641" s="2" t="s">
        <v>10360</v>
      </c>
      <c r="C4641" s="2" t="s">
        <v>7596</v>
      </c>
    </row>
    <row r="4642">
      <c r="A4642" s="2" t="s">
        <v>10361</v>
      </c>
      <c r="B4642" s="2" t="s">
        <v>10362</v>
      </c>
      <c r="C4642" s="2" t="s">
        <v>7596</v>
      </c>
    </row>
    <row r="4643">
      <c r="A4643" s="2" t="s">
        <v>10363</v>
      </c>
      <c r="B4643" s="2" t="s">
        <v>10364</v>
      </c>
      <c r="C4643" s="2" t="s">
        <v>7596</v>
      </c>
    </row>
    <row r="4644">
      <c r="A4644" s="2" t="s">
        <v>10365</v>
      </c>
      <c r="B4644" s="2" t="s">
        <v>10366</v>
      </c>
      <c r="C4644" s="2" t="s">
        <v>7596</v>
      </c>
    </row>
    <row r="4645">
      <c r="A4645" s="2" t="s">
        <v>10367</v>
      </c>
      <c r="B4645" s="2" t="s">
        <v>10368</v>
      </c>
      <c r="C4645" s="2" t="s">
        <v>7596</v>
      </c>
    </row>
    <row r="4646">
      <c r="A4646" s="2" t="s">
        <v>10369</v>
      </c>
      <c r="B4646" s="2" t="s">
        <v>10370</v>
      </c>
      <c r="C4646" s="2" t="s">
        <v>7596</v>
      </c>
    </row>
    <row r="4647">
      <c r="A4647" s="2" t="s">
        <v>10371</v>
      </c>
      <c r="B4647" s="2" t="s">
        <v>10372</v>
      </c>
      <c r="C4647" s="2" t="s">
        <v>7596</v>
      </c>
    </row>
    <row r="4648">
      <c r="A4648" s="2" t="s">
        <v>10373</v>
      </c>
      <c r="B4648" s="2" t="s">
        <v>10374</v>
      </c>
      <c r="C4648" s="2" t="s">
        <v>7596</v>
      </c>
    </row>
    <row r="4649">
      <c r="A4649" s="2" t="s">
        <v>10375</v>
      </c>
      <c r="B4649" s="2" t="s">
        <v>10376</v>
      </c>
      <c r="C4649" s="2" t="s">
        <v>7596</v>
      </c>
    </row>
    <row r="4650">
      <c r="A4650" s="2" t="s">
        <v>10377</v>
      </c>
      <c r="B4650" s="2" t="s">
        <v>10378</v>
      </c>
      <c r="C4650" s="2" t="s">
        <v>7596</v>
      </c>
    </row>
    <row r="4651">
      <c r="A4651" s="2" t="s">
        <v>10379</v>
      </c>
      <c r="B4651" s="2" t="s">
        <v>10380</v>
      </c>
      <c r="C4651" s="2" t="s">
        <v>7596</v>
      </c>
    </row>
    <row r="4652">
      <c r="A4652" s="2" t="s">
        <v>10381</v>
      </c>
      <c r="B4652" s="2" t="s">
        <v>10382</v>
      </c>
      <c r="C4652" s="2" t="s">
        <v>7596</v>
      </c>
    </row>
    <row r="4653">
      <c r="A4653" s="2" t="s">
        <v>10383</v>
      </c>
      <c r="B4653" s="2" t="s">
        <v>10384</v>
      </c>
      <c r="C4653" s="2" t="s">
        <v>7596</v>
      </c>
    </row>
    <row r="4654">
      <c r="A4654" s="2" t="s">
        <v>10385</v>
      </c>
      <c r="B4654" s="2" t="s">
        <v>10386</v>
      </c>
      <c r="C4654" s="2" t="s">
        <v>7596</v>
      </c>
    </row>
    <row r="4655">
      <c r="A4655" s="2" t="s">
        <v>10387</v>
      </c>
      <c r="B4655" s="2" t="s">
        <v>10388</v>
      </c>
      <c r="C4655" s="2" t="s">
        <v>7596</v>
      </c>
    </row>
    <row r="4656">
      <c r="A4656" s="2" t="s">
        <v>10389</v>
      </c>
      <c r="B4656" s="2" t="s">
        <v>10390</v>
      </c>
      <c r="C4656" s="2" t="s">
        <v>7596</v>
      </c>
    </row>
    <row r="4657">
      <c r="A4657" s="2" t="s">
        <v>10391</v>
      </c>
      <c r="B4657" s="2" t="s">
        <v>10392</v>
      </c>
      <c r="C4657" s="2" t="s">
        <v>7596</v>
      </c>
    </row>
    <row r="4658">
      <c r="A4658" s="2" t="s">
        <v>10393</v>
      </c>
      <c r="B4658" s="2" t="s">
        <v>10394</v>
      </c>
      <c r="C4658" s="2" t="s">
        <v>7596</v>
      </c>
    </row>
    <row r="4659">
      <c r="A4659" s="2" t="s">
        <v>10395</v>
      </c>
      <c r="B4659" s="2" t="s">
        <v>10396</v>
      </c>
      <c r="C4659" s="2" t="s">
        <v>7596</v>
      </c>
    </row>
    <row r="4660">
      <c r="A4660" s="2" t="s">
        <v>10397</v>
      </c>
      <c r="B4660" s="2" t="s">
        <v>10398</v>
      </c>
      <c r="C4660" s="2" t="s">
        <v>7596</v>
      </c>
    </row>
    <row r="4661">
      <c r="A4661" s="2" t="s">
        <v>10399</v>
      </c>
      <c r="B4661" s="2" t="s">
        <v>10400</v>
      </c>
      <c r="C4661" s="2" t="s">
        <v>7596</v>
      </c>
    </row>
    <row r="4662">
      <c r="A4662" s="2" t="s">
        <v>10401</v>
      </c>
      <c r="B4662" s="2" t="s">
        <v>10402</v>
      </c>
      <c r="C4662" s="2" t="s">
        <v>7596</v>
      </c>
    </row>
    <row r="4663">
      <c r="A4663" s="2" t="s">
        <v>10403</v>
      </c>
      <c r="B4663" s="2" t="s">
        <v>10404</v>
      </c>
      <c r="C4663" s="2" t="s">
        <v>7596</v>
      </c>
    </row>
    <row r="4664">
      <c r="A4664" s="2" t="s">
        <v>10405</v>
      </c>
      <c r="B4664" s="2" t="s">
        <v>10406</v>
      </c>
      <c r="C4664" s="2" t="s">
        <v>7596</v>
      </c>
    </row>
    <row r="4665">
      <c r="A4665" s="2" t="s">
        <v>10407</v>
      </c>
      <c r="B4665" s="2" t="s">
        <v>10408</v>
      </c>
      <c r="C4665" s="2" t="s">
        <v>7596</v>
      </c>
    </row>
    <row r="4666">
      <c r="A4666" s="2" t="s">
        <v>10409</v>
      </c>
      <c r="B4666" s="2" t="s">
        <v>10410</v>
      </c>
      <c r="C4666" s="2" t="s">
        <v>7596</v>
      </c>
    </row>
    <row r="4667">
      <c r="A4667" s="2" t="s">
        <v>10411</v>
      </c>
      <c r="B4667" s="2" t="s">
        <v>10412</v>
      </c>
      <c r="C4667" s="2" t="s">
        <v>7596</v>
      </c>
    </row>
    <row r="4668">
      <c r="A4668" s="2" t="s">
        <v>10413</v>
      </c>
      <c r="B4668" s="2" t="s">
        <v>10414</v>
      </c>
      <c r="C4668" s="2" t="s">
        <v>7596</v>
      </c>
    </row>
    <row r="4669">
      <c r="A4669" s="2" t="s">
        <v>10415</v>
      </c>
      <c r="B4669" s="2" t="s">
        <v>10416</v>
      </c>
      <c r="C4669" s="2" t="s">
        <v>7596</v>
      </c>
    </row>
    <row r="4670">
      <c r="A4670" s="2" t="s">
        <v>10417</v>
      </c>
      <c r="B4670" s="2" t="s">
        <v>10418</v>
      </c>
      <c r="C4670" s="2" t="s">
        <v>7596</v>
      </c>
    </row>
    <row r="4671">
      <c r="A4671" s="2" t="s">
        <v>10419</v>
      </c>
      <c r="B4671" s="2" t="s">
        <v>10420</v>
      </c>
      <c r="C4671" s="2" t="s">
        <v>7596</v>
      </c>
    </row>
    <row r="4672">
      <c r="A4672" s="2" t="s">
        <v>10421</v>
      </c>
      <c r="B4672" s="2" t="s">
        <v>10422</v>
      </c>
      <c r="C4672" s="2" t="s">
        <v>7596</v>
      </c>
    </row>
    <row r="4673">
      <c r="A4673" s="2" t="s">
        <v>10423</v>
      </c>
      <c r="B4673" s="2" t="s">
        <v>10424</v>
      </c>
      <c r="C4673" s="2" t="s">
        <v>7596</v>
      </c>
    </row>
    <row r="4674">
      <c r="A4674" s="2" t="s">
        <v>10425</v>
      </c>
      <c r="B4674" s="2" t="s">
        <v>10426</v>
      </c>
      <c r="C4674" s="2" t="s">
        <v>7596</v>
      </c>
    </row>
    <row r="4675">
      <c r="A4675" s="2" t="s">
        <v>10427</v>
      </c>
      <c r="B4675" s="2" t="s">
        <v>10428</v>
      </c>
      <c r="C4675" s="2" t="s">
        <v>7596</v>
      </c>
    </row>
    <row r="4676">
      <c r="A4676" s="2" t="s">
        <v>10429</v>
      </c>
      <c r="B4676" s="2" t="s">
        <v>10430</v>
      </c>
      <c r="C4676" s="2" t="s">
        <v>7596</v>
      </c>
    </row>
    <row r="4677">
      <c r="A4677" s="2" t="s">
        <v>10431</v>
      </c>
      <c r="B4677" s="2" t="s">
        <v>10432</v>
      </c>
      <c r="C4677" s="2" t="s">
        <v>7596</v>
      </c>
    </row>
    <row r="4678">
      <c r="A4678" s="2" t="s">
        <v>10433</v>
      </c>
      <c r="B4678" s="2" t="s">
        <v>10434</v>
      </c>
      <c r="C4678" s="2" t="s">
        <v>7596</v>
      </c>
    </row>
    <row r="4679">
      <c r="A4679" s="2" t="s">
        <v>10435</v>
      </c>
      <c r="B4679" s="2" t="s">
        <v>10436</v>
      </c>
      <c r="C4679" s="2" t="s">
        <v>7596</v>
      </c>
    </row>
    <row r="4680">
      <c r="A4680" s="2" t="s">
        <v>10437</v>
      </c>
      <c r="B4680" s="2" t="s">
        <v>10438</v>
      </c>
      <c r="C4680" s="2" t="s">
        <v>7596</v>
      </c>
    </row>
    <row r="4681">
      <c r="A4681" s="2" t="s">
        <v>10439</v>
      </c>
      <c r="B4681" s="2" t="s">
        <v>10440</v>
      </c>
      <c r="C4681" s="2" t="s">
        <v>7596</v>
      </c>
    </row>
    <row r="4682">
      <c r="A4682" s="2" t="s">
        <v>10441</v>
      </c>
      <c r="B4682" s="2" t="s">
        <v>10442</v>
      </c>
      <c r="C4682" s="2" t="s">
        <v>7596</v>
      </c>
    </row>
    <row r="4683">
      <c r="A4683" s="2" t="s">
        <v>10443</v>
      </c>
      <c r="B4683" s="2" t="s">
        <v>10444</v>
      </c>
      <c r="C4683" s="2" t="s">
        <v>7596</v>
      </c>
    </row>
    <row r="4684">
      <c r="A4684" s="2" t="s">
        <v>10445</v>
      </c>
      <c r="B4684" s="2" t="s">
        <v>10446</v>
      </c>
      <c r="C4684" s="2" t="s">
        <v>7596</v>
      </c>
    </row>
    <row r="4685">
      <c r="A4685" s="2" t="s">
        <v>10447</v>
      </c>
      <c r="B4685" s="2" t="s">
        <v>10448</v>
      </c>
      <c r="C4685" s="2" t="s">
        <v>7596</v>
      </c>
    </row>
    <row r="4686">
      <c r="A4686" s="2" t="s">
        <v>10449</v>
      </c>
      <c r="B4686" s="2" t="s">
        <v>10450</v>
      </c>
      <c r="C4686" s="2" t="s">
        <v>7596</v>
      </c>
    </row>
    <row r="4687">
      <c r="A4687" s="2" t="s">
        <v>10451</v>
      </c>
      <c r="B4687" s="2" t="s">
        <v>10452</v>
      </c>
      <c r="C4687" s="2" t="s">
        <v>7596</v>
      </c>
    </row>
    <row r="4688">
      <c r="A4688" s="2" t="s">
        <v>10453</v>
      </c>
      <c r="B4688" s="2" t="s">
        <v>10454</v>
      </c>
      <c r="C4688" s="2" t="s">
        <v>7596</v>
      </c>
    </row>
    <row r="4689">
      <c r="A4689" s="2" t="s">
        <v>10455</v>
      </c>
      <c r="B4689" s="2" t="s">
        <v>10456</v>
      </c>
      <c r="C4689" s="2" t="s">
        <v>7596</v>
      </c>
    </row>
    <row r="4690">
      <c r="A4690" s="2" t="s">
        <v>10457</v>
      </c>
      <c r="B4690" s="2" t="s">
        <v>10458</v>
      </c>
      <c r="C4690" s="2" t="s">
        <v>7596</v>
      </c>
    </row>
    <row r="4691">
      <c r="A4691" s="2" t="s">
        <v>10459</v>
      </c>
      <c r="B4691" s="2" t="s">
        <v>10460</v>
      </c>
      <c r="C4691" s="2" t="s">
        <v>7596</v>
      </c>
    </row>
    <row r="4692">
      <c r="A4692" s="2" t="s">
        <v>10461</v>
      </c>
      <c r="B4692" s="2" t="s">
        <v>10462</v>
      </c>
      <c r="C4692" s="2" t="s">
        <v>7596</v>
      </c>
    </row>
    <row r="4693">
      <c r="A4693" s="2" t="s">
        <v>10463</v>
      </c>
      <c r="B4693" s="2" t="s">
        <v>10464</v>
      </c>
      <c r="C4693" s="2" t="s">
        <v>7596</v>
      </c>
    </row>
    <row r="4694">
      <c r="A4694" s="2" t="s">
        <v>10465</v>
      </c>
      <c r="B4694" s="2" t="s">
        <v>10466</v>
      </c>
      <c r="C4694" s="2" t="s">
        <v>7596</v>
      </c>
    </row>
    <row r="4695">
      <c r="A4695" s="2" t="s">
        <v>10467</v>
      </c>
      <c r="B4695" s="2" t="s">
        <v>10468</v>
      </c>
      <c r="C4695" s="2" t="s">
        <v>7596</v>
      </c>
    </row>
    <row r="4696">
      <c r="A4696" s="2" t="s">
        <v>10469</v>
      </c>
      <c r="B4696" s="2" t="s">
        <v>10470</v>
      </c>
      <c r="C4696" s="2" t="s">
        <v>7596</v>
      </c>
    </row>
    <row r="4697">
      <c r="A4697" s="2" t="s">
        <v>10471</v>
      </c>
      <c r="B4697" s="2" t="s">
        <v>10472</v>
      </c>
      <c r="C4697" s="2" t="s">
        <v>7596</v>
      </c>
    </row>
    <row r="4698">
      <c r="A4698" s="2" t="s">
        <v>10473</v>
      </c>
      <c r="B4698" s="2" t="s">
        <v>10474</v>
      </c>
      <c r="C4698" s="2" t="s">
        <v>7596</v>
      </c>
    </row>
    <row r="4699">
      <c r="A4699" s="2" t="s">
        <v>10475</v>
      </c>
      <c r="B4699" s="2" t="s">
        <v>10476</v>
      </c>
      <c r="C4699" s="2" t="s">
        <v>7596</v>
      </c>
    </row>
    <row r="4700">
      <c r="A4700" s="2" t="s">
        <v>10477</v>
      </c>
      <c r="B4700" s="2" t="s">
        <v>10478</v>
      </c>
      <c r="C4700" s="2" t="s">
        <v>7596</v>
      </c>
    </row>
    <row r="4701">
      <c r="A4701" s="2" t="s">
        <v>10479</v>
      </c>
      <c r="B4701" s="2" t="s">
        <v>10480</v>
      </c>
      <c r="C4701" s="2" t="s">
        <v>7596</v>
      </c>
    </row>
    <row r="4702">
      <c r="A4702" s="2" t="s">
        <v>10481</v>
      </c>
      <c r="B4702" s="2" t="s">
        <v>10482</v>
      </c>
      <c r="C4702" s="2" t="s">
        <v>7596</v>
      </c>
    </row>
    <row r="4703">
      <c r="A4703" s="2" t="s">
        <v>10483</v>
      </c>
      <c r="B4703" s="2" t="s">
        <v>10484</v>
      </c>
      <c r="C4703" s="2" t="s">
        <v>7596</v>
      </c>
    </row>
    <row r="4704">
      <c r="A4704" s="2" t="s">
        <v>10485</v>
      </c>
      <c r="B4704" s="2" t="s">
        <v>10486</v>
      </c>
      <c r="C4704" s="2" t="s">
        <v>7596</v>
      </c>
    </row>
    <row r="4705">
      <c r="A4705" s="2" t="s">
        <v>10487</v>
      </c>
      <c r="B4705" s="2" t="s">
        <v>10488</v>
      </c>
      <c r="C4705" s="2" t="s">
        <v>7596</v>
      </c>
    </row>
    <row r="4706">
      <c r="A4706" s="2" t="s">
        <v>10489</v>
      </c>
      <c r="B4706" s="2" t="s">
        <v>10490</v>
      </c>
      <c r="C4706" s="2" t="s">
        <v>7596</v>
      </c>
    </row>
    <row r="4707">
      <c r="A4707" s="2" t="s">
        <v>10491</v>
      </c>
      <c r="B4707" s="2" t="s">
        <v>10492</v>
      </c>
      <c r="C4707" s="2" t="s">
        <v>7596</v>
      </c>
    </row>
    <row r="4708">
      <c r="A4708" s="2" t="s">
        <v>10493</v>
      </c>
      <c r="B4708" s="2" t="s">
        <v>10494</v>
      </c>
      <c r="C4708" s="2" t="s">
        <v>7596</v>
      </c>
    </row>
    <row r="4709">
      <c r="A4709" s="2" t="s">
        <v>10495</v>
      </c>
      <c r="B4709" s="2" t="s">
        <v>10496</v>
      </c>
      <c r="C4709" s="2" t="s">
        <v>7596</v>
      </c>
    </row>
    <row r="4710">
      <c r="A4710" s="2" t="s">
        <v>10497</v>
      </c>
      <c r="B4710" s="2" t="s">
        <v>10498</v>
      </c>
      <c r="C4710" s="2" t="s">
        <v>7596</v>
      </c>
    </row>
    <row r="4711">
      <c r="A4711" s="2" t="s">
        <v>10499</v>
      </c>
      <c r="B4711" s="2" t="s">
        <v>10500</v>
      </c>
      <c r="C4711" s="2" t="s">
        <v>7596</v>
      </c>
    </row>
    <row r="4712">
      <c r="A4712" s="2" t="s">
        <v>10501</v>
      </c>
      <c r="B4712" s="2" t="s">
        <v>10502</v>
      </c>
      <c r="C4712" s="2" t="s">
        <v>7596</v>
      </c>
    </row>
    <row r="4713">
      <c r="A4713" s="2" t="s">
        <v>10503</v>
      </c>
      <c r="B4713" s="2" t="s">
        <v>10504</v>
      </c>
      <c r="C4713" s="2" t="s">
        <v>7596</v>
      </c>
    </row>
    <row r="4714">
      <c r="A4714" s="2" t="s">
        <v>10505</v>
      </c>
      <c r="B4714" s="2" t="s">
        <v>10506</v>
      </c>
      <c r="C4714" s="2" t="s">
        <v>7596</v>
      </c>
    </row>
    <row r="4715">
      <c r="A4715" s="2" t="s">
        <v>10507</v>
      </c>
      <c r="B4715" s="2" t="s">
        <v>10508</v>
      </c>
      <c r="C4715" s="2" t="s">
        <v>7596</v>
      </c>
    </row>
    <row r="4716">
      <c r="A4716" s="2" t="s">
        <v>10509</v>
      </c>
      <c r="B4716" s="2" t="s">
        <v>10510</v>
      </c>
      <c r="C4716" s="2" t="s">
        <v>7596</v>
      </c>
    </row>
    <row r="4717">
      <c r="A4717" s="2" t="s">
        <v>10511</v>
      </c>
      <c r="B4717" s="2" t="s">
        <v>10512</v>
      </c>
      <c r="C4717" s="2" t="s">
        <v>7596</v>
      </c>
    </row>
    <row r="4718">
      <c r="A4718" s="2" t="s">
        <v>10513</v>
      </c>
      <c r="B4718" s="2" t="s">
        <v>10514</v>
      </c>
      <c r="C4718" s="2" t="s">
        <v>7596</v>
      </c>
    </row>
    <row r="4719">
      <c r="A4719" s="2" t="s">
        <v>10515</v>
      </c>
      <c r="B4719" s="2" t="s">
        <v>10516</v>
      </c>
      <c r="C4719" s="2" t="s">
        <v>7596</v>
      </c>
    </row>
    <row r="4720">
      <c r="A4720" s="2" t="s">
        <v>10517</v>
      </c>
      <c r="B4720" s="2" t="s">
        <v>10518</v>
      </c>
      <c r="C4720" s="2" t="s">
        <v>7596</v>
      </c>
    </row>
    <row r="4721">
      <c r="A4721" s="2" t="s">
        <v>10519</v>
      </c>
      <c r="B4721" s="2" t="s">
        <v>10520</v>
      </c>
      <c r="C4721" s="2" t="s">
        <v>7596</v>
      </c>
    </row>
    <row r="4722">
      <c r="A4722" s="2" t="s">
        <v>10521</v>
      </c>
      <c r="B4722" s="2" t="s">
        <v>10522</v>
      </c>
      <c r="C4722" s="2" t="s">
        <v>7596</v>
      </c>
    </row>
    <row r="4723">
      <c r="A4723" s="2" t="s">
        <v>10523</v>
      </c>
      <c r="B4723" s="2" t="s">
        <v>10524</v>
      </c>
      <c r="C4723" s="2" t="s">
        <v>7596</v>
      </c>
    </row>
    <row r="4724">
      <c r="A4724" s="2" t="s">
        <v>10525</v>
      </c>
      <c r="B4724" s="2" t="s">
        <v>10526</v>
      </c>
      <c r="C4724" s="2" t="s">
        <v>7596</v>
      </c>
    </row>
    <row r="4725">
      <c r="A4725" s="2" t="s">
        <v>10527</v>
      </c>
      <c r="B4725" s="2" t="s">
        <v>10528</v>
      </c>
      <c r="C4725" s="2" t="s">
        <v>7596</v>
      </c>
    </row>
    <row r="4726">
      <c r="A4726" s="2" t="s">
        <v>10529</v>
      </c>
      <c r="B4726" s="2" t="s">
        <v>10530</v>
      </c>
      <c r="C4726" s="2" t="s">
        <v>7596</v>
      </c>
    </row>
    <row r="4727">
      <c r="A4727" s="2" t="s">
        <v>10531</v>
      </c>
      <c r="B4727" s="2" t="s">
        <v>10532</v>
      </c>
      <c r="C4727" s="2" t="s">
        <v>7596</v>
      </c>
    </row>
    <row r="4728">
      <c r="A4728" s="2" t="s">
        <v>10533</v>
      </c>
      <c r="B4728" s="2" t="s">
        <v>10534</v>
      </c>
      <c r="C4728" s="2" t="s">
        <v>7596</v>
      </c>
    </row>
    <row r="4729">
      <c r="A4729" s="2" t="s">
        <v>10535</v>
      </c>
      <c r="B4729" s="2" t="s">
        <v>10536</v>
      </c>
      <c r="C4729" s="2" t="s">
        <v>7596</v>
      </c>
    </row>
    <row r="4730">
      <c r="A4730" s="2" t="s">
        <v>10537</v>
      </c>
      <c r="B4730" s="2" t="s">
        <v>10538</v>
      </c>
      <c r="C4730" s="2" t="s">
        <v>7596</v>
      </c>
    </row>
    <row r="4731">
      <c r="A4731" s="2" t="s">
        <v>10539</v>
      </c>
      <c r="B4731" s="2" t="s">
        <v>10540</v>
      </c>
      <c r="C4731" s="2" t="s">
        <v>7596</v>
      </c>
    </row>
    <row r="4732">
      <c r="A4732" s="2" t="s">
        <v>10541</v>
      </c>
      <c r="B4732" s="2" t="s">
        <v>10542</v>
      </c>
      <c r="C4732" s="2" t="s">
        <v>7596</v>
      </c>
    </row>
    <row r="4733">
      <c r="A4733" s="2" t="s">
        <v>10543</v>
      </c>
      <c r="B4733" s="2" t="s">
        <v>10544</v>
      </c>
      <c r="C4733" s="2" t="s">
        <v>7596</v>
      </c>
    </row>
    <row r="4734">
      <c r="A4734" s="2" t="s">
        <v>10545</v>
      </c>
      <c r="B4734" s="2" t="s">
        <v>10546</v>
      </c>
      <c r="C4734" s="2" t="s">
        <v>7596</v>
      </c>
    </row>
    <row r="4735">
      <c r="A4735" s="2" t="s">
        <v>10547</v>
      </c>
      <c r="B4735" s="2" t="s">
        <v>10548</v>
      </c>
      <c r="C4735" s="2" t="s">
        <v>7596</v>
      </c>
    </row>
    <row r="4736">
      <c r="A4736" s="2" t="s">
        <v>10549</v>
      </c>
      <c r="B4736" s="2" t="s">
        <v>10550</v>
      </c>
      <c r="C4736" s="2" t="s">
        <v>7596</v>
      </c>
    </row>
    <row r="4737">
      <c r="A4737" s="2" t="s">
        <v>10551</v>
      </c>
      <c r="B4737" s="2" t="s">
        <v>10552</v>
      </c>
      <c r="C4737" s="2" t="s">
        <v>7596</v>
      </c>
    </row>
    <row r="4738">
      <c r="A4738" s="2" t="s">
        <v>10553</v>
      </c>
      <c r="B4738" s="2" t="s">
        <v>10554</v>
      </c>
      <c r="C4738" s="2" t="s">
        <v>7596</v>
      </c>
    </row>
    <row r="4739">
      <c r="A4739" s="2" t="s">
        <v>10555</v>
      </c>
      <c r="B4739" s="2" t="s">
        <v>10556</v>
      </c>
      <c r="C4739" s="2" t="s">
        <v>7596</v>
      </c>
    </row>
    <row r="4740">
      <c r="A4740" s="2" t="s">
        <v>10557</v>
      </c>
      <c r="B4740" s="2" t="s">
        <v>10558</v>
      </c>
      <c r="C4740" s="2" t="s">
        <v>7596</v>
      </c>
    </row>
    <row r="4741">
      <c r="A4741" s="2" t="s">
        <v>10559</v>
      </c>
      <c r="B4741" s="2" t="s">
        <v>10560</v>
      </c>
      <c r="C4741" s="2" t="s">
        <v>7596</v>
      </c>
    </row>
    <row r="4742">
      <c r="A4742" s="2" t="s">
        <v>10561</v>
      </c>
      <c r="B4742" s="2" t="s">
        <v>10562</v>
      </c>
      <c r="C4742" s="2" t="s">
        <v>7596</v>
      </c>
    </row>
    <row r="4743">
      <c r="A4743" s="2" t="s">
        <v>10563</v>
      </c>
      <c r="B4743" s="2" t="s">
        <v>10564</v>
      </c>
      <c r="C4743" s="2" t="s">
        <v>7596</v>
      </c>
    </row>
    <row r="4744">
      <c r="A4744" s="2" t="s">
        <v>10565</v>
      </c>
      <c r="B4744" s="2" t="s">
        <v>10566</v>
      </c>
      <c r="C4744" s="2" t="s">
        <v>7596</v>
      </c>
    </row>
    <row r="4745">
      <c r="A4745" s="2" t="s">
        <v>10567</v>
      </c>
      <c r="B4745" s="2" t="s">
        <v>10568</v>
      </c>
      <c r="C4745" s="2" t="s">
        <v>7596</v>
      </c>
    </row>
    <row r="4746">
      <c r="A4746" s="2" t="s">
        <v>10569</v>
      </c>
      <c r="B4746" s="2" t="s">
        <v>10570</v>
      </c>
      <c r="C4746" s="2" t="s">
        <v>7596</v>
      </c>
    </row>
    <row r="4747">
      <c r="A4747" s="2" t="s">
        <v>10571</v>
      </c>
      <c r="B4747" s="2" t="s">
        <v>10572</v>
      </c>
      <c r="C4747" s="2" t="s">
        <v>7596</v>
      </c>
    </row>
    <row r="4748">
      <c r="A4748" s="2" t="s">
        <v>10573</v>
      </c>
      <c r="B4748" s="2" t="s">
        <v>10574</v>
      </c>
      <c r="C4748" s="2" t="s">
        <v>7596</v>
      </c>
    </row>
    <row r="4749">
      <c r="A4749" s="2" t="s">
        <v>10575</v>
      </c>
      <c r="B4749" s="2" t="s">
        <v>10576</v>
      </c>
      <c r="C4749" s="2" t="s">
        <v>7596</v>
      </c>
    </row>
    <row r="4750">
      <c r="A4750" s="2" t="s">
        <v>10577</v>
      </c>
      <c r="B4750" s="2" t="s">
        <v>10578</v>
      </c>
      <c r="C4750" s="2" t="s">
        <v>7596</v>
      </c>
    </row>
    <row r="4751">
      <c r="A4751" s="2" t="s">
        <v>10579</v>
      </c>
      <c r="B4751" s="2" t="s">
        <v>10580</v>
      </c>
      <c r="C4751" s="2" t="s">
        <v>7596</v>
      </c>
    </row>
    <row r="4752">
      <c r="A4752" s="2" t="s">
        <v>10581</v>
      </c>
      <c r="B4752" s="2" t="s">
        <v>10582</v>
      </c>
      <c r="C4752" s="2" t="s">
        <v>7596</v>
      </c>
    </row>
    <row r="4753">
      <c r="A4753" s="2" t="s">
        <v>10583</v>
      </c>
      <c r="B4753" s="2" t="s">
        <v>10584</v>
      </c>
      <c r="C4753" s="2" t="s">
        <v>7596</v>
      </c>
    </row>
    <row r="4754">
      <c r="A4754" s="2" t="s">
        <v>10585</v>
      </c>
      <c r="B4754" s="2" t="s">
        <v>10586</v>
      </c>
      <c r="C4754" s="2" t="s">
        <v>7596</v>
      </c>
    </row>
    <row r="4755">
      <c r="A4755" s="2" t="s">
        <v>10587</v>
      </c>
      <c r="B4755" s="2" t="s">
        <v>10588</v>
      </c>
      <c r="C4755" s="2" t="s">
        <v>7596</v>
      </c>
    </row>
    <row r="4756">
      <c r="A4756" s="2" t="s">
        <v>10589</v>
      </c>
      <c r="B4756" s="2" t="s">
        <v>10590</v>
      </c>
      <c r="C4756" s="2" t="s">
        <v>7596</v>
      </c>
    </row>
    <row r="4757">
      <c r="A4757" s="2" t="s">
        <v>10591</v>
      </c>
      <c r="B4757" s="2" t="s">
        <v>10592</v>
      </c>
      <c r="C4757" s="2" t="s">
        <v>7596</v>
      </c>
    </row>
    <row r="4758">
      <c r="A4758" s="2" t="s">
        <v>10593</v>
      </c>
      <c r="B4758" s="2" t="s">
        <v>10594</v>
      </c>
      <c r="C4758" s="2" t="s">
        <v>7596</v>
      </c>
    </row>
    <row r="4759">
      <c r="A4759" s="2" t="s">
        <v>10595</v>
      </c>
      <c r="B4759" s="2" t="s">
        <v>10596</v>
      </c>
      <c r="C4759" s="2" t="s">
        <v>7596</v>
      </c>
    </row>
    <row r="4760">
      <c r="A4760" s="2" t="s">
        <v>10597</v>
      </c>
      <c r="B4760" s="2" t="s">
        <v>10598</v>
      </c>
      <c r="C4760" s="2" t="s">
        <v>7596</v>
      </c>
    </row>
    <row r="4761">
      <c r="A4761" s="2" t="s">
        <v>10599</v>
      </c>
      <c r="B4761" s="2" t="s">
        <v>10600</v>
      </c>
      <c r="C4761" s="2" t="s">
        <v>7596</v>
      </c>
    </row>
    <row r="4762">
      <c r="A4762" s="2" t="s">
        <v>10601</v>
      </c>
      <c r="B4762" s="2" t="s">
        <v>10602</v>
      </c>
      <c r="C4762" s="2" t="s">
        <v>7596</v>
      </c>
    </row>
    <row r="4763">
      <c r="A4763" s="2" t="s">
        <v>10603</v>
      </c>
      <c r="B4763" s="2" t="s">
        <v>10604</v>
      </c>
      <c r="C4763" s="2" t="s">
        <v>7596</v>
      </c>
    </row>
    <row r="4764">
      <c r="A4764" s="2" t="s">
        <v>10605</v>
      </c>
      <c r="B4764" s="2" t="s">
        <v>10606</v>
      </c>
      <c r="C4764" s="2" t="s">
        <v>7596</v>
      </c>
    </row>
    <row r="4765">
      <c r="A4765" s="2" t="s">
        <v>10607</v>
      </c>
      <c r="B4765" s="2" t="s">
        <v>10608</v>
      </c>
      <c r="C4765" s="2" t="s">
        <v>7596</v>
      </c>
    </row>
    <row r="4766">
      <c r="A4766" s="2" t="s">
        <v>10609</v>
      </c>
      <c r="B4766" s="2" t="s">
        <v>10610</v>
      </c>
      <c r="C4766" s="2" t="s">
        <v>7596</v>
      </c>
    </row>
    <row r="4767">
      <c r="A4767" s="2" t="s">
        <v>10611</v>
      </c>
      <c r="B4767" s="2" t="s">
        <v>10612</v>
      </c>
      <c r="C4767" s="2" t="s">
        <v>7596</v>
      </c>
    </row>
    <row r="4768">
      <c r="A4768" s="2" t="s">
        <v>10613</v>
      </c>
      <c r="B4768" s="2" t="s">
        <v>10614</v>
      </c>
      <c r="C4768" s="2" t="s">
        <v>7596</v>
      </c>
    </row>
    <row r="4769">
      <c r="A4769" s="2" t="s">
        <v>10615</v>
      </c>
      <c r="B4769" s="2" t="s">
        <v>10616</v>
      </c>
      <c r="C4769" s="2" t="s">
        <v>7596</v>
      </c>
    </row>
    <row r="4770">
      <c r="A4770" s="2" t="s">
        <v>10617</v>
      </c>
      <c r="B4770" s="2" t="s">
        <v>10618</v>
      </c>
      <c r="C4770" s="2" t="s">
        <v>7596</v>
      </c>
    </row>
    <row r="4771">
      <c r="A4771" s="2" t="s">
        <v>10619</v>
      </c>
      <c r="B4771" s="2" t="s">
        <v>10620</v>
      </c>
      <c r="C4771" s="2" t="s">
        <v>7596</v>
      </c>
    </row>
    <row r="4772">
      <c r="A4772" s="2" t="s">
        <v>10621</v>
      </c>
      <c r="B4772" s="2" t="s">
        <v>10622</v>
      </c>
      <c r="C4772" s="2" t="s">
        <v>7596</v>
      </c>
    </row>
    <row r="4773">
      <c r="A4773" s="2" t="s">
        <v>10623</v>
      </c>
      <c r="B4773" s="2" t="s">
        <v>10624</v>
      </c>
      <c r="C4773" s="2" t="s">
        <v>7596</v>
      </c>
    </row>
    <row r="4774">
      <c r="A4774" s="2" t="s">
        <v>10625</v>
      </c>
      <c r="B4774" s="2" t="s">
        <v>10626</v>
      </c>
      <c r="C4774" s="2" t="s">
        <v>7596</v>
      </c>
    </row>
    <row r="4775">
      <c r="A4775" s="2" t="s">
        <v>10627</v>
      </c>
      <c r="B4775" s="2" t="s">
        <v>10628</v>
      </c>
      <c r="C4775" s="2" t="s">
        <v>7596</v>
      </c>
    </row>
    <row r="4776">
      <c r="A4776" s="2" t="s">
        <v>10629</v>
      </c>
      <c r="B4776" s="2" t="s">
        <v>10628</v>
      </c>
      <c r="C4776" s="2" t="s">
        <v>7596</v>
      </c>
    </row>
    <row r="4777">
      <c r="A4777" s="2" t="s">
        <v>10630</v>
      </c>
      <c r="B4777" s="2" t="s">
        <v>10631</v>
      </c>
      <c r="C4777" s="2" t="s">
        <v>7596</v>
      </c>
    </row>
    <row r="4778">
      <c r="A4778" s="2" t="s">
        <v>10632</v>
      </c>
      <c r="B4778" s="2" t="s">
        <v>10633</v>
      </c>
      <c r="C4778" s="2" t="s">
        <v>7596</v>
      </c>
    </row>
    <row r="4779">
      <c r="A4779" s="2" t="s">
        <v>10634</v>
      </c>
      <c r="B4779" s="2" t="s">
        <v>10633</v>
      </c>
      <c r="C4779" s="2" t="s">
        <v>7596</v>
      </c>
    </row>
    <row r="4780">
      <c r="A4780" s="2" t="s">
        <v>10635</v>
      </c>
      <c r="B4780" s="2" t="s">
        <v>10636</v>
      </c>
      <c r="C4780" s="2" t="s">
        <v>7596</v>
      </c>
    </row>
    <row r="4781">
      <c r="A4781" s="2" t="s">
        <v>10637</v>
      </c>
      <c r="B4781" s="2" t="s">
        <v>10638</v>
      </c>
      <c r="C4781" s="2" t="s">
        <v>7596</v>
      </c>
    </row>
    <row r="4782">
      <c r="A4782" s="2" t="s">
        <v>10639</v>
      </c>
      <c r="B4782" s="2" t="s">
        <v>10640</v>
      </c>
      <c r="C4782" s="2" t="s">
        <v>7596</v>
      </c>
    </row>
    <row r="4783">
      <c r="A4783" s="2" t="s">
        <v>10641</v>
      </c>
      <c r="B4783" s="2" t="s">
        <v>10642</v>
      </c>
      <c r="C4783" s="2" t="s">
        <v>7596</v>
      </c>
    </row>
    <row r="4784">
      <c r="A4784" s="2" t="s">
        <v>10643</v>
      </c>
      <c r="B4784" s="2" t="s">
        <v>10644</v>
      </c>
      <c r="C4784" s="2" t="s">
        <v>7596</v>
      </c>
    </row>
    <row r="4785">
      <c r="A4785" s="2" t="s">
        <v>10645</v>
      </c>
      <c r="B4785" s="2" t="s">
        <v>10644</v>
      </c>
      <c r="C4785" s="2" t="s">
        <v>7596</v>
      </c>
    </row>
    <row r="4786">
      <c r="A4786" s="2" t="s">
        <v>10646</v>
      </c>
      <c r="B4786" s="2" t="s">
        <v>10647</v>
      </c>
      <c r="C4786" s="2" t="s">
        <v>7596</v>
      </c>
    </row>
    <row r="4787">
      <c r="A4787" s="2" t="s">
        <v>10648</v>
      </c>
      <c r="B4787" s="2" t="s">
        <v>10649</v>
      </c>
      <c r="C4787" s="2" t="s">
        <v>7596</v>
      </c>
    </row>
    <row r="4788">
      <c r="A4788" s="2" t="s">
        <v>10650</v>
      </c>
      <c r="B4788" s="2" t="s">
        <v>10649</v>
      </c>
      <c r="C4788" s="2" t="s">
        <v>7596</v>
      </c>
    </row>
    <row r="4789">
      <c r="A4789" s="2" t="s">
        <v>10651</v>
      </c>
      <c r="B4789" s="2" t="s">
        <v>10649</v>
      </c>
      <c r="C4789" s="2" t="s">
        <v>7596</v>
      </c>
    </row>
    <row r="4790">
      <c r="A4790" s="2" t="s">
        <v>10652</v>
      </c>
      <c r="B4790" s="2" t="s">
        <v>10653</v>
      </c>
      <c r="C4790" s="2" t="s">
        <v>7596</v>
      </c>
    </row>
    <row r="4791">
      <c r="A4791" s="2" t="s">
        <v>10654</v>
      </c>
      <c r="B4791" s="2" t="s">
        <v>10653</v>
      </c>
      <c r="C4791" s="2" t="s">
        <v>7596</v>
      </c>
    </row>
    <row r="4792">
      <c r="A4792" s="2" t="s">
        <v>10655</v>
      </c>
      <c r="B4792" s="2" t="s">
        <v>10656</v>
      </c>
      <c r="C4792" s="2" t="s">
        <v>7596</v>
      </c>
    </row>
    <row r="4793">
      <c r="A4793" s="2" t="s">
        <v>10657</v>
      </c>
      <c r="B4793" s="2" t="s">
        <v>10658</v>
      </c>
      <c r="C4793" s="2" t="s">
        <v>7596</v>
      </c>
    </row>
    <row r="4794">
      <c r="A4794" s="2" t="s">
        <v>10659</v>
      </c>
      <c r="B4794" s="2" t="s">
        <v>10660</v>
      </c>
      <c r="C4794" s="2" t="s">
        <v>7596</v>
      </c>
    </row>
    <row r="4795">
      <c r="A4795" s="2" t="s">
        <v>10661</v>
      </c>
      <c r="B4795" s="2" t="s">
        <v>10662</v>
      </c>
      <c r="C4795" s="2" t="s">
        <v>7596</v>
      </c>
    </row>
    <row r="4796">
      <c r="A4796" s="2" t="s">
        <v>10663</v>
      </c>
      <c r="B4796" s="2" t="s">
        <v>10664</v>
      </c>
      <c r="C4796" s="2" t="s">
        <v>7596</v>
      </c>
    </row>
    <row r="4797">
      <c r="A4797" s="2" t="s">
        <v>10665</v>
      </c>
      <c r="B4797" s="2" t="s">
        <v>10666</v>
      </c>
      <c r="C4797" s="2" t="s">
        <v>7596</v>
      </c>
    </row>
    <row r="4798">
      <c r="A4798" s="2" t="s">
        <v>10667</v>
      </c>
      <c r="B4798" s="2" t="s">
        <v>10668</v>
      </c>
      <c r="C4798" s="2" t="s">
        <v>7596</v>
      </c>
    </row>
    <row r="4799">
      <c r="A4799" s="2" t="s">
        <v>10669</v>
      </c>
      <c r="B4799" s="2" t="s">
        <v>10670</v>
      </c>
      <c r="C4799" s="2" t="s">
        <v>7596</v>
      </c>
    </row>
    <row r="4800">
      <c r="A4800" s="2" t="s">
        <v>10671</v>
      </c>
      <c r="B4800" s="2" t="s">
        <v>10672</v>
      </c>
      <c r="C4800" s="2" t="s">
        <v>7596</v>
      </c>
    </row>
    <row r="4801">
      <c r="A4801" s="2" t="s">
        <v>10673</v>
      </c>
      <c r="B4801" s="2" t="s">
        <v>10674</v>
      </c>
      <c r="C4801" s="2" t="s">
        <v>7596</v>
      </c>
    </row>
    <row r="4802">
      <c r="A4802" s="2" t="s">
        <v>10675</v>
      </c>
      <c r="B4802" s="2" t="s">
        <v>10676</v>
      </c>
      <c r="C4802" s="2" t="s">
        <v>7596</v>
      </c>
    </row>
    <row r="4803">
      <c r="A4803" s="2" t="s">
        <v>10677</v>
      </c>
      <c r="B4803" s="2" t="s">
        <v>10678</v>
      </c>
      <c r="C4803" s="2" t="s">
        <v>7596</v>
      </c>
    </row>
    <row r="4804">
      <c r="A4804" s="2" t="s">
        <v>10679</v>
      </c>
      <c r="B4804" s="2" t="s">
        <v>10680</v>
      </c>
      <c r="C4804" s="2" t="s">
        <v>7596</v>
      </c>
    </row>
    <row r="4805">
      <c r="A4805" s="2" t="s">
        <v>10681</v>
      </c>
      <c r="B4805" s="2" t="s">
        <v>10682</v>
      </c>
      <c r="C4805" s="2" t="s">
        <v>7596</v>
      </c>
    </row>
    <row r="4806">
      <c r="A4806" s="2" t="s">
        <v>10683</v>
      </c>
      <c r="B4806" s="2" t="s">
        <v>10684</v>
      </c>
      <c r="C4806" s="2" t="s">
        <v>7596</v>
      </c>
    </row>
    <row r="4807">
      <c r="A4807" s="2" t="s">
        <v>10685</v>
      </c>
      <c r="B4807" s="2" t="s">
        <v>10686</v>
      </c>
      <c r="C4807" s="2" t="s">
        <v>7596</v>
      </c>
    </row>
    <row r="4808">
      <c r="A4808" s="2" t="s">
        <v>10687</v>
      </c>
      <c r="B4808" s="2" t="s">
        <v>10688</v>
      </c>
      <c r="C4808" s="2" t="s">
        <v>7596</v>
      </c>
    </row>
    <row r="4809">
      <c r="A4809" s="2" t="s">
        <v>10689</v>
      </c>
      <c r="B4809" s="2" t="s">
        <v>10690</v>
      </c>
      <c r="C4809" s="2" t="s">
        <v>7596</v>
      </c>
    </row>
    <row r="4810">
      <c r="A4810" s="2" t="s">
        <v>10691</v>
      </c>
      <c r="B4810" s="2" t="s">
        <v>10692</v>
      </c>
      <c r="C4810" s="2" t="s">
        <v>7596</v>
      </c>
    </row>
    <row r="4811">
      <c r="A4811" s="2" t="s">
        <v>10693</v>
      </c>
      <c r="B4811" s="2" t="s">
        <v>10694</v>
      </c>
      <c r="C4811" s="2" t="s">
        <v>7596</v>
      </c>
    </row>
    <row r="4812">
      <c r="A4812" s="2" t="s">
        <v>10695</v>
      </c>
      <c r="B4812" s="2" t="s">
        <v>10696</v>
      </c>
      <c r="C4812" s="2" t="s">
        <v>7596</v>
      </c>
    </row>
    <row r="4813">
      <c r="A4813" s="2" t="s">
        <v>10697</v>
      </c>
      <c r="B4813" s="2" t="s">
        <v>10698</v>
      </c>
      <c r="C4813" s="2" t="s">
        <v>7596</v>
      </c>
    </row>
    <row r="4814">
      <c r="A4814" s="2" t="s">
        <v>10699</v>
      </c>
      <c r="B4814" s="2" t="s">
        <v>10700</v>
      </c>
      <c r="C4814" s="2" t="s">
        <v>7596</v>
      </c>
    </row>
    <row r="4815">
      <c r="A4815" s="2" t="s">
        <v>10701</v>
      </c>
      <c r="B4815" s="2" t="s">
        <v>10702</v>
      </c>
      <c r="C4815" s="2" t="s">
        <v>7596</v>
      </c>
    </row>
    <row r="4816">
      <c r="A4816" s="2" t="s">
        <v>10703</v>
      </c>
      <c r="B4816" s="2" t="s">
        <v>10704</v>
      </c>
      <c r="C4816" s="2" t="s">
        <v>7596</v>
      </c>
    </row>
    <row r="4817">
      <c r="A4817" s="2" t="s">
        <v>10705</v>
      </c>
      <c r="B4817" s="2" t="s">
        <v>10706</v>
      </c>
      <c r="C4817" s="2" t="s">
        <v>7596</v>
      </c>
    </row>
    <row r="4818">
      <c r="A4818" s="2" t="s">
        <v>10707</v>
      </c>
      <c r="B4818" s="2" t="s">
        <v>10708</v>
      </c>
      <c r="C4818" s="2" t="s">
        <v>7596</v>
      </c>
    </row>
    <row r="4819">
      <c r="A4819" s="2" t="s">
        <v>10709</v>
      </c>
      <c r="B4819" s="2" t="s">
        <v>10710</v>
      </c>
      <c r="C4819" s="2" t="s">
        <v>7596</v>
      </c>
    </row>
    <row r="4820">
      <c r="A4820" s="2" t="s">
        <v>10711</v>
      </c>
      <c r="B4820" s="2" t="s">
        <v>10712</v>
      </c>
      <c r="C4820" s="2" t="s">
        <v>7596</v>
      </c>
    </row>
    <row r="4821">
      <c r="A4821" s="2" t="s">
        <v>10713</v>
      </c>
      <c r="B4821" s="2" t="s">
        <v>10714</v>
      </c>
      <c r="C4821" s="2" t="s">
        <v>7596</v>
      </c>
    </row>
    <row r="4822">
      <c r="A4822" s="2" t="s">
        <v>10715</v>
      </c>
      <c r="B4822" s="2" t="s">
        <v>10716</v>
      </c>
      <c r="C4822" s="2" t="s">
        <v>7596</v>
      </c>
    </row>
    <row r="4823">
      <c r="A4823" s="2" t="s">
        <v>10717</v>
      </c>
      <c r="B4823" s="2" t="s">
        <v>10718</v>
      </c>
      <c r="C4823" s="2" t="s">
        <v>7596</v>
      </c>
    </row>
    <row r="4824">
      <c r="A4824" s="2" t="s">
        <v>10719</v>
      </c>
      <c r="B4824" s="2" t="s">
        <v>10720</v>
      </c>
      <c r="C4824" s="2" t="s">
        <v>7596</v>
      </c>
    </row>
    <row r="4825">
      <c r="A4825" s="2" t="s">
        <v>10721</v>
      </c>
      <c r="B4825" s="2" t="s">
        <v>10722</v>
      </c>
      <c r="C4825" s="2" t="s">
        <v>7596</v>
      </c>
    </row>
    <row r="4826">
      <c r="A4826" s="2" t="s">
        <v>10723</v>
      </c>
      <c r="B4826" s="2" t="s">
        <v>10724</v>
      </c>
      <c r="C4826" s="2" t="s">
        <v>7596</v>
      </c>
    </row>
    <row r="4827">
      <c r="A4827" s="2" t="s">
        <v>10725</v>
      </c>
      <c r="B4827" s="2" t="s">
        <v>10726</v>
      </c>
      <c r="C4827" s="2" t="s">
        <v>7596</v>
      </c>
    </row>
    <row r="4828">
      <c r="A4828" s="2" t="s">
        <v>10727</v>
      </c>
      <c r="B4828" s="2" t="s">
        <v>10728</v>
      </c>
      <c r="C4828" s="2" t="s">
        <v>7596</v>
      </c>
    </row>
    <row r="4829">
      <c r="A4829" s="2" t="s">
        <v>10729</v>
      </c>
      <c r="B4829" s="2" t="s">
        <v>10730</v>
      </c>
      <c r="C4829" s="2" t="s">
        <v>7596</v>
      </c>
    </row>
    <row r="4830">
      <c r="A4830" s="2" t="s">
        <v>10731</v>
      </c>
      <c r="B4830" s="2" t="s">
        <v>10732</v>
      </c>
      <c r="C4830" s="2" t="s">
        <v>7596</v>
      </c>
    </row>
    <row r="4831">
      <c r="A4831" s="2" t="s">
        <v>10733</v>
      </c>
      <c r="B4831" s="2" t="s">
        <v>10734</v>
      </c>
      <c r="C4831" s="2" t="s">
        <v>7596</v>
      </c>
    </row>
    <row r="4832">
      <c r="A4832" s="2" t="s">
        <v>10735</v>
      </c>
      <c r="B4832" s="2" t="s">
        <v>10736</v>
      </c>
      <c r="C4832" s="2" t="s">
        <v>7596</v>
      </c>
    </row>
    <row r="4833">
      <c r="A4833" s="2" t="s">
        <v>10737</v>
      </c>
      <c r="B4833" s="2" t="s">
        <v>10738</v>
      </c>
      <c r="C4833" s="2" t="s">
        <v>7596</v>
      </c>
    </row>
    <row r="4834">
      <c r="A4834" s="2" t="s">
        <v>10739</v>
      </c>
      <c r="B4834" s="2" t="s">
        <v>10740</v>
      </c>
      <c r="C4834" s="2" t="s">
        <v>7596</v>
      </c>
    </row>
    <row r="4835">
      <c r="A4835" s="2" t="s">
        <v>10741</v>
      </c>
      <c r="B4835" s="2" t="s">
        <v>10742</v>
      </c>
      <c r="C4835" s="2" t="s">
        <v>7596</v>
      </c>
    </row>
    <row r="4836">
      <c r="A4836" s="2" t="s">
        <v>10743</v>
      </c>
      <c r="B4836" s="2" t="s">
        <v>10744</v>
      </c>
      <c r="C4836" s="2" t="s">
        <v>7596</v>
      </c>
    </row>
    <row r="4837">
      <c r="A4837" s="2" t="s">
        <v>10745</v>
      </c>
      <c r="B4837" s="2" t="s">
        <v>10746</v>
      </c>
      <c r="C4837" s="2" t="s">
        <v>7596</v>
      </c>
    </row>
    <row r="4838">
      <c r="A4838" s="2" t="s">
        <v>10747</v>
      </c>
      <c r="B4838" s="2" t="s">
        <v>10748</v>
      </c>
      <c r="C4838" s="2" t="s">
        <v>7596</v>
      </c>
    </row>
    <row r="4839">
      <c r="A4839" s="2" t="s">
        <v>10749</v>
      </c>
      <c r="B4839" s="2" t="s">
        <v>10750</v>
      </c>
      <c r="C4839" s="2" t="s">
        <v>7596</v>
      </c>
    </row>
    <row r="4840">
      <c r="A4840" s="2" t="s">
        <v>10751</v>
      </c>
      <c r="B4840" s="2" t="s">
        <v>10752</v>
      </c>
      <c r="C4840" s="2" t="s">
        <v>7596</v>
      </c>
    </row>
    <row r="4841">
      <c r="A4841" s="2" t="s">
        <v>10753</v>
      </c>
      <c r="B4841" s="2" t="s">
        <v>10754</v>
      </c>
      <c r="C4841" s="2" t="s">
        <v>7596</v>
      </c>
    </row>
    <row r="4842">
      <c r="A4842" s="2" t="s">
        <v>10755</v>
      </c>
      <c r="B4842" s="2" t="s">
        <v>10756</v>
      </c>
      <c r="C4842" s="2" t="s">
        <v>7596</v>
      </c>
    </row>
    <row r="4843">
      <c r="A4843" s="2" t="s">
        <v>10757</v>
      </c>
      <c r="B4843" s="2" t="s">
        <v>10758</v>
      </c>
      <c r="C4843" s="2" t="s">
        <v>7596</v>
      </c>
    </row>
    <row r="4844">
      <c r="A4844" s="2" t="s">
        <v>10759</v>
      </c>
      <c r="B4844" s="2" t="s">
        <v>10760</v>
      </c>
      <c r="C4844" s="2" t="s">
        <v>7596</v>
      </c>
    </row>
    <row r="4845">
      <c r="A4845" s="2" t="s">
        <v>10761</v>
      </c>
      <c r="B4845" s="2" t="s">
        <v>10762</v>
      </c>
      <c r="C4845" s="2" t="s">
        <v>7596</v>
      </c>
    </row>
    <row r="4846">
      <c r="A4846" s="2" t="s">
        <v>10763</v>
      </c>
      <c r="B4846" s="2" t="s">
        <v>10764</v>
      </c>
      <c r="C4846" s="2" t="s">
        <v>7596</v>
      </c>
    </row>
    <row r="4847">
      <c r="A4847" s="2" t="s">
        <v>10765</v>
      </c>
      <c r="B4847" s="2" t="s">
        <v>10766</v>
      </c>
      <c r="C4847" s="2" t="s">
        <v>7596</v>
      </c>
    </row>
    <row r="4848">
      <c r="A4848" s="2" t="s">
        <v>10767</v>
      </c>
      <c r="B4848" s="2" t="s">
        <v>10768</v>
      </c>
      <c r="C4848" s="2" t="s">
        <v>7596</v>
      </c>
    </row>
    <row r="4849">
      <c r="A4849" s="2" t="s">
        <v>10769</v>
      </c>
      <c r="B4849" s="2" t="s">
        <v>10770</v>
      </c>
      <c r="C4849" s="2" t="s">
        <v>7596</v>
      </c>
    </row>
    <row r="4850">
      <c r="A4850" s="2" t="s">
        <v>10771</v>
      </c>
      <c r="B4850" s="2" t="s">
        <v>10772</v>
      </c>
      <c r="C4850" s="2" t="s">
        <v>7596</v>
      </c>
    </row>
    <row r="4851">
      <c r="A4851" s="2" t="s">
        <v>10773</v>
      </c>
      <c r="B4851" s="2" t="s">
        <v>10774</v>
      </c>
      <c r="C4851" s="2" t="s">
        <v>7596</v>
      </c>
    </row>
    <row r="4852">
      <c r="A4852" s="2" t="s">
        <v>10775</v>
      </c>
      <c r="B4852" s="2" t="s">
        <v>10776</v>
      </c>
      <c r="C4852" s="2" t="s">
        <v>7596</v>
      </c>
    </row>
    <row r="4853">
      <c r="A4853" s="2" t="s">
        <v>10777</v>
      </c>
      <c r="B4853" s="2" t="s">
        <v>10778</v>
      </c>
      <c r="C4853" s="2" t="s">
        <v>7596</v>
      </c>
    </row>
    <row r="4854">
      <c r="A4854" s="2" t="s">
        <v>10779</v>
      </c>
      <c r="B4854" s="2" t="s">
        <v>10780</v>
      </c>
      <c r="C4854" s="2" t="s">
        <v>7596</v>
      </c>
    </row>
    <row r="4855">
      <c r="A4855" s="2" t="s">
        <v>10781</v>
      </c>
      <c r="B4855" s="2" t="s">
        <v>10782</v>
      </c>
      <c r="C4855" s="2" t="s">
        <v>7596</v>
      </c>
    </row>
    <row r="4856">
      <c r="A4856" s="2" t="s">
        <v>10783</v>
      </c>
      <c r="B4856" s="2" t="s">
        <v>10784</v>
      </c>
      <c r="C4856" s="2" t="s">
        <v>7596</v>
      </c>
    </row>
    <row r="4857">
      <c r="A4857" s="2" t="s">
        <v>10785</v>
      </c>
      <c r="B4857" s="2" t="s">
        <v>10786</v>
      </c>
      <c r="C4857" s="2" t="s">
        <v>7596</v>
      </c>
    </row>
    <row r="4858">
      <c r="A4858" s="2" t="s">
        <v>10787</v>
      </c>
      <c r="B4858" s="2" t="s">
        <v>10788</v>
      </c>
      <c r="C4858" s="2" t="s">
        <v>7596</v>
      </c>
    </row>
    <row r="4859">
      <c r="A4859" s="2" t="s">
        <v>10789</v>
      </c>
      <c r="B4859" s="2" t="s">
        <v>10790</v>
      </c>
      <c r="C4859" s="2" t="s">
        <v>7596</v>
      </c>
    </row>
    <row r="4860">
      <c r="A4860" s="2" t="s">
        <v>10791</v>
      </c>
      <c r="B4860" s="2" t="s">
        <v>10792</v>
      </c>
      <c r="C4860" s="2" t="s">
        <v>7596</v>
      </c>
    </row>
    <row r="4861">
      <c r="A4861" s="2" t="s">
        <v>10793</v>
      </c>
      <c r="B4861" s="2" t="s">
        <v>10794</v>
      </c>
      <c r="C4861" s="2" t="s">
        <v>7596</v>
      </c>
    </row>
    <row r="4862">
      <c r="A4862" s="2" t="s">
        <v>10795</v>
      </c>
      <c r="B4862" s="2" t="s">
        <v>10796</v>
      </c>
      <c r="C4862" s="2" t="s">
        <v>7596</v>
      </c>
    </row>
    <row r="4863">
      <c r="A4863" s="2" t="s">
        <v>10797</v>
      </c>
      <c r="B4863" s="2" t="s">
        <v>10798</v>
      </c>
      <c r="C4863" s="2" t="s">
        <v>7596</v>
      </c>
    </row>
    <row r="4864">
      <c r="A4864" s="2" t="s">
        <v>10799</v>
      </c>
      <c r="B4864" s="2" t="s">
        <v>10800</v>
      </c>
      <c r="C4864" s="2" t="s">
        <v>7596</v>
      </c>
    </row>
    <row r="4865">
      <c r="A4865" s="2" t="s">
        <v>10801</v>
      </c>
      <c r="B4865" s="2" t="s">
        <v>10802</v>
      </c>
      <c r="C4865" s="2" t="s">
        <v>7596</v>
      </c>
    </row>
    <row r="4866">
      <c r="A4866" s="2" t="s">
        <v>10803</v>
      </c>
      <c r="B4866" s="2" t="s">
        <v>10804</v>
      </c>
      <c r="C4866" s="2" t="s">
        <v>7596</v>
      </c>
    </row>
    <row r="4867">
      <c r="A4867" s="2" t="s">
        <v>10805</v>
      </c>
      <c r="B4867" s="2" t="s">
        <v>10806</v>
      </c>
      <c r="C4867" s="2" t="s">
        <v>7596</v>
      </c>
    </row>
    <row r="4868">
      <c r="A4868" s="2" t="s">
        <v>10807</v>
      </c>
      <c r="B4868" s="2" t="s">
        <v>10808</v>
      </c>
      <c r="C4868" s="2" t="s">
        <v>7596</v>
      </c>
    </row>
    <row r="4869">
      <c r="A4869" s="2" t="s">
        <v>10809</v>
      </c>
      <c r="B4869" s="2" t="s">
        <v>10810</v>
      </c>
      <c r="C4869" s="2" t="s">
        <v>7596</v>
      </c>
    </row>
    <row r="4870">
      <c r="A4870" s="2" t="s">
        <v>10811</v>
      </c>
      <c r="B4870" s="2" t="s">
        <v>10812</v>
      </c>
      <c r="C4870" s="2" t="s">
        <v>7596</v>
      </c>
    </row>
    <row r="4871">
      <c r="A4871" s="2" t="s">
        <v>10813</v>
      </c>
      <c r="B4871" s="2" t="s">
        <v>10814</v>
      </c>
      <c r="C4871" s="2" t="s">
        <v>7596</v>
      </c>
    </row>
    <row r="4872">
      <c r="A4872" s="2" t="s">
        <v>10815</v>
      </c>
      <c r="B4872" s="2" t="s">
        <v>10816</v>
      </c>
      <c r="C4872" s="2" t="s">
        <v>7596</v>
      </c>
    </row>
    <row r="4873">
      <c r="A4873" s="2" t="s">
        <v>10817</v>
      </c>
      <c r="B4873" s="2" t="s">
        <v>10818</v>
      </c>
      <c r="C4873" s="2" t="s">
        <v>7596</v>
      </c>
    </row>
    <row r="4874">
      <c r="A4874" s="2" t="s">
        <v>10819</v>
      </c>
      <c r="B4874" s="2" t="s">
        <v>10820</v>
      </c>
      <c r="C4874" s="2" t="s">
        <v>7596</v>
      </c>
    </row>
    <row r="4875">
      <c r="A4875" s="2" t="s">
        <v>10821</v>
      </c>
      <c r="B4875" s="2" t="s">
        <v>10822</v>
      </c>
      <c r="C4875" s="2" t="s">
        <v>7596</v>
      </c>
    </row>
    <row r="4876">
      <c r="A4876" s="2" t="s">
        <v>10823</v>
      </c>
      <c r="B4876" s="2" t="s">
        <v>10824</v>
      </c>
      <c r="C4876" s="2" t="s">
        <v>7596</v>
      </c>
    </row>
    <row r="4877">
      <c r="A4877" s="2" t="s">
        <v>10825</v>
      </c>
      <c r="B4877" s="2" t="s">
        <v>10826</v>
      </c>
      <c r="C4877" s="2" t="s">
        <v>7596</v>
      </c>
    </row>
    <row r="4878">
      <c r="A4878" s="2" t="s">
        <v>10827</v>
      </c>
      <c r="B4878" s="2" t="s">
        <v>10828</v>
      </c>
      <c r="C4878" s="2" t="s">
        <v>7596</v>
      </c>
    </row>
    <row r="4879">
      <c r="A4879" s="2" t="s">
        <v>10829</v>
      </c>
      <c r="B4879" s="2" t="s">
        <v>10830</v>
      </c>
      <c r="C4879" s="2" t="s">
        <v>7596</v>
      </c>
    </row>
    <row r="4880">
      <c r="A4880" s="2" t="s">
        <v>10831</v>
      </c>
      <c r="B4880" s="2" t="s">
        <v>10832</v>
      </c>
      <c r="C4880" s="2" t="s">
        <v>7596</v>
      </c>
    </row>
    <row r="4881">
      <c r="A4881" s="2" t="s">
        <v>10833</v>
      </c>
      <c r="B4881" s="2" t="s">
        <v>10834</v>
      </c>
      <c r="C4881" s="2" t="s">
        <v>7596</v>
      </c>
    </row>
    <row r="4882">
      <c r="A4882" s="2" t="s">
        <v>10835</v>
      </c>
      <c r="B4882" s="2" t="s">
        <v>10836</v>
      </c>
      <c r="C4882" s="2" t="s">
        <v>7596</v>
      </c>
    </row>
    <row r="4883">
      <c r="A4883" s="2" t="s">
        <v>10837</v>
      </c>
      <c r="B4883" s="2" t="s">
        <v>10838</v>
      </c>
      <c r="C4883" s="2" t="s">
        <v>7596</v>
      </c>
    </row>
    <row r="4884">
      <c r="A4884" s="2" t="s">
        <v>10839</v>
      </c>
      <c r="B4884" s="2" t="s">
        <v>10840</v>
      </c>
      <c r="C4884" s="2" t="s">
        <v>7596</v>
      </c>
    </row>
    <row r="4885">
      <c r="A4885" s="2" t="s">
        <v>10841</v>
      </c>
      <c r="B4885" s="2" t="s">
        <v>10842</v>
      </c>
      <c r="C4885" s="2" t="s">
        <v>7596</v>
      </c>
    </row>
    <row r="4886">
      <c r="A4886" s="2" t="s">
        <v>10843</v>
      </c>
      <c r="B4886" s="2" t="s">
        <v>10844</v>
      </c>
      <c r="C4886" s="2" t="s">
        <v>7596</v>
      </c>
    </row>
    <row r="4887">
      <c r="A4887" s="2" t="s">
        <v>10845</v>
      </c>
      <c r="B4887" s="2" t="s">
        <v>10846</v>
      </c>
      <c r="C4887" s="2" t="s">
        <v>7596</v>
      </c>
    </row>
    <row r="4888">
      <c r="A4888" s="2" t="s">
        <v>10847</v>
      </c>
      <c r="B4888" s="2" t="s">
        <v>10848</v>
      </c>
      <c r="C4888" s="2" t="s">
        <v>7596</v>
      </c>
    </row>
    <row r="4889">
      <c r="A4889" s="2" t="s">
        <v>10849</v>
      </c>
      <c r="B4889" s="2" t="s">
        <v>10850</v>
      </c>
      <c r="C4889" s="2" t="s">
        <v>7596</v>
      </c>
    </row>
    <row r="4890">
      <c r="A4890" s="2" t="s">
        <v>10851</v>
      </c>
      <c r="B4890" s="2" t="s">
        <v>10852</v>
      </c>
      <c r="C4890" s="2" t="s">
        <v>7596</v>
      </c>
    </row>
    <row r="4891">
      <c r="A4891" s="2" t="s">
        <v>10853</v>
      </c>
      <c r="B4891" s="2" t="s">
        <v>10854</v>
      </c>
      <c r="C4891" s="2" t="s">
        <v>7596</v>
      </c>
    </row>
    <row r="4892">
      <c r="A4892" s="2" t="s">
        <v>10855</v>
      </c>
      <c r="B4892" s="2" t="s">
        <v>10856</v>
      </c>
      <c r="C4892" s="2" t="s">
        <v>7596</v>
      </c>
    </row>
    <row r="4893">
      <c r="A4893" s="2" t="s">
        <v>10857</v>
      </c>
      <c r="B4893" s="2" t="s">
        <v>10858</v>
      </c>
      <c r="C4893" s="2" t="s">
        <v>7596</v>
      </c>
    </row>
    <row r="4894">
      <c r="A4894" s="2" t="s">
        <v>10859</v>
      </c>
      <c r="B4894" s="2" t="s">
        <v>10860</v>
      </c>
      <c r="C4894" s="2" t="s">
        <v>7596</v>
      </c>
    </row>
    <row r="4895">
      <c r="A4895" s="2" t="s">
        <v>10861</v>
      </c>
      <c r="B4895" s="2" t="s">
        <v>10862</v>
      </c>
      <c r="C4895" s="2" t="s">
        <v>7596</v>
      </c>
    </row>
    <row r="4896">
      <c r="A4896" s="2" t="s">
        <v>10863</v>
      </c>
      <c r="B4896" s="2" t="s">
        <v>10864</v>
      </c>
      <c r="C4896" s="2" t="s">
        <v>7596</v>
      </c>
    </row>
    <row r="4897">
      <c r="A4897" s="2" t="s">
        <v>10865</v>
      </c>
      <c r="B4897" s="2" t="s">
        <v>10866</v>
      </c>
      <c r="C4897" s="2" t="s">
        <v>7596</v>
      </c>
    </row>
    <row r="4898">
      <c r="A4898" s="2" t="s">
        <v>10867</v>
      </c>
      <c r="B4898" s="2" t="s">
        <v>10868</v>
      </c>
      <c r="C4898" s="2" t="s">
        <v>7596</v>
      </c>
    </row>
    <row r="4899">
      <c r="A4899" s="2" t="s">
        <v>10869</v>
      </c>
      <c r="B4899" s="2" t="s">
        <v>10870</v>
      </c>
      <c r="C4899" s="2" t="s">
        <v>7596</v>
      </c>
    </row>
    <row r="4900">
      <c r="A4900" s="2" t="s">
        <v>10871</v>
      </c>
      <c r="B4900" s="2" t="s">
        <v>10872</v>
      </c>
      <c r="C4900" s="2" t="s">
        <v>7596</v>
      </c>
    </row>
    <row r="4901">
      <c r="A4901" s="2" t="s">
        <v>10873</v>
      </c>
      <c r="B4901" s="2" t="s">
        <v>10874</v>
      </c>
      <c r="C4901" s="2" t="s">
        <v>7596</v>
      </c>
    </row>
    <row r="4902">
      <c r="A4902" s="2" t="s">
        <v>10875</v>
      </c>
      <c r="B4902" s="2" t="s">
        <v>10876</v>
      </c>
      <c r="C4902" s="2" t="s">
        <v>7596</v>
      </c>
    </row>
    <row r="4903">
      <c r="A4903" s="2" t="s">
        <v>10877</v>
      </c>
      <c r="B4903" s="2" t="s">
        <v>10878</v>
      </c>
      <c r="C4903" s="2" t="s">
        <v>7596</v>
      </c>
    </row>
    <row r="4904">
      <c r="A4904" s="2" t="s">
        <v>10879</v>
      </c>
      <c r="B4904" s="2" t="s">
        <v>10880</v>
      </c>
      <c r="C4904" s="2" t="s">
        <v>7596</v>
      </c>
    </row>
    <row r="4905">
      <c r="A4905" s="2" t="s">
        <v>10881</v>
      </c>
      <c r="B4905" s="2" t="s">
        <v>10882</v>
      </c>
      <c r="C4905" s="2" t="s">
        <v>7596</v>
      </c>
    </row>
    <row r="4906">
      <c r="A4906" s="2" t="s">
        <v>10883</v>
      </c>
      <c r="B4906" s="2" t="s">
        <v>10884</v>
      </c>
      <c r="C4906" s="2" t="s">
        <v>7596</v>
      </c>
    </row>
    <row r="4907">
      <c r="A4907" s="2" t="s">
        <v>10885</v>
      </c>
      <c r="B4907" s="2" t="s">
        <v>10886</v>
      </c>
      <c r="C4907" s="2" t="s">
        <v>7596</v>
      </c>
    </row>
    <row r="4908">
      <c r="A4908" s="2" t="s">
        <v>10887</v>
      </c>
      <c r="B4908" s="2" t="s">
        <v>10888</v>
      </c>
      <c r="C4908" s="2" t="s">
        <v>7596</v>
      </c>
    </row>
    <row r="4909">
      <c r="A4909" s="2" t="s">
        <v>10889</v>
      </c>
      <c r="B4909" s="2" t="s">
        <v>10890</v>
      </c>
      <c r="C4909" s="2" t="s">
        <v>7596</v>
      </c>
    </row>
    <row r="4910">
      <c r="A4910" s="2" t="s">
        <v>10891</v>
      </c>
      <c r="B4910" s="2" t="s">
        <v>10892</v>
      </c>
      <c r="C4910" s="2" t="s">
        <v>7596</v>
      </c>
    </row>
    <row r="4911">
      <c r="A4911" s="2" t="s">
        <v>10893</v>
      </c>
      <c r="B4911" s="2" t="s">
        <v>10894</v>
      </c>
      <c r="C4911" s="2" t="s">
        <v>7596</v>
      </c>
    </row>
    <row r="4912">
      <c r="A4912" s="2" t="s">
        <v>10895</v>
      </c>
      <c r="B4912" s="2" t="s">
        <v>10896</v>
      </c>
      <c r="C4912" s="2" t="s">
        <v>7596</v>
      </c>
    </row>
    <row r="4913">
      <c r="A4913" s="2" t="s">
        <v>10897</v>
      </c>
      <c r="B4913" s="2" t="s">
        <v>10898</v>
      </c>
      <c r="C4913" s="2" t="s">
        <v>7596</v>
      </c>
    </row>
    <row r="4914">
      <c r="A4914" s="2" t="s">
        <v>10899</v>
      </c>
      <c r="B4914" s="2" t="s">
        <v>10900</v>
      </c>
      <c r="C4914" s="2" t="s">
        <v>7596</v>
      </c>
    </row>
    <row r="4915">
      <c r="A4915" s="2" t="s">
        <v>10901</v>
      </c>
      <c r="B4915" s="2" t="s">
        <v>10902</v>
      </c>
      <c r="C4915" s="2" t="s">
        <v>7596</v>
      </c>
    </row>
    <row r="4916">
      <c r="A4916" s="2" t="s">
        <v>10903</v>
      </c>
      <c r="B4916" s="2" t="s">
        <v>10904</v>
      </c>
      <c r="C4916" s="2" t="s">
        <v>7596</v>
      </c>
    </row>
    <row r="4917">
      <c r="A4917" s="2" t="s">
        <v>10905</v>
      </c>
      <c r="B4917" s="2" t="s">
        <v>10906</v>
      </c>
      <c r="C4917" s="2" t="s">
        <v>7596</v>
      </c>
    </row>
    <row r="4918">
      <c r="A4918" s="2" t="s">
        <v>10907</v>
      </c>
      <c r="B4918" s="2" t="s">
        <v>10908</v>
      </c>
      <c r="C4918" s="2" t="s">
        <v>7596</v>
      </c>
    </row>
    <row r="4919">
      <c r="A4919" s="2" t="s">
        <v>10909</v>
      </c>
      <c r="B4919" s="2" t="s">
        <v>10910</v>
      </c>
      <c r="C4919" s="2" t="s">
        <v>7596</v>
      </c>
    </row>
    <row r="4920">
      <c r="A4920" s="2" t="s">
        <v>10911</v>
      </c>
      <c r="B4920" s="2" t="s">
        <v>10912</v>
      </c>
      <c r="C4920" s="2" t="s">
        <v>7596</v>
      </c>
    </row>
    <row r="4921">
      <c r="A4921" s="2" t="s">
        <v>10913</v>
      </c>
      <c r="B4921" s="2" t="s">
        <v>10914</v>
      </c>
      <c r="C4921" s="2" t="s">
        <v>7596</v>
      </c>
    </row>
    <row r="4922">
      <c r="A4922" s="2" t="s">
        <v>10915</v>
      </c>
      <c r="B4922" s="2" t="s">
        <v>10916</v>
      </c>
      <c r="C4922" s="2" t="s">
        <v>7596</v>
      </c>
    </row>
    <row r="4923">
      <c r="A4923" s="2" t="s">
        <v>10917</v>
      </c>
      <c r="B4923" s="2" t="s">
        <v>10918</v>
      </c>
      <c r="C4923" s="2" t="s">
        <v>7596</v>
      </c>
    </row>
    <row r="4924">
      <c r="A4924" s="2" t="s">
        <v>10919</v>
      </c>
      <c r="B4924" s="2" t="s">
        <v>10918</v>
      </c>
      <c r="C4924" s="2" t="s">
        <v>7596</v>
      </c>
    </row>
    <row r="4925">
      <c r="A4925" s="2" t="s">
        <v>10920</v>
      </c>
      <c r="B4925" s="2" t="s">
        <v>10921</v>
      </c>
      <c r="C4925" s="2" t="s">
        <v>7596</v>
      </c>
    </row>
    <row r="4926">
      <c r="A4926" s="2" t="s">
        <v>10922</v>
      </c>
      <c r="B4926" s="2" t="s">
        <v>10923</v>
      </c>
      <c r="C4926" s="2" t="s">
        <v>7596</v>
      </c>
    </row>
    <row r="4927">
      <c r="A4927" s="2" t="s">
        <v>10924</v>
      </c>
      <c r="B4927" s="2" t="s">
        <v>10925</v>
      </c>
      <c r="C4927" s="2" t="s">
        <v>7596</v>
      </c>
    </row>
    <row r="4928">
      <c r="A4928" s="2" t="s">
        <v>10926</v>
      </c>
      <c r="B4928" s="2" t="s">
        <v>10927</v>
      </c>
      <c r="C4928" s="2" t="s">
        <v>7596</v>
      </c>
    </row>
    <row r="4929">
      <c r="A4929" s="2" t="s">
        <v>10928</v>
      </c>
      <c r="B4929" s="2" t="s">
        <v>10929</v>
      </c>
      <c r="C4929" s="2" t="s">
        <v>7596</v>
      </c>
    </row>
    <row r="4930">
      <c r="A4930" s="2" t="s">
        <v>10930</v>
      </c>
      <c r="B4930" s="2" t="s">
        <v>10931</v>
      </c>
      <c r="C4930" s="2" t="s">
        <v>7596</v>
      </c>
    </row>
    <row r="4931">
      <c r="A4931" s="2" t="s">
        <v>10932</v>
      </c>
      <c r="B4931" s="2" t="s">
        <v>10931</v>
      </c>
      <c r="C4931" s="2" t="s">
        <v>7596</v>
      </c>
    </row>
    <row r="4932">
      <c r="A4932" s="2" t="s">
        <v>10933</v>
      </c>
      <c r="B4932" s="2" t="s">
        <v>10934</v>
      </c>
      <c r="C4932" s="2" t="s">
        <v>7596</v>
      </c>
    </row>
    <row r="4933">
      <c r="A4933" s="2" t="s">
        <v>10935</v>
      </c>
      <c r="B4933" s="2" t="s">
        <v>10934</v>
      </c>
      <c r="C4933" s="2" t="s">
        <v>7596</v>
      </c>
    </row>
    <row r="4934">
      <c r="A4934" s="2" t="s">
        <v>10936</v>
      </c>
      <c r="B4934" s="2" t="s">
        <v>10937</v>
      </c>
      <c r="C4934" s="2" t="s">
        <v>7596</v>
      </c>
    </row>
    <row r="4935">
      <c r="A4935" s="2" t="s">
        <v>10938</v>
      </c>
      <c r="B4935" s="2" t="s">
        <v>10937</v>
      </c>
      <c r="C4935" s="2" t="s">
        <v>7596</v>
      </c>
    </row>
    <row r="4936">
      <c r="A4936" s="2" t="s">
        <v>10939</v>
      </c>
      <c r="B4936" s="2" t="s">
        <v>10940</v>
      </c>
      <c r="C4936" s="2" t="s">
        <v>7596</v>
      </c>
    </row>
    <row r="4937">
      <c r="A4937" s="2" t="s">
        <v>10941</v>
      </c>
      <c r="B4937" s="2" t="s">
        <v>10940</v>
      </c>
      <c r="C4937" s="2" t="s">
        <v>7596</v>
      </c>
    </row>
    <row r="4938">
      <c r="A4938" s="2" t="s">
        <v>10942</v>
      </c>
      <c r="B4938" s="2" t="s">
        <v>10943</v>
      </c>
      <c r="C4938" s="2" t="s">
        <v>7596</v>
      </c>
    </row>
    <row r="4939">
      <c r="A4939" s="2" t="s">
        <v>10944</v>
      </c>
      <c r="B4939" s="2" t="s">
        <v>10943</v>
      </c>
      <c r="C4939" s="2" t="s">
        <v>7596</v>
      </c>
    </row>
    <row r="4940">
      <c r="A4940" s="2" t="s">
        <v>10945</v>
      </c>
      <c r="B4940" s="2" t="s">
        <v>10946</v>
      </c>
      <c r="C4940" s="2" t="s">
        <v>7596</v>
      </c>
    </row>
    <row r="4941">
      <c r="A4941" s="2" t="s">
        <v>10947</v>
      </c>
      <c r="B4941" s="2" t="s">
        <v>10946</v>
      </c>
      <c r="C4941" s="2" t="s">
        <v>7596</v>
      </c>
    </row>
    <row r="4942">
      <c r="A4942" s="2" t="s">
        <v>10948</v>
      </c>
      <c r="B4942" s="2" t="s">
        <v>10949</v>
      </c>
      <c r="C4942" s="2" t="s">
        <v>7596</v>
      </c>
    </row>
    <row r="4943">
      <c r="A4943" s="2" t="s">
        <v>10950</v>
      </c>
      <c r="B4943" s="2" t="s">
        <v>10949</v>
      </c>
      <c r="C4943" s="2" t="s">
        <v>7596</v>
      </c>
    </row>
    <row r="4944">
      <c r="A4944" s="2" t="s">
        <v>10951</v>
      </c>
      <c r="B4944" s="2" t="s">
        <v>10952</v>
      </c>
      <c r="C4944" s="2" t="s">
        <v>7596</v>
      </c>
    </row>
    <row r="4945">
      <c r="A4945" s="2" t="s">
        <v>10953</v>
      </c>
      <c r="B4945" s="2" t="s">
        <v>10952</v>
      </c>
      <c r="C4945" s="2" t="s">
        <v>7596</v>
      </c>
    </row>
    <row r="4946">
      <c r="A4946" s="2" t="s">
        <v>10954</v>
      </c>
      <c r="B4946" s="2" t="s">
        <v>10955</v>
      </c>
      <c r="C4946" s="2" t="s">
        <v>7596</v>
      </c>
    </row>
    <row r="4947">
      <c r="A4947" s="2" t="s">
        <v>10956</v>
      </c>
      <c r="B4947" s="2" t="s">
        <v>10955</v>
      </c>
      <c r="C4947" s="2" t="s">
        <v>7596</v>
      </c>
    </row>
    <row r="4948">
      <c r="A4948" s="2" t="s">
        <v>10957</v>
      </c>
      <c r="B4948" s="2" t="s">
        <v>10958</v>
      </c>
      <c r="C4948" s="2" t="s">
        <v>7596</v>
      </c>
    </row>
    <row r="4949">
      <c r="A4949" s="2" t="s">
        <v>10959</v>
      </c>
      <c r="B4949" s="2" t="s">
        <v>10958</v>
      </c>
      <c r="C4949" s="2" t="s">
        <v>7596</v>
      </c>
    </row>
    <row r="4950">
      <c r="A4950" s="2" t="s">
        <v>10960</v>
      </c>
      <c r="B4950" s="2" t="s">
        <v>10961</v>
      </c>
      <c r="C4950" s="2" t="s">
        <v>7596</v>
      </c>
    </row>
    <row r="4951">
      <c r="A4951" s="2" t="s">
        <v>10962</v>
      </c>
      <c r="B4951" s="2" t="s">
        <v>10961</v>
      </c>
      <c r="C4951" s="2" t="s">
        <v>7596</v>
      </c>
    </row>
    <row r="4952">
      <c r="A4952" s="2" t="s">
        <v>10963</v>
      </c>
      <c r="B4952" s="2" t="s">
        <v>10964</v>
      </c>
      <c r="C4952" s="2" t="s">
        <v>7596</v>
      </c>
    </row>
    <row r="4953">
      <c r="A4953" s="2" t="s">
        <v>10965</v>
      </c>
      <c r="B4953" s="2" t="s">
        <v>10964</v>
      </c>
      <c r="C4953" s="2" t="s">
        <v>7596</v>
      </c>
    </row>
    <row r="4954">
      <c r="A4954" s="2" t="s">
        <v>10966</v>
      </c>
      <c r="B4954" s="2" t="s">
        <v>10967</v>
      </c>
      <c r="C4954" s="2" t="s">
        <v>7596</v>
      </c>
    </row>
    <row r="4955">
      <c r="A4955" s="2" t="s">
        <v>10968</v>
      </c>
      <c r="B4955" s="2" t="s">
        <v>10967</v>
      </c>
      <c r="C4955" s="2" t="s">
        <v>7596</v>
      </c>
    </row>
    <row r="4956">
      <c r="A4956" s="2" t="s">
        <v>10969</v>
      </c>
      <c r="B4956" s="2" t="s">
        <v>10970</v>
      </c>
      <c r="C4956" s="2" t="s">
        <v>7596</v>
      </c>
    </row>
    <row r="4957">
      <c r="A4957" s="2" t="s">
        <v>10971</v>
      </c>
      <c r="B4957" s="2" t="s">
        <v>10970</v>
      </c>
      <c r="C4957" s="2" t="s">
        <v>7596</v>
      </c>
    </row>
    <row r="4958">
      <c r="A4958" s="2" t="s">
        <v>10972</v>
      </c>
      <c r="B4958" s="2" t="s">
        <v>10973</v>
      </c>
      <c r="C4958" s="2" t="s">
        <v>7596</v>
      </c>
    </row>
    <row r="4959">
      <c r="A4959" s="2" t="s">
        <v>10974</v>
      </c>
      <c r="B4959" s="2" t="s">
        <v>10973</v>
      </c>
      <c r="C4959" s="2" t="s">
        <v>7596</v>
      </c>
    </row>
    <row r="4960">
      <c r="A4960" s="2" t="s">
        <v>10975</v>
      </c>
      <c r="B4960" s="2" t="s">
        <v>10976</v>
      </c>
      <c r="C4960" s="2" t="s">
        <v>7596</v>
      </c>
    </row>
    <row r="4961">
      <c r="A4961" s="2" t="s">
        <v>10977</v>
      </c>
      <c r="B4961" s="2" t="s">
        <v>10976</v>
      </c>
      <c r="C4961" s="2" t="s">
        <v>7596</v>
      </c>
    </row>
    <row r="4962">
      <c r="A4962" s="2" t="s">
        <v>10978</v>
      </c>
      <c r="B4962" s="2" t="s">
        <v>10979</v>
      </c>
      <c r="C4962" s="2" t="s">
        <v>7596</v>
      </c>
    </row>
    <row r="4963">
      <c r="A4963" s="2" t="s">
        <v>10980</v>
      </c>
      <c r="B4963" s="2" t="s">
        <v>10979</v>
      </c>
      <c r="C4963" s="2" t="s">
        <v>7596</v>
      </c>
    </row>
    <row r="4964">
      <c r="A4964" s="2" t="s">
        <v>10981</v>
      </c>
      <c r="B4964" s="2" t="s">
        <v>10982</v>
      </c>
      <c r="C4964" s="2" t="s">
        <v>7596</v>
      </c>
    </row>
    <row r="4965">
      <c r="A4965" s="2" t="s">
        <v>10983</v>
      </c>
      <c r="B4965" s="2" t="s">
        <v>10982</v>
      </c>
      <c r="C4965" s="2" t="s">
        <v>7596</v>
      </c>
    </row>
    <row r="4966">
      <c r="A4966" s="2" t="s">
        <v>10984</v>
      </c>
      <c r="B4966" s="2" t="s">
        <v>10985</v>
      </c>
      <c r="C4966" s="2" t="s">
        <v>7596</v>
      </c>
    </row>
    <row r="4967">
      <c r="A4967" s="2" t="s">
        <v>10986</v>
      </c>
      <c r="B4967" s="2" t="s">
        <v>10985</v>
      </c>
      <c r="C4967" s="2" t="s">
        <v>7596</v>
      </c>
    </row>
    <row r="4968">
      <c r="A4968" s="2" t="s">
        <v>10987</v>
      </c>
      <c r="B4968" s="2" t="s">
        <v>10988</v>
      </c>
      <c r="C4968" s="2" t="s">
        <v>7596</v>
      </c>
    </row>
    <row r="4969">
      <c r="A4969" s="2" t="s">
        <v>10989</v>
      </c>
      <c r="B4969" s="2" t="s">
        <v>10988</v>
      </c>
      <c r="C4969" s="2" t="s">
        <v>7596</v>
      </c>
    </row>
    <row r="4970">
      <c r="A4970" s="2" t="s">
        <v>10990</v>
      </c>
      <c r="B4970" s="2" t="s">
        <v>10991</v>
      </c>
      <c r="C4970" s="2" t="s">
        <v>7596</v>
      </c>
    </row>
    <row r="4971">
      <c r="A4971" s="2" t="s">
        <v>10992</v>
      </c>
      <c r="B4971" s="2" t="s">
        <v>10991</v>
      </c>
      <c r="C4971" s="2" t="s">
        <v>7596</v>
      </c>
    </row>
    <row r="4972">
      <c r="A4972" s="2" t="s">
        <v>10993</v>
      </c>
      <c r="B4972" s="2" t="s">
        <v>10994</v>
      </c>
      <c r="C4972" s="2" t="s">
        <v>7596</v>
      </c>
    </row>
    <row r="4973">
      <c r="A4973" s="2" t="s">
        <v>10995</v>
      </c>
      <c r="B4973" s="2" t="s">
        <v>10994</v>
      </c>
      <c r="C4973" s="2" t="s">
        <v>7596</v>
      </c>
    </row>
    <row r="4974">
      <c r="A4974" s="2" t="s">
        <v>10996</v>
      </c>
      <c r="B4974" s="2" t="s">
        <v>10997</v>
      </c>
      <c r="C4974" s="2" t="s">
        <v>7596</v>
      </c>
    </row>
    <row r="4975">
      <c r="A4975" s="2" t="s">
        <v>10998</v>
      </c>
      <c r="B4975" s="2" t="s">
        <v>10997</v>
      </c>
      <c r="C4975" s="2" t="s">
        <v>7596</v>
      </c>
    </row>
    <row r="4976">
      <c r="A4976" s="2" t="s">
        <v>10999</v>
      </c>
      <c r="B4976" s="2" t="s">
        <v>11000</v>
      </c>
      <c r="C4976" s="2" t="s">
        <v>7596</v>
      </c>
    </row>
    <row r="4977">
      <c r="A4977" s="2" t="s">
        <v>11001</v>
      </c>
      <c r="B4977" s="2" t="s">
        <v>11000</v>
      </c>
      <c r="C4977" s="2" t="s">
        <v>7596</v>
      </c>
    </row>
    <row r="4978">
      <c r="A4978" s="2" t="s">
        <v>11002</v>
      </c>
      <c r="B4978" s="2" t="s">
        <v>11003</v>
      </c>
      <c r="C4978" s="2" t="s">
        <v>7596</v>
      </c>
    </row>
    <row r="4979">
      <c r="A4979" s="2" t="s">
        <v>11004</v>
      </c>
      <c r="B4979" s="2" t="s">
        <v>11005</v>
      </c>
      <c r="C4979" s="2" t="s">
        <v>7596</v>
      </c>
    </row>
    <row r="4980">
      <c r="A4980" s="2" t="s">
        <v>11006</v>
      </c>
      <c r="B4980" s="2" t="s">
        <v>11007</v>
      </c>
      <c r="C4980" s="2" t="s">
        <v>7596</v>
      </c>
    </row>
    <row r="4981">
      <c r="A4981" s="2" t="s">
        <v>11008</v>
      </c>
      <c r="B4981" s="2" t="s">
        <v>11009</v>
      </c>
      <c r="C4981" s="2" t="s">
        <v>7596</v>
      </c>
    </row>
    <row r="4982">
      <c r="A4982" s="2" t="s">
        <v>11010</v>
      </c>
      <c r="B4982" s="2" t="s">
        <v>11011</v>
      </c>
      <c r="C4982" s="2" t="s">
        <v>7596</v>
      </c>
    </row>
    <row r="4983">
      <c r="A4983" s="2" t="s">
        <v>11012</v>
      </c>
      <c r="B4983" s="2" t="s">
        <v>11013</v>
      </c>
      <c r="C4983" s="2" t="s">
        <v>7596</v>
      </c>
    </row>
    <row r="4984">
      <c r="A4984" s="2" t="s">
        <v>11014</v>
      </c>
      <c r="B4984" s="2" t="s">
        <v>11015</v>
      </c>
      <c r="C4984" s="2" t="s">
        <v>7596</v>
      </c>
    </row>
    <row r="4985">
      <c r="A4985" s="2" t="s">
        <v>11016</v>
      </c>
      <c r="B4985" s="2" t="s">
        <v>11017</v>
      </c>
      <c r="C4985" s="2" t="s">
        <v>7596</v>
      </c>
    </row>
    <row r="4986">
      <c r="A4986" s="2" t="s">
        <v>11018</v>
      </c>
      <c r="B4986" s="2" t="s">
        <v>11019</v>
      </c>
      <c r="C4986" s="2" t="s">
        <v>7596</v>
      </c>
    </row>
    <row r="4987">
      <c r="A4987" s="2" t="s">
        <v>11020</v>
      </c>
      <c r="B4987" s="2" t="s">
        <v>11021</v>
      </c>
      <c r="C4987" s="2" t="s">
        <v>7596</v>
      </c>
    </row>
    <row r="4988">
      <c r="A4988" s="2" t="s">
        <v>11022</v>
      </c>
      <c r="B4988" s="2" t="s">
        <v>11023</v>
      </c>
      <c r="C4988" s="2" t="s">
        <v>7596</v>
      </c>
    </row>
    <row r="4989">
      <c r="A4989" s="2" t="s">
        <v>11024</v>
      </c>
      <c r="B4989" s="2" t="s">
        <v>11025</v>
      </c>
      <c r="C4989" s="2" t="s">
        <v>7596</v>
      </c>
    </row>
    <row r="4990">
      <c r="A4990" s="2" t="s">
        <v>11026</v>
      </c>
      <c r="B4990" s="2" t="s">
        <v>11027</v>
      </c>
      <c r="C4990" s="2" t="s">
        <v>7596</v>
      </c>
    </row>
    <row r="4991">
      <c r="A4991" s="2" t="s">
        <v>11028</v>
      </c>
      <c r="B4991" s="2" t="s">
        <v>11029</v>
      </c>
      <c r="C4991" s="2" t="s">
        <v>7596</v>
      </c>
    </row>
    <row r="4992">
      <c r="A4992" s="2" t="s">
        <v>11030</v>
      </c>
      <c r="B4992" s="2" t="s">
        <v>11031</v>
      </c>
      <c r="C4992" s="2" t="s">
        <v>7596</v>
      </c>
    </row>
    <row r="4993">
      <c r="A4993" s="2" t="s">
        <v>11032</v>
      </c>
      <c r="B4993" s="2" t="s">
        <v>11033</v>
      </c>
      <c r="C4993" s="2" t="s">
        <v>7596</v>
      </c>
    </row>
    <row r="4994">
      <c r="A4994" s="2" t="s">
        <v>11034</v>
      </c>
      <c r="B4994" s="2" t="s">
        <v>11035</v>
      </c>
      <c r="C4994" s="2" t="s">
        <v>7596</v>
      </c>
    </row>
    <row r="4995">
      <c r="A4995" s="2" t="s">
        <v>11036</v>
      </c>
      <c r="B4995" s="2" t="s">
        <v>11037</v>
      </c>
      <c r="C4995" s="2" t="s">
        <v>7596</v>
      </c>
    </row>
    <row r="4996">
      <c r="A4996" s="2" t="s">
        <v>11038</v>
      </c>
      <c r="B4996" s="2" t="s">
        <v>11039</v>
      </c>
      <c r="C4996" s="2" t="s">
        <v>7596</v>
      </c>
    </row>
    <row r="4997">
      <c r="A4997" s="2" t="s">
        <v>11040</v>
      </c>
      <c r="B4997" s="2" t="s">
        <v>11041</v>
      </c>
      <c r="C4997" s="2" t="s">
        <v>7596</v>
      </c>
    </row>
    <row r="4998">
      <c r="A4998" s="2" t="s">
        <v>11042</v>
      </c>
      <c r="B4998" s="2" t="s">
        <v>11043</v>
      </c>
      <c r="C4998" s="2" t="s">
        <v>7596</v>
      </c>
    </row>
    <row r="4999">
      <c r="A4999" s="2" t="s">
        <v>11044</v>
      </c>
      <c r="B4999" s="2" t="s">
        <v>11045</v>
      </c>
      <c r="C4999" s="2" t="s">
        <v>7596</v>
      </c>
    </row>
    <row r="5000">
      <c r="A5000" s="2" t="s">
        <v>11046</v>
      </c>
      <c r="B5000" s="2" t="s">
        <v>11047</v>
      </c>
      <c r="C5000" s="2" t="s">
        <v>7596</v>
      </c>
    </row>
    <row r="5001">
      <c r="A5001" s="2" t="s">
        <v>11048</v>
      </c>
      <c r="B5001" s="2" t="s">
        <v>11049</v>
      </c>
      <c r="C5001" s="2" t="s">
        <v>7596</v>
      </c>
    </row>
    <row r="5002">
      <c r="A5002" s="2" t="s">
        <v>11050</v>
      </c>
      <c r="B5002" s="2" t="s">
        <v>11051</v>
      </c>
      <c r="C5002" s="2" t="s">
        <v>7596</v>
      </c>
    </row>
    <row r="5003">
      <c r="A5003" s="2" t="s">
        <v>11052</v>
      </c>
      <c r="B5003" s="2" t="s">
        <v>11053</v>
      </c>
      <c r="C5003" s="2" t="s">
        <v>7596</v>
      </c>
    </row>
    <row r="5004">
      <c r="A5004" s="2" t="s">
        <v>11054</v>
      </c>
      <c r="B5004" s="2" t="s">
        <v>11055</v>
      </c>
      <c r="C5004" s="2" t="s">
        <v>7596</v>
      </c>
    </row>
    <row r="5005">
      <c r="A5005" s="2" t="s">
        <v>11056</v>
      </c>
      <c r="B5005" s="2" t="s">
        <v>11057</v>
      </c>
      <c r="C5005" s="2" t="s">
        <v>7596</v>
      </c>
    </row>
    <row r="5006">
      <c r="A5006" s="2" t="s">
        <v>11058</v>
      </c>
      <c r="B5006" s="2" t="s">
        <v>11059</v>
      </c>
      <c r="C5006" s="2" t="s">
        <v>7596</v>
      </c>
    </row>
    <row r="5007">
      <c r="A5007" s="2" t="s">
        <v>11060</v>
      </c>
      <c r="B5007" s="2" t="s">
        <v>11059</v>
      </c>
      <c r="C5007" s="2" t="s">
        <v>7596</v>
      </c>
    </row>
    <row r="5008">
      <c r="A5008" s="2" t="s">
        <v>11061</v>
      </c>
      <c r="B5008" s="2" t="s">
        <v>11062</v>
      </c>
      <c r="C5008" s="2" t="s">
        <v>7596</v>
      </c>
    </row>
    <row r="5009">
      <c r="A5009" s="2" t="s">
        <v>11063</v>
      </c>
      <c r="B5009" s="2" t="s">
        <v>11064</v>
      </c>
      <c r="C5009" s="2" t="s">
        <v>7596</v>
      </c>
    </row>
    <row r="5010">
      <c r="A5010" s="2" t="s">
        <v>11065</v>
      </c>
      <c r="B5010" s="2" t="s">
        <v>11066</v>
      </c>
      <c r="C5010" s="2" t="s">
        <v>7596</v>
      </c>
    </row>
    <row r="5011">
      <c r="A5011" s="2" t="s">
        <v>11067</v>
      </c>
      <c r="B5011" s="2" t="s">
        <v>11068</v>
      </c>
      <c r="C5011" s="2" t="s">
        <v>7596</v>
      </c>
    </row>
    <row r="5012">
      <c r="A5012" s="2" t="s">
        <v>11069</v>
      </c>
      <c r="B5012" s="2" t="s">
        <v>11070</v>
      </c>
      <c r="C5012" s="2" t="s">
        <v>7596</v>
      </c>
    </row>
    <row r="5013">
      <c r="A5013" s="2" t="s">
        <v>11071</v>
      </c>
      <c r="B5013" s="2" t="s">
        <v>11072</v>
      </c>
      <c r="C5013" s="2" t="s">
        <v>7596</v>
      </c>
    </row>
    <row r="5014">
      <c r="A5014" s="2" t="s">
        <v>11073</v>
      </c>
      <c r="B5014" s="2" t="s">
        <v>11074</v>
      </c>
      <c r="C5014" s="2" t="s">
        <v>7596</v>
      </c>
    </row>
    <row r="5015">
      <c r="A5015" s="2" t="s">
        <v>11075</v>
      </c>
      <c r="B5015" s="2" t="s">
        <v>11076</v>
      </c>
      <c r="C5015" s="2" t="s">
        <v>7596</v>
      </c>
    </row>
    <row r="5016">
      <c r="A5016" s="2" t="s">
        <v>11077</v>
      </c>
      <c r="B5016" s="2" t="s">
        <v>11078</v>
      </c>
      <c r="C5016" s="2" t="s">
        <v>7596</v>
      </c>
    </row>
    <row r="5017">
      <c r="A5017" s="2" t="s">
        <v>11079</v>
      </c>
      <c r="B5017" s="2" t="s">
        <v>11080</v>
      </c>
      <c r="C5017" s="2" t="s">
        <v>7596</v>
      </c>
    </row>
    <row r="5018">
      <c r="A5018" s="2" t="s">
        <v>11081</v>
      </c>
      <c r="B5018" s="2" t="s">
        <v>11082</v>
      </c>
      <c r="C5018" s="2" t="s">
        <v>7596</v>
      </c>
    </row>
    <row r="5019">
      <c r="A5019" s="2" t="s">
        <v>11083</v>
      </c>
      <c r="B5019" s="2" t="s">
        <v>11084</v>
      </c>
      <c r="C5019" s="2" t="s">
        <v>7596</v>
      </c>
    </row>
    <row r="5020">
      <c r="A5020" s="2" t="s">
        <v>11085</v>
      </c>
      <c r="B5020" s="2" t="s">
        <v>11086</v>
      </c>
      <c r="C5020" s="2" t="s">
        <v>7596</v>
      </c>
    </row>
    <row r="5021">
      <c r="A5021" s="2" t="s">
        <v>11087</v>
      </c>
      <c r="B5021" s="2" t="s">
        <v>11088</v>
      </c>
      <c r="C5021" s="2" t="s">
        <v>7596</v>
      </c>
    </row>
    <row r="5022">
      <c r="A5022" s="2" t="s">
        <v>11089</v>
      </c>
      <c r="B5022" s="2" t="s">
        <v>11090</v>
      </c>
      <c r="C5022" s="2" t="s">
        <v>7596</v>
      </c>
    </row>
    <row r="5023">
      <c r="A5023" s="2" t="s">
        <v>11091</v>
      </c>
      <c r="B5023" s="2" t="s">
        <v>11092</v>
      </c>
      <c r="C5023" s="2" t="s">
        <v>7596</v>
      </c>
    </row>
    <row r="5024">
      <c r="A5024" s="2" t="s">
        <v>11093</v>
      </c>
      <c r="B5024" s="2" t="s">
        <v>11094</v>
      </c>
      <c r="C5024" s="2" t="s">
        <v>7596</v>
      </c>
    </row>
    <row r="5025">
      <c r="A5025" s="2" t="s">
        <v>11095</v>
      </c>
      <c r="B5025" s="2" t="s">
        <v>11096</v>
      </c>
      <c r="C5025" s="2" t="s">
        <v>7596</v>
      </c>
    </row>
    <row r="5026">
      <c r="A5026" s="2" t="s">
        <v>11097</v>
      </c>
      <c r="B5026" s="2" t="s">
        <v>11098</v>
      </c>
      <c r="C5026" s="2" t="s">
        <v>7596</v>
      </c>
    </row>
    <row r="5027">
      <c r="A5027" s="2" t="s">
        <v>11099</v>
      </c>
      <c r="B5027" s="2" t="s">
        <v>11100</v>
      </c>
      <c r="C5027" s="2" t="s">
        <v>7596</v>
      </c>
    </row>
    <row r="5028">
      <c r="A5028" s="2" t="s">
        <v>11101</v>
      </c>
      <c r="B5028" s="2" t="s">
        <v>11102</v>
      </c>
      <c r="C5028" s="2" t="s">
        <v>7596</v>
      </c>
    </row>
    <row r="5029">
      <c r="A5029" s="2" t="s">
        <v>11103</v>
      </c>
      <c r="B5029" s="2" t="s">
        <v>11104</v>
      </c>
      <c r="C5029" s="2" t="s">
        <v>7596</v>
      </c>
    </row>
    <row r="5030">
      <c r="A5030" s="2" t="s">
        <v>11105</v>
      </c>
      <c r="B5030" s="2" t="s">
        <v>11106</v>
      </c>
      <c r="C5030" s="2" t="s">
        <v>7596</v>
      </c>
    </row>
    <row r="5031">
      <c r="A5031" s="2" t="s">
        <v>11107</v>
      </c>
      <c r="B5031" s="2" t="s">
        <v>11108</v>
      </c>
      <c r="C5031" s="2" t="s">
        <v>7596</v>
      </c>
    </row>
    <row r="5032">
      <c r="A5032" s="2" t="s">
        <v>11109</v>
      </c>
      <c r="B5032" s="2" t="s">
        <v>11110</v>
      </c>
      <c r="C5032" s="2" t="s">
        <v>7596</v>
      </c>
    </row>
    <row r="5033">
      <c r="A5033" s="2" t="s">
        <v>11111</v>
      </c>
      <c r="B5033" s="2" t="s">
        <v>11112</v>
      </c>
      <c r="C5033" s="2" t="s">
        <v>7596</v>
      </c>
    </row>
    <row r="5034">
      <c r="A5034" s="2" t="s">
        <v>11113</v>
      </c>
      <c r="B5034" s="2" t="s">
        <v>11114</v>
      </c>
      <c r="C5034" s="2" t="s">
        <v>7596</v>
      </c>
    </row>
    <row r="5035">
      <c r="A5035" s="2" t="s">
        <v>11115</v>
      </c>
      <c r="B5035" s="2" t="s">
        <v>11116</v>
      </c>
      <c r="C5035" s="2" t="s">
        <v>7596</v>
      </c>
    </row>
    <row r="5036">
      <c r="A5036" s="2" t="s">
        <v>11117</v>
      </c>
      <c r="B5036" s="2" t="s">
        <v>11118</v>
      </c>
      <c r="C5036" s="2" t="s">
        <v>7596</v>
      </c>
    </row>
    <row r="5037">
      <c r="A5037" s="2" t="s">
        <v>11119</v>
      </c>
      <c r="B5037" s="2" t="s">
        <v>11120</v>
      </c>
      <c r="C5037" s="2" t="s">
        <v>7596</v>
      </c>
    </row>
    <row r="5038">
      <c r="A5038" s="2" t="s">
        <v>11121</v>
      </c>
      <c r="B5038" s="2" t="s">
        <v>11122</v>
      </c>
      <c r="C5038" s="2" t="s">
        <v>7596</v>
      </c>
    </row>
    <row r="5039">
      <c r="A5039" s="2" t="s">
        <v>11123</v>
      </c>
      <c r="B5039" s="2" t="s">
        <v>11124</v>
      </c>
      <c r="C5039" s="2" t="s">
        <v>7596</v>
      </c>
    </row>
    <row r="5040">
      <c r="A5040" s="2" t="s">
        <v>11125</v>
      </c>
      <c r="B5040" s="2" t="s">
        <v>11126</v>
      </c>
      <c r="C5040" s="2" t="s">
        <v>7596</v>
      </c>
    </row>
    <row r="5041">
      <c r="A5041" s="2" t="s">
        <v>11127</v>
      </c>
      <c r="B5041" s="2" t="s">
        <v>11128</v>
      </c>
      <c r="C5041" s="2" t="s">
        <v>7596</v>
      </c>
    </row>
    <row r="5042">
      <c r="A5042" s="2" t="s">
        <v>11129</v>
      </c>
      <c r="B5042" s="2" t="s">
        <v>11130</v>
      </c>
      <c r="C5042" s="2" t="s">
        <v>7596</v>
      </c>
    </row>
    <row r="5043">
      <c r="A5043" s="2" t="s">
        <v>11131</v>
      </c>
      <c r="B5043" s="2" t="s">
        <v>11132</v>
      </c>
      <c r="C5043" s="2" t="s">
        <v>7596</v>
      </c>
    </row>
    <row r="5044">
      <c r="A5044" s="2" t="s">
        <v>11133</v>
      </c>
      <c r="B5044" s="2" t="s">
        <v>11134</v>
      </c>
      <c r="C5044" s="2" t="s">
        <v>7596</v>
      </c>
    </row>
    <row r="5045">
      <c r="A5045" s="2" t="s">
        <v>11135</v>
      </c>
      <c r="B5045" s="2" t="s">
        <v>11136</v>
      </c>
      <c r="C5045" s="2" t="s">
        <v>7596</v>
      </c>
    </row>
    <row r="5046">
      <c r="A5046" s="2" t="s">
        <v>11137</v>
      </c>
      <c r="B5046" s="2" t="s">
        <v>11138</v>
      </c>
      <c r="C5046" s="2" t="s">
        <v>7596</v>
      </c>
    </row>
    <row r="5047">
      <c r="A5047" s="2" t="s">
        <v>11139</v>
      </c>
      <c r="B5047" s="2" t="s">
        <v>11140</v>
      </c>
      <c r="C5047" s="2" t="s">
        <v>7596</v>
      </c>
    </row>
    <row r="5048">
      <c r="A5048" s="2" t="s">
        <v>11141</v>
      </c>
      <c r="B5048" s="2" t="s">
        <v>11142</v>
      </c>
      <c r="C5048" s="2" t="s">
        <v>7596</v>
      </c>
    </row>
    <row r="5049">
      <c r="A5049" s="2" t="s">
        <v>11143</v>
      </c>
      <c r="B5049" s="2" t="s">
        <v>11144</v>
      </c>
      <c r="C5049" s="2" t="s">
        <v>7596</v>
      </c>
    </row>
    <row r="5050">
      <c r="A5050" s="2" t="s">
        <v>11145</v>
      </c>
      <c r="B5050" s="2" t="s">
        <v>11146</v>
      </c>
      <c r="C5050" s="2" t="s">
        <v>7596</v>
      </c>
    </row>
    <row r="5051">
      <c r="A5051" s="2" t="s">
        <v>11147</v>
      </c>
      <c r="B5051" s="2" t="s">
        <v>11148</v>
      </c>
      <c r="C5051" s="2" t="s">
        <v>7596</v>
      </c>
    </row>
    <row r="5052">
      <c r="A5052" s="2" t="s">
        <v>11149</v>
      </c>
      <c r="B5052" s="2" t="s">
        <v>11150</v>
      </c>
      <c r="C5052" s="2" t="s">
        <v>7596</v>
      </c>
    </row>
    <row r="5053">
      <c r="A5053" s="2" t="s">
        <v>11151</v>
      </c>
      <c r="B5053" s="2" t="s">
        <v>11152</v>
      </c>
      <c r="C5053" s="2" t="s">
        <v>7596</v>
      </c>
    </row>
    <row r="5054">
      <c r="A5054" s="2" t="s">
        <v>11153</v>
      </c>
      <c r="B5054" s="2" t="s">
        <v>11154</v>
      </c>
      <c r="C5054" s="2" t="s">
        <v>7596</v>
      </c>
    </row>
    <row r="5055">
      <c r="A5055" s="2" t="s">
        <v>11155</v>
      </c>
      <c r="B5055" s="2" t="s">
        <v>11156</v>
      </c>
      <c r="C5055" s="2" t="s">
        <v>7596</v>
      </c>
    </row>
    <row r="5056">
      <c r="A5056" s="2" t="s">
        <v>11157</v>
      </c>
      <c r="B5056" s="2" t="s">
        <v>11158</v>
      </c>
      <c r="C5056" s="2" t="s">
        <v>7596</v>
      </c>
    </row>
    <row r="5057">
      <c r="A5057" s="2" t="s">
        <v>11159</v>
      </c>
      <c r="B5057" s="2" t="s">
        <v>11160</v>
      </c>
      <c r="C5057" s="2" t="s">
        <v>7596</v>
      </c>
    </row>
    <row r="5058">
      <c r="A5058" s="2" t="s">
        <v>11161</v>
      </c>
      <c r="B5058" s="2" t="s">
        <v>11162</v>
      </c>
      <c r="C5058" s="2" t="s">
        <v>7596</v>
      </c>
    </row>
    <row r="5059">
      <c r="A5059" s="2" t="s">
        <v>11163</v>
      </c>
      <c r="B5059" s="2" t="s">
        <v>11164</v>
      </c>
      <c r="C5059" s="2" t="s">
        <v>7596</v>
      </c>
    </row>
    <row r="5060">
      <c r="A5060" s="2" t="s">
        <v>11165</v>
      </c>
      <c r="B5060" s="2" t="s">
        <v>11166</v>
      </c>
      <c r="C5060" s="2" t="s">
        <v>7596</v>
      </c>
    </row>
    <row r="5061">
      <c r="A5061" s="2" t="s">
        <v>11167</v>
      </c>
      <c r="B5061" s="2" t="s">
        <v>11168</v>
      </c>
      <c r="C5061" s="2" t="s">
        <v>7596</v>
      </c>
    </row>
    <row r="5062">
      <c r="A5062" s="2" t="s">
        <v>11169</v>
      </c>
      <c r="B5062" s="2" t="s">
        <v>11170</v>
      </c>
      <c r="C5062" s="2" t="s">
        <v>7596</v>
      </c>
    </row>
    <row r="5063">
      <c r="A5063" s="2" t="s">
        <v>11171</v>
      </c>
      <c r="B5063" s="2" t="s">
        <v>11172</v>
      </c>
      <c r="C5063" s="2" t="s">
        <v>7596</v>
      </c>
    </row>
    <row r="5064">
      <c r="A5064" s="2" t="s">
        <v>11173</v>
      </c>
      <c r="B5064" s="2" t="s">
        <v>11174</v>
      </c>
      <c r="C5064" s="2" t="s">
        <v>7596</v>
      </c>
    </row>
    <row r="5065">
      <c r="A5065" s="2" t="s">
        <v>11175</v>
      </c>
      <c r="B5065" s="2" t="s">
        <v>11174</v>
      </c>
      <c r="C5065" s="2" t="s">
        <v>7596</v>
      </c>
    </row>
    <row r="5066">
      <c r="A5066" s="2" t="s">
        <v>11176</v>
      </c>
      <c r="B5066" s="2" t="s">
        <v>11177</v>
      </c>
      <c r="C5066" s="2" t="s">
        <v>7596</v>
      </c>
    </row>
    <row r="5067">
      <c r="A5067" s="2" t="s">
        <v>11178</v>
      </c>
      <c r="B5067" s="2" t="s">
        <v>11177</v>
      </c>
      <c r="C5067" s="2" t="s">
        <v>7596</v>
      </c>
    </row>
    <row r="5068">
      <c r="A5068" s="2" t="s">
        <v>11179</v>
      </c>
      <c r="B5068" s="2" t="s">
        <v>11180</v>
      </c>
      <c r="C5068" s="2" t="s">
        <v>7596</v>
      </c>
    </row>
    <row r="5069">
      <c r="A5069" s="2" t="s">
        <v>11181</v>
      </c>
      <c r="B5069" s="2" t="s">
        <v>11182</v>
      </c>
      <c r="C5069" s="2" t="s">
        <v>7596</v>
      </c>
    </row>
    <row r="5070">
      <c r="A5070" s="2" t="s">
        <v>11183</v>
      </c>
      <c r="B5070" s="2" t="s">
        <v>11184</v>
      </c>
      <c r="C5070" s="2" t="s">
        <v>7596</v>
      </c>
    </row>
    <row r="5071">
      <c r="A5071" s="2" t="s">
        <v>11185</v>
      </c>
      <c r="B5071" s="2" t="s">
        <v>11184</v>
      </c>
      <c r="C5071" s="2" t="s">
        <v>7596</v>
      </c>
    </row>
    <row r="5072">
      <c r="A5072" s="2" t="s">
        <v>11186</v>
      </c>
      <c r="B5072" s="2" t="s">
        <v>11187</v>
      </c>
      <c r="C5072" s="2" t="s">
        <v>7596</v>
      </c>
    </row>
    <row r="5073">
      <c r="A5073" s="2" t="s">
        <v>11188</v>
      </c>
      <c r="B5073" s="2" t="s">
        <v>11187</v>
      </c>
      <c r="C5073" s="2" t="s">
        <v>7596</v>
      </c>
    </row>
    <row r="5074">
      <c r="A5074" s="2" t="s">
        <v>11189</v>
      </c>
      <c r="B5074" s="2" t="s">
        <v>11190</v>
      </c>
      <c r="C5074" s="2" t="s">
        <v>7596</v>
      </c>
    </row>
    <row r="5075">
      <c r="A5075" s="2" t="s">
        <v>11191</v>
      </c>
      <c r="B5075" s="2" t="s">
        <v>11192</v>
      </c>
      <c r="C5075" s="2" t="s">
        <v>7596</v>
      </c>
    </row>
    <row r="5076">
      <c r="A5076" s="2" t="s">
        <v>11193</v>
      </c>
      <c r="B5076" s="2" t="s">
        <v>11194</v>
      </c>
      <c r="C5076" s="2" t="s">
        <v>7596</v>
      </c>
    </row>
    <row r="5077">
      <c r="A5077" s="2" t="s">
        <v>11195</v>
      </c>
      <c r="B5077" s="2" t="s">
        <v>11194</v>
      </c>
      <c r="C5077" s="2" t="s">
        <v>7596</v>
      </c>
    </row>
    <row r="5078">
      <c r="A5078" s="2" t="s">
        <v>11196</v>
      </c>
      <c r="B5078" s="2" t="s">
        <v>11197</v>
      </c>
      <c r="C5078" s="2" t="s">
        <v>7596</v>
      </c>
    </row>
    <row r="5079">
      <c r="A5079" s="2" t="s">
        <v>11198</v>
      </c>
      <c r="B5079" s="2" t="s">
        <v>11197</v>
      </c>
      <c r="C5079" s="2" t="s">
        <v>7596</v>
      </c>
    </row>
    <row r="5080">
      <c r="A5080" s="2" t="s">
        <v>11199</v>
      </c>
      <c r="B5080" s="2" t="s">
        <v>11200</v>
      </c>
      <c r="C5080" s="2" t="s">
        <v>7596</v>
      </c>
    </row>
    <row r="5081">
      <c r="A5081" s="2" t="s">
        <v>11201</v>
      </c>
      <c r="B5081" s="2" t="s">
        <v>11200</v>
      </c>
      <c r="C5081" s="2" t="s">
        <v>7596</v>
      </c>
    </row>
    <row r="5082">
      <c r="A5082" s="2" t="s">
        <v>11202</v>
      </c>
      <c r="B5082" s="2" t="s">
        <v>11203</v>
      </c>
      <c r="C5082" s="2" t="s">
        <v>7596</v>
      </c>
    </row>
    <row r="5083">
      <c r="A5083" s="2" t="s">
        <v>11204</v>
      </c>
      <c r="B5083" s="2" t="s">
        <v>11205</v>
      </c>
      <c r="C5083" s="2" t="s">
        <v>7596</v>
      </c>
    </row>
    <row r="5084">
      <c r="A5084" s="2" t="s">
        <v>11206</v>
      </c>
      <c r="B5084" s="2" t="s">
        <v>11207</v>
      </c>
      <c r="C5084" s="2" t="s">
        <v>7596</v>
      </c>
    </row>
    <row r="5085">
      <c r="A5085" s="2" t="s">
        <v>11208</v>
      </c>
      <c r="B5085" s="2" t="s">
        <v>11207</v>
      </c>
      <c r="C5085" s="2" t="s">
        <v>7596</v>
      </c>
    </row>
    <row r="5086">
      <c r="A5086" s="2" t="s">
        <v>11209</v>
      </c>
      <c r="B5086" s="2" t="s">
        <v>11210</v>
      </c>
      <c r="C5086" s="2" t="s">
        <v>7596</v>
      </c>
    </row>
    <row r="5087">
      <c r="A5087" s="2" t="s">
        <v>11211</v>
      </c>
      <c r="B5087" s="2" t="s">
        <v>11210</v>
      </c>
      <c r="C5087" s="2" t="s">
        <v>7596</v>
      </c>
    </row>
    <row r="5088">
      <c r="A5088" s="2" t="s">
        <v>11212</v>
      </c>
      <c r="B5088" s="2" t="s">
        <v>11213</v>
      </c>
      <c r="C5088" s="2" t="s">
        <v>7596</v>
      </c>
    </row>
    <row r="5089">
      <c r="A5089" s="2" t="s">
        <v>11214</v>
      </c>
      <c r="B5089" s="2" t="s">
        <v>11215</v>
      </c>
      <c r="C5089" s="2" t="s">
        <v>7596</v>
      </c>
    </row>
    <row r="5090">
      <c r="A5090" s="2" t="s">
        <v>11216</v>
      </c>
      <c r="B5090" s="2" t="s">
        <v>11217</v>
      </c>
      <c r="C5090" s="2" t="s">
        <v>7596</v>
      </c>
    </row>
    <row r="5091">
      <c r="A5091" s="2" t="s">
        <v>11218</v>
      </c>
      <c r="B5091" s="2" t="s">
        <v>11217</v>
      </c>
      <c r="C5091" s="2" t="s">
        <v>7596</v>
      </c>
    </row>
    <row r="5092">
      <c r="A5092" s="2" t="s">
        <v>11219</v>
      </c>
      <c r="B5092" s="2" t="s">
        <v>11220</v>
      </c>
      <c r="C5092" s="2" t="s">
        <v>7596</v>
      </c>
    </row>
    <row r="5093">
      <c r="A5093" s="2" t="s">
        <v>11221</v>
      </c>
      <c r="B5093" s="2" t="s">
        <v>11220</v>
      </c>
      <c r="C5093" s="2" t="s">
        <v>7596</v>
      </c>
    </row>
    <row r="5094">
      <c r="A5094" s="2" t="s">
        <v>11222</v>
      </c>
      <c r="B5094" s="2" t="s">
        <v>11223</v>
      </c>
      <c r="C5094" s="2" t="s">
        <v>7596</v>
      </c>
    </row>
    <row r="5095">
      <c r="A5095" s="2" t="s">
        <v>11224</v>
      </c>
      <c r="B5095" s="2" t="s">
        <v>11225</v>
      </c>
      <c r="C5095" s="2" t="s">
        <v>7596</v>
      </c>
    </row>
    <row r="5096">
      <c r="A5096" s="2" t="s">
        <v>11226</v>
      </c>
      <c r="B5096" s="2" t="s">
        <v>11227</v>
      </c>
      <c r="C5096" s="2" t="s">
        <v>7596</v>
      </c>
    </row>
    <row r="5097">
      <c r="A5097" s="2" t="s">
        <v>11228</v>
      </c>
      <c r="B5097" s="2" t="s">
        <v>11227</v>
      </c>
      <c r="C5097" s="2" t="s">
        <v>7596</v>
      </c>
    </row>
    <row r="5098">
      <c r="A5098" s="2" t="s">
        <v>11229</v>
      </c>
      <c r="B5098" s="2" t="s">
        <v>11230</v>
      </c>
      <c r="C5098" s="2" t="s">
        <v>7596</v>
      </c>
    </row>
    <row r="5099">
      <c r="A5099" s="2" t="s">
        <v>11231</v>
      </c>
      <c r="B5099" s="2" t="s">
        <v>11230</v>
      </c>
      <c r="C5099" s="2" t="s">
        <v>7596</v>
      </c>
    </row>
    <row r="5100">
      <c r="A5100" s="2" t="s">
        <v>11232</v>
      </c>
      <c r="B5100" s="2" t="s">
        <v>11233</v>
      </c>
      <c r="C5100" s="2" t="s">
        <v>7596</v>
      </c>
    </row>
    <row r="5101">
      <c r="A5101" s="2" t="s">
        <v>11234</v>
      </c>
      <c r="B5101" s="2" t="s">
        <v>11235</v>
      </c>
      <c r="C5101" s="2" t="s">
        <v>7596</v>
      </c>
    </row>
    <row r="5102">
      <c r="A5102" s="2" t="s">
        <v>11236</v>
      </c>
      <c r="B5102" s="2" t="s">
        <v>11237</v>
      </c>
      <c r="C5102" s="2" t="s">
        <v>7596</v>
      </c>
    </row>
    <row r="5103">
      <c r="A5103" s="2" t="s">
        <v>11238</v>
      </c>
      <c r="B5103" s="2" t="s">
        <v>11237</v>
      </c>
      <c r="C5103" s="2" t="s">
        <v>7596</v>
      </c>
    </row>
    <row r="5104">
      <c r="A5104" s="2" t="s">
        <v>11239</v>
      </c>
      <c r="B5104" s="2" t="s">
        <v>11240</v>
      </c>
      <c r="C5104" s="2" t="s">
        <v>7596</v>
      </c>
    </row>
    <row r="5105">
      <c r="A5105" s="2" t="s">
        <v>11241</v>
      </c>
      <c r="B5105" s="2" t="s">
        <v>11240</v>
      </c>
      <c r="C5105" s="2" t="s">
        <v>7596</v>
      </c>
    </row>
    <row r="5106">
      <c r="A5106" s="2" t="s">
        <v>11242</v>
      </c>
      <c r="B5106" s="2" t="s">
        <v>11243</v>
      </c>
      <c r="C5106" s="2" t="s">
        <v>7596</v>
      </c>
    </row>
    <row r="5107">
      <c r="A5107" s="2" t="s">
        <v>11244</v>
      </c>
      <c r="B5107" s="2" t="s">
        <v>11245</v>
      </c>
      <c r="C5107" s="2" t="s">
        <v>7596</v>
      </c>
    </row>
    <row r="5108">
      <c r="A5108" s="2" t="s">
        <v>11246</v>
      </c>
      <c r="B5108" s="2" t="s">
        <v>11245</v>
      </c>
      <c r="C5108" s="2" t="s">
        <v>7596</v>
      </c>
    </row>
    <row r="5109">
      <c r="A5109" s="2" t="s">
        <v>11247</v>
      </c>
      <c r="B5109" s="2" t="s">
        <v>11245</v>
      </c>
      <c r="C5109" s="2" t="s">
        <v>7596</v>
      </c>
    </row>
    <row r="5110">
      <c r="A5110" s="2" t="s">
        <v>11248</v>
      </c>
      <c r="B5110" s="2" t="s">
        <v>11249</v>
      </c>
      <c r="C5110" s="2" t="s">
        <v>7596</v>
      </c>
    </row>
    <row r="5111">
      <c r="A5111" s="2" t="s">
        <v>11250</v>
      </c>
      <c r="B5111" s="2" t="s">
        <v>11249</v>
      </c>
      <c r="C5111" s="2" t="s">
        <v>7596</v>
      </c>
    </row>
    <row r="5112">
      <c r="A5112" s="2" t="s">
        <v>11251</v>
      </c>
      <c r="B5112" s="2" t="s">
        <v>11252</v>
      </c>
      <c r="C5112" s="2" t="s">
        <v>7596</v>
      </c>
    </row>
    <row r="5113">
      <c r="A5113" s="2" t="s">
        <v>11253</v>
      </c>
      <c r="B5113" s="2" t="s">
        <v>11254</v>
      </c>
      <c r="C5113" s="2" t="s">
        <v>7596</v>
      </c>
    </row>
    <row r="5114">
      <c r="A5114" s="2" t="s">
        <v>11255</v>
      </c>
      <c r="B5114" s="2" t="s">
        <v>11256</v>
      </c>
      <c r="C5114" s="2" t="s">
        <v>7596</v>
      </c>
    </row>
    <row r="5115">
      <c r="A5115" s="2" t="s">
        <v>11257</v>
      </c>
      <c r="B5115" s="2" t="s">
        <v>11256</v>
      </c>
      <c r="C5115" s="2" t="s">
        <v>7596</v>
      </c>
    </row>
    <row r="5116">
      <c r="A5116" s="2" t="s">
        <v>11258</v>
      </c>
      <c r="B5116" s="2" t="s">
        <v>11259</v>
      </c>
      <c r="C5116" s="2" t="s">
        <v>7596</v>
      </c>
    </row>
    <row r="5117">
      <c r="A5117" s="2" t="s">
        <v>11260</v>
      </c>
      <c r="B5117" s="2" t="s">
        <v>11259</v>
      </c>
      <c r="C5117" s="2" t="s">
        <v>7596</v>
      </c>
    </row>
    <row r="5118">
      <c r="A5118" s="2" t="s">
        <v>11261</v>
      </c>
      <c r="B5118" s="2" t="s">
        <v>11262</v>
      </c>
      <c r="C5118" s="2" t="s">
        <v>7596</v>
      </c>
    </row>
    <row r="5119">
      <c r="A5119" s="2" t="s">
        <v>11263</v>
      </c>
      <c r="B5119" s="2" t="s">
        <v>11264</v>
      </c>
      <c r="C5119" s="2" t="s">
        <v>7596</v>
      </c>
    </row>
    <row r="5120">
      <c r="A5120" s="2" t="s">
        <v>11265</v>
      </c>
      <c r="B5120" s="2" t="s">
        <v>11266</v>
      </c>
      <c r="C5120" s="2" t="s">
        <v>7596</v>
      </c>
    </row>
    <row r="5121">
      <c r="A5121" s="2" t="s">
        <v>11267</v>
      </c>
      <c r="B5121" s="2" t="s">
        <v>11268</v>
      </c>
      <c r="C5121" s="2" t="s">
        <v>7596</v>
      </c>
    </row>
    <row r="5122">
      <c r="A5122" s="2" t="s">
        <v>11269</v>
      </c>
      <c r="B5122" s="2" t="s">
        <v>11270</v>
      </c>
      <c r="C5122" s="2" t="s">
        <v>7596</v>
      </c>
    </row>
    <row r="5123">
      <c r="A5123" s="2" t="s">
        <v>11271</v>
      </c>
      <c r="B5123" s="2" t="s">
        <v>11272</v>
      </c>
      <c r="C5123" s="2" t="s">
        <v>7596</v>
      </c>
    </row>
    <row r="5124">
      <c r="A5124" s="2" t="s">
        <v>11273</v>
      </c>
      <c r="B5124" s="2" t="s">
        <v>11274</v>
      </c>
      <c r="C5124" s="2" t="s">
        <v>7596</v>
      </c>
    </row>
    <row r="5125">
      <c r="A5125" s="2" t="s">
        <v>11275</v>
      </c>
      <c r="B5125" s="2" t="s">
        <v>11276</v>
      </c>
      <c r="C5125" s="2" t="s">
        <v>7596</v>
      </c>
    </row>
    <row r="5126">
      <c r="A5126" s="2" t="s">
        <v>11277</v>
      </c>
      <c r="B5126" s="2" t="s">
        <v>11278</v>
      </c>
      <c r="C5126" s="2" t="s">
        <v>7596</v>
      </c>
    </row>
    <row r="5127">
      <c r="A5127" s="2" t="s">
        <v>11279</v>
      </c>
      <c r="B5127" s="2" t="s">
        <v>11280</v>
      </c>
      <c r="C5127" s="2" t="s">
        <v>7596</v>
      </c>
    </row>
    <row r="5128">
      <c r="A5128" s="2" t="s">
        <v>11281</v>
      </c>
      <c r="B5128" s="2" t="s">
        <v>11282</v>
      </c>
      <c r="C5128" s="2" t="s">
        <v>7596</v>
      </c>
    </row>
    <row r="5129">
      <c r="A5129" s="2" t="s">
        <v>11283</v>
      </c>
      <c r="B5129" s="2" t="s">
        <v>11284</v>
      </c>
      <c r="C5129" s="2" t="s">
        <v>7596</v>
      </c>
    </row>
    <row r="5130">
      <c r="A5130" s="2" t="s">
        <v>11285</v>
      </c>
      <c r="B5130" s="2" t="s">
        <v>11286</v>
      </c>
      <c r="C5130" s="2" t="s">
        <v>7596</v>
      </c>
    </row>
    <row r="5131">
      <c r="A5131" s="2" t="s">
        <v>11287</v>
      </c>
      <c r="B5131" s="2" t="s">
        <v>11288</v>
      </c>
      <c r="C5131" s="2" t="s">
        <v>7596</v>
      </c>
    </row>
    <row r="5132">
      <c r="A5132" s="2" t="s">
        <v>11289</v>
      </c>
      <c r="B5132" s="2" t="s">
        <v>11290</v>
      </c>
      <c r="C5132" s="2" t="s">
        <v>7596</v>
      </c>
    </row>
    <row r="5133">
      <c r="A5133" s="2" t="s">
        <v>11291</v>
      </c>
      <c r="B5133" s="2" t="s">
        <v>11292</v>
      </c>
      <c r="C5133" s="2" t="s">
        <v>7596</v>
      </c>
    </row>
    <row r="5134">
      <c r="A5134" s="2" t="s">
        <v>11293</v>
      </c>
      <c r="B5134" s="2" t="s">
        <v>11294</v>
      </c>
      <c r="C5134" s="2" t="s">
        <v>7596</v>
      </c>
    </row>
    <row r="5135">
      <c r="A5135" s="2" t="s">
        <v>11295</v>
      </c>
      <c r="B5135" s="2" t="s">
        <v>11296</v>
      </c>
      <c r="C5135" s="2" t="s">
        <v>7596</v>
      </c>
    </row>
    <row r="5136">
      <c r="A5136" s="2" t="s">
        <v>11297</v>
      </c>
      <c r="B5136" s="2" t="s">
        <v>11298</v>
      </c>
      <c r="C5136" s="2" t="s">
        <v>7596</v>
      </c>
    </row>
    <row r="5137">
      <c r="A5137" s="2" t="s">
        <v>11299</v>
      </c>
      <c r="B5137" s="2" t="s">
        <v>11300</v>
      </c>
      <c r="C5137" s="2" t="s">
        <v>7596</v>
      </c>
    </row>
    <row r="5138">
      <c r="A5138" s="2" t="s">
        <v>11301</v>
      </c>
      <c r="B5138" s="2" t="s">
        <v>11302</v>
      </c>
      <c r="C5138" s="2" t="s">
        <v>7596</v>
      </c>
    </row>
    <row r="5139">
      <c r="A5139" s="2" t="s">
        <v>11303</v>
      </c>
      <c r="B5139" s="2" t="s">
        <v>11304</v>
      </c>
      <c r="C5139" s="2" t="s">
        <v>7596</v>
      </c>
    </row>
    <row r="5140">
      <c r="A5140" s="2" t="s">
        <v>11305</v>
      </c>
      <c r="B5140" s="2" t="s">
        <v>11306</v>
      </c>
      <c r="C5140" s="2" t="s">
        <v>7596</v>
      </c>
    </row>
    <row r="5141">
      <c r="A5141" s="2" t="s">
        <v>11307</v>
      </c>
      <c r="B5141" s="2" t="s">
        <v>11308</v>
      </c>
      <c r="C5141" s="2" t="s">
        <v>7596</v>
      </c>
    </row>
    <row r="5142">
      <c r="A5142" s="2" t="s">
        <v>11309</v>
      </c>
      <c r="B5142" s="2" t="s">
        <v>11310</v>
      </c>
      <c r="C5142" s="2" t="s">
        <v>7596</v>
      </c>
    </row>
    <row r="5143">
      <c r="A5143" s="2" t="s">
        <v>11311</v>
      </c>
      <c r="B5143" s="2" t="s">
        <v>11312</v>
      </c>
      <c r="C5143" s="2" t="s">
        <v>7596</v>
      </c>
    </row>
    <row r="5144">
      <c r="A5144" s="2" t="s">
        <v>11313</v>
      </c>
      <c r="B5144" s="2" t="s">
        <v>11314</v>
      </c>
      <c r="C5144" s="2" t="s">
        <v>7596</v>
      </c>
    </row>
    <row r="5145">
      <c r="A5145" s="2" t="s">
        <v>11315</v>
      </c>
      <c r="B5145" s="2" t="s">
        <v>11316</v>
      </c>
      <c r="C5145" s="2" t="s">
        <v>7596</v>
      </c>
    </row>
    <row r="5146">
      <c r="A5146" s="2" t="s">
        <v>11317</v>
      </c>
      <c r="B5146" s="2" t="s">
        <v>11318</v>
      </c>
      <c r="C5146" s="2" t="s">
        <v>7596</v>
      </c>
    </row>
    <row r="5147">
      <c r="A5147" s="2" t="s">
        <v>11319</v>
      </c>
      <c r="B5147" s="2" t="s">
        <v>11320</v>
      </c>
      <c r="C5147" s="2" t="s">
        <v>7596</v>
      </c>
    </row>
    <row r="5148">
      <c r="A5148" s="2" t="s">
        <v>11321</v>
      </c>
      <c r="B5148" s="2" t="s">
        <v>11322</v>
      </c>
      <c r="C5148" s="2" t="s">
        <v>7596</v>
      </c>
    </row>
    <row r="5149">
      <c r="A5149" s="2" t="s">
        <v>11323</v>
      </c>
      <c r="B5149" s="2" t="s">
        <v>11324</v>
      </c>
      <c r="C5149" s="2" t="s">
        <v>7596</v>
      </c>
    </row>
    <row r="5150">
      <c r="A5150" s="2" t="s">
        <v>11325</v>
      </c>
      <c r="B5150" s="2" t="s">
        <v>11326</v>
      </c>
      <c r="C5150" s="2" t="s">
        <v>7596</v>
      </c>
    </row>
    <row r="5151">
      <c r="A5151" s="2" t="s">
        <v>11327</v>
      </c>
      <c r="B5151" s="2" t="s">
        <v>11328</v>
      </c>
      <c r="C5151" s="2" t="s">
        <v>7596</v>
      </c>
    </row>
    <row r="5152">
      <c r="A5152" s="2" t="s">
        <v>11329</v>
      </c>
      <c r="B5152" s="2" t="s">
        <v>11330</v>
      </c>
      <c r="C5152" s="2" t="s">
        <v>7596</v>
      </c>
    </row>
    <row r="5153">
      <c r="A5153" s="2" t="s">
        <v>11331</v>
      </c>
      <c r="B5153" s="2" t="s">
        <v>11332</v>
      </c>
      <c r="C5153" s="2" t="s">
        <v>7596</v>
      </c>
    </row>
    <row r="5154">
      <c r="A5154" s="2" t="s">
        <v>11333</v>
      </c>
      <c r="B5154" s="2" t="s">
        <v>11334</v>
      </c>
      <c r="C5154" s="2" t="s">
        <v>7596</v>
      </c>
    </row>
    <row r="5155">
      <c r="A5155" s="2" t="s">
        <v>11335</v>
      </c>
      <c r="B5155" s="2" t="s">
        <v>11336</v>
      </c>
      <c r="C5155" s="2" t="s">
        <v>7596</v>
      </c>
    </row>
    <row r="5156">
      <c r="A5156" s="2" t="s">
        <v>11337</v>
      </c>
      <c r="B5156" s="2" t="s">
        <v>11338</v>
      </c>
      <c r="C5156" s="2" t="s">
        <v>7596</v>
      </c>
    </row>
    <row r="5157">
      <c r="A5157" s="2" t="s">
        <v>11339</v>
      </c>
      <c r="B5157" s="2" t="s">
        <v>11340</v>
      </c>
      <c r="C5157" s="2" t="s">
        <v>7596</v>
      </c>
    </row>
    <row r="5158">
      <c r="A5158" s="2" t="s">
        <v>11341</v>
      </c>
      <c r="B5158" s="2" t="s">
        <v>11342</v>
      </c>
      <c r="C5158" s="2" t="s">
        <v>7596</v>
      </c>
    </row>
    <row r="5159">
      <c r="A5159" s="2" t="s">
        <v>11343</v>
      </c>
      <c r="B5159" s="2" t="s">
        <v>11344</v>
      </c>
      <c r="C5159" s="2" t="s">
        <v>7596</v>
      </c>
    </row>
    <row r="5160">
      <c r="A5160" s="2" t="s">
        <v>11345</v>
      </c>
      <c r="B5160" s="2" t="s">
        <v>11346</v>
      </c>
      <c r="C5160" s="2" t="s">
        <v>7596</v>
      </c>
    </row>
    <row r="5161">
      <c r="A5161" s="2" t="s">
        <v>11347</v>
      </c>
      <c r="B5161" s="2" t="s">
        <v>11348</v>
      </c>
      <c r="C5161" s="2" t="s">
        <v>7596</v>
      </c>
    </row>
    <row r="5162">
      <c r="A5162" s="2" t="s">
        <v>11349</v>
      </c>
      <c r="B5162" s="2" t="s">
        <v>11350</v>
      </c>
      <c r="C5162" s="2" t="s">
        <v>7596</v>
      </c>
    </row>
    <row r="5163">
      <c r="A5163" s="2" t="s">
        <v>11351</v>
      </c>
      <c r="B5163" s="2" t="s">
        <v>11352</v>
      </c>
      <c r="C5163" s="2" t="s">
        <v>7596</v>
      </c>
    </row>
    <row r="5164">
      <c r="A5164" s="2" t="s">
        <v>11353</v>
      </c>
      <c r="B5164" s="2" t="s">
        <v>11354</v>
      </c>
      <c r="C5164" s="2" t="s">
        <v>7596</v>
      </c>
    </row>
    <row r="5165">
      <c r="A5165" s="2" t="s">
        <v>11355</v>
      </c>
      <c r="B5165" s="2" t="s">
        <v>11356</v>
      </c>
      <c r="C5165" s="2" t="s">
        <v>7596</v>
      </c>
    </row>
    <row r="5166">
      <c r="A5166" s="2" t="s">
        <v>11357</v>
      </c>
      <c r="B5166" s="2" t="s">
        <v>11358</v>
      </c>
      <c r="C5166" s="2" t="s">
        <v>7596</v>
      </c>
    </row>
    <row r="5167">
      <c r="A5167" s="2" t="s">
        <v>11359</v>
      </c>
      <c r="B5167" s="2" t="s">
        <v>11360</v>
      </c>
      <c r="C5167" s="2" t="s">
        <v>7596</v>
      </c>
    </row>
    <row r="5168">
      <c r="A5168" s="2" t="s">
        <v>11361</v>
      </c>
      <c r="B5168" s="2" t="s">
        <v>11362</v>
      </c>
      <c r="C5168" s="2" t="s">
        <v>7596</v>
      </c>
    </row>
    <row r="5169">
      <c r="A5169" s="2" t="s">
        <v>11363</v>
      </c>
      <c r="B5169" s="2" t="s">
        <v>11364</v>
      </c>
      <c r="C5169" s="2" t="s">
        <v>7596</v>
      </c>
    </row>
    <row r="5170">
      <c r="A5170" s="2" t="s">
        <v>11365</v>
      </c>
      <c r="B5170" s="2" t="s">
        <v>11366</v>
      </c>
      <c r="C5170" s="2" t="s">
        <v>7596</v>
      </c>
    </row>
    <row r="5171">
      <c r="A5171" s="2" t="s">
        <v>11367</v>
      </c>
      <c r="B5171" s="2" t="s">
        <v>11368</v>
      </c>
      <c r="C5171" s="2" t="s">
        <v>7596</v>
      </c>
    </row>
    <row r="5172">
      <c r="A5172" s="2" t="s">
        <v>11369</v>
      </c>
      <c r="B5172" s="2" t="s">
        <v>11370</v>
      </c>
      <c r="C5172" s="2" t="s">
        <v>7596</v>
      </c>
    </row>
    <row r="5173">
      <c r="A5173" s="2" t="s">
        <v>11371</v>
      </c>
      <c r="B5173" s="2" t="s">
        <v>11372</v>
      </c>
      <c r="C5173" s="2" t="s">
        <v>7596</v>
      </c>
    </row>
    <row r="5174">
      <c r="A5174" s="2" t="s">
        <v>11373</v>
      </c>
      <c r="B5174" s="2" t="s">
        <v>11374</v>
      </c>
      <c r="C5174" s="2" t="s">
        <v>7596</v>
      </c>
    </row>
    <row r="5175">
      <c r="A5175" s="2" t="s">
        <v>11375</v>
      </c>
      <c r="B5175" s="2" t="s">
        <v>11376</v>
      </c>
      <c r="C5175" s="2" t="s">
        <v>7596</v>
      </c>
    </row>
    <row r="5176">
      <c r="A5176" s="2" t="s">
        <v>11377</v>
      </c>
      <c r="B5176" s="2" t="s">
        <v>11378</v>
      </c>
      <c r="C5176" s="2" t="s">
        <v>7596</v>
      </c>
    </row>
    <row r="5177">
      <c r="A5177" s="2" t="s">
        <v>11379</v>
      </c>
      <c r="B5177" s="2" t="s">
        <v>11380</v>
      </c>
      <c r="C5177" s="2" t="s">
        <v>7596</v>
      </c>
    </row>
    <row r="5178">
      <c r="A5178" s="2" t="s">
        <v>11381</v>
      </c>
      <c r="B5178" s="2" t="s">
        <v>11382</v>
      </c>
      <c r="C5178" s="2" t="s">
        <v>7596</v>
      </c>
    </row>
    <row r="5179">
      <c r="A5179" s="2" t="s">
        <v>11383</v>
      </c>
      <c r="B5179" s="2" t="s">
        <v>11384</v>
      </c>
      <c r="C5179" s="2" t="s">
        <v>7596</v>
      </c>
    </row>
    <row r="5180">
      <c r="A5180" s="2" t="s">
        <v>11385</v>
      </c>
      <c r="B5180" s="2" t="s">
        <v>11386</v>
      </c>
      <c r="C5180" s="2" t="s">
        <v>7596</v>
      </c>
    </row>
    <row r="5181">
      <c r="A5181" s="2" t="s">
        <v>11387</v>
      </c>
      <c r="B5181" s="2" t="s">
        <v>11388</v>
      </c>
      <c r="C5181" s="2" t="s">
        <v>7596</v>
      </c>
    </row>
    <row r="5182">
      <c r="A5182" s="2" t="s">
        <v>11389</v>
      </c>
      <c r="B5182" s="2" t="s">
        <v>11390</v>
      </c>
      <c r="C5182" s="2" t="s">
        <v>7596</v>
      </c>
    </row>
    <row r="5183">
      <c r="A5183" s="2" t="s">
        <v>11391</v>
      </c>
      <c r="B5183" s="2" t="s">
        <v>11392</v>
      </c>
      <c r="C5183" s="2" t="s">
        <v>7596</v>
      </c>
    </row>
    <row r="5184">
      <c r="A5184" s="2" t="s">
        <v>11393</v>
      </c>
      <c r="B5184" s="2" t="s">
        <v>11394</v>
      </c>
      <c r="C5184" s="2" t="s">
        <v>7596</v>
      </c>
    </row>
    <row r="5185">
      <c r="A5185" s="2" t="s">
        <v>11395</v>
      </c>
      <c r="B5185" s="2" t="s">
        <v>11394</v>
      </c>
      <c r="C5185" s="2" t="s">
        <v>7596</v>
      </c>
    </row>
    <row r="5186">
      <c r="A5186" s="2" t="s">
        <v>11396</v>
      </c>
      <c r="B5186" s="2" t="s">
        <v>11397</v>
      </c>
      <c r="C5186" s="2" t="s">
        <v>7596</v>
      </c>
    </row>
    <row r="5187">
      <c r="A5187" s="2" t="s">
        <v>11398</v>
      </c>
      <c r="B5187" s="2" t="s">
        <v>11399</v>
      </c>
      <c r="C5187" s="2" t="s">
        <v>7596</v>
      </c>
    </row>
    <row r="5188">
      <c r="A5188" s="2" t="s">
        <v>11400</v>
      </c>
      <c r="B5188" s="2" t="s">
        <v>11401</v>
      </c>
      <c r="C5188" s="2" t="s">
        <v>7596</v>
      </c>
    </row>
    <row r="5189">
      <c r="A5189" s="2" t="s">
        <v>11402</v>
      </c>
      <c r="B5189" s="2" t="s">
        <v>11403</v>
      </c>
      <c r="C5189" s="2" t="s">
        <v>7596</v>
      </c>
    </row>
    <row r="5190">
      <c r="A5190" s="2" t="s">
        <v>11404</v>
      </c>
      <c r="B5190" s="2" t="s">
        <v>11405</v>
      </c>
      <c r="C5190" s="2" t="s">
        <v>7596</v>
      </c>
    </row>
    <row r="5191">
      <c r="A5191" s="2" t="s">
        <v>11406</v>
      </c>
      <c r="B5191" s="2" t="s">
        <v>11407</v>
      </c>
      <c r="C5191" s="2" t="s">
        <v>7596</v>
      </c>
    </row>
    <row r="5192">
      <c r="A5192" s="2" t="s">
        <v>11408</v>
      </c>
      <c r="B5192" s="2" t="s">
        <v>11409</v>
      </c>
      <c r="C5192" s="2" t="s">
        <v>7596</v>
      </c>
    </row>
    <row r="5193">
      <c r="A5193" s="2" t="s">
        <v>11410</v>
      </c>
      <c r="B5193" s="2" t="s">
        <v>11411</v>
      </c>
      <c r="C5193" s="2" t="s">
        <v>7596</v>
      </c>
    </row>
    <row r="5194">
      <c r="A5194" s="2" t="s">
        <v>11412</v>
      </c>
      <c r="B5194" s="2" t="s">
        <v>11413</v>
      </c>
      <c r="C5194" s="2" t="s">
        <v>7596</v>
      </c>
    </row>
    <row r="5195">
      <c r="A5195" s="2" t="s">
        <v>11414</v>
      </c>
      <c r="B5195" s="2" t="s">
        <v>11415</v>
      </c>
      <c r="C5195" s="2" t="s">
        <v>7596</v>
      </c>
    </row>
    <row r="5196">
      <c r="A5196" s="2" t="s">
        <v>11416</v>
      </c>
      <c r="B5196" s="2" t="s">
        <v>11417</v>
      </c>
      <c r="C5196" s="2" t="s">
        <v>7596</v>
      </c>
    </row>
    <row r="5197">
      <c r="A5197" s="2" t="s">
        <v>11418</v>
      </c>
      <c r="B5197" s="2" t="s">
        <v>11419</v>
      </c>
      <c r="C5197" s="2" t="s">
        <v>7596</v>
      </c>
    </row>
    <row r="5198">
      <c r="A5198" s="2" t="s">
        <v>11420</v>
      </c>
      <c r="B5198" s="2" t="s">
        <v>11421</v>
      </c>
      <c r="C5198" s="2" t="s">
        <v>7596</v>
      </c>
    </row>
    <row r="5199">
      <c r="A5199" s="2" t="s">
        <v>11422</v>
      </c>
      <c r="B5199" s="2" t="s">
        <v>11423</v>
      </c>
      <c r="C5199" s="2" t="s">
        <v>7596</v>
      </c>
    </row>
    <row r="5200">
      <c r="A5200" s="2" t="s">
        <v>11424</v>
      </c>
      <c r="B5200" s="2" t="s">
        <v>11425</v>
      </c>
      <c r="C5200" s="2" t="s">
        <v>7596</v>
      </c>
    </row>
    <row r="5201">
      <c r="A5201" s="2" t="s">
        <v>11426</v>
      </c>
      <c r="B5201" s="2" t="s">
        <v>11427</v>
      </c>
      <c r="C5201" s="2" t="s">
        <v>7596</v>
      </c>
    </row>
    <row r="5202">
      <c r="A5202" s="2" t="s">
        <v>11428</v>
      </c>
      <c r="B5202" s="2" t="s">
        <v>11429</v>
      </c>
      <c r="C5202" s="2" t="s">
        <v>7596</v>
      </c>
    </row>
    <row r="5203">
      <c r="A5203" s="2" t="s">
        <v>11430</v>
      </c>
      <c r="B5203" s="2" t="s">
        <v>11431</v>
      </c>
      <c r="C5203" s="2" t="s">
        <v>7596</v>
      </c>
    </row>
    <row r="5204">
      <c r="A5204" s="2" t="s">
        <v>11432</v>
      </c>
      <c r="B5204" s="2" t="s">
        <v>11433</v>
      </c>
      <c r="C5204" s="2" t="s">
        <v>7596</v>
      </c>
    </row>
    <row r="5205">
      <c r="A5205" s="2" t="s">
        <v>11434</v>
      </c>
      <c r="B5205" s="2" t="s">
        <v>11435</v>
      </c>
      <c r="C5205" s="2" t="s">
        <v>7596</v>
      </c>
    </row>
    <row r="5206">
      <c r="A5206" s="2" t="s">
        <v>11436</v>
      </c>
      <c r="B5206" s="2" t="s">
        <v>11437</v>
      </c>
      <c r="C5206" s="2" t="s">
        <v>7596</v>
      </c>
    </row>
    <row r="5207">
      <c r="A5207" s="2" t="s">
        <v>11438</v>
      </c>
      <c r="B5207" s="2" t="s">
        <v>11439</v>
      </c>
      <c r="C5207" s="2" t="s">
        <v>7596</v>
      </c>
    </row>
    <row r="5208">
      <c r="A5208" s="2" t="s">
        <v>11440</v>
      </c>
      <c r="B5208" s="2" t="s">
        <v>11441</v>
      </c>
      <c r="C5208" s="2" t="s">
        <v>7596</v>
      </c>
    </row>
    <row r="5209">
      <c r="A5209" s="2" t="s">
        <v>11442</v>
      </c>
      <c r="B5209" s="2" t="s">
        <v>11443</v>
      </c>
      <c r="C5209" s="2" t="s">
        <v>7596</v>
      </c>
    </row>
    <row r="5210">
      <c r="A5210" s="2" t="s">
        <v>11444</v>
      </c>
      <c r="B5210" s="2" t="s">
        <v>11445</v>
      </c>
      <c r="C5210" s="2" t="s">
        <v>7596</v>
      </c>
    </row>
    <row r="5211">
      <c r="A5211" s="2" t="s">
        <v>11446</v>
      </c>
      <c r="B5211" s="2" t="s">
        <v>11447</v>
      </c>
      <c r="C5211" s="2" t="s">
        <v>7596</v>
      </c>
    </row>
    <row r="5212">
      <c r="A5212" s="2" t="s">
        <v>11448</v>
      </c>
      <c r="B5212" s="2" t="s">
        <v>11449</v>
      </c>
      <c r="C5212" s="2" t="s">
        <v>7596</v>
      </c>
    </row>
    <row r="5213">
      <c r="A5213" s="2" t="s">
        <v>11450</v>
      </c>
      <c r="B5213" s="2" t="s">
        <v>11451</v>
      </c>
      <c r="C5213" s="2" t="s">
        <v>7596</v>
      </c>
    </row>
    <row r="5214">
      <c r="A5214" s="2" t="s">
        <v>11452</v>
      </c>
      <c r="B5214" s="2" t="s">
        <v>11453</v>
      </c>
      <c r="C5214" s="2" t="s">
        <v>7596</v>
      </c>
    </row>
    <row r="5215">
      <c r="A5215" s="2" t="s">
        <v>11454</v>
      </c>
      <c r="B5215" s="2" t="s">
        <v>11455</v>
      </c>
      <c r="C5215" s="2" t="s">
        <v>7596</v>
      </c>
    </row>
    <row r="5216">
      <c r="A5216" s="2" t="s">
        <v>11456</v>
      </c>
      <c r="B5216" s="2" t="s">
        <v>11457</v>
      </c>
      <c r="C5216" s="2" t="s">
        <v>7596</v>
      </c>
    </row>
    <row r="5217">
      <c r="A5217" s="2" t="s">
        <v>11458</v>
      </c>
      <c r="B5217" s="2" t="s">
        <v>11459</v>
      </c>
      <c r="C5217" s="2" t="s">
        <v>7596</v>
      </c>
    </row>
    <row r="5218">
      <c r="A5218" s="2" t="s">
        <v>11460</v>
      </c>
      <c r="B5218" s="2" t="s">
        <v>11461</v>
      </c>
      <c r="C5218" s="2" t="s">
        <v>7596</v>
      </c>
    </row>
    <row r="5219">
      <c r="A5219" s="2" t="s">
        <v>11462</v>
      </c>
      <c r="B5219" s="2" t="s">
        <v>11463</v>
      </c>
      <c r="C5219" s="2" t="s">
        <v>7596</v>
      </c>
    </row>
    <row r="5220">
      <c r="A5220" s="2" t="s">
        <v>11464</v>
      </c>
      <c r="B5220" s="2" t="s">
        <v>11465</v>
      </c>
      <c r="C5220" s="2" t="s">
        <v>7596</v>
      </c>
    </row>
    <row r="5221">
      <c r="A5221" s="2" t="s">
        <v>11466</v>
      </c>
      <c r="B5221" s="2" t="s">
        <v>11467</v>
      </c>
      <c r="C5221" s="2" t="s">
        <v>7596</v>
      </c>
    </row>
    <row r="5222">
      <c r="A5222" s="2" t="s">
        <v>11468</v>
      </c>
      <c r="B5222" s="2" t="s">
        <v>11469</v>
      </c>
      <c r="C5222" s="2" t="s">
        <v>7596</v>
      </c>
    </row>
    <row r="5223">
      <c r="A5223" s="2" t="s">
        <v>11470</v>
      </c>
      <c r="B5223" s="2" t="s">
        <v>11471</v>
      </c>
      <c r="C5223" s="2" t="s">
        <v>7596</v>
      </c>
    </row>
    <row r="5224">
      <c r="A5224" s="2" t="s">
        <v>11472</v>
      </c>
      <c r="B5224" s="2" t="s">
        <v>11473</v>
      </c>
      <c r="C5224" s="2" t="s">
        <v>7596</v>
      </c>
    </row>
    <row r="5225">
      <c r="A5225" s="2" t="s">
        <v>11474</v>
      </c>
      <c r="B5225" s="2" t="s">
        <v>11475</v>
      </c>
      <c r="C5225" s="2" t="s">
        <v>7596</v>
      </c>
    </row>
    <row r="5226">
      <c r="A5226" s="2" t="s">
        <v>11476</v>
      </c>
      <c r="B5226" s="2" t="s">
        <v>11477</v>
      </c>
      <c r="C5226" s="2" t="s">
        <v>7596</v>
      </c>
    </row>
    <row r="5227">
      <c r="A5227" s="2" t="s">
        <v>11478</v>
      </c>
      <c r="B5227" s="2" t="s">
        <v>11479</v>
      </c>
      <c r="C5227" s="2" t="s">
        <v>7596</v>
      </c>
    </row>
    <row r="5228">
      <c r="A5228" s="2" t="s">
        <v>11480</v>
      </c>
      <c r="B5228" s="2" t="s">
        <v>11481</v>
      </c>
      <c r="C5228" s="2" t="s">
        <v>7596</v>
      </c>
    </row>
    <row r="5229">
      <c r="A5229" s="2" t="s">
        <v>11482</v>
      </c>
      <c r="B5229" s="2" t="s">
        <v>11483</v>
      </c>
      <c r="C5229" s="2" t="s">
        <v>7596</v>
      </c>
    </row>
    <row r="5230">
      <c r="A5230" s="2" t="s">
        <v>11484</v>
      </c>
      <c r="B5230" s="2" t="s">
        <v>11485</v>
      </c>
      <c r="C5230" s="2" t="s">
        <v>7596</v>
      </c>
    </row>
    <row r="5231">
      <c r="A5231" s="2" t="s">
        <v>11486</v>
      </c>
      <c r="B5231" s="2" t="s">
        <v>11487</v>
      </c>
      <c r="C5231" s="2" t="s">
        <v>7596</v>
      </c>
    </row>
    <row r="5232">
      <c r="A5232" s="2" t="s">
        <v>11488</v>
      </c>
      <c r="B5232" s="2" t="s">
        <v>11489</v>
      </c>
      <c r="C5232" s="2" t="s">
        <v>7596</v>
      </c>
    </row>
    <row r="5233">
      <c r="A5233" s="2" t="s">
        <v>11490</v>
      </c>
      <c r="B5233" s="2" t="s">
        <v>11491</v>
      </c>
      <c r="C5233" s="2" t="s">
        <v>7596</v>
      </c>
    </row>
    <row r="5234">
      <c r="A5234" s="2" t="s">
        <v>11492</v>
      </c>
      <c r="B5234" s="2" t="s">
        <v>11493</v>
      </c>
      <c r="C5234" s="2" t="s">
        <v>7596</v>
      </c>
    </row>
    <row r="5235">
      <c r="A5235" s="2" t="s">
        <v>11494</v>
      </c>
      <c r="B5235" s="2" t="s">
        <v>11495</v>
      </c>
      <c r="C5235" s="2" t="s">
        <v>7596</v>
      </c>
    </row>
    <row r="5236">
      <c r="A5236" s="2" t="s">
        <v>11496</v>
      </c>
      <c r="B5236" s="2" t="s">
        <v>11497</v>
      </c>
      <c r="C5236" s="2" t="s">
        <v>7596</v>
      </c>
    </row>
    <row r="5237">
      <c r="A5237" s="2" t="s">
        <v>11498</v>
      </c>
      <c r="B5237" s="2" t="s">
        <v>11499</v>
      </c>
      <c r="C5237" s="2" t="s">
        <v>7596</v>
      </c>
    </row>
    <row r="5238">
      <c r="A5238" s="2" t="s">
        <v>11500</v>
      </c>
      <c r="B5238" s="2" t="s">
        <v>11501</v>
      </c>
      <c r="C5238" s="2" t="s">
        <v>7596</v>
      </c>
    </row>
    <row r="5239">
      <c r="A5239" s="2" t="s">
        <v>11502</v>
      </c>
      <c r="B5239" s="2" t="s">
        <v>11503</v>
      </c>
      <c r="C5239" s="2" t="s">
        <v>7596</v>
      </c>
    </row>
    <row r="5240">
      <c r="A5240" s="2" t="s">
        <v>11504</v>
      </c>
      <c r="B5240" s="2" t="s">
        <v>11505</v>
      </c>
      <c r="C5240" s="2" t="s">
        <v>7596</v>
      </c>
    </row>
    <row r="5241">
      <c r="A5241" s="2" t="s">
        <v>11506</v>
      </c>
      <c r="B5241" s="2" t="s">
        <v>11507</v>
      </c>
      <c r="C5241" s="2" t="s">
        <v>7596</v>
      </c>
    </row>
    <row r="5242">
      <c r="A5242" s="2" t="s">
        <v>11508</v>
      </c>
      <c r="B5242" s="2" t="s">
        <v>11509</v>
      </c>
      <c r="C5242" s="2" t="s">
        <v>7596</v>
      </c>
    </row>
    <row r="5243">
      <c r="A5243" s="2" t="s">
        <v>11510</v>
      </c>
      <c r="B5243" s="2" t="s">
        <v>11511</v>
      </c>
      <c r="C5243" s="2" t="s">
        <v>7596</v>
      </c>
    </row>
    <row r="5244">
      <c r="A5244" s="2" t="s">
        <v>11512</v>
      </c>
      <c r="B5244" s="2" t="s">
        <v>11513</v>
      </c>
      <c r="C5244" s="2" t="s">
        <v>7596</v>
      </c>
    </row>
    <row r="5245">
      <c r="A5245" s="2" t="s">
        <v>11514</v>
      </c>
      <c r="B5245" s="2" t="s">
        <v>11515</v>
      </c>
      <c r="C5245" s="2" t="s">
        <v>7596</v>
      </c>
    </row>
    <row r="5246">
      <c r="A5246" s="2" t="s">
        <v>11516</v>
      </c>
      <c r="B5246" s="2" t="s">
        <v>11517</v>
      </c>
      <c r="C5246" s="2" t="s">
        <v>7596</v>
      </c>
    </row>
    <row r="5247">
      <c r="A5247" s="2" t="s">
        <v>11518</v>
      </c>
      <c r="B5247" s="2" t="s">
        <v>11519</v>
      </c>
      <c r="C5247" s="2" t="s">
        <v>7596</v>
      </c>
    </row>
    <row r="5248">
      <c r="A5248" s="2" t="s">
        <v>11520</v>
      </c>
      <c r="B5248" s="2" t="s">
        <v>11521</v>
      </c>
      <c r="C5248" s="2" t="s">
        <v>7596</v>
      </c>
    </row>
    <row r="5249">
      <c r="A5249" s="2" t="s">
        <v>11522</v>
      </c>
      <c r="B5249" s="2" t="s">
        <v>11523</v>
      </c>
      <c r="C5249" s="2" t="s">
        <v>7596</v>
      </c>
    </row>
    <row r="5250">
      <c r="A5250" s="2" t="s">
        <v>11524</v>
      </c>
      <c r="B5250" s="2" t="s">
        <v>11525</v>
      </c>
      <c r="C5250" s="2" t="s">
        <v>7596</v>
      </c>
    </row>
    <row r="5251">
      <c r="A5251" s="2" t="s">
        <v>11526</v>
      </c>
      <c r="B5251" s="2" t="s">
        <v>11527</v>
      </c>
      <c r="C5251" s="2" t="s">
        <v>7596</v>
      </c>
    </row>
    <row r="5252">
      <c r="A5252" s="2" t="s">
        <v>11528</v>
      </c>
      <c r="B5252" s="2" t="s">
        <v>11529</v>
      </c>
      <c r="C5252" s="2" t="s">
        <v>7596</v>
      </c>
    </row>
    <row r="5253">
      <c r="A5253" s="2" t="s">
        <v>11530</v>
      </c>
      <c r="B5253" s="2" t="s">
        <v>11531</v>
      </c>
      <c r="C5253" s="2" t="s">
        <v>7596</v>
      </c>
    </row>
    <row r="5254">
      <c r="A5254" s="2" t="s">
        <v>11532</v>
      </c>
      <c r="B5254" s="2" t="s">
        <v>11533</v>
      </c>
      <c r="C5254" s="2" t="s">
        <v>7596</v>
      </c>
    </row>
    <row r="5255">
      <c r="A5255" s="2" t="s">
        <v>11534</v>
      </c>
      <c r="B5255" s="2" t="s">
        <v>11535</v>
      </c>
      <c r="C5255" s="2" t="s">
        <v>7596</v>
      </c>
    </row>
    <row r="5256">
      <c r="A5256" s="2" t="s">
        <v>11536</v>
      </c>
      <c r="B5256" s="2" t="s">
        <v>11537</v>
      </c>
      <c r="C5256" s="2" t="s">
        <v>7596</v>
      </c>
    </row>
    <row r="5257">
      <c r="A5257" s="2" t="s">
        <v>11538</v>
      </c>
      <c r="B5257" s="2" t="s">
        <v>11539</v>
      </c>
      <c r="C5257" s="2" t="s">
        <v>7596</v>
      </c>
    </row>
    <row r="5258">
      <c r="A5258" s="2" t="s">
        <v>11540</v>
      </c>
      <c r="B5258" s="2" t="s">
        <v>11541</v>
      </c>
      <c r="C5258" s="2" t="s">
        <v>7596</v>
      </c>
    </row>
    <row r="5259">
      <c r="A5259" s="2" t="s">
        <v>11542</v>
      </c>
      <c r="B5259" s="2" t="s">
        <v>11543</v>
      </c>
      <c r="C5259" s="2" t="s">
        <v>7596</v>
      </c>
    </row>
    <row r="5260">
      <c r="A5260" s="2" t="s">
        <v>11544</v>
      </c>
      <c r="B5260" s="2" t="s">
        <v>11545</v>
      </c>
      <c r="C5260" s="2" t="s">
        <v>7596</v>
      </c>
    </row>
    <row r="5261">
      <c r="A5261" s="2" t="s">
        <v>11546</v>
      </c>
      <c r="B5261" s="2" t="s">
        <v>11547</v>
      </c>
      <c r="C5261" s="2" t="s">
        <v>7596</v>
      </c>
    </row>
    <row r="5262">
      <c r="A5262" s="2" t="s">
        <v>11548</v>
      </c>
      <c r="B5262" s="2" t="s">
        <v>11549</v>
      </c>
      <c r="C5262" s="2" t="s">
        <v>7596</v>
      </c>
    </row>
    <row r="5263">
      <c r="A5263" s="2" t="s">
        <v>11550</v>
      </c>
      <c r="B5263" s="2" t="s">
        <v>11551</v>
      </c>
      <c r="C5263" s="2" t="s">
        <v>7596</v>
      </c>
    </row>
    <row r="5264">
      <c r="A5264" s="2" t="s">
        <v>11552</v>
      </c>
      <c r="B5264" s="2" t="s">
        <v>11553</v>
      </c>
      <c r="C5264" s="2" t="s">
        <v>7596</v>
      </c>
    </row>
    <row r="5265">
      <c r="A5265" s="2" t="s">
        <v>11554</v>
      </c>
      <c r="B5265" s="2" t="s">
        <v>11555</v>
      </c>
      <c r="C5265" s="2" t="s">
        <v>7596</v>
      </c>
    </row>
    <row r="5266">
      <c r="A5266" s="2" t="s">
        <v>11556</v>
      </c>
      <c r="B5266" s="2" t="s">
        <v>11557</v>
      </c>
      <c r="C5266" s="2" t="s">
        <v>7596</v>
      </c>
    </row>
    <row r="5267">
      <c r="A5267" s="2" t="s">
        <v>11558</v>
      </c>
      <c r="B5267" s="2" t="s">
        <v>11559</v>
      </c>
      <c r="C5267" s="2" t="s">
        <v>7596</v>
      </c>
    </row>
    <row r="5268">
      <c r="A5268" s="2" t="s">
        <v>11560</v>
      </c>
      <c r="B5268" s="2" t="s">
        <v>11561</v>
      </c>
      <c r="C5268" s="2" t="s">
        <v>7596</v>
      </c>
    </row>
    <row r="5269">
      <c r="A5269" s="2" t="s">
        <v>11562</v>
      </c>
      <c r="B5269" s="2" t="s">
        <v>11563</v>
      </c>
      <c r="C5269" s="2" t="s">
        <v>7596</v>
      </c>
    </row>
    <row r="5270">
      <c r="A5270" s="2" t="s">
        <v>11564</v>
      </c>
      <c r="B5270" s="2" t="s">
        <v>11565</v>
      </c>
      <c r="C5270" s="2" t="s">
        <v>7596</v>
      </c>
    </row>
    <row r="5271">
      <c r="A5271" s="2" t="s">
        <v>11566</v>
      </c>
      <c r="B5271" s="2" t="s">
        <v>11567</v>
      </c>
      <c r="C5271" s="2" t="s">
        <v>7596</v>
      </c>
    </row>
    <row r="5272">
      <c r="A5272" s="2" t="s">
        <v>11568</v>
      </c>
      <c r="B5272" s="2" t="s">
        <v>11569</v>
      </c>
      <c r="C5272" s="2" t="s">
        <v>7596</v>
      </c>
    </row>
    <row r="5273">
      <c r="A5273" s="2" t="s">
        <v>11570</v>
      </c>
      <c r="B5273" s="2" t="s">
        <v>11571</v>
      </c>
      <c r="C5273" s="2" t="s">
        <v>7596</v>
      </c>
    </row>
    <row r="5274">
      <c r="A5274" s="2" t="s">
        <v>11572</v>
      </c>
      <c r="B5274" s="2" t="s">
        <v>11573</v>
      </c>
      <c r="C5274" s="2" t="s">
        <v>7596</v>
      </c>
    </row>
    <row r="5275">
      <c r="A5275" s="2" t="s">
        <v>11574</v>
      </c>
      <c r="B5275" s="2" t="s">
        <v>11575</v>
      </c>
      <c r="C5275" s="2" t="s">
        <v>7596</v>
      </c>
    </row>
    <row r="5276">
      <c r="A5276" s="2" t="s">
        <v>11576</v>
      </c>
      <c r="B5276" s="2" t="s">
        <v>11577</v>
      </c>
      <c r="C5276" s="2" t="s">
        <v>7596</v>
      </c>
    </row>
    <row r="5277">
      <c r="A5277" s="2" t="s">
        <v>11578</v>
      </c>
      <c r="B5277" s="2" t="s">
        <v>11579</v>
      </c>
      <c r="C5277" s="2" t="s">
        <v>7596</v>
      </c>
    </row>
    <row r="5278">
      <c r="A5278" s="2" t="s">
        <v>11580</v>
      </c>
      <c r="B5278" s="2" t="s">
        <v>11581</v>
      </c>
      <c r="C5278" s="2" t="s">
        <v>7596</v>
      </c>
    </row>
    <row r="5279">
      <c r="A5279" s="2" t="s">
        <v>11582</v>
      </c>
      <c r="B5279" s="2" t="s">
        <v>11583</v>
      </c>
      <c r="C5279" s="2" t="s">
        <v>7596</v>
      </c>
    </row>
    <row r="5280">
      <c r="A5280" s="2" t="s">
        <v>11584</v>
      </c>
      <c r="B5280" s="2" t="s">
        <v>11585</v>
      </c>
      <c r="C5280" s="2" t="s">
        <v>7596</v>
      </c>
    </row>
    <row r="5281">
      <c r="A5281" s="2" t="s">
        <v>11586</v>
      </c>
      <c r="B5281" s="2" t="s">
        <v>11587</v>
      </c>
      <c r="C5281" s="2" t="s">
        <v>7596</v>
      </c>
    </row>
    <row r="5282">
      <c r="A5282" s="2" t="s">
        <v>11588</v>
      </c>
      <c r="B5282" s="2" t="s">
        <v>11589</v>
      </c>
      <c r="C5282" s="2" t="s">
        <v>7596</v>
      </c>
    </row>
    <row r="5283">
      <c r="A5283" s="2" t="s">
        <v>11590</v>
      </c>
      <c r="B5283" s="2" t="s">
        <v>11591</v>
      </c>
      <c r="C5283" s="2" t="s">
        <v>7596</v>
      </c>
    </row>
    <row r="5284">
      <c r="A5284" s="2" t="s">
        <v>11592</v>
      </c>
      <c r="B5284" s="2" t="s">
        <v>11593</v>
      </c>
      <c r="C5284" s="2" t="s">
        <v>7596</v>
      </c>
    </row>
    <row r="5285">
      <c r="A5285" s="2" t="s">
        <v>11594</v>
      </c>
      <c r="B5285" s="2" t="s">
        <v>11595</v>
      </c>
      <c r="C5285" s="2" t="s">
        <v>7596</v>
      </c>
    </row>
    <row r="5286">
      <c r="A5286" s="2" t="s">
        <v>11596</v>
      </c>
      <c r="B5286" s="2" t="s">
        <v>11597</v>
      </c>
      <c r="C5286" s="2" t="s">
        <v>7596</v>
      </c>
    </row>
    <row r="5287">
      <c r="A5287" s="2" t="s">
        <v>11598</v>
      </c>
      <c r="B5287" s="2" t="s">
        <v>11599</v>
      </c>
      <c r="C5287" s="2" t="s">
        <v>7596</v>
      </c>
    </row>
    <row r="5288">
      <c r="A5288" s="2" t="s">
        <v>11600</v>
      </c>
      <c r="B5288" s="2" t="s">
        <v>11601</v>
      </c>
      <c r="C5288" s="2" t="s">
        <v>7596</v>
      </c>
    </row>
    <row r="5289">
      <c r="A5289" s="2" t="s">
        <v>11602</v>
      </c>
      <c r="B5289" s="2" t="s">
        <v>11603</v>
      </c>
      <c r="C5289" s="2" t="s">
        <v>7596</v>
      </c>
    </row>
    <row r="5290">
      <c r="A5290" s="2" t="s">
        <v>11604</v>
      </c>
      <c r="B5290" s="2" t="s">
        <v>11605</v>
      </c>
      <c r="C5290" s="2" t="s">
        <v>7596</v>
      </c>
    </row>
    <row r="5291">
      <c r="A5291" s="2" t="s">
        <v>11606</v>
      </c>
      <c r="B5291" s="2" t="s">
        <v>11607</v>
      </c>
      <c r="C5291" s="2" t="s">
        <v>7596</v>
      </c>
    </row>
    <row r="5292">
      <c r="A5292" s="2" t="s">
        <v>11608</v>
      </c>
      <c r="B5292" s="2" t="s">
        <v>11609</v>
      </c>
      <c r="C5292" s="2" t="s">
        <v>7596</v>
      </c>
    </row>
    <row r="5293">
      <c r="A5293" s="2" t="s">
        <v>11610</v>
      </c>
      <c r="B5293" s="2" t="s">
        <v>11611</v>
      </c>
      <c r="C5293" s="2" t="s">
        <v>7596</v>
      </c>
    </row>
    <row r="5294">
      <c r="A5294" s="2" t="s">
        <v>11612</v>
      </c>
      <c r="B5294" s="2" t="s">
        <v>11613</v>
      </c>
      <c r="C5294" s="2" t="s">
        <v>7596</v>
      </c>
    </row>
    <row r="5295">
      <c r="A5295" s="2" t="s">
        <v>11614</v>
      </c>
      <c r="B5295" s="2" t="s">
        <v>11615</v>
      </c>
      <c r="C5295" s="2" t="s">
        <v>7596</v>
      </c>
    </row>
    <row r="5296">
      <c r="A5296" s="2" t="s">
        <v>11616</v>
      </c>
      <c r="B5296" s="2" t="s">
        <v>11617</v>
      </c>
      <c r="C5296" s="2" t="s">
        <v>7596</v>
      </c>
    </row>
    <row r="5297">
      <c r="A5297" s="2" t="s">
        <v>11618</v>
      </c>
      <c r="B5297" s="2" t="s">
        <v>11619</v>
      </c>
      <c r="C5297" s="2" t="s">
        <v>7596</v>
      </c>
    </row>
    <row r="5298">
      <c r="A5298" s="2" t="s">
        <v>11620</v>
      </c>
      <c r="B5298" s="2" t="s">
        <v>11621</v>
      </c>
      <c r="C5298" s="2" t="s">
        <v>7596</v>
      </c>
    </row>
    <row r="5299">
      <c r="A5299" s="2" t="s">
        <v>11622</v>
      </c>
      <c r="B5299" s="2" t="s">
        <v>11623</v>
      </c>
      <c r="C5299" s="2" t="s">
        <v>7596</v>
      </c>
    </row>
    <row r="5300">
      <c r="A5300" s="2" t="s">
        <v>11624</v>
      </c>
      <c r="B5300" s="2" t="s">
        <v>11625</v>
      </c>
      <c r="C5300" s="2" t="s">
        <v>7596</v>
      </c>
    </row>
    <row r="5301">
      <c r="A5301" s="2" t="s">
        <v>11626</v>
      </c>
      <c r="B5301" s="2" t="s">
        <v>11627</v>
      </c>
      <c r="C5301" s="2" t="s">
        <v>7596</v>
      </c>
    </row>
    <row r="5302">
      <c r="A5302" s="2" t="s">
        <v>11628</v>
      </c>
      <c r="B5302" s="2" t="s">
        <v>11629</v>
      </c>
      <c r="C5302" s="2" t="s">
        <v>7596</v>
      </c>
    </row>
    <row r="5303">
      <c r="A5303" s="2" t="s">
        <v>11630</v>
      </c>
      <c r="B5303" s="2" t="s">
        <v>11631</v>
      </c>
      <c r="C5303" s="2" t="s">
        <v>7596</v>
      </c>
    </row>
    <row r="5304">
      <c r="A5304" s="2" t="s">
        <v>11632</v>
      </c>
      <c r="B5304" s="2" t="s">
        <v>11633</v>
      </c>
      <c r="C5304" s="2" t="s">
        <v>7596</v>
      </c>
    </row>
    <row r="5305">
      <c r="A5305" s="2" t="s">
        <v>11634</v>
      </c>
      <c r="B5305" s="2" t="s">
        <v>11635</v>
      </c>
      <c r="C5305" s="2" t="s">
        <v>7596</v>
      </c>
    </row>
    <row r="5306">
      <c r="A5306" s="2" t="s">
        <v>11636</v>
      </c>
      <c r="B5306" s="2" t="s">
        <v>11637</v>
      </c>
      <c r="C5306" s="2" t="s">
        <v>7596</v>
      </c>
    </row>
    <row r="5307">
      <c r="A5307" s="2" t="s">
        <v>11638</v>
      </c>
      <c r="B5307" s="2" t="s">
        <v>11639</v>
      </c>
      <c r="C5307" s="2" t="s">
        <v>7596</v>
      </c>
    </row>
    <row r="5308">
      <c r="A5308" s="2" t="s">
        <v>11640</v>
      </c>
      <c r="B5308" s="2" t="s">
        <v>11641</v>
      </c>
      <c r="C5308" s="2" t="s">
        <v>7596</v>
      </c>
    </row>
    <row r="5309">
      <c r="A5309" s="2" t="s">
        <v>11642</v>
      </c>
      <c r="B5309" s="2" t="s">
        <v>11643</v>
      </c>
      <c r="C5309" s="2" t="s">
        <v>7596</v>
      </c>
    </row>
    <row r="5310">
      <c r="A5310" s="2" t="s">
        <v>11644</v>
      </c>
      <c r="B5310" s="2" t="s">
        <v>11645</v>
      </c>
      <c r="C5310" s="2" t="s">
        <v>7596</v>
      </c>
    </row>
    <row r="5311">
      <c r="A5311" s="2" t="s">
        <v>11646</v>
      </c>
      <c r="B5311" s="2" t="s">
        <v>11647</v>
      </c>
      <c r="C5311" s="2" t="s">
        <v>7596</v>
      </c>
    </row>
    <row r="5312">
      <c r="A5312" s="2" t="s">
        <v>11648</v>
      </c>
      <c r="B5312" s="2" t="s">
        <v>11649</v>
      </c>
      <c r="C5312" s="2" t="s">
        <v>7596</v>
      </c>
    </row>
    <row r="5313">
      <c r="A5313" s="2" t="s">
        <v>11650</v>
      </c>
      <c r="B5313" s="2" t="s">
        <v>11651</v>
      </c>
      <c r="C5313" s="2" t="s">
        <v>7596</v>
      </c>
    </row>
    <row r="5314">
      <c r="A5314" s="2" t="s">
        <v>11652</v>
      </c>
      <c r="B5314" s="2" t="s">
        <v>11653</v>
      </c>
      <c r="C5314" s="2" t="s">
        <v>7596</v>
      </c>
    </row>
    <row r="5315">
      <c r="A5315" s="2" t="s">
        <v>11654</v>
      </c>
      <c r="B5315" s="2" t="s">
        <v>11655</v>
      </c>
      <c r="C5315" s="2" t="s">
        <v>7596</v>
      </c>
    </row>
    <row r="5316">
      <c r="A5316" s="2" t="s">
        <v>11656</v>
      </c>
      <c r="B5316" s="2" t="s">
        <v>11657</v>
      </c>
      <c r="C5316" s="2" t="s">
        <v>7596</v>
      </c>
    </row>
    <row r="5317">
      <c r="A5317" s="2" t="s">
        <v>11658</v>
      </c>
      <c r="B5317" s="2" t="s">
        <v>11659</v>
      </c>
      <c r="C5317" s="2" t="s">
        <v>7596</v>
      </c>
    </row>
    <row r="5318">
      <c r="A5318" s="2" t="s">
        <v>11660</v>
      </c>
      <c r="B5318" s="2" t="s">
        <v>11661</v>
      </c>
      <c r="C5318" s="2" t="s">
        <v>7596</v>
      </c>
    </row>
    <row r="5319">
      <c r="A5319" s="2" t="s">
        <v>11662</v>
      </c>
      <c r="B5319" s="2" t="s">
        <v>11663</v>
      </c>
      <c r="C5319" s="2" t="s">
        <v>7596</v>
      </c>
    </row>
    <row r="5320">
      <c r="A5320" s="2" t="s">
        <v>11664</v>
      </c>
      <c r="B5320" s="2" t="s">
        <v>11665</v>
      </c>
      <c r="C5320" s="2" t="s">
        <v>7596</v>
      </c>
    </row>
    <row r="5321">
      <c r="A5321" s="2" t="s">
        <v>11666</v>
      </c>
      <c r="B5321" s="2" t="s">
        <v>11667</v>
      </c>
      <c r="C5321" s="2" t="s">
        <v>7596</v>
      </c>
    </row>
    <row r="5322">
      <c r="A5322" s="2" t="s">
        <v>11668</v>
      </c>
      <c r="B5322" s="2" t="s">
        <v>11669</v>
      </c>
      <c r="C5322" s="2" t="s">
        <v>7596</v>
      </c>
    </row>
    <row r="5323">
      <c r="A5323" s="2" t="s">
        <v>11670</v>
      </c>
      <c r="B5323" s="2" t="s">
        <v>11671</v>
      </c>
      <c r="C5323" s="2" t="s">
        <v>7596</v>
      </c>
    </row>
    <row r="5324">
      <c r="A5324" s="2" t="s">
        <v>11672</v>
      </c>
      <c r="B5324" s="2" t="s">
        <v>11673</v>
      </c>
      <c r="C5324" s="2" t="s">
        <v>7596</v>
      </c>
    </row>
    <row r="5325">
      <c r="A5325" s="2" t="s">
        <v>11674</v>
      </c>
      <c r="B5325" s="2" t="s">
        <v>11675</v>
      </c>
      <c r="C5325" s="2" t="s">
        <v>7596</v>
      </c>
    </row>
    <row r="5326">
      <c r="A5326" s="2" t="s">
        <v>11676</v>
      </c>
      <c r="B5326" s="2" t="s">
        <v>11677</v>
      </c>
      <c r="C5326" s="2" t="s">
        <v>7596</v>
      </c>
    </row>
    <row r="5327">
      <c r="A5327" s="2" t="s">
        <v>11678</v>
      </c>
      <c r="B5327" s="2" t="s">
        <v>11679</v>
      </c>
      <c r="C5327" s="2" t="s">
        <v>7596</v>
      </c>
    </row>
    <row r="5328">
      <c r="A5328" s="2" t="s">
        <v>11680</v>
      </c>
      <c r="B5328" s="2" t="s">
        <v>11681</v>
      </c>
      <c r="C5328" s="2" t="s">
        <v>7596</v>
      </c>
    </row>
    <row r="5329">
      <c r="A5329" s="2" t="s">
        <v>11682</v>
      </c>
      <c r="B5329" s="2" t="s">
        <v>11683</v>
      </c>
      <c r="C5329" s="2" t="s">
        <v>7596</v>
      </c>
    </row>
    <row r="5330">
      <c r="A5330" s="2" t="s">
        <v>11684</v>
      </c>
      <c r="B5330" s="2" t="s">
        <v>11685</v>
      </c>
      <c r="C5330" s="2" t="s">
        <v>7596</v>
      </c>
    </row>
    <row r="5331">
      <c r="A5331" s="2" t="s">
        <v>11686</v>
      </c>
      <c r="B5331" s="2" t="s">
        <v>11687</v>
      </c>
      <c r="C5331" s="2" t="s">
        <v>7596</v>
      </c>
    </row>
    <row r="5332">
      <c r="A5332" s="2" t="s">
        <v>11688</v>
      </c>
      <c r="B5332" s="2" t="s">
        <v>11689</v>
      </c>
      <c r="C5332" s="2" t="s">
        <v>7596</v>
      </c>
    </row>
    <row r="5333">
      <c r="A5333" s="2" t="s">
        <v>11690</v>
      </c>
      <c r="B5333" s="2" t="s">
        <v>11691</v>
      </c>
      <c r="C5333" s="2" t="s">
        <v>7596</v>
      </c>
    </row>
    <row r="5334">
      <c r="A5334" s="2" t="s">
        <v>11692</v>
      </c>
      <c r="B5334" s="2" t="s">
        <v>11693</v>
      </c>
      <c r="C5334" s="2" t="s">
        <v>7596</v>
      </c>
    </row>
    <row r="5335">
      <c r="A5335" s="2" t="s">
        <v>11694</v>
      </c>
      <c r="B5335" s="2" t="s">
        <v>11695</v>
      </c>
      <c r="C5335" s="2" t="s">
        <v>7596</v>
      </c>
    </row>
    <row r="5336">
      <c r="A5336" s="2" t="s">
        <v>11696</v>
      </c>
      <c r="B5336" s="2" t="s">
        <v>11697</v>
      </c>
      <c r="C5336" s="2" t="s">
        <v>7596</v>
      </c>
    </row>
    <row r="5337">
      <c r="A5337" s="2" t="s">
        <v>11698</v>
      </c>
      <c r="B5337" s="2" t="s">
        <v>11699</v>
      </c>
      <c r="C5337" s="2" t="s">
        <v>7596</v>
      </c>
    </row>
    <row r="5338">
      <c r="A5338" s="2" t="s">
        <v>11700</v>
      </c>
      <c r="B5338" s="2" t="s">
        <v>11701</v>
      </c>
      <c r="C5338" s="2" t="s">
        <v>7596</v>
      </c>
    </row>
    <row r="5339">
      <c r="A5339" s="2" t="s">
        <v>11702</v>
      </c>
      <c r="B5339" s="2" t="s">
        <v>11703</v>
      </c>
      <c r="C5339" s="2" t="s">
        <v>7596</v>
      </c>
    </row>
    <row r="5340">
      <c r="A5340" s="2" t="s">
        <v>11704</v>
      </c>
      <c r="B5340" s="2" t="s">
        <v>11705</v>
      </c>
      <c r="C5340" s="2" t="s">
        <v>7596</v>
      </c>
    </row>
    <row r="5341">
      <c r="A5341" s="2" t="s">
        <v>11706</v>
      </c>
      <c r="B5341" s="2" t="s">
        <v>11707</v>
      </c>
      <c r="C5341" s="2" t="s">
        <v>7596</v>
      </c>
    </row>
    <row r="5342">
      <c r="A5342" s="2" t="s">
        <v>11708</v>
      </c>
      <c r="B5342" s="2" t="s">
        <v>11709</v>
      </c>
      <c r="C5342" s="2" t="s">
        <v>7596</v>
      </c>
    </row>
    <row r="5343">
      <c r="A5343" s="2" t="s">
        <v>11710</v>
      </c>
      <c r="B5343" s="2" t="s">
        <v>11711</v>
      </c>
      <c r="C5343" s="2" t="s">
        <v>7596</v>
      </c>
    </row>
    <row r="5344">
      <c r="A5344" s="2" t="s">
        <v>11712</v>
      </c>
      <c r="B5344" s="2" t="s">
        <v>11713</v>
      </c>
      <c r="C5344" s="2" t="s">
        <v>7596</v>
      </c>
    </row>
    <row r="5345">
      <c r="A5345" s="2" t="s">
        <v>11714</v>
      </c>
      <c r="B5345" s="2" t="s">
        <v>11715</v>
      </c>
      <c r="C5345" s="2" t="s">
        <v>7596</v>
      </c>
    </row>
    <row r="5346">
      <c r="A5346" s="2" t="s">
        <v>11716</v>
      </c>
      <c r="B5346" s="2" t="s">
        <v>11717</v>
      </c>
      <c r="C5346" s="2" t="s">
        <v>7596</v>
      </c>
    </row>
    <row r="5347">
      <c r="A5347" s="2" t="s">
        <v>11718</v>
      </c>
      <c r="B5347" s="2" t="s">
        <v>11719</v>
      </c>
      <c r="C5347" s="2" t="s">
        <v>7596</v>
      </c>
    </row>
    <row r="5348">
      <c r="A5348" s="2" t="s">
        <v>11720</v>
      </c>
      <c r="B5348" s="2" t="s">
        <v>11721</v>
      </c>
      <c r="C5348" s="2" t="s">
        <v>7596</v>
      </c>
    </row>
    <row r="5349">
      <c r="A5349" s="2" t="s">
        <v>11722</v>
      </c>
      <c r="B5349" s="2" t="s">
        <v>11723</v>
      </c>
      <c r="C5349" s="2" t="s">
        <v>7596</v>
      </c>
    </row>
    <row r="5350">
      <c r="A5350" s="2" t="s">
        <v>11724</v>
      </c>
      <c r="B5350" s="2" t="s">
        <v>11725</v>
      </c>
      <c r="C5350" s="2" t="s">
        <v>7596</v>
      </c>
    </row>
    <row r="5351">
      <c r="A5351" s="2" t="s">
        <v>11726</v>
      </c>
      <c r="B5351" s="2" t="s">
        <v>11727</v>
      </c>
      <c r="C5351" s="2" t="s">
        <v>7596</v>
      </c>
    </row>
    <row r="5352">
      <c r="A5352" s="2" t="s">
        <v>11728</v>
      </c>
      <c r="B5352" s="2" t="s">
        <v>11729</v>
      </c>
      <c r="C5352" s="2" t="s">
        <v>7596</v>
      </c>
    </row>
    <row r="5353">
      <c r="A5353" s="2" t="s">
        <v>11730</v>
      </c>
      <c r="B5353" s="2" t="s">
        <v>11731</v>
      </c>
      <c r="C5353" s="2" t="s">
        <v>7596</v>
      </c>
    </row>
    <row r="5354">
      <c r="A5354" s="2" t="s">
        <v>11732</v>
      </c>
      <c r="B5354" s="2" t="s">
        <v>11733</v>
      </c>
      <c r="C5354" s="2" t="s">
        <v>7596</v>
      </c>
    </row>
    <row r="5355">
      <c r="A5355" s="2" t="s">
        <v>11734</v>
      </c>
      <c r="B5355" s="2" t="s">
        <v>11735</v>
      </c>
      <c r="C5355" s="2" t="s">
        <v>7596</v>
      </c>
    </row>
    <row r="5356">
      <c r="A5356" s="2" t="s">
        <v>11736</v>
      </c>
      <c r="B5356" s="2" t="s">
        <v>11737</v>
      </c>
      <c r="C5356" s="2" t="s">
        <v>7596</v>
      </c>
    </row>
    <row r="5357">
      <c r="A5357" s="2" t="s">
        <v>11738</v>
      </c>
      <c r="B5357" s="2" t="s">
        <v>11739</v>
      </c>
      <c r="C5357" s="2" t="s">
        <v>7596</v>
      </c>
    </row>
    <row r="5358">
      <c r="A5358" s="2" t="s">
        <v>11740</v>
      </c>
      <c r="B5358" s="2" t="s">
        <v>11741</v>
      </c>
      <c r="C5358" s="2" t="s">
        <v>7596</v>
      </c>
    </row>
    <row r="5359">
      <c r="A5359" s="2" t="s">
        <v>11742</v>
      </c>
      <c r="B5359" s="2" t="s">
        <v>11743</v>
      </c>
      <c r="C5359" s="2" t="s">
        <v>7596</v>
      </c>
    </row>
    <row r="5360">
      <c r="A5360" s="2" t="s">
        <v>11744</v>
      </c>
      <c r="B5360" s="2" t="s">
        <v>11745</v>
      </c>
      <c r="C5360" s="2" t="s">
        <v>7596</v>
      </c>
    </row>
    <row r="5361">
      <c r="A5361" s="2" t="s">
        <v>11746</v>
      </c>
      <c r="B5361" s="2" t="s">
        <v>11747</v>
      </c>
      <c r="C5361" s="2" t="s">
        <v>7596</v>
      </c>
    </row>
    <row r="5362">
      <c r="A5362" s="2" t="s">
        <v>11748</v>
      </c>
      <c r="B5362" s="2" t="s">
        <v>11749</v>
      </c>
      <c r="C5362" s="2" t="s">
        <v>7596</v>
      </c>
    </row>
    <row r="5363">
      <c r="A5363" s="2" t="s">
        <v>11750</v>
      </c>
      <c r="B5363" s="2" t="s">
        <v>11751</v>
      </c>
      <c r="C5363" s="2" t="s">
        <v>7596</v>
      </c>
    </row>
    <row r="5364">
      <c r="A5364" s="2" t="s">
        <v>11752</v>
      </c>
      <c r="B5364" s="2" t="s">
        <v>11753</v>
      </c>
      <c r="C5364" s="2" t="s">
        <v>7596</v>
      </c>
    </row>
    <row r="5365">
      <c r="A5365" s="2" t="s">
        <v>11754</v>
      </c>
      <c r="B5365" s="2" t="s">
        <v>11755</v>
      </c>
      <c r="C5365" s="2" t="s">
        <v>7596</v>
      </c>
    </row>
    <row r="5366">
      <c r="A5366" s="2" t="s">
        <v>11756</v>
      </c>
      <c r="B5366" s="2" t="s">
        <v>11757</v>
      </c>
      <c r="C5366" s="2" t="s">
        <v>7596</v>
      </c>
    </row>
    <row r="5367">
      <c r="A5367" s="2" t="s">
        <v>11758</v>
      </c>
      <c r="B5367" s="2" t="s">
        <v>11759</v>
      </c>
      <c r="C5367" s="2" t="s">
        <v>7596</v>
      </c>
    </row>
    <row r="5368">
      <c r="A5368" s="2" t="s">
        <v>11760</v>
      </c>
      <c r="B5368" s="2" t="s">
        <v>11761</v>
      </c>
      <c r="C5368" s="2" t="s">
        <v>7596</v>
      </c>
    </row>
    <row r="5369">
      <c r="A5369" s="2" t="s">
        <v>11762</v>
      </c>
      <c r="B5369" s="2" t="s">
        <v>11763</v>
      </c>
      <c r="C5369" s="2" t="s">
        <v>7596</v>
      </c>
    </row>
    <row r="5370">
      <c r="A5370" s="2" t="s">
        <v>11764</v>
      </c>
      <c r="B5370" s="2" t="s">
        <v>11765</v>
      </c>
      <c r="C5370" s="2" t="s">
        <v>7596</v>
      </c>
    </row>
    <row r="5371">
      <c r="A5371" s="2" t="s">
        <v>11766</v>
      </c>
      <c r="B5371" s="2" t="s">
        <v>11767</v>
      </c>
      <c r="C5371" s="2" t="s">
        <v>7596</v>
      </c>
    </row>
    <row r="5372">
      <c r="A5372" s="2" t="s">
        <v>11768</v>
      </c>
      <c r="B5372" s="2" t="s">
        <v>11769</v>
      </c>
      <c r="C5372" s="2" t="s">
        <v>7596</v>
      </c>
    </row>
    <row r="5373">
      <c r="A5373" s="2" t="s">
        <v>11770</v>
      </c>
      <c r="B5373" s="2" t="s">
        <v>11771</v>
      </c>
      <c r="C5373" s="2" t="s">
        <v>7596</v>
      </c>
    </row>
    <row r="5374">
      <c r="A5374" s="2" t="s">
        <v>11772</v>
      </c>
      <c r="B5374" s="2" t="s">
        <v>11773</v>
      </c>
      <c r="C5374" s="2" t="s">
        <v>7596</v>
      </c>
    </row>
    <row r="5375">
      <c r="A5375" s="2" t="s">
        <v>11774</v>
      </c>
      <c r="B5375" s="2" t="s">
        <v>11773</v>
      </c>
      <c r="C5375" s="2" t="s">
        <v>7596</v>
      </c>
    </row>
    <row r="5376">
      <c r="A5376" s="2" t="s">
        <v>11775</v>
      </c>
      <c r="B5376" s="2" t="s">
        <v>11776</v>
      </c>
      <c r="C5376" s="2" t="s">
        <v>7596</v>
      </c>
    </row>
    <row r="5377">
      <c r="A5377" s="2" t="s">
        <v>11777</v>
      </c>
      <c r="B5377" s="2" t="s">
        <v>11778</v>
      </c>
      <c r="C5377" s="2" t="s">
        <v>7596</v>
      </c>
    </row>
    <row r="5378">
      <c r="A5378" s="2" t="s">
        <v>11779</v>
      </c>
      <c r="B5378" s="2" t="s">
        <v>11780</v>
      </c>
      <c r="C5378" s="2" t="s">
        <v>7596</v>
      </c>
    </row>
    <row r="5379">
      <c r="A5379" s="2" t="s">
        <v>11781</v>
      </c>
      <c r="B5379" s="2" t="s">
        <v>11782</v>
      </c>
      <c r="C5379" s="2" t="s">
        <v>7596</v>
      </c>
    </row>
    <row r="5380">
      <c r="A5380" s="2" t="s">
        <v>11783</v>
      </c>
      <c r="B5380" s="2" t="s">
        <v>11784</v>
      </c>
      <c r="C5380" s="2" t="s">
        <v>7596</v>
      </c>
    </row>
    <row r="5381">
      <c r="A5381" s="2" t="s">
        <v>11785</v>
      </c>
      <c r="B5381" s="2" t="s">
        <v>11784</v>
      </c>
      <c r="C5381" s="2" t="s">
        <v>7596</v>
      </c>
    </row>
    <row r="5382">
      <c r="A5382" s="2" t="s">
        <v>11786</v>
      </c>
      <c r="B5382" s="2" t="s">
        <v>11784</v>
      </c>
      <c r="C5382" s="2" t="s">
        <v>7596</v>
      </c>
    </row>
    <row r="5383">
      <c r="A5383" s="2" t="s">
        <v>11787</v>
      </c>
      <c r="B5383" s="2" t="s">
        <v>11784</v>
      </c>
      <c r="C5383" s="2" t="s">
        <v>7596</v>
      </c>
    </row>
    <row r="5384">
      <c r="A5384" s="2" t="s">
        <v>11788</v>
      </c>
      <c r="B5384" s="2" t="s">
        <v>11789</v>
      </c>
      <c r="C5384" s="2" t="s">
        <v>7596</v>
      </c>
    </row>
    <row r="5385">
      <c r="A5385" s="2" t="s">
        <v>11790</v>
      </c>
      <c r="B5385" s="2" t="s">
        <v>11791</v>
      </c>
      <c r="C5385" s="2" t="s">
        <v>7596</v>
      </c>
    </row>
    <row r="5386">
      <c r="A5386" s="2" t="s">
        <v>11792</v>
      </c>
      <c r="B5386" s="2" t="s">
        <v>11793</v>
      </c>
      <c r="C5386" s="2" t="s">
        <v>7596</v>
      </c>
    </row>
    <row r="5387">
      <c r="A5387" s="2" t="s">
        <v>11794</v>
      </c>
      <c r="B5387" s="2" t="s">
        <v>11795</v>
      </c>
      <c r="C5387" s="2" t="s">
        <v>7596</v>
      </c>
    </row>
    <row r="5388">
      <c r="A5388" s="2" t="s">
        <v>11796</v>
      </c>
      <c r="B5388" s="2" t="s">
        <v>11797</v>
      </c>
      <c r="C5388" s="2" t="s">
        <v>7596</v>
      </c>
    </row>
    <row r="5389">
      <c r="A5389" s="2" t="s">
        <v>11798</v>
      </c>
      <c r="B5389" s="2" t="s">
        <v>11799</v>
      </c>
      <c r="C5389" s="2" t="s">
        <v>7596</v>
      </c>
    </row>
    <row r="5390">
      <c r="A5390" s="2" t="s">
        <v>11800</v>
      </c>
      <c r="B5390" s="2" t="s">
        <v>11799</v>
      </c>
      <c r="C5390" s="2" t="s">
        <v>7596</v>
      </c>
    </row>
    <row r="5391">
      <c r="A5391" s="2" t="s">
        <v>11801</v>
      </c>
      <c r="B5391" s="2" t="s">
        <v>11799</v>
      </c>
      <c r="C5391" s="2" t="s">
        <v>7596</v>
      </c>
    </row>
    <row r="5392">
      <c r="A5392" s="2" t="s">
        <v>11802</v>
      </c>
      <c r="B5392" s="2" t="s">
        <v>11799</v>
      </c>
      <c r="C5392" s="2" t="s">
        <v>7596</v>
      </c>
    </row>
    <row r="5393">
      <c r="A5393" s="2" t="s">
        <v>11803</v>
      </c>
      <c r="B5393" s="2" t="s">
        <v>11799</v>
      </c>
      <c r="C5393" s="2" t="s">
        <v>7596</v>
      </c>
    </row>
    <row r="5394">
      <c r="A5394" s="2" t="s">
        <v>11804</v>
      </c>
      <c r="B5394" s="2" t="s">
        <v>11805</v>
      </c>
      <c r="C5394" s="2" t="s">
        <v>7596</v>
      </c>
    </row>
    <row r="5395">
      <c r="A5395" s="2" t="s">
        <v>11806</v>
      </c>
      <c r="B5395" s="2" t="s">
        <v>11807</v>
      </c>
      <c r="C5395" s="2" t="s">
        <v>7596</v>
      </c>
    </row>
    <row r="5396">
      <c r="A5396" s="2" t="s">
        <v>11808</v>
      </c>
      <c r="B5396" s="2" t="s">
        <v>11809</v>
      </c>
      <c r="C5396" s="2" t="s">
        <v>7596</v>
      </c>
    </row>
    <row r="5397">
      <c r="A5397" s="2" t="s">
        <v>11810</v>
      </c>
      <c r="B5397" s="2" t="s">
        <v>11811</v>
      </c>
      <c r="C5397" s="2" t="s">
        <v>7596</v>
      </c>
    </row>
    <row r="5398">
      <c r="A5398" s="2" t="s">
        <v>11812</v>
      </c>
      <c r="B5398" s="2" t="s">
        <v>11813</v>
      </c>
      <c r="C5398" s="2" t="s">
        <v>7596</v>
      </c>
    </row>
    <row r="5399">
      <c r="A5399" s="2" t="s">
        <v>11814</v>
      </c>
      <c r="B5399" s="2" t="s">
        <v>11815</v>
      </c>
      <c r="C5399" s="2" t="s">
        <v>7596</v>
      </c>
    </row>
    <row r="5400">
      <c r="A5400" s="2" t="s">
        <v>11816</v>
      </c>
      <c r="B5400" s="2" t="s">
        <v>11817</v>
      </c>
      <c r="C5400" s="2" t="s">
        <v>7596</v>
      </c>
    </row>
    <row r="5401">
      <c r="A5401" s="2" t="s">
        <v>11818</v>
      </c>
      <c r="B5401" s="2" t="s">
        <v>11819</v>
      </c>
      <c r="C5401" s="2" t="s">
        <v>7596</v>
      </c>
    </row>
    <row r="5402">
      <c r="A5402" s="2" t="s">
        <v>11820</v>
      </c>
      <c r="B5402" s="2" t="s">
        <v>11821</v>
      </c>
      <c r="C5402" s="2" t="s">
        <v>7596</v>
      </c>
    </row>
    <row r="5403">
      <c r="A5403" s="2" t="s">
        <v>11822</v>
      </c>
      <c r="B5403" s="2" t="s">
        <v>11823</v>
      </c>
      <c r="C5403" s="2" t="s">
        <v>7596</v>
      </c>
    </row>
    <row r="5404">
      <c r="A5404" s="2" t="s">
        <v>11824</v>
      </c>
      <c r="B5404" s="2" t="s">
        <v>11825</v>
      </c>
      <c r="C5404" s="2" t="s">
        <v>7596</v>
      </c>
    </row>
    <row r="5405">
      <c r="A5405" s="2" t="s">
        <v>11826</v>
      </c>
      <c r="B5405" s="2" t="s">
        <v>11825</v>
      </c>
      <c r="C5405" s="2" t="s">
        <v>7596</v>
      </c>
    </row>
    <row r="5406">
      <c r="A5406" s="2" t="s">
        <v>11827</v>
      </c>
      <c r="B5406" s="2" t="s">
        <v>11825</v>
      </c>
      <c r="C5406" s="2" t="s">
        <v>7596</v>
      </c>
    </row>
    <row r="5407">
      <c r="A5407" s="2" t="s">
        <v>11828</v>
      </c>
      <c r="B5407" s="2" t="s">
        <v>11829</v>
      </c>
      <c r="C5407" s="2" t="s">
        <v>7596</v>
      </c>
    </row>
    <row r="5408">
      <c r="A5408" s="2" t="s">
        <v>11830</v>
      </c>
      <c r="B5408" s="2" t="s">
        <v>11831</v>
      </c>
      <c r="C5408" s="2" t="s">
        <v>7596</v>
      </c>
    </row>
    <row r="5409">
      <c r="A5409" s="2" t="s">
        <v>11832</v>
      </c>
      <c r="B5409" s="2" t="s">
        <v>11831</v>
      </c>
      <c r="C5409" s="2" t="s">
        <v>7596</v>
      </c>
    </row>
    <row r="5410">
      <c r="A5410" s="2" t="s">
        <v>11833</v>
      </c>
      <c r="B5410" s="2" t="s">
        <v>11834</v>
      </c>
      <c r="C5410" s="2" t="s">
        <v>7596</v>
      </c>
    </row>
    <row r="5411">
      <c r="A5411" s="2" t="s">
        <v>11835</v>
      </c>
      <c r="B5411" s="2" t="s">
        <v>11836</v>
      </c>
      <c r="C5411" s="2" t="s">
        <v>7596</v>
      </c>
    </row>
    <row r="5412">
      <c r="A5412" s="2" t="s">
        <v>11837</v>
      </c>
      <c r="B5412" s="2" t="s">
        <v>11838</v>
      </c>
      <c r="C5412" s="2" t="s">
        <v>7596</v>
      </c>
    </row>
    <row r="5413">
      <c r="A5413" s="2" t="s">
        <v>11839</v>
      </c>
      <c r="B5413" s="2" t="s">
        <v>11840</v>
      </c>
      <c r="C5413" s="2" t="s">
        <v>7596</v>
      </c>
    </row>
    <row r="5414">
      <c r="A5414" s="2" t="s">
        <v>11841</v>
      </c>
      <c r="B5414" s="2" t="s">
        <v>11842</v>
      </c>
      <c r="C5414" s="2" t="s">
        <v>7596</v>
      </c>
    </row>
    <row r="5415">
      <c r="A5415" s="2" t="s">
        <v>11843</v>
      </c>
      <c r="B5415" s="2" t="s">
        <v>11844</v>
      </c>
      <c r="C5415" s="2" t="s">
        <v>7596</v>
      </c>
    </row>
    <row r="5416">
      <c r="A5416" s="2" t="s">
        <v>11845</v>
      </c>
      <c r="B5416" s="2" t="s">
        <v>11846</v>
      </c>
      <c r="C5416" s="2" t="s">
        <v>7596</v>
      </c>
    </row>
    <row r="5417">
      <c r="A5417" s="2" t="s">
        <v>11847</v>
      </c>
      <c r="B5417" s="2" t="s">
        <v>11848</v>
      </c>
      <c r="C5417" s="2" t="s">
        <v>7596</v>
      </c>
    </row>
    <row r="5418">
      <c r="A5418" s="2" t="s">
        <v>11849</v>
      </c>
      <c r="B5418" s="2" t="s">
        <v>11850</v>
      </c>
      <c r="C5418" s="2" t="s">
        <v>7596</v>
      </c>
    </row>
    <row r="5419">
      <c r="A5419" s="2" t="s">
        <v>11851</v>
      </c>
      <c r="B5419" s="2" t="s">
        <v>11852</v>
      </c>
      <c r="C5419" s="2" t="s">
        <v>7596</v>
      </c>
    </row>
    <row r="5420">
      <c r="A5420" s="2" t="s">
        <v>11853</v>
      </c>
      <c r="B5420" s="2" t="s">
        <v>11854</v>
      </c>
      <c r="C5420" s="2" t="s">
        <v>7596</v>
      </c>
    </row>
    <row r="5421">
      <c r="A5421" s="2" t="s">
        <v>11855</v>
      </c>
      <c r="B5421" s="2" t="s">
        <v>11856</v>
      </c>
      <c r="C5421" s="2" t="s">
        <v>7596</v>
      </c>
    </row>
    <row r="5422">
      <c r="A5422" s="2" t="s">
        <v>11857</v>
      </c>
      <c r="B5422" s="2" t="s">
        <v>11858</v>
      </c>
      <c r="C5422" s="2" t="s">
        <v>7596</v>
      </c>
    </row>
    <row r="5423">
      <c r="A5423" s="2" t="s">
        <v>11859</v>
      </c>
      <c r="B5423" s="2" t="s">
        <v>11860</v>
      </c>
      <c r="C5423" s="2" t="s">
        <v>7596</v>
      </c>
    </row>
    <row r="5424">
      <c r="A5424" s="2" t="s">
        <v>11861</v>
      </c>
      <c r="B5424" s="2" t="s">
        <v>11862</v>
      </c>
      <c r="C5424" s="2" t="s">
        <v>7596</v>
      </c>
    </row>
    <row r="5425">
      <c r="A5425" s="2" t="s">
        <v>11863</v>
      </c>
      <c r="B5425" s="2" t="s">
        <v>11864</v>
      </c>
      <c r="C5425" s="2" t="s">
        <v>7596</v>
      </c>
    </row>
    <row r="5426">
      <c r="A5426" s="2" t="s">
        <v>11865</v>
      </c>
      <c r="B5426" s="2" t="s">
        <v>11866</v>
      </c>
      <c r="C5426" s="2" t="s">
        <v>7596</v>
      </c>
    </row>
    <row r="5427">
      <c r="A5427" s="2" t="s">
        <v>11867</v>
      </c>
      <c r="B5427" s="2" t="s">
        <v>11868</v>
      </c>
      <c r="C5427" s="2" t="s">
        <v>7596</v>
      </c>
    </row>
    <row r="5428">
      <c r="A5428" s="2" t="s">
        <v>11869</v>
      </c>
      <c r="B5428" s="2" t="s">
        <v>11870</v>
      </c>
      <c r="C5428" s="2" t="s">
        <v>7596</v>
      </c>
    </row>
    <row r="5429">
      <c r="A5429" s="2" t="s">
        <v>11871</v>
      </c>
      <c r="B5429" s="2" t="s">
        <v>11872</v>
      </c>
      <c r="C5429" s="2" t="s">
        <v>7596</v>
      </c>
    </row>
    <row r="5430">
      <c r="A5430" s="2" t="s">
        <v>11873</v>
      </c>
      <c r="B5430" s="2" t="s">
        <v>11874</v>
      </c>
      <c r="C5430" s="2" t="s">
        <v>7596</v>
      </c>
    </row>
    <row r="5431">
      <c r="A5431" s="2" t="s">
        <v>11875</v>
      </c>
      <c r="B5431" s="2" t="s">
        <v>11876</v>
      </c>
      <c r="C5431" s="2" t="s">
        <v>7596</v>
      </c>
    </row>
    <row r="5432">
      <c r="A5432" s="2" t="s">
        <v>11877</v>
      </c>
      <c r="B5432" s="2" t="s">
        <v>11878</v>
      </c>
      <c r="C5432" s="2" t="s">
        <v>7596</v>
      </c>
    </row>
    <row r="5433">
      <c r="A5433" s="2" t="s">
        <v>11879</v>
      </c>
      <c r="B5433" s="2" t="s">
        <v>11880</v>
      </c>
      <c r="C5433" s="2" t="s">
        <v>7596</v>
      </c>
    </row>
    <row r="5434">
      <c r="A5434" s="2" t="s">
        <v>11881</v>
      </c>
      <c r="B5434" s="2" t="s">
        <v>11882</v>
      </c>
      <c r="C5434" s="2" t="s">
        <v>7596</v>
      </c>
    </row>
    <row r="5435">
      <c r="A5435" s="2" t="s">
        <v>11883</v>
      </c>
      <c r="B5435" s="2" t="s">
        <v>11884</v>
      </c>
      <c r="C5435" s="2" t="s">
        <v>7596</v>
      </c>
    </row>
    <row r="5436">
      <c r="A5436" s="2" t="s">
        <v>11885</v>
      </c>
      <c r="B5436" s="2" t="s">
        <v>11886</v>
      </c>
      <c r="C5436" s="2" t="s">
        <v>7596</v>
      </c>
    </row>
    <row r="5437">
      <c r="A5437" s="2" t="s">
        <v>11887</v>
      </c>
      <c r="B5437" s="2" t="s">
        <v>11888</v>
      </c>
      <c r="C5437" s="2" t="s">
        <v>7596</v>
      </c>
    </row>
    <row r="5438">
      <c r="A5438" s="2" t="s">
        <v>11889</v>
      </c>
      <c r="B5438" s="2" t="s">
        <v>11890</v>
      </c>
      <c r="C5438" s="2" t="s">
        <v>7596</v>
      </c>
    </row>
    <row r="5439">
      <c r="A5439" s="2" t="s">
        <v>11891</v>
      </c>
      <c r="B5439" s="2" t="s">
        <v>11892</v>
      </c>
      <c r="C5439" s="2" t="s">
        <v>7596</v>
      </c>
    </row>
    <row r="5440">
      <c r="A5440" s="2" t="s">
        <v>11893</v>
      </c>
      <c r="B5440" s="2" t="s">
        <v>11894</v>
      </c>
      <c r="C5440" s="2" t="s">
        <v>7596</v>
      </c>
    </row>
    <row r="5441">
      <c r="A5441" s="2" t="s">
        <v>11895</v>
      </c>
      <c r="B5441" s="2" t="s">
        <v>11896</v>
      </c>
      <c r="C5441" s="2" t="s">
        <v>7596</v>
      </c>
    </row>
    <row r="5442">
      <c r="A5442" s="2" t="s">
        <v>11897</v>
      </c>
      <c r="B5442" s="2" t="s">
        <v>11898</v>
      </c>
      <c r="C5442" s="2" t="s">
        <v>7596</v>
      </c>
    </row>
    <row r="5443">
      <c r="A5443" s="2" t="s">
        <v>11899</v>
      </c>
      <c r="B5443" s="2" t="s">
        <v>11900</v>
      </c>
      <c r="C5443" s="2" t="s">
        <v>7596</v>
      </c>
    </row>
    <row r="5444">
      <c r="A5444" s="2" t="s">
        <v>11901</v>
      </c>
      <c r="B5444" s="2" t="s">
        <v>11902</v>
      </c>
      <c r="C5444" s="2" t="s">
        <v>7596</v>
      </c>
    </row>
    <row r="5445">
      <c r="A5445" s="2" t="s">
        <v>11903</v>
      </c>
      <c r="B5445" s="2" t="s">
        <v>11904</v>
      </c>
      <c r="C5445" s="2" t="s">
        <v>7596</v>
      </c>
    </row>
    <row r="5446">
      <c r="A5446" s="2" t="s">
        <v>11905</v>
      </c>
      <c r="B5446" s="2" t="s">
        <v>11906</v>
      </c>
      <c r="C5446" s="2" t="s">
        <v>7596</v>
      </c>
    </row>
    <row r="5447">
      <c r="A5447" s="2" t="s">
        <v>11907</v>
      </c>
      <c r="B5447" s="2" t="s">
        <v>11908</v>
      </c>
      <c r="C5447" s="2" t="s">
        <v>7596</v>
      </c>
    </row>
    <row r="5448">
      <c r="A5448" s="2" t="s">
        <v>11909</v>
      </c>
      <c r="B5448" s="2" t="s">
        <v>11910</v>
      </c>
      <c r="C5448" s="2" t="s">
        <v>7596</v>
      </c>
    </row>
    <row r="5449">
      <c r="A5449" s="2" t="s">
        <v>11911</v>
      </c>
      <c r="B5449" s="2" t="s">
        <v>11912</v>
      </c>
      <c r="C5449" s="2" t="s">
        <v>7596</v>
      </c>
    </row>
    <row r="5450">
      <c r="A5450" s="2" t="s">
        <v>11913</v>
      </c>
      <c r="B5450" s="2" t="s">
        <v>11914</v>
      </c>
      <c r="C5450" s="2" t="s">
        <v>7596</v>
      </c>
    </row>
    <row r="5451">
      <c r="A5451" s="2" t="s">
        <v>11915</v>
      </c>
      <c r="B5451" s="2" t="s">
        <v>11916</v>
      </c>
      <c r="C5451" s="2" t="s">
        <v>7596</v>
      </c>
    </row>
    <row r="5452">
      <c r="A5452" s="2" t="s">
        <v>11917</v>
      </c>
      <c r="B5452" s="2" t="s">
        <v>11918</v>
      </c>
      <c r="C5452" s="2" t="s">
        <v>7596</v>
      </c>
    </row>
    <row r="5453">
      <c r="A5453" s="2" t="s">
        <v>11919</v>
      </c>
      <c r="B5453" s="2" t="s">
        <v>11920</v>
      </c>
      <c r="C5453" s="2" t="s">
        <v>7596</v>
      </c>
    </row>
    <row r="5454">
      <c r="A5454" s="2" t="s">
        <v>11921</v>
      </c>
      <c r="B5454" s="2" t="s">
        <v>11922</v>
      </c>
      <c r="C5454" s="2" t="s">
        <v>7596</v>
      </c>
    </row>
    <row r="5455">
      <c r="A5455" s="2" t="s">
        <v>11923</v>
      </c>
      <c r="B5455" s="2" t="s">
        <v>11924</v>
      </c>
      <c r="C5455" s="2" t="s">
        <v>7596</v>
      </c>
    </row>
    <row r="5456">
      <c r="A5456" s="2" t="s">
        <v>11925</v>
      </c>
      <c r="B5456" s="2" t="s">
        <v>11926</v>
      </c>
      <c r="C5456" s="2" t="s">
        <v>7596</v>
      </c>
    </row>
    <row r="5457">
      <c r="A5457" s="2" t="s">
        <v>11927</v>
      </c>
      <c r="B5457" s="2" t="s">
        <v>11928</v>
      </c>
      <c r="C5457" s="2" t="s">
        <v>7596</v>
      </c>
    </row>
    <row r="5458">
      <c r="A5458" s="2" t="s">
        <v>11929</v>
      </c>
      <c r="B5458" s="2" t="s">
        <v>11930</v>
      </c>
      <c r="C5458" s="2" t="s">
        <v>7596</v>
      </c>
    </row>
    <row r="5459">
      <c r="A5459" s="2" t="s">
        <v>11931</v>
      </c>
      <c r="B5459" s="2" t="s">
        <v>11932</v>
      </c>
      <c r="C5459" s="2" t="s">
        <v>7596</v>
      </c>
    </row>
    <row r="5460">
      <c r="A5460" s="2" t="s">
        <v>11933</v>
      </c>
      <c r="B5460" s="2" t="s">
        <v>11934</v>
      </c>
      <c r="C5460" s="2" t="s">
        <v>7596</v>
      </c>
    </row>
    <row r="5461">
      <c r="A5461" s="2" t="s">
        <v>11935</v>
      </c>
      <c r="B5461" s="2" t="s">
        <v>11936</v>
      </c>
      <c r="C5461" s="2" t="s">
        <v>7596</v>
      </c>
    </row>
    <row r="5462">
      <c r="A5462" s="2" t="s">
        <v>11937</v>
      </c>
      <c r="B5462" s="2" t="s">
        <v>11938</v>
      </c>
      <c r="C5462" s="2" t="s">
        <v>7596</v>
      </c>
    </row>
    <row r="5463">
      <c r="A5463" s="2" t="s">
        <v>11939</v>
      </c>
      <c r="B5463" s="2" t="s">
        <v>11940</v>
      </c>
      <c r="C5463" s="2" t="s">
        <v>7596</v>
      </c>
    </row>
    <row r="5464">
      <c r="A5464" s="2" t="s">
        <v>11941</v>
      </c>
      <c r="B5464" s="2" t="s">
        <v>11942</v>
      </c>
      <c r="C5464" s="2" t="s">
        <v>7596</v>
      </c>
    </row>
    <row r="5465">
      <c r="A5465" s="2" t="s">
        <v>11943</v>
      </c>
      <c r="B5465" s="2" t="s">
        <v>11944</v>
      </c>
      <c r="C5465" s="2" t="s">
        <v>7596</v>
      </c>
    </row>
    <row r="5466">
      <c r="A5466" s="2" t="s">
        <v>11945</v>
      </c>
      <c r="B5466" s="2" t="s">
        <v>11946</v>
      </c>
      <c r="C5466" s="2" t="s">
        <v>7596</v>
      </c>
    </row>
    <row r="5467">
      <c r="A5467" s="2" t="s">
        <v>11947</v>
      </c>
      <c r="B5467" s="2" t="s">
        <v>11948</v>
      </c>
      <c r="C5467" s="2" t="s">
        <v>7596</v>
      </c>
    </row>
    <row r="5468">
      <c r="A5468" s="2" t="s">
        <v>11949</v>
      </c>
      <c r="B5468" s="2" t="s">
        <v>11950</v>
      </c>
      <c r="C5468" s="2" t="s">
        <v>7596</v>
      </c>
    </row>
    <row r="5469">
      <c r="A5469" s="2" t="s">
        <v>11951</v>
      </c>
      <c r="B5469" s="2" t="s">
        <v>11952</v>
      </c>
      <c r="C5469" s="2" t="s">
        <v>7596</v>
      </c>
    </row>
    <row r="5470">
      <c r="A5470" s="2" t="s">
        <v>11953</v>
      </c>
      <c r="B5470" s="2" t="s">
        <v>11954</v>
      </c>
      <c r="C5470" s="2" t="s">
        <v>7596</v>
      </c>
    </row>
    <row r="5471">
      <c r="A5471" s="2" t="s">
        <v>11955</v>
      </c>
      <c r="B5471" s="2" t="s">
        <v>11956</v>
      </c>
      <c r="C5471" s="2" t="s">
        <v>7596</v>
      </c>
    </row>
    <row r="5472">
      <c r="A5472" s="2" t="s">
        <v>11957</v>
      </c>
      <c r="B5472" s="2" t="s">
        <v>11958</v>
      </c>
      <c r="C5472" s="2" t="s">
        <v>7596</v>
      </c>
    </row>
    <row r="5473">
      <c r="A5473" s="2" t="s">
        <v>11959</v>
      </c>
      <c r="B5473" s="2" t="s">
        <v>11960</v>
      </c>
      <c r="C5473" s="2" t="s">
        <v>7596</v>
      </c>
    </row>
    <row r="5474">
      <c r="A5474" s="2" t="s">
        <v>11961</v>
      </c>
      <c r="B5474" s="2" t="s">
        <v>11962</v>
      </c>
      <c r="C5474" s="2" t="s">
        <v>7596</v>
      </c>
    </row>
    <row r="5475">
      <c r="A5475" s="2" t="s">
        <v>11963</v>
      </c>
      <c r="B5475" s="2" t="s">
        <v>11964</v>
      </c>
      <c r="C5475" s="2" t="s">
        <v>7596</v>
      </c>
    </row>
    <row r="5476">
      <c r="A5476" s="2" t="s">
        <v>11965</v>
      </c>
      <c r="B5476" s="2" t="s">
        <v>11966</v>
      </c>
      <c r="C5476" s="2" t="s">
        <v>7596</v>
      </c>
    </row>
    <row r="5477">
      <c r="A5477" s="2" t="s">
        <v>11967</v>
      </c>
      <c r="B5477" s="2" t="s">
        <v>11968</v>
      </c>
      <c r="C5477" s="2" t="s">
        <v>7596</v>
      </c>
    </row>
    <row r="5478">
      <c r="A5478" s="2" t="s">
        <v>11969</v>
      </c>
      <c r="B5478" s="2" t="s">
        <v>11970</v>
      </c>
      <c r="C5478" s="2" t="s">
        <v>7596</v>
      </c>
    </row>
    <row r="5479">
      <c r="A5479" s="2" t="s">
        <v>11971</v>
      </c>
      <c r="B5479" s="2" t="s">
        <v>11972</v>
      </c>
      <c r="C5479" s="2" t="s">
        <v>7596</v>
      </c>
    </row>
    <row r="5480">
      <c r="A5480" s="2" t="s">
        <v>11973</v>
      </c>
      <c r="B5480" s="2" t="s">
        <v>11974</v>
      </c>
      <c r="C5480" s="2" t="s">
        <v>7596</v>
      </c>
    </row>
    <row r="5481">
      <c r="A5481" s="2" t="s">
        <v>11975</v>
      </c>
      <c r="B5481" s="2" t="s">
        <v>11976</v>
      </c>
      <c r="C5481" s="2" t="s">
        <v>7596</v>
      </c>
    </row>
    <row r="5482">
      <c r="A5482" s="2" t="s">
        <v>11977</v>
      </c>
      <c r="B5482" s="2" t="s">
        <v>11978</v>
      </c>
      <c r="C5482" s="2" t="s">
        <v>7596</v>
      </c>
    </row>
    <row r="5483">
      <c r="A5483" s="2" t="s">
        <v>11979</v>
      </c>
      <c r="B5483" s="2" t="s">
        <v>11980</v>
      </c>
      <c r="C5483" s="2" t="s">
        <v>7596</v>
      </c>
    </row>
    <row r="5484">
      <c r="A5484" s="2" t="s">
        <v>11981</v>
      </c>
      <c r="B5484" s="2" t="s">
        <v>11982</v>
      </c>
      <c r="C5484" s="2" t="s">
        <v>7596</v>
      </c>
    </row>
    <row r="5485">
      <c r="A5485" s="2" t="s">
        <v>11983</v>
      </c>
      <c r="B5485" s="2" t="s">
        <v>11984</v>
      </c>
      <c r="C5485" s="2" t="s">
        <v>7596</v>
      </c>
    </row>
    <row r="5486">
      <c r="A5486" s="2" t="s">
        <v>11985</v>
      </c>
      <c r="B5486" s="2" t="s">
        <v>11986</v>
      </c>
      <c r="C5486" s="2" t="s">
        <v>7596</v>
      </c>
    </row>
    <row r="5487">
      <c r="A5487" s="2" t="s">
        <v>11987</v>
      </c>
      <c r="B5487" s="2" t="s">
        <v>11988</v>
      </c>
      <c r="C5487" s="2" t="s">
        <v>7596</v>
      </c>
    </row>
    <row r="5488">
      <c r="A5488" s="2" t="s">
        <v>11989</v>
      </c>
      <c r="B5488" s="2" t="s">
        <v>11990</v>
      </c>
      <c r="C5488" s="2" t="s">
        <v>7596</v>
      </c>
    </row>
    <row r="5489">
      <c r="A5489" s="2" t="s">
        <v>11991</v>
      </c>
      <c r="B5489" s="2" t="s">
        <v>11992</v>
      </c>
      <c r="C5489" s="2" t="s">
        <v>7596</v>
      </c>
    </row>
    <row r="5490">
      <c r="A5490" s="2" t="s">
        <v>11993</v>
      </c>
      <c r="B5490" s="2" t="s">
        <v>11994</v>
      </c>
      <c r="C5490" s="2" t="s">
        <v>7596</v>
      </c>
    </row>
    <row r="5491">
      <c r="A5491" s="2" t="s">
        <v>11995</v>
      </c>
      <c r="B5491" s="2" t="s">
        <v>11996</v>
      </c>
      <c r="C5491" s="2" t="s">
        <v>7596</v>
      </c>
    </row>
    <row r="5492">
      <c r="A5492" s="2" t="s">
        <v>11997</v>
      </c>
      <c r="B5492" s="2" t="s">
        <v>11998</v>
      </c>
      <c r="C5492" s="2" t="s">
        <v>7596</v>
      </c>
    </row>
    <row r="5493">
      <c r="A5493" s="2" t="s">
        <v>11999</v>
      </c>
      <c r="B5493" s="2" t="s">
        <v>12000</v>
      </c>
      <c r="C5493" s="2" t="s">
        <v>7596</v>
      </c>
    </row>
    <row r="5494">
      <c r="A5494" s="2" t="s">
        <v>12001</v>
      </c>
      <c r="B5494" s="2" t="s">
        <v>12002</v>
      </c>
      <c r="C5494" s="2" t="s">
        <v>7596</v>
      </c>
    </row>
    <row r="5495">
      <c r="A5495" s="2" t="s">
        <v>12003</v>
      </c>
      <c r="B5495" s="2" t="s">
        <v>12004</v>
      </c>
      <c r="C5495" s="2" t="s">
        <v>7596</v>
      </c>
    </row>
    <row r="5496">
      <c r="A5496" s="2" t="s">
        <v>12005</v>
      </c>
      <c r="B5496" s="2" t="s">
        <v>12006</v>
      </c>
      <c r="C5496" s="2" t="s">
        <v>7596</v>
      </c>
    </row>
    <row r="5497">
      <c r="A5497" s="2" t="s">
        <v>12007</v>
      </c>
      <c r="B5497" s="2" t="s">
        <v>12008</v>
      </c>
      <c r="C5497" s="2" t="s">
        <v>7596</v>
      </c>
    </row>
    <row r="5498">
      <c r="A5498" s="2" t="s">
        <v>12009</v>
      </c>
      <c r="B5498" s="2" t="s">
        <v>12010</v>
      </c>
      <c r="C5498" s="2" t="s">
        <v>7596</v>
      </c>
    </row>
    <row r="5499">
      <c r="A5499" s="2" t="s">
        <v>12011</v>
      </c>
      <c r="B5499" s="2" t="s">
        <v>12012</v>
      </c>
      <c r="C5499" s="2" t="s">
        <v>7596</v>
      </c>
    </row>
    <row r="5500">
      <c r="A5500" s="2" t="s">
        <v>12013</v>
      </c>
      <c r="B5500" s="2" t="s">
        <v>12014</v>
      </c>
      <c r="C5500" s="2" t="s">
        <v>7596</v>
      </c>
    </row>
    <row r="5501">
      <c r="A5501" s="2" t="s">
        <v>12015</v>
      </c>
      <c r="B5501" s="2" t="s">
        <v>12016</v>
      </c>
      <c r="C5501" s="2" t="s">
        <v>7596</v>
      </c>
    </row>
    <row r="5502">
      <c r="A5502" s="2" t="s">
        <v>12017</v>
      </c>
      <c r="B5502" s="2" t="s">
        <v>12018</v>
      </c>
      <c r="C5502" s="2" t="s">
        <v>7596</v>
      </c>
    </row>
    <row r="5503">
      <c r="A5503" s="2" t="s">
        <v>12019</v>
      </c>
      <c r="B5503" s="2" t="s">
        <v>12020</v>
      </c>
      <c r="C5503" s="2" t="s">
        <v>7596</v>
      </c>
    </row>
    <row r="5504">
      <c r="A5504" s="2" t="s">
        <v>12021</v>
      </c>
      <c r="B5504" s="2" t="s">
        <v>12022</v>
      </c>
      <c r="C5504" s="2" t="s">
        <v>7596</v>
      </c>
    </row>
    <row r="5505">
      <c r="A5505" s="2" t="s">
        <v>12023</v>
      </c>
      <c r="B5505" s="2" t="s">
        <v>12024</v>
      </c>
      <c r="C5505" s="2" t="s">
        <v>7596</v>
      </c>
    </row>
    <row r="5506">
      <c r="A5506" s="2" t="s">
        <v>12025</v>
      </c>
      <c r="B5506" s="2" t="s">
        <v>12026</v>
      </c>
      <c r="C5506" s="2" t="s">
        <v>7596</v>
      </c>
    </row>
    <row r="5507">
      <c r="A5507" s="2" t="s">
        <v>12027</v>
      </c>
      <c r="B5507" s="2" t="s">
        <v>12028</v>
      </c>
      <c r="C5507" s="2" t="s">
        <v>7596</v>
      </c>
    </row>
    <row r="5508">
      <c r="A5508" s="2" t="s">
        <v>12029</v>
      </c>
      <c r="B5508" s="2" t="s">
        <v>12030</v>
      </c>
      <c r="C5508" s="2" t="s">
        <v>7596</v>
      </c>
    </row>
    <row r="5509">
      <c r="A5509" s="2" t="s">
        <v>12031</v>
      </c>
      <c r="B5509" s="2" t="s">
        <v>12032</v>
      </c>
      <c r="C5509" s="2" t="s">
        <v>7596</v>
      </c>
    </row>
    <row r="5510">
      <c r="A5510" s="2" t="s">
        <v>12033</v>
      </c>
      <c r="B5510" s="2" t="s">
        <v>12034</v>
      </c>
      <c r="C5510" s="2" t="s">
        <v>7596</v>
      </c>
    </row>
    <row r="5511">
      <c r="A5511" s="2" t="s">
        <v>12035</v>
      </c>
      <c r="B5511" s="2" t="s">
        <v>12036</v>
      </c>
      <c r="C5511" s="2" t="s">
        <v>7596</v>
      </c>
    </row>
    <row r="5512">
      <c r="A5512" s="2" t="s">
        <v>12037</v>
      </c>
      <c r="B5512" s="2" t="s">
        <v>12038</v>
      </c>
      <c r="C5512" s="2" t="s">
        <v>7596</v>
      </c>
    </row>
    <row r="5513">
      <c r="A5513" s="2" t="s">
        <v>12039</v>
      </c>
      <c r="B5513" s="2" t="s">
        <v>12040</v>
      </c>
      <c r="C5513" s="2" t="s">
        <v>7596</v>
      </c>
    </row>
    <row r="5514">
      <c r="A5514" s="2" t="s">
        <v>12041</v>
      </c>
      <c r="B5514" s="2" t="s">
        <v>12042</v>
      </c>
      <c r="C5514" s="2" t="s">
        <v>7596</v>
      </c>
    </row>
    <row r="5515">
      <c r="A5515" s="2" t="s">
        <v>12043</v>
      </c>
      <c r="B5515" s="2" t="s">
        <v>12044</v>
      </c>
      <c r="C5515" s="2" t="s">
        <v>7596</v>
      </c>
    </row>
    <row r="5516">
      <c r="A5516" s="2" t="s">
        <v>12045</v>
      </c>
      <c r="B5516" s="2" t="s">
        <v>12046</v>
      </c>
      <c r="C5516" s="2" t="s">
        <v>7596</v>
      </c>
    </row>
    <row r="5517">
      <c r="A5517" s="2" t="s">
        <v>12047</v>
      </c>
      <c r="B5517" s="2" t="s">
        <v>12048</v>
      </c>
      <c r="C5517" s="2" t="s">
        <v>7596</v>
      </c>
    </row>
    <row r="5518">
      <c r="A5518" s="2" t="s">
        <v>12049</v>
      </c>
      <c r="B5518" s="2" t="s">
        <v>12050</v>
      </c>
      <c r="C5518" s="2" t="s">
        <v>7596</v>
      </c>
    </row>
    <row r="5519">
      <c r="A5519" s="2" t="s">
        <v>12051</v>
      </c>
      <c r="B5519" s="2" t="s">
        <v>12052</v>
      </c>
      <c r="C5519" s="2" t="s">
        <v>7596</v>
      </c>
    </row>
    <row r="5520">
      <c r="A5520" s="2" t="s">
        <v>12053</v>
      </c>
      <c r="B5520" s="2" t="s">
        <v>12054</v>
      </c>
      <c r="C5520" s="2" t="s">
        <v>7596</v>
      </c>
    </row>
    <row r="5521">
      <c r="A5521" s="2" t="s">
        <v>12055</v>
      </c>
      <c r="B5521" s="2" t="s">
        <v>12056</v>
      </c>
      <c r="C5521" s="2" t="s">
        <v>7596</v>
      </c>
    </row>
    <row r="5522">
      <c r="A5522" s="2" t="s">
        <v>12057</v>
      </c>
      <c r="B5522" s="2" t="s">
        <v>12058</v>
      </c>
      <c r="C5522" s="2" t="s">
        <v>7596</v>
      </c>
    </row>
    <row r="5523">
      <c r="A5523" s="2" t="s">
        <v>12059</v>
      </c>
      <c r="B5523" s="2" t="s">
        <v>12060</v>
      </c>
      <c r="C5523" s="2" t="s">
        <v>7596</v>
      </c>
    </row>
    <row r="5524">
      <c r="A5524" s="2" t="s">
        <v>12061</v>
      </c>
      <c r="B5524" s="2" t="s">
        <v>12062</v>
      </c>
      <c r="C5524" s="2" t="s">
        <v>7596</v>
      </c>
    </row>
    <row r="5525">
      <c r="A5525" s="2" t="s">
        <v>12063</v>
      </c>
      <c r="B5525" s="2" t="s">
        <v>12064</v>
      </c>
      <c r="C5525" s="2" t="s">
        <v>7596</v>
      </c>
    </row>
    <row r="5526">
      <c r="A5526" s="2" t="s">
        <v>12065</v>
      </c>
      <c r="B5526" s="2" t="s">
        <v>12066</v>
      </c>
      <c r="C5526" s="2" t="s">
        <v>7596</v>
      </c>
    </row>
    <row r="5527">
      <c r="A5527" s="2" t="s">
        <v>12067</v>
      </c>
      <c r="B5527" s="2" t="s">
        <v>12068</v>
      </c>
      <c r="C5527" s="2" t="s">
        <v>7596</v>
      </c>
    </row>
    <row r="5528">
      <c r="A5528" s="2" t="s">
        <v>12069</v>
      </c>
      <c r="B5528" s="2" t="s">
        <v>12070</v>
      </c>
      <c r="C5528" s="2" t="s">
        <v>7596</v>
      </c>
    </row>
    <row r="5529">
      <c r="A5529" s="2" t="s">
        <v>12071</v>
      </c>
      <c r="B5529" s="2" t="s">
        <v>12072</v>
      </c>
      <c r="C5529" s="2" t="s">
        <v>7596</v>
      </c>
    </row>
    <row r="5530">
      <c r="A5530" s="2" t="s">
        <v>12073</v>
      </c>
      <c r="B5530" s="2" t="s">
        <v>12074</v>
      </c>
      <c r="C5530" s="2" t="s">
        <v>7596</v>
      </c>
    </row>
    <row r="5531">
      <c r="A5531" s="2" t="s">
        <v>12075</v>
      </c>
      <c r="B5531" s="2" t="s">
        <v>12076</v>
      </c>
      <c r="C5531" s="2" t="s">
        <v>7596</v>
      </c>
    </row>
    <row r="5532">
      <c r="A5532" s="2" t="s">
        <v>12077</v>
      </c>
      <c r="B5532" s="2" t="s">
        <v>12078</v>
      </c>
      <c r="C5532" s="2" t="s">
        <v>7596</v>
      </c>
    </row>
    <row r="5533">
      <c r="A5533" s="2" t="s">
        <v>12079</v>
      </c>
      <c r="B5533" s="2" t="s">
        <v>12080</v>
      </c>
      <c r="C5533" s="2" t="s">
        <v>7596</v>
      </c>
    </row>
    <row r="5534">
      <c r="A5534" s="2" t="s">
        <v>12081</v>
      </c>
      <c r="B5534" s="2" t="s">
        <v>12082</v>
      </c>
      <c r="C5534" s="2" t="s">
        <v>7596</v>
      </c>
    </row>
    <row r="5535">
      <c r="A5535" s="2" t="s">
        <v>12083</v>
      </c>
      <c r="B5535" s="2" t="s">
        <v>12084</v>
      </c>
      <c r="C5535" s="2" t="s">
        <v>7596</v>
      </c>
    </row>
    <row r="5536">
      <c r="A5536" s="2" t="s">
        <v>12085</v>
      </c>
      <c r="B5536" s="2" t="s">
        <v>12086</v>
      </c>
      <c r="C5536" s="2" t="s">
        <v>7596</v>
      </c>
    </row>
    <row r="5537">
      <c r="A5537" s="2" t="s">
        <v>12087</v>
      </c>
      <c r="B5537" s="2" t="s">
        <v>12088</v>
      </c>
      <c r="C5537" s="2" t="s">
        <v>7596</v>
      </c>
    </row>
    <row r="5538">
      <c r="A5538" s="2" t="s">
        <v>12089</v>
      </c>
      <c r="B5538" s="2" t="s">
        <v>12090</v>
      </c>
      <c r="C5538" s="2" t="s">
        <v>7596</v>
      </c>
    </row>
    <row r="5539">
      <c r="A5539" s="2" t="s">
        <v>12091</v>
      </c>
      <c r="B5539" s="2" t="s">
        <v>12092</v>
      </c>
      <c r="C5539" s="2" t="s">
        <v>7596</v>
      </c>
    </row>
    <row r="5540">
      <c r="A5540" s="2" t="s">
        <v>12093</v>
      </c>
      <c r="B5540" s="2" t="s">
        <v>12094</v>
      </c>
      <c r="C5540" s="2" t="s">
        <v>7596</v>
      </c>
    </row>
    <row r="5541">
      <c r="A5541" s="2" t="s">
        <v>12095</v>
      </c>
      <c r="B5541" s="2" t="s">
        <v>12096</v>
      </c>
      <c r="C5541" s="2" t="s">
        <v>7596</v>
      </c>
    </row>
    <row r="5542">
      <c r="A5542" s="2" t="s">
        <v>12097</v>
      </c>
      <c r="B5542" s="2" t="s">
        <v>12098</v>
      </c>
      <c r="C5542" s="2" t="s">
        <v>7596</v>
      </c>
    </row>
    <row r="5543">
      <c r="A5543" s="2" t="s">
        <v>12099</v>
      </c>
      <c r="B5543" s="2" t="s">
        <v>12100</v>
      </c>
      <c r="C5543" s="2" t="s">
        <v>7596</v>
      </c>
    </row>
    <row r="5544">
      <c r="A5544" s="2" t="s">
        <v>12101</v>
      </c>
      <c r="B5544" s="2" t="s">
        <v>12102</v>
      </c>
      <c r="C5544" s="2" t="s">
        <v>7596</v>
      </c>
    </row>
    <row r="5545">
      <c r="A5545" s="2" t="s">
        <v>12103</v>
      </c>
      <c r="B5545" s="2" t="s">
        <v>12104</v>
      </c>
      <c r="C5545" s="2" t="s">
        <v>7596</v>
      </c>
    </row>
    <row r="5546">
      <c r="A5546" s="2" t="s">
        <v>12105</v>
      </c>
      <c r="B5546" s="2" t="s">
        <v>12106</v>
      </c>
      <c r="C5546" s="2" t="s">
        <v>7596</v>
      </c>
    </row>
    <row r="5547">
      <c r="A5547" s="2" t="s">
        <v>12107</v>
      </c>
      <c r="B5547" s="2" t="s">
        <v>12106</v>
      </c>
      <c r="C5547" s="2" t="s">
        <v>7596</v>
      </c>
    </row>
    <row r="5548">
      <c r="A5548" s="2" t="s">
        <v>12108</v>
      </c>
      <c r="B5548" s="2" t="s">
        <v>12106</v>
      </c>
      <c r="C5548" s="2" t="s">
        <v>7596</v>
      </c>
    </row>
    <row r="5549">
      <c r="A5549" s="2" t="s">
        <v>12109</v>
      </c>
      <c r="B5549" s="2" t="s">
        <v>12110</v>
      </c>
      <c r="C5549" s="2" t="s">
        <v>7596</v>
      </c>
    </row>
    <row r="5550">
      <c r="A5550" s="2" t="s">
        <v>12111</v>
      </c>
      <c r="B5550" s="2" t="s">
        <v>12112</v>
      </c>
      <c r="C5550" s="2" t="s">
        <v>7596</v>
      </c>
    </row>
    <row r="5551">
      <c r="A5551" s="2" t="s">
        <v>12113</v>
      </c>
      <c r="B5551" s="2" t="s">
        <v>12114</v>
      </c>
      <c r="C5551" s="2" t="s">
        <v>7596</v>
      </c>
    </row>
    <row r="5552">
      <c r="A5552" s="2" t="s">
        <v>12115</v>
      </c>
      <c r="B5552" s="2" t="s">
        <v>12116</v>
      </c>
      <c r="C5552" s="2" t="s">
        <v>7596</v>
      </c>
    </row>
    <row r="5553">
      <c r="A5553" s="2" t="s">
        <v>12117</v>
      </c>
      <c r="B5553" s="2" t="s">
        <v>12118</v>
      </c>
      <c r="C5553" s="2" t="s">
        <v>7596</v>
      </c>
    </row>
    <row r="5554">
      <c r="A5554" s="2" t="s">
        <v>12119</v>
      </c>
      <c r="B5554" s="2" t="s">
        <v>12120</v>
      </c>
      <c r="C5554" s="2" t="s">
        <v>7596</v>
      </c>
    </row>
    <row r="5555">
      <c r="A5555" s="2" t="s">
        <v>12121</v>
      </c>
      <c r="B5555" s="2" t="s">
        <v>12122</v>
      </c>
      <c r="C5555" s="2" t="s">
        <v>7596</v>
      </c>
    </row>
    <row r="5556">
      <c r="A5556" s="2" t="s">
        <v>12123</v>
      </c>
      <c r="B5556" s="2" t="s">
        <v>12124</v>
      </c>
      <c r="C5556" s="2" t="s">
        <v>7596</v>
      </c>
    </row>
    <row r="5557">
      <c r="A5557" s="2" t="s">
        <v>12125</v>
      </c>
      <c r="B5557" s="2" t="s">
        <v>12126</v>
      </c>
      <c r="C5557" s="2" t="s">
        <v>7596</v>
      </c>
    </row>
    <row r="5558">
      <c r="A5558" s="2" t="s">
        <v>12127</v>
      </c>
      <c r="B5558" s="2" t="s">
        <v>12128</v>
      </c>
      <c r="C5558" s="2" t="s">
        <v>7596</v>
      </c>
    </row>
    <row r="5559">
      <c r="A5559" s="2" t="s">
        <v>12129</v>
      </c>
      <c r="B5559" s="2" t="s">
        <v>12130</v>
      </c>
      <c r="C5559" s="2" t="s">
        <v>7596</v>
      </c>
    </row>
    <row r="5560">
      <c r="A5560" s="2" t="s">
        <v>12131</v>
      </c>
      <c r="B5560" s="2" t="s">
        <v>12132</v>
      </c>
      <c r="C5560" s="2" t="s">
        <v>7596</v>
      </c>
    </row>
    <row r="5561">
      <c r="A5561" s="2" t="s">
        <v>12133</v>
      </c>
      <c r="B5561" s="2" t="s">
        <v>12134</v>
      </c>
      <c r="C5561" s="2" t="s">
        <v>7596</v>
      </c>
    </row>
    <row r="5562">
      <c r="A5562" s="2" t="s">
        <v>12135</v>
      </c>
      <c r="B5562" s="2" t="s">
        <v>12136</v>
      </c>
      <c r="C5562" s="2" t="s">
        <v>7596</v>
      </c>
    </row>
    <row r="5563">
      <c r="A5563" s="2" t="s">
        <v>12137</v>
      </c>
      <c r="B5563" s="2" t="s">
        <v>12138</v>
      </c>
      <c r="C5563" s="2" t="s">
        <v>7596</v>
      </c>
    </row>
    <row r="5564">
      <c r="A5564" s="2" t="s">
        <v>12139</v>
      </c>
      <c r="B5564" s="2" t="s">
        <v>12140</v>
      </c>
      <c r="C5564" s="2" t="s">
        <v>7596</v>
      </c>
    </row>
    <row r="5565">
      <c r="A5565" s="2" t="s">
        <v>12141</v>
      </c>
      <c r="B5565" s="2" t="s">
        <v>12142</v>
      </c>
      <c r="C5565" s="2" t="s">
        <v>7596</v>
      </c>
    </row>
    <row r="5566">
      <c r="A5566" s="2" t="s">
        <v>12143</v>
      </c>
      <c r="B5566" s="2" t="s">
        <v>12144</v>
      </c>
      <c r="C5566" s="2" t="s">
        <v>7596</v>
      </c>
    </row>
    <row r="5567">
      <c r="A5567" s="2" t="s">
        <v>12145</v>
      </c>
      <c r="B5567" s="2" t="s">
        <v>12146</v>
      </c>
      <c r="C5567" s="2" t="s">
        <v>7596</v>
      </c>
    </row>
    <row r="5568">
      <c r="A5568" s="2" t="s">
        <v>12147</v>
      </c>
      <c r="B5568" s="2" t="s">
        <v>12148</v>
      </c>
      <c r="C5568" s="2" t="s">
        <v>7596</v>
      </c>
    </row>
    <row r="5569">
      <c r="A5569" s="2" t="s">
        <v>12149</v>
      </c>
      <c r="B5569" s="2" t="s">
        <v>12150</v>
      </c>
      <c r="C5569" s="2" t="s">
        <v>7596</v>
      </c>
    </row>
    <row r="5570">
      <c r="A5570" s="2" t="s">
        <v>12151</v>
      </c>
      <c r="B5570" s="2" t="s">
        <v>12152</v>
      </c>
      <c r="C5570" s="2" t="s">
        <v>7596</v>
      </c>
    </row>
    <row r="5571">
      <c r="A5571" s="2" t="s">
        <v>12153</v>
      </c>
      <c r="B5571" s="2" t="s">
        <v>12154</v>
      </c>
      <c r="C5571" s="2" t="s">
        <v>7596</v>
      </c>
    </row>
    <row r="5572">
      <c r="A5572" s="2" t="s">
        <v>12155</v>
      </c>
      <c r="B5572" s="2" t="s">
        <v>12156</v>
      </c>
      <c r="C5572" s="2" t="s">
        <v>7596</v>
      </c>
    </row>
    <row r="5573">
      <c r="A5573" s="2" t="s">
        <v>12157</v>
      </c>
      <c r="B5573" s="2" t="s">
        <v>12158</v>
      </c>
      <c r="C5573" s="2" t="s">
        <v>7596</v>
      </c>
    </row>
    <row r="5574">
      <c r="A5574" s="2" t="s">
        <v>12159</v>
      </c>
      <c r="B5574" s="2" t="s">
        <v>12160</v>
      </c>
      <c r="C5574" s="2" t="s">
        <v>7596</v>
      </c>
    </row>
    <row r="5575">
      <c r="A5575" s="2" t="s">
        <v>12161</v>
      </c>
      <c r="B5575" s="2" t="s">
        <v>12162</v>
      </c>
      <c r="C5575" s="2" t="s">
        <v>7596</v>
      </c>
    </row>
    <row r="5576">
      <c r="A5576" s="2" t="s">
        <v>12163</v>
      </c>
      <c r="B5576" s="2" t="s">
        <v>12164</v>
      </c>
      <c r="C5576" s="2" t="s">
        <v>7596</v>
      </c>
    </row>
    <row r="5577">
      <c r="A5577" s="2" t="s">
        <v>12165</v>
      </c>
      <c r="B5577" s="2" t="s">
        <v>12166</v>
      </c>
      <c r="C5577" s="2" t="s">
        <v>7596</v>
      </c>
    </row>
    <row r="5578">
      <c r="A5578" s="2" t="s">
        <v>12167</v>
      </c>
      <c r="B5578" s="2" t="s">
        <v>12168</v>
      </c>
      <c r="C5578" s="2" t="s">
        <v>7596</v>
      </c>
    </row>
    <row r="5579">
      <c r="A5579" s="2" t="s">
        <v>12169</v>
      </c>
      <c r="B5579" s="2" t="s">
        <v>12170</v>
      </c>
      <c r="C5579" s="2" t="s">
        <v>7596</v>
      </c>
    </row>
    <row r="5580">
      <c r="A5580" s="2" t="s">
        <v>12171</v>
      </c>
      <c r="B5580" s="2" t="s">
        <v>12172</v>
      </c>
      <c r="C5580" s="2" t="s">
        <v>7596</v>
      </c>
    </row>
    <row r="5581">
      <c r="A5581" s="2" t="s">
        <v>12173</v>
      </c>
      <c r="B5581" s="2" t="s">
        <v>12174</v>
      </c>
      <c r="C5581" s="2" t="s">
        <v>7596</v>
      </c>
    </row>
    <row r="5582">
      <c r="A5582" s="2" t="s">
        <v>12175</v>
      </c>
      <c r="B5582" s="2" t="s">
        <v>12176</v>
      </c>
      <c r="C5582" s="2" t="s">
        <v>7596</v>
      </c>
    </row>
    <row r="5583">
      <c r="A5583" s="2" t="s">
        <v>12177</v>
      </c>
      <c r="B5583" s="2" t="s">
        <v>12178</v>
      </c>
      <c r="C5583" s="2" t="s">
        <v>7596</v>
      </c>
    </row>
    <row r="5584">
      <c r="A5584" s="2" t="s">
        <v>12179</v>
      </c>
      <c r="B5584" s="2" t="s">
        <v>12180</v>
      </c>
      <c r="C5584" s="2" t="s">
        <v>7596</v>
      </c>
    </row>
    <row r="5585">
      <c r="A5585" s="2" t="s">
        <v>12181</v>
      </c>
      <c r="B5585" s="2" t="s">
        <v>12182</v>
      </c>
      <c r="C5585" s="2" t="s">
        <v>7596</v>
      </c>
    </row>
    <row r="5586">
      <c r="A5586" s="2" t="s">
        <v>12183</v>
      </c>
      <c r="B5586" s="2" t="s">
        <v>12184</v>
      </c>
      <c r="C5586" s="2" t="s">
        <v>7596</v>
      </c>
    </row>
    <row r="5587">
      <c r="A5587" s="2" t="s">
        <v>12185</v>
      </c>
      <c r="B5587" s="2" t="s">
        <v>12186</v>
      </c>
      <c r="C5587" s="2" t="s">
        <v>7596</v>
      </c>
    </row>
    <row r="5588">
      <c r="A5588" s="2" t="s">
        <v>12187</v>
      </c>
      <c r="B5588" s="2" t="s">
        <v>12188</v>
      </c>
      <c r="C5588" s="2" t="s">
        <v>7596</v>
      </c>
    </row>
    <row r="5589">
      <c r="A5589" s="2" t="s">
        <v>12189</v>
      </c>
      <c r="B5589" s="2" t="s">
        <v>12190</v>
      </c>
      <c r="C5589" s="2" t="s">
        <v>7596</v>
      </c>
    </row>
    <row r="5590">
      <c r="A5590" s="2" t="s">
        <v>12191</v>
      </c>
      <c r="B5590" s="2" t="s">
        <v>12192</v>
      </c>
      <c r="C5590" s="2" t="s">
        <v>7596</v>
      </c>
    </row>
    <row r="5591">
      <c r="A5591" s="2" t="s">
        <v>12193</v>
      </c>
      <c r="B5591" s="2" t="s">
        <v>12194</v>
      </c>
      <c r="C5591" s="2" t="s">
        <v>7596</v>
      </c>
    </row>
    <row r="5592">
      <c r="A5592" s="2" t="s">
        <v>12195</v>
      </c>
      <c r="B5592" s="2" t="s">
        <v>12196</v>
      </c>
      <c r="C5592" s="2" t="s">
        <v>7596</v>
      </c>
    </row>
    <row r="5593">
      <c r="A5593" s="2" t="s">
        <v>45</v>
      </c>
      <c r="B5593" s="2" t="s">
        <v>48</v>
      </c>
      <c r="C5593" s="2" t="s">
        <v>7596</v>
      </c>
    </row>
    <row r="5594">
      <c r="A5594" s="2" t="s">
        <v>12197</v>
      </c>
      <c r="B5594" s="2" t="s">
        <v>12198</v>
      </c>
      <c r="C5594" s="2" t="s">
        <v>7596</v>
      </c>
    </row>
    <row r="5595">
      <c r="A5595" s="2" t="s">
        <v>12199</v>
      </c>
      <c r="B5595" s="2" t="s">
        <v>12200</v>
      </c>
      <c r="C5595" s="2" t="s">
        <v>7596</v>
      </c>
    </row>
    <row r="5596">
      <c r="A5596" s="2" t="s">
        <v>12201</v>
      </c>
      <c r="B5596" s="2" t="s">
        <v>12202</v>
      </c>
      <c r="C5596" s="2" t="s">
        <v>7596</v>
      </c>
    </row>
    <row r="5597">
      <c r="A5597" s="2" t="s">
        <v>12203</v>
      </c>
      <c r="B5597" s="2" t="s">
        <v>12204</v>
      </c>
      <c r="C5597" s="2" t="s">
        <v>7596</v>
      </c>
    </row>
    <row r="5598">
      <c r="A5598" s="2" t="s">
        <v>12205</v>
      </c>
      <c r="B5598" s="2" t="s">
        <v>12206</v>
      </c>
      <c r="C5598" s="2" t="s">
        <v>7596</v>
      </c>
    </row>
    <row r="5599">
      <c r="A5599" s="2" t="s">
        <v>12207</v>
      </c>
      <c r="B5599" s="2" t="s">
        <v>12208</v>
      </c>
      <c r="C5599" s="2" t="s">
        <v>7596</v>
      </c>
    </row>
    <row r="5600">
      <c r="A5600" s="2" t="s">
        <v>12209</v>
      </c>
      <c r="B5600" s="2" t="s">
        <v>12210</v>
      </c>
      <c r="C5600" s="2" t="s">
        <v>7596</v>
      </c>
    </row>
    <row r="5601">
      <c r="A5601" s="2" t="s">
        <v>12211</v>
      </c>
      <c r="B5601" s="2" t="s">
        <v>12212</v>
      </c>
      <c r="C5601" s="2" t="s">
        <v>7596</v>
      </c>
    </row>
    <row r="5602">
      <c r="A5602" s="2" t="s">
        <v>12213</v>
      </c>
      <c r="B5602" s="2" t="s">
        <v>12214</v>
      </c>
      <c r="C5602" s="2" t="s">
        <v>7596</v>
      </c>
    </row>
    <row r="5603">
      <c r="A5603" s="2" t="s">
        <v>12215</v>
      </c>
      <c r="B5603" s="2" t="s">
        <v>12216</v>
      </c>
      <c r="C5603" s="2" t="s">
        <v>7596</v>
      </c>
    </row>
    <row r="5604">
      <c r="A5604" s="2" t="s">
        <v>12217</v>
      </c>
      <c r="B5604" s="2" t="s">
        <v>12218</v>
      </c>
      <c r="C5604" s="2" t="s">
        <v>7596</v>
      </c>
    </row>
    <row r="5605">
      <c r="A5605" s="2" t="s">
        <v>12219</v>
      </c>
      <c r="B5605" s="2" t="s">
        <v>12220</v>
      </c>
      <c r="C5605" s="2" t="s">
        <v>7596</v>
      </c>
    </row>
    <row r="5606">
      <c r="A5606" s="2" t="s">
        <v>12221</v>
      </c>
      <c r="B5606" s="2" t="s">
        <v>12222</v>
      </c>
      <c r="C5606" s="2" t="s">
        <v>7596</v>
      </c>
    </row>
    <row r="5607">
      <c r="A5607" s="2" t="s">
        <v>12223</v>
      </c>
      <c r="B5607" s="2" t="s">
        <v>12224</v>
      </c>
      <c r="C5607" s="2" t="s">
        <v>7596</v>
      </c>
    </row>
    <row r="5608">
      <c r="A5608" s="2" t="s">
        <v>12225</v>
      </c>
      <c r="B5608" s="2" t="s">
        <v>12226</v>
      </c>
      <c r="C5608" s="2" t="s">
        <v>7596</v>
      </c>
    </row>
    <row r="5609">
      <c r="A5609" s="2" t="s">
        <v>12227</v>
      </c>
      <c r="B5609" s="2" t="s">
        <v>12228</v>
      </c>
      <c r="C5609" s="2" t="s">
        <v>7596</v>
      </c>
    </row>
    <row r="5610">
      <c r="A5610" s="2" t="s">
        <v>12229</v>
      </c>
      <c r="B5610" s="2" t="s">
        <v>12230</v>
      </c>
      <c r="C5610" s="2" t="s">
        <v>7596</v>
      </c>
    </row>
    <row r="5611">
      <c r="A5611" s="2" t="s">
        <v>12231</v>
      </c>
      <c r="B5611" s="2" t="s">
        <v>12232</v>
      </c>
      <c r="C5611" s="2" t="s">
        <v>7596</v>
      </c>
    </row>
    <row r="5612">
      <c r="A5612" s="2" t="s">
        <v>12233</v>
      </c>
      <c r="B5612" s="2" t="s">
        <v>12234</v>
      </c>
      <c r="C5612" s="2" t="s">
        <v>7596</v>
      </c>
    </row>
    <row r="5613">
      <c r="A5613" s="2" t="s">
        <v>12235</v>
      </c>
      <c r="B5613" s="2" t="s">
        <v>12236</v>
      </c>
      <c r="C5613" s="2" t="s">
        <v>7596</v>
      </c>
    </row>
    <row r="5614">
      <c r="A5614" s="2" t="s">
        <v>12237</v>
      </c>
      <c r="B5614" s="2" t="s">
        <v>12238</v>
      </c>
      <c r="C5614" s="2" t="s">
        <v>7596</v>
      </c>
    </row>
    <row r="5615">
      <c r="A5615" s="2" t="s">
        <v>12239</v>
      </c>
      <c r="B5615" s="2" t="s">
        <v>12240</v>
      </c>
      <c r="C5615" s="2" t="s">
        <v>7596</v>
      </c>
    </row>
    <row r="5616">
      <c r="A5616" s="2" t="s">
        <v>12241</v>
      </c>
      <c r="B5616" s="2" t="s">
        <v>12242</v>
      </c>
      <c r="C5616" s="2" t="s">
        <v>7596</v>
      </c>
    </row>
    <row r="5617">
      <c r="A5617" s="2" t="s">
        <v>12243</v>
      </c>
      <c r="B5617" s="2" t="s">
        <v>12244</v>
      </c>
      <c r="C5617" s="2" t="s">
        <v>7596</v>
      </c>
    </row>
    <row r="5618">
      <c r="A5618" s="2" t="s">
        <v>12245</v>
      </c>
      <c r="B5618" s="2" t="s">
        <v>12246</v>
      </c>
      <c r="C5618" s="2" t="s">
        <v>7596</v>
      </c>
    </row>
    <row r="5619">
      <c r="A5619" s="2" t="s">
        <v>12247</v>
      </c>
      <c r="B5619" s="2" t="s">
        <v>12248</v>
      </c>
      <c r="C5619" s="2" t="s">
        <v>7596</v>
      </c>
    </row>
    <row r="5620">
      <c r="A5620" s="2" t="s">
        <v>12249</v>
      </c>
      <c r="B5620" s="2" t="s">
        <v>12250</v>
      </c>
      <c r="C5620" s="2" t="s">
        <v>7596</v>
      </c>
    </row>
    <row r="5621">
      <c r="A5621" s="2" t="s">
        <v>12251</v>
      </c>
      <c r="B5621" s="2" t="s">
        <v>12252</v>
      </c>
      <c r="C5621" s="2" t="s">
        <v>7596</v>
      </c>
    </row>
    <row r="5622">
      <c r="A5622" s="2" t="s">
        <v>12253</v>
      </c>
      <c r="B5622" s="2" t="s">
        <v>12254</v>
      </c>
      <c r="C5622" s="2" t="s">
        <v>7596</v>
      </c>
    </row>
    <row r="5623">
      <c r="A5623" s="2" t="s">
        <v>12255</v>
      </c>
      <c r="B5623" s="2" t="s">
        <v>12256</v>
      </c>
      <c r="C5623" s="2" t="s">
        <v>7596</v>
      </c>
    </row>
    <row r="5624">
      <c r="A5624" s="2" t="s">
        <v>12257</v>
      </c>
      <c r="B5624" s="2" t="s">
        <v>12258</v>
      </c>
      <c r="C5624" s="2" t="s">
        <v>7596</v>
      </c>
    </row>
    <row r="5625">
      <c r="A5625" s="2" t="s">
        <v>12259</v>
      </c>
      <c r="B5625" s="2" t="s">
        <v>12260</v>
      </c>
      <c r="C5625" s="2" t="s">
        <v>7596</v>
      </c>
    </row>
    <row r="5626">
      <c r="A5626" s="2" t="s">
        <v>12261</v>
      </c>
      <c r="B5626" s="2" t="s">
        <v>12262</v>
      </c>
      <c r="C5626" s="2" t="s">
        <v>7596</v>
      </c>
    </row>
    <row r="5627">
      <c r="A5627" s="2" t="s">
        <v>12263</v>
      </c>
      <c r="B5627" s="2" t="s">
        <v>12264</v>
      </c>
      <c r="C5627" s="2" t="s">
        <v>7596</v>
      </c>
    </row>
    <row r="5628">
      <c r="A5628" s="2" t="s">
        <v>12265</v>
      </c>
      <c r="B5628" s="2" t="s">
        <v>12266</v>
      </c>
      <c r="C5628" s="2" t="s">
        <v>7596</v>
      </c>
    </row>
    <row r="5629">
      <c r="A5629" s="2" t="s">
        <v>12267</v>
      </c>
      <c r="B5629" s="2" t="s">
        <v>12268</v>
      </c>
      <c r="C5629" s="2" t="s">
        <v>7596</v>
      </c>
    </row>
    <row r="5630">
      <c r="A5630" s="2" t="s">
        <v>12269</v>
      </c>
      <c r="B5630" s="2" t="s">
        <v>12270</v>
      </c>
      <c r="C5630" s="2" t="s">
        <v>7596</v>
      </c>
    </row>
    <row r="5631">
      <c r="A5631" s="2" t="s">
        <v>12271</v>
      </c>
      <c r="B5631" s="2" t="s">
        <v>12272</v>
      </c>
      <c r="C5631" s="2" t="s">
        <v>7596</v>
      </c>
    </row>
    <row r="5632">
      <c r="A5632" s="2" t="s">
        <v>12273</v>
      </c>
      <c r="B5632" s="2" t="s">
        <v>12274</v>
      </c>
      <c r="C5632" s="2" t="s">
        <v>7596</v>
      </c>
    </row>
    <row r="5633">
      <c r="A5633" s="2" t="s">
        <v>12275</v>
      </c>
      <c r="B5633" s="2" t="s">
        <v>12276</v>
      </c>
      <c r="C5633" s="2" t="s">
        <v>7596</v>
      </c>
    </row>
    <row r="5634">
      <c r="A5634" s="2" t="s">
        <v>12277</v>
      </c>
      <c r="B5634" s="2" t="s">
        <v>12278</v>
      </c>
      <c r="C5634" s="2" t="s">
        <v>7596</v>
      </c>
    </row>
    <row r="5635">
      <c r="A5635" s="2" t="s">
        <v>12279</v>
      </c>
      <c r="B5635" s="2" t="s">
        <v>12280</v>
      </c>
      <c r="C5635" s="2" t="s">
        <v>7596</v>
      </c>
    </row>
    <row r="5636">
      <c r="A5636" s="2" t="s">
        <v>12281</v>
      </c>
      <c r="B5636" s="2" t="s">
        <v>12282</v>
      </c>
      <c r="C5636" s="2" t="s">
        <v>7596</v>
      </c>
    </row>
    <row r="5637">
      <c r="A5637" s="2" t="s">
        <v>12283</v>
      </c>
      <c r="B5637" s="2" t="s">
        <v>12284</v>
      </c>
      <c r="C5637" s="2" t="s">
        <v>7596</v>
      </c>
    </row>
    <row r="5638">
      <c r="A5638" s="2" t="s">
        <v>12285</v>
      </c>
      <c r="B5638" s="2" t="s">
        <v>12286</v>
      </c>
      <c r="C5638" s="2" t="s">
        <v>7596</v>
      </c>
    </row>
    <row r="5639">
      <c r="A5639" s="2" t="s">
        <v>12287</v>
      </c>
      <c r="B5639" s="2" t="s">
        <v>12288</v>
      </c>
      <c r="C5639" s="2" t="s">
        <v>7596</v>
      </c>
    </row>
    <row r="5640">
      <c r="A5640" s="2" t="s">
        <v>12289</v>
      </c>
      <c r="B5640" s="2" t="s">
        <v>12290</v>
      </c>
      <c r="C5640" s="2" t="s">
        <v>7596</v>
      </c>
    </row>
    <row r="5641">
      <c r="A5641" s="2" t="s">
        <v>12291</v>
      </c>
      <c r="B5641" s="2" t="s">
        <v>12292</v>
      </c>
      <c r="C5641" s="2" t="s">
        <v>7596</v>
      </c>
    </row>
    <row r="5642">
      <c r="A5642" s="2" t="s">
        <v>12293</v>
      </c>
      <c r="B5642" s="2" t="s">
        <v>12294</v>
      </c>
      <c r="C5642" s="2" t="s">
        <v>7596</v>
      </c>
    </row>
    <row r="5643">
      <c r="A5643" s="2" t="s">
        <v>12295</v>
      </c>
      <c r="B5643" s="2" t="s">
        <v>12296</v>
      </c>
      <c r="C5643" s="2" t="s">
        <v>7596</v>
      </c>
    </row>
    <row r="5644">
      <c r="A5644" s="2" t="s">
        <v>12297</v>
      </c>
      <c r="B5644" s="2" t="s">
        <v>12298</v>
      </c>
      <c r="C5644" s="2" t="s">
        <v>7596</v>
      </c>
    </row>
    <row r="5645">
      <c r="A5645" s="2" t="s">
        <v>12299</v>
      </c>
      <c r="B5645" s="2" t="s">
        <v>12300</v>
      </c>
      <c r="C5645" s="2" t="s">
        <v>7596</v>
      </c>
    </row>
    <row r="5646">
      <c r="A5646" s="2" t="s">
        <v>12301</v>
      </c>
      <c r="B5646" s="2" t="s">
        <v>12302</v>
      </c>
      <c r="C5646" s="2" t="s">
        <v>7596</v>
      </c>
    </row>
    <row r="5647">
      <c r="A5647" s="2" t="s">
        <v>12303</v>
      </c>
      <c r="B5647" s="2" t="s">
        <v>12304</v>
      </c>
      <c r="C5647" s="2" t="s">
        <v>7596</v>
      </c>
    </row>
    <row r="5648">
      <c r="A5648" s="2" t="s">
        <v>12305</v>
      </c>
      <c r="B5648" s="2" t="s">
        <v>12306</v>
      </c>
      <c r="C5648" s="2" t="s">
        <v>7596</v>
      </c>
    </row>
    <row r="5649">
      <c r="A5649" s="2" t="s">
        <v>12307</v>
      </c>
      <c r="B5649" s="2" t="s">
        <v>12308</v>
      </c>
      <c r="C5649" s="2" t="s">
        <v>7596</v>
      </c>
    </row>
    <row r="5650">
      <c r="A5650" s="2" t="s">
        <v>12309</v>
      </c>
      <c r="B5650" s="2" t="s">
        <v>12310</v>
      </c>
      <c r="C5650" s="2" t="s">
        <v>7596</v>
      </c>
    </row>
    <row r="5651">
      <c r="A5651" s="2" t="s">
        <v>12311</v>
      </c>
      <c r="B5651" s="2" t="s">
        <v>12312</v>
      </c>
      <c r="C5651" s="2" t="s">
        <v>7596</v>
      </c>
    </row>
    <row r="5652">
      <c r="A5652" s="2" t="s">
        <v>12313</v>
      </c>
      <c r="B5652" s="2" t="s">
        <v>12314</v>
      </c>
      <c r="C5652" s="2" t="s">
        <v>7596</v>
      </c>
    </row>
    <row r="5653">
      <c r="A5653" s="2" t="s">
        <v>12315</v>
      </c>
      <c r="B5653" s="2" t="s">
        <v>12316</v>
      </c>
      <c r="C5653" s="2" t="s">
        <v>7596</v>
      </c>
    </row>
    <row r="5654">
      <c r="A5654" s="2" t="s">
        <v>12317</v>
      </c>
      <c r="B5654" s="2" t="s">
        <v>12318</v>
      </c>
      <c r="C5654" s="2" t="s">
        <v>7596</v>
      </c>
    </row>
    <row r="5655">
      <c r="A5655" s="2" t="s">
        <v>12319</v>
      </c>
      <c r="B5655" s="2" t="s">
        <v>12320</v>
      </c>
      <c r="C5655" s="2" t="s">
        <v>7596</v>
      </c>
    </row>
    <row r="5656">
      <c r="A5656" s="2" t="s">
        <v>12321</v>
      </c>
      <c r="B5656" s="2" t="s">
        <v>12322</v>
      </c>
      <c r="C5656" s="2" t="s">
        <v>7596</v>
      </c>
    </row>
    <row r="5657">
      <c r="A5657" s="2" t="s">
        <v>12323</v>
      </c>
      <c r="B5657" s="2" t="s">
        <v>12324</v>
      </c>
      <c r="C5657" s="2" t="s">
        <v>7596</v>
      </c>
    </row>
    <row r="5658">
      <c r="A5658" s="2" t="s">
        <v>12325</v>
      </c>
      <c r="B5658" s="2" t="s">
        <v>12326</v>
      </c>
      <c r="C5658" s="2" t="s">
        <v>7596</v>
      </c>
    </row>
    <row r="5659">
      <c r="A5659" s="2" t="s">
        <v>12327</v>
      </c>
      <c r="B5659" s="2" t="s">
        <v>12328</v>
      </c>
      <c r="C5659" s="2" t="s">
        <v>7596</v>
      </c>
    </row>
    <row r="5660">
      <c r="A5660" s="2" t="s">
        <v>12329</v>
      </c>
      <c r="B5660" s="2" t="s">
        <v>12330</v>
      </c>
      <c r="C5660" s="2" t="s">
        <v>7596</v>
      </c>
    </row>
    <row r="5661">
      <c r="A5661" s="2" t="s">
        <v>12331</v>
      </c>
      <c r="B5661" s="2" t="s">
        <v>12332</v>
      </c>
      <c r="C5661" s="2" t="s">
        <v>7596</v>
      </c>
    </row>
    <row r="5662">
      <c r="A5662" s="2" t="s">
        <v>12333</v>
      </c>
      <c r="B5662" s="2" t="s">
        <v>12334</v>
      </c>
      <c r="C5662" s="2" t="s">
        <v>7596</v>
      </c>
    </row>
    <row r="5663">
      <c r="A5663" s="2" t="s">
        <v>12335</v>
      </c>
      <c r="B5663" s="2" t="s">
        <v>12336</v>
      </c>
      <c r="C5663" s="2" t="s">
        <v>7596</v>
      </c>
    </row>
    <row r="5664">
      <c r="A5664" s="2" t="s">
        <v>12337</v>
      </c>
      <c r="B5664" s="2" t="s">
        <v>12338</v>
      </c>
      <c r="C5664" s="2" t="s">
        <v>7596</v>
      </c>
    </row>
    <row r="5665">
      <c r="A5665" s="2" t="s">
        <v>12339</v>
      </c>
      <c r="B5665" s="2" t="s">
        <v>12340</v>
      </c>
      <c r="C5665" s="2" t="s">
        <v>7596</v>
      </c>
    </row>
    <row r="5666">
      <c r="A5666" s="2" t="s">
        <v>12341</v>
      </c>
      <c r="B5666" s="2" t="s">
        <v>12342</v>
      </c>
      <c r="C5666" s="2" t="s">
        <v>7596</v>
      </c>
    </row>
    <row r="5667">
      <c r="A5667" s="2" t="s">
        <v>12343</v>
      </c>
      <c r="B5667" s="2" t="s">
        <v>12344</v>
      </c>
      <c r="C5667" s="2" t="s">
        <v>7596</v>
      </c>
    </row>
    <row r="5668">
      <c r="A5668" s="2" t="s">
        <v>12345</v>
      </c>
      <c r="B5668" s="2" t="s">
        <v>12346</v>
      </c>
      <c r="C5668" s="2" t="s">
        <v>7596</v>
      </c>
    </row>
    <row r="5669">
      <c r="A5669" s="2" t="s">
        <v>12347</v>
      </c>
      <c r="B5669" s="2" t="s">
        <v>12348</v>
      </c>
      <c r="C5669" s="2" t="s">
        <v>7596</v>
      </c>
    </row>
    <row r="5670">
      <c r="A5670" s="2" t="s">
        <v>12349</v>
      </c>
      <c r="B5670" s="2" t="s">
        <v>12350</v>
      </c>
      <c r="C5670" s="2" t="s">
        <v>7596</v>
      </c>
    </row>
    <row r="5671">
      <c r="A5671" s="2" t="s">
        <v>12351</v>
      </c>
      <c r="B5671" s="2" t="s">
        <v>12352</v>
      </c>
      <c r="C5671" s="2" t="s">
        <v>7596</v>
      </c>
    </row>
    <row r="5672">
      <c r="A5672" s="2" t="s">
        <v>12353</v>
      </c>
      <c r="B5672" s="2" t="s">
        <v>12354</v>
      </c>
      <c r="C5672" s="2" t="s">
        <v>7596</v>
      </c>
    </row>
    <row r="5673">
      <c r="A5673" s="2" t="s">
        <v>12355</v>
      </c>
      <c r="B5673" s="2" t="s">
        <v>12356</v>
      </c>
      <c r="C5673" s="2" t="s">
        <v>7596</v>
      </c>
    </row>
    <row r="5674">
      <c r="A5674" s="2" t="s">
        <v>12357</v>
      </c>
      <c r="B5674" s="2" t="s">
        <v>12358</v>
      </c>
      <c r="C5674" s="2" t="s">
        <v>7596</v>
      </c>
    </row>
    <row r="5675">
      <c r="A5675" s="2" t="s">
        <v>12359</v>
      </c>
      <c r="B5675" s="2" t="s">
        <v>12360</v>
      </c>
      <c r="C5675" s="2" t="s">
        <v>7596</v>
      </c>
    </row>
    <row r="5676">
      <c r="A5676" s="2" t="s">
        <v>12361</v>
      </c>
      <c r="B5676" s="2" t="s">
        <v>12362</v>
      </c>
      <c r="C5676" s="2" t="s">
        <v>7596</v>
      </c>
    </row>
    <row r="5677">
      <c r="A5677" s="2" t="s">
        <v>12363</v>
      </c>
      <c r="B5677" s="2" t="s">
        <v>12364</v>
      </c>
      <c r="C5677" s="2" t="s">
        <v>7596</v>
      </c>
    </row>
    <row r="5678">
      <c r="A5678" s="2" t="s">
        <v>12365</v>
      </c>
      <c r="B5678" s="2" t="s">
        <v>12366</v>
      </c>
      <c r="C5678" s="2" t="s">
        <v>7596</v>
      </c>
    </row>
    <row r="5679">
      <c r="A5679" s="2" t="s">
        <v>12367</v>
      </c>
      <c r="B5679" s="2" t="s">
        <v>12368</v>
      </c>
      <c r="C5679" s="2" t="s">
        <v>7596</v>
      </c>
    </row>
    <row r="5680">
      <c r="A5680" s="2" t="s">
        <v>12369</v>
      </c>
      <c r="B5680" s="2" t="s">
        <v>12370</v>
      </c>
      <c r="C5680" s="2" t="s">
        <v>7596</v>
      </c>
    </row>
    <row r="5681">
      <c r="A5681" s="2" t="s">
        <v>12371</v>
      </c>
      <c r="B5681" s="2" t="s">
        <v>12372</v>
      </c>
      <c r="C5681" s="2" t="s">
        <v>7596</v>
      </c>
    </row>
    <row r="5682">
      <c r="A5682" s="2" t="s">
        <v>12373</v>
      </c>
      <c r="B5682" s="2" t="s">
        <v>12374</v>
      </c>
      <c r="C5682" s="2" t="s">
        <v>7596</v>
      </c>
    </row>
    <row r="5683">
      <c r="A5683" s="2" t="s">
        <v>12375</v>
      </c>
      <c r="B5683" s="2" t="s">
        <v>12376</v>
      </c>
      <c r="C5683" s="2" t="s">
        <v>7596</v>
      </c>
    </row>
    <row r="5684">
      <c r="A5684" s="2" t="s">
        <v>12377</v>
      </c>
      <c r="B5684" s="2" t="s">
        <v>12378</v>
      </c>
      <c r="C5684" s="2" t="s">
        <v>7596</v>
      </c>
    </row>
    <row r="5685">
      <c r="A5685" s="2" t="s">
        <v>12379</v>
      </c>
      <c r="B5685" s="2" t="s">
        <v>12380</v>
      </c>
      <c r="C5685" s="2" t="s">
        <v>7596</v>
      </c>
    </row>
    <row r="5686">
      <c r="A5686" s="2" t="s">
        <v>12381</v>
      </c>
      <c r="B5686" s="2" t="s">
        <v>12382</v>
      </c>
      <c r="C5686" s="2" t="s">
        <v>7596</v>
      </c>
    </row>
    <row r="5687">
      <c r="A5687" s="2" t="s">
        <v>12383</v>
      </c>
      <c r="B5687" s="2" t="s">
        <v>12384</v>
      </c>
      <c r="C5687" s="2" t="s">
        <v>7596</v>
      </c>
    </row>
    <row r="5688">
      <c r="A5688" s="2" t="s">
        <v>12385</v>
      </c>
      <c r="B5688" s="2" t="s">
        <v>12386</v>
      </c>
      <c r="C5688" s="2" t="s">
        <v>7596</v>
      </c>
    </row>
    <row r="5689">
      <c r="A5689" s="2" t="s">
        <v>12387</v>
      </c>
      <c r="B5689" s="2" t="s">
        <v>12388</v>
      </c>
      <c r="C5689" s="2" t="s">
        <v>7596</v>
      </c>
    </row>
    <row r="5690">
      <c r="A5690" s="2" t="s">
        <v>12389</v>
      </c>
      <c r="B5690" s="2" t="s">
        <v>12388</v>
      </c>
      <c r="C5690" s="2" t="s">
        <v>7596</v>
      </c>
    </row>
    <row r="5691">
      <c r="A5691" s="2" t="s">
        <v>12390</v>
      </c>
      <c r="B5691" s="2" t="s">
        <v>12391</v>
      </c>
      <c r="C5691" s="2" t="s">
        <v>7596</v>
      </c>
    </row>
    <row r="5692">
      <c r="A5692" s="2" t="s">
        <v>12392</v>
      </c>
      <c r="B5692" s="2" t="s">
        <v>12393</v>
      </c>
      <c r="C5692" s="2" t="s">
        <v>7596</v>
      </c>
    </row>
    <row r="5693">
      <c r="A5693" s="2" t="s">
        <v>12394</v>
      </c>
      <c r="B5693" s="2" t="s">
        <v>12395</v>
      </c>
      <c r="C5693" s="2" t="s">
        <v>7596</v>
      </c>
    </row>
    <row r="5694">
      <c r="A5694" s="2" t="s">
        <v>12396</v>
      </c>
      <c r="B5694" s="2" t="s">
        <v>12397</v>
      </c>
      <c r="C5694" s="2" t="s">
        <v>7596</v>
      </c>
    </row>
    <row r="5695">
      <c r="A5695" s="2" t="s">
        <v>12398</v>
      </c>
      <c r="B5695" s="2" t="s">
        <v>12397</v>
      </c>
      <c r="C5695" s="2" t="s">
        <v>7596</v>
      </c>
    </row>
    <row r="5696">
      <c r="A5696" s="2" t="s">
        <v>12399</v>
      </c>
      <c r="B5696" s="2" t="s">
        <v>12397</v>
      </c>
      <c r="C5696" s="2" t="s">
        <v>7596</v>
      </c>
    </row>
    <row r="5697">
      <c r="A5697" s="2" t="s">
        <v>12400</v>
      </c>
      <c r="B5697" s="2" t="s">
        <v>12397</v>
      </c>
      <c r="C5697" s="2" t="s">
        <v>7596</v>
      </c>
    </row>
    <row r="5698">
      <c r="A5698" s="2" t="s">
        <v>12401</v>
      </c>
      <c r="B5698" s="2" t="s">
        <v>12397</v>
      </c>
      <c r="C5698" s="2" t="s">
        <v>7596</v>
      </c>
    </row>
    <row r="5699">
      <c r="A5699" s="2" t="s">
        <v>12402</v>
      </c>
      <c r="B5699" s="2" t="s">
        <v>12397</v>
      </c>
      <c r="C5699" s="2" t="s">
        <v>7596</v>
      </c>
    </row>
    <row r="5700">
      <c r="A5700" s="2" t="s">
        <v>12403</v>
      </c>
      <c r="B5700" s="2" t="s">
        <v>12404</v>
      </c>
      <c r="C5700" s="2" t="s">
        <v>7596</v>
      </c>
    </row>
    <row r="5701">
      <c r="A5701" s="2" t="s">
        <v>12405</v>
      </c>
      <c r="B5701" s="2" t="s">
        <v>12406</v>
      </c>
      <c r="C5701" s="2" t="s">
        <v>7596</v>
      </c>
    </row>
    <row r="5702">
      <c r="A5702" s="2" t="s">
        <v>12407</v>
      </c>
      <c r="B5702" s="2" t="s">
        <v>12406</v>
      </c>
      <c r="C5702" s="2" t="s">
        <v>7596</v>
      </c>
    </row>
    <row r="5703">
      <c r="A5703" s="2" t="s">
        <v>12408</v>
      </c>
      <c r="B5703" s="2" t="s">
        <v>12409</v>
      </c>
      <c r="C5703" s="2" t="s">
        <v>7596</v>
      </c>
    </row>
    <row r="5704">
      <c r="A5704" s="2" t="s">
        <v>12410</v>
      </c>
      <c r="B5704" s="2" t="s">
        <v>12411</v>
      </c>
      <c r="C5704" s="2" t="s">
        <v>7596</v>
      </c>
    </row>
    <row r="5705">
      <c r="A5705" s="2" t="s">
        <v>12412</v>
      </c>
      <c r="B5705" s="2" t="s">
        <v>12413</v>
      </c>
      <c r="C5705" s="2" t="s">
        <v>7596</v>
      </c>
    </row>
    <row r="5706">
      <c r="A5706" s="2" t="s">
        <v>12414</v>
      </c>
      <c r="B5706" s="2" t="s">
        <v>12415</v>
      </c>
      <c r="C5706" s="2" t="s">
        <v>7596</v>
      </c>
    </row>
    <row r="5707">
      <c r="A5707" s="2" t="s">
        <v>12416</v>
      </c>
      <c r="B5707" s="2" t="s">
        <v>12417</v>
      </c>
      <c r="C5707" s="2" t="s">
        <v>7596</v>
      </c>
    </row>
    <row r="5708">
      <c r="A5708" s="2" t="s">
        <v>12418</v>
      </c>
      <c r="B5708" s="2" t="s">
        <v>12419</v>
      </c>
      <c r="C5708" s="2" t="s">
        <v>7596</v>
      </c>
    </row>
    <row r="5709">
      <c r="A5709" s="2" t="s">
        <v>12420</v>
      </c>
      <c r="B5709" s="2" t="s">
        <v>12421</v>
      </c>
      <c r="C5709" s="2" t="s">
        <v>7596</v>
      </c>
    </row>
    <row r="5710">
      <c r="A5710" s="2" t="s">
        <v>12422</v>
      </c>
      <c r="B5710" s="2" t="s">
        <v>12423</v>
      </c>
      <c r="C5710" s="2" t="s">
        <v>7596</v>
      </c>
    </row>
    <row r="5711">
      <c r="A5711" s="2" t="s">
        <v>12424</v>
      </c>
      <c r="B5711" s="2" t="s">
        <v>12425</v>
      </c>
      <c r="C5711" s="2" t="s">
        <v>7596</v>
      </c>
    </row>
    <row r="5712">
      <c r="A5712" s="2" t="s">
        <v>12426</v>
      </c>
      <c r="B5712" s="2" t="s">
        <v>12427</v>
      </c>
      <c r="C5712" s="2" t="s">
        <v>7596</v>
      </c>
    </row>
    <row r="5713">
      <c r="A5713" s="2" t="s">
        <v>12428</v>
      </c>
      <c r="B5713" s="2" t="s">
        <v>12429</v>
      </c>
      <c r="C5713" s="2" t="s">
        <v>7596</v>
      </c>
    </row>
    <row r="5714">
      <c r="A5714" s="2" t="s">
        <v>12430</v>
      </c>
      <c r="B5714" s="2" t="s">
        <v>12431</v>
      </c>
      <c r="C5714" s="2" t="s">
        <v>7596</v>
      </c>
    </row>
    <row r="5715">
      <c r="A5715" s="2" t="s">
        <v>12432</v>
      </c>
      <c r="B5715" s="2" t="s">
        <v>12433</v>
      </c>
      <c r="C5715" s="2" t="s">
        <v>7596</v>
      </c>
    </row>
    <row r="5716">
      <c r="A5716" s="2" t="s">
        <v>12434</v>
      </c>
      <c r="B5716" s="2" t="s">
        <v>12435</v>
      </c>
      <c r="C5716" s="2" t="s">
        <v>7596</v>
      </c>
    </row>
    <row r="5717">
      <c r="A5717" s="2" t="s">
        <v>12436</v>
      </c>
      <c r="B5717" s="2" t="s">
        <v>12437</v>
      </c>
      <c r="C5717" s="2" t="s">
        <v>7596</v>
      </c>
    </row>
    <row r="5718">
      <c r="A5718" s="2" t="s">
        <v>12438</v>
      </c>
      <c r="B5718" s="2" t="s">
        <v>12439</v>
      </c>
      <c r="C5718" s="2" t="s">
        <v>7596</v>
      </c>
    </row>
    <row r="5719">
      <c r="A5719" s="2" t="s">
        <v>12440</v>
      </c>
      <c r="B5719" s="2" t="s">
        <v>12439</v>
      </c>
      <c r="C5719" s="2" t="s">
        <v>7596</v>
      </c>
    </row>
    <row r="5720">
      <c r="A5720" s="2" t="s">
        <v>12441</v>
      </c>
      <c r="B5720" s="2" t="s">
        <v>12439</v>
      </c>
      <c r="C5720" s="2" t="s">
        <v>7596</v>
      </c>
    </row>
    <row r="5721">
      <c r="A5721" s="2" t="s">
        <v>12442</v>
      </c>
      <c r="B5721" s="2" t="s">
        <v>12443</v>
      </c>
      <c r="C5721" s="2" t="s">
        <v>7596</v>
      </c>
    </row>
    <row r="5722">
      <c r="A5722" s="2" t="s">
        <v>12444</v>
      </c>
      <c r="B5722" s="2" t="s">
        <v>12445</v>
      </c>
      <c r="C5722" s="2" t="s">
        <v>7596</v>
      </c>
    </row>
    <row r="5723">
      <c r="A5723" s="2" t="s">
        <v>12446</v>
      </c>
      <c r="B5723" s="2" t="s">
        <v>12447</v>
      </c>
      <c r="C5723" s="2" t="s">
        <v>7596</v>
      </c>
    </row>
    <row r="5724">
      <c r="A5724" s="2" t="s">
        <v>12448</v>
      </c>
      <c r="B5724" s="2" t="s">
        <v>12449</v>
      </c>
      <c r="C5724" s="2" t="s">
        <v>7596</v>
      </c>
    </row>
    <row r="5725">
      <c r="A5725" s="2" t="s">
        <v>12450</v>
      </c>
      <c r="B5725" s="2" t="s">
        <v>12449</v>
      </c>
      <c r="C5725" s="2" t="s">
        <v>7596</v>
      </c>
    </row>
    <row r="5726">
      <c r="A5726" s="2" t="s">
        <v>12451</v>
      </c>
      <c r="B5726" s="2" t="s">
        <v>12452</v>
      </c>
      <c r="C5726" s="2" t="s">
        <v>7596</v>
      </c>
    </row>
    <row r="5727">
      <c r="A5727" s="2" t="s">
        <v>12453</v>
      </c>
      <c r="B5727" s="2" t="s">
        <v>12454</v>
      </c>
      <c r="C5727" s="2" t="s">
        <v>7596</v>
      </c>
    </row>
    <row r="5728">
      <c r="A5728" s="2" t="s">
        <v>12455</v>
      </c>
      <c r="B5728" s="2" t="s">
        <v>12456</v>
      </c>
      <c r="C5728" s="2" t="s">
        <v>7596</v>
      </c>
    </row>
    <row r="5729">
      <c r="A5729" s="2" t="s">
        <v>12457</v>
      </c>
      <c r="B5729" s="2" t="s">
        <v>12458</v>
      </c>
      <c r="C5729" s="2" t="s">
        <v>7596</v>
      </c>
    </row>
    <row r="5730">
      <c r="A5730" s="2" t="s">
        <v>12459</v>
      </c>
      <c r="B5730" s="2" t="s">
        <v>12460</v>
      </c>
      <c r="C5730" s="2" t="s">
        <v>7596</v>
      </c>
    </row>
    <row r="5731">
      <c r="A5731" s="2" t="s">
        <v>12461</v>
      </c>
      <c r="B5731" s="2" t="s">
        <v>12462</v>
      </c>
      <c r="C5731" s="2" t="s">
        <v>7596</v>
      </c>
    </row>
    <row r="5732">
      <c r="A5732" s="2" t="s">
        <v>12463</v>
      </c>
      <c r="B5732" s="2" t="s">
        <v>12464</v>
      </c>
      <c r="C5732" s="2" t="s">
        <v>7596</v>
      </c>
    </row>
    <row r="5733">
      <c r="A5733" s="2" t="s">
        <v>12465</v>
      </c>
      <c r="B5733" s="2" t="s">
        <v>12466</v>
      </c>
      <c r="C5733" s="2" t="s">
        <v>7596</v>
      </c>
    </row>
    <row r="5734">
      <c r="A5734" s="2" t="s">
        <v>12467</v>
      </c>
      <c r="B5734" s="2" t="s">
        <v>12468</v>
      </c>
      <c r="C5734" s="2" t="s">
        <v>7596</v>
      </c>
    </row>
    <row r="5735">
      <c r="A5735" s="2" t="s">
        <v>12469</v>
      </c>
      <c r="B5735" s="2" t="s">
        <v>12470</v>
      </c>
      <c r="C5735" s="2" t="s">
        <v>7596</v>
      </c>
    </row>
    <row r="5736">
      <c r="A5736" s="2" t="s">
        <v>12471</v>
      </c>
      <c r="B5736" s="2" t="s">
        <v>12472</v>
      </c>
      <c r="C5736" s="2" t="s">
        <v>7596</v>
      </c>
    </row>
    <row r="5737">
      <c r="A5737" s="2" t="s">
        <v>12473</v>
      </c>
      <c r="B5737" s="2" t="s">
        <v>12474</v>
      </c>
      <c r="C5737" s="2" t="s">
        <v>7596</v>
      </c>
    </row>
    <row r="5738">
      <c r="A5738" s="2" t="s">
        <v>12475</v>
      </c>
      <c r="B5738" s="2" t="s">
        <v>12476</v>
      </c>
      <c r="C5738" s="2" t="s">
        <v>7596</v>
      </c>
    </row>
    <row r="5739">
      <c r="A5739" s="2" t="s">
        <v>12477</v>
      </c>
      <c r="B5739" s="2" t="s">
        <v>12478</v>
      </c>
      <c r="C5739" s="2" t="s">
        <v>7596</v>
      </c>
    </row>
    <row r="5740">
      <c r="A5740" s="2" t="s">
        <v>12479</v>
      </c>
      <c r="B5740" s="2" t="s">
        <v>12478</v>
      </c>
      <c r="C5740" s="2" t="s">
        <v>7596</v>
      </c>
    </row>
    <row r="5741">
      <c r="A5741" s="2" t="s">
        <v>12480</v>
      </c>
      <c r="B5741" s="2" t="s">
        <v>12478</v>
      </c>
      <c r="C5741" s="2" t="s">
        <v>7596</v>
      </c>
    </row>
    <row r="5742">
      <c r="A5742" s="2" t="s">
        <v>12481</v>
      </c>
      <c r="B5742" s="2" t="s">
        <v>12478</v>
      </c>
      <c r="C5742" s="2" t="s">
        <v>7596</v>
      </c>
    </row>
    <row r="5743">
      <c r="A5743" s="2" t="s">
        <v>12482</v>
      </c>
      <c r="B5743" s="2" t="s">
        <v>12478</v>
      </c>
      <c r="C5743" s="2" t="s">
        <v>7596</v>
      </c>
    </row>
    <row r="5744">
      <c r="A5744" s="2" t="s">
        <v>12483</v>
      </c>
      <c r="B5744" s="2" t="s">
        <v>12484</v>
      </c>
      <c r="C5744" s="2" t="s">
        <v>7596</v>
      </c>
    </row>
    <row r="5745">
      <c r="A5745" s="2" t="s">
        <v>12485</v>
      </c>
      <c r="B5745" s="2" t="s">
        <v>12484</v>
      </c>
      <c r="C5745" s="2" t="s">
        <v>7596</v>
      </c>
    </row>
    <row r="5746">
      <c r="A5746" s="2" t="s">
        <v>12486</v>
      </c>
      <c r="B5746" s="2" t="s">
        <v>12484</v>
      </c>
      <c r="C5746" s="2" t="s">
        <v>7596</v>
      </c>
    </row>
    <row r="5747">
      <c r="A5747" s="2" t="s">
        <v>12487</v>
      </c>
      <c r="B5747" s="2" t="s">
        <v>12488</v>
      </c>
      <c r="C5747" s="2" t="s">
        <v>7596</v>
      </c>
    </row>
    <row r="5748">
      <c r="A5748" s="2" t="s">
        <v>12489</v>
      </c>
      <c r="B5748" s="2" t="s">
        <v>12488</v>
      </c>
      <c r="C5748" s="2" t="s">
        <v>7596</v>
      </c>
    </row>
    <row r="5749">
      <c r="A5749" s="2" t="s">
        <v>12490</v>
      </c>
      <c r="B5749" s="2" t="s">
        <v>12488</v>
      </c>
      <c r="C5749" s="2" t="s">
        <v>7596</v>
      </c>
    </row>
    <row r="5750">
      <c r="A5750" s="2" t="s">
        <v>12491</v>
      </c>
      <c r="B5750" s="2" t="s">
        <v>12492</v>
      </c>
      <c r="C5750" s="2" t="s">
        <v>7596</v>
      </c>
    </row>
    <row r="5751">
      <c r="A5751" s="2" t="s">
        <v>12493</v>
      </c>
      <c r="B5751" s="2" t="s">
        <v>12494</v>
      </c>
      <c r="C5751" s="2" t="s">
        <v>7596</v>
      </c>
    </row>
    <row r="5752">
      <c r="A5752" s="2" t="s">
        <v>12495</v>
      </c>
      <c r="B5752" s="2" t="s">
        <v>12494</v>
      </c>
      <c r="C5752" s="2" t="s">
        <v>7596</v>
      </c>
    </row>
    <row r="5753">
      <c r="A5753" s="2" t="s">
        <v>12496</v>
      </c>
      <c r="B5753" s="2" t="s">
        <v>12497</v>
      </c>
      <c r="C5753" s="2" t="s">
        <v>7596</v>
      </c>
    </row>
    <row r="5754">
      <c r="A5754" s="2" t="s">
        <v>12498</v>
      </c>
      <c r="B5754" s="2" t="s">
        <v>12499</v>
      </c>
      <c r="C5754" s="2" t="s">
        <v>7596</v>
      </c>
    </row>
    <row r="5755">
      <c r="A5755" s="2" t="s">
        <v>12500</v>
      </c>
      <c r="B5755" s="2" t="s">
        <v>12501</v>
      </c>
      <c r="C5755" s="2" t="s">
        <v>7596</v>
      </c>
    </row>
    <row r="5756">
      <c r="A5756" s="2" t="s">
        <v>12502</v>
      </c>
      <c r="B5756" s="2" t="s">
        <v>12503</v>
      </c>
      <c r="C5756" s="2" t="s">
        <v>7596</v>
      </c>
    </row>
    <row r="5757">
      <c r="A5757" s="2" t="s">
        <v>12504</v>
      </c>
      <c r="B5757" s="2" t="s">
        <v>12505</v>
      </c>
      <c r="C5757" s="2" t="s">
        <v>7596</v>
      </c>
    </row>
    <row r="5758">
      <c r="A5758" s="2" t="s">
        <v>12506</v>
      </c>
      <c r="B5758" s="2" t="s">
        <v>12507</v>
      </c>
      <c r="C5758" s="2" t="s">
        <v>7596</v>
      </c>
    </row>
    <row r="5759">
      <c r="A5759" s="2" t="s">
        <v>12508</v>
      </c>
      <c r="B5759" s="2" t="s">
        <v>12509</v>
      </c>
      <c r="C5759" s="2" t="s">
        <v>7596</v>
      </c>
    </row>
    <row r="5760">
      <c r="A5760" s="2" t="s">
        <v>12510</v>
      </c>
      <c r="B5760" s="2" t="s">
        <v>12511</v>
      </c>
      <c r="C5760" s="2" t="s">
        <v>7596</v>
      </c>
    </row>
    <row r="5761">
      <c r="A5761" s="2" t="s">
        <v>12512</v>
      </c>
      <c r="B5761" s="2" t="s">
        <v>12513</v>
      </c>
      <c r="C5761" s="2" t="s">
        <v>7596</v>
      </c>
    </row>
    <row r="5762">
      <c r="A5762" s="2" t="s">
        <v>12514</v>
      </c>
      <c r="B5762" s="2" t="s">
        <v>12515</v>
      </c>
      <c r="C5762" s="2" t="s">
        <v>7596</v>
      </c>
    </row>
    <row r="5763">
      <c r="A5763" s="2" t="s">
        <v>12516</v>
      </c>
      <c r="B5763" s="2" t="s">
        <v>12517</v>
      </c>
      <c r="C5763" s="2" t="s">
        <v>7596</v>
      </c>
    </row>
    <row r="5764">
      <c r="A5764" s="2" t="s">
        <v>12518</v>
      </c>
      <c r="B5764" s="2" t="s">
        <v>12519</v>
      </c>
      <c r="C5764" s="2" t="s">
        <v>7596</v>
      </c>
    </row>
    <row r="5765">
      <c r="A5765" s="2" t="s">
        <v>12520</v>
      </c>
      <c r="B5765" s="2" t="s">
        <v>12521</v>
      </c>
      <c r="C5765" s="2" t="s">
        <v>7596</v>
      </c>
    </row>
    <row r="5766">
      <c r="A5766" s="2" t="s">
        <v>12522</v>
      </c>
      <c r="B5766" s="2" t="s">
        <v>12521</v>
      </c>
      <c r="C5766" s="2" t="s">
        <v>7596</v>
      </c>
    </row>
    <row r="5767">
      <c r="A5767" s="2" t="s">
        <v>12523</v>
      </c>
      <c r="B5767" s="2" t="s">
        <v>12524</v>
      </c>
      <c r="C5767" s="2" t="s">
        <v>7596</v>
      </c>
    </row>
    <row r="5768">
      <c r="A5768" s="2" t="s">
        <v>12525</v>
      </c>
      <c r="B5768" s="2" t="s">
        <v>12526</v>
      </c>
      <c r="C5768" s="2" t="s">
        <v>7596</v>
      </c>
    </row>
    <row r="5769">
      <c r="A5769" s="2" t="s">
        <v>12527</v>
      </c>
      <c r="B5769" s="2" t="s">
        <v>12528</v>
      </c>
      <c r="C5769" s="2" t="s">
        <v>7596</v>
      </c>
    </row>
    <row r="5770">
      <c r="A5770" s="2" t="s">
        <v>12529</v>
      </c>
      <c r="B5770" s="2" t="s">
        <v>12530</v>
      </c>
      <c r="C5770" s="2" t="s">
        <v>7596</v>
      </c>
    </row>
    <row r="5771">
      <c r="A5771" s="2" t="s">
        <v>12531</v>
      </c>
      <c r="B5771" s="2" t="s">
        <v>12532</v>
      </c>
      <c r="C5771" s="2" t="s">
        <v>7596</v>
      </c>
    </row>
    <row r="5772">
      <c r="A5772" s="2" t="s">
        <v>12533</v>
      </c>
      <c r="B5772" s="2" t="s">
        <v>12532</v>
      </c>
      <c r="C5772" s="2" t="s">
        <v>7596</v>
      </c>
    </row>
    <row r="5773">
      <c r="A5773" s="2" t="s">
        <v>12534</v>
      </c>
      <c r="B5773" s="2" t="s">
        <v>12532</v>
      </c>
      <c r="C5773" s="2" t="s">
        <v>7596</v>
      </c>
    </row>
    <row r="5774">
      <c r="A5774" s="2" t="s">
        <v>12535</v>
      </c>
      <c r="B5774" s="2" t="s">
        <v>12532</v>
      </c>
      <c r="C5774" s="2" t="s">
        <v>7596</v>
      </c>
    </row>
    <row r="5775">
      <c r="A5775" s="2" t="s">
        <v>12536</v>
      </c>
      <c r="B5775" s="2" t="s">
        <v>12537</v>
      </c>
      <c r="C5775" s="2" t="s">
        <v>7596</v>
      </c>
    </row>
    <row r="5776">
      <c r="A5776" s="2" t="s">
        <v>12538</v>
      </c>
      <c r="B5776" s="2" t="s">
        <v>12539</v>
      </c>
      <c r="C5776" s="2" t="s">
        <v>7596</v>
      </c>
    </row>
    <row r="5777">
      <c r="A5777" s="2" t="s">
        <v>12540</v>
      </c>
      <c r="B5777" s="2" t="s">
        <v>12541</v>
      </c>
      <c r="C5777" s="2" t="s">
        <v>7596</v>
      </c>
    </row>
    <row r="5778">
      <c r="A5778" s="2" t="s">
        <v>12542</v>
      </c>
      <c r="B5778" s="2" t="s">
        <v>12541</v>
      </c>
      <c r="C5778" s="2" t="s">
        <v>7596</v>
      </c>
    </row>
    <row r="5779">
      <c r="A5779" s="2" t="s">
        <v>12543</v>
      </c>
      <c r="B5779" s="2" t="s">
        <v>12544</v>
      </c>
      <c r="C5779" s="2" t="s">
        <v>7596</v>
      </c>
    </row>
    <row r="5780">
      <c r="A5780" s="2" t="s">
        <v>12545</v>
      </c>
      <c r="B5780" s="2" t="s">
        <v>12546</v>
      </c>
      <c r="C5780" s="2" t="s">
        <v>7596</v>
      </c>
    </row>
    <row r="5781">
      <c r="A5781" s="2" t="s">
        <v>12547</v>
      </c>
      <c r="B5781" s="2" t="s">
        <v>12548</v>
      </c>
      <c r="C5781" s="2" t="s">
        <v>7596</v>
      </c>
    </row>
    <row r="5782">
      <c r="A5782" s="2" t="s">
        <v>12549</v>
      </c>
      <c r="B5782" s="2" t="s">
        <v>12550</v>
      </c>
      <c r="C5782" s="2" t="s">
        <v>7596</v>
      </c>
    </row>
    <row r="5783">
      <c r="A5783" s="2" t="s">
        <v>12551</v>
      </c>
      <c r="B5783" s="2" t="s">
        <v>12552</v>
      </c>
      <c r="C5783" s="2" t="s">
        <v>7596</v>
      </c>
    </row>
    <row r="5784">
      <c r="A5784" s="2" t="s">
        <v>12553</v>
      </c>
      <c r="B5784" s="2" t="s">
        <v>12552</v>
      </c>
      <c r="C5784" s="2" t="s">
        <v>7596</v>
      </c>
    </row>
    <row r="5785">
      <c r="A5785" s="2" t="s">
        <v>12554</v>
      </c>
      <c r="B5785" s="2" t="s">
        <v>12555</v>
      </c>
      <c r="C5785" s="2" t="s">
        <v>7596</v>
      </c>
    </row>
    <row r="5786">
      <c r="A5786" s="2" t="s">
        <v>12556</v>
      </c>
      <c r="B5786" s="2" t="s">
        <v>12557</v>
      </c>
      <c r="C5786" s="2" t="s">
        <v>7596</v>
      </c>
    </row>
    <row r="5787">
      <c r="A5787" s="2" t="s">
        <v>12558</v>
      </c>
      <c r="B5787" s="2" t="s">
        <v>12559</v>
      </c>
      <c r="C5787" s="2" t="s">
        <v>7596</v>
      </c>
    </row>
    <row r="5788">
      <c r="A5788" s="2" t="s">
        <v>12560</v>
      </c>
      <c r="B5788" s="2" t="s">
        <v>12561</v>
      </c>
      <c r="C5788" s="2" t="s">
        <v>7596</v>
      </c>
    </row>
    <row r="5789">
      <c r="A5789" s="2" t="s">
        <v>12562</v>
      </c>
      <c r="B5789" s="2" t="s">
        <v>12561</v>
      </c>
      <c r="C5789" s="2" t="s">
        <v>7596</v>
      </c>
    </row>
    <row r="5790">
      <c r="A5790" s="2" t="s">
        <v>12563</v>
      </c>
      <c r="B5790" s="2" t="s">
        <v>12561</v>
      </c>
      <c r="C5790" s="2" t="s">
        <v>7596</v>
      </c>
    </row>
    <row r="5791">
      <c r="A5791" s="2" t="s">
        <v>12564</v>
      </c>
      <c r="B5791" s="2" t="s">
        <v>12565</v>
      </c>
      <c r="C5791" s="2" t="s">
        <v>7596</v>
      </c>
    </row>
    <row r="5792">
      <c r="A5792" s="2" t="s">
        <v>12566</v>
      </c>
      <c r="B5792" s="2" t="s">
        <v>12567</v>
      </c>
      <c r="C5792" s="2" t="s">
        <v>7596</v>
      </c>
    </row>
    <row r="5793">
      <c r="A5793" s="2" t="s">
        <v>12568</v>
      </c>
      <c r="B5793" s="2" t="s">
        <v>12569</v>
      </c>
      <c r="C5793" s="2" t="s">
        <v>7596</v>
      </c>
    </row>
    <row r="5794">
      <c r="A5794" s="2" t="s">
        <v>12570</v>
      </c>
      <c r="B5794" s="2" t="s">
        <v>12571</v>
      </c>
      <c r="C5794" s="2" t="s">
        <v>7596</v>
      </c>
    </row>
    <row r="5795">
      <c r="A5795" s="2" t="s">
        <v>12572</v>
      </c>
      <c r="B5795" s="2" t="s">
        <v>12573</v>
      </c>
      <c r="C5795" s="2" t="s">
        <v>7596</v>
      </c>
    </row>
    <row r="5796">
      <c r="A5796" s="2" t="s">
        <v>12574</v>
      </c>
      <c r="B5796" s="2" t="s">
        <v>12575</v>
      </c>
      <c r="C5796" s="2" t="s">
        <v>7596</v>
      </c>
    </row>
    <row r="5797">
      <c r="A5797" s="2" t="s">
        <v>12576</v>
      </c>
      <c r="B5797" s="2" t="s">
        <v>12577</v>
      </c>
      <c r="C5797" s="2" t="s">
        <v>7596</v>
      </c>
    </row>
    <row r="5798">
      <c r="A5798" s="2" t="s">
        <v>12578</v>
      </c>
      <c r="B5798" s="2" t="s">
        <v>12579</v>
      </c>
      <c r="C5798" s="2" t="s">
        <v>7596</v>
      </c>
    </row>
    <row r="5799">
      <c r="A5799" s="2" t="s">
        <v>12580</v>
      </c>
      <c r="B5799" s="2" t="s">
        <v>12581</v>
      </c>
      <c r="C5799" s="2" t="s">
        <v>7596</v>
      </c>
    </row>
    <row r="5800">
      <c r="A5800" s="2" t="s">
        <v>12582</v>
      </c>
      <c r="B5800" s="2" t="s">
        <v>12583</v>
      </c>
      <c r="C5800" s="2" t="s">
        <v>7596</v>
      </c>
    </row>
    <row r="5801">
      <c r="A5801" s="2" t="s">
        <v>12584</v>
      </c>
      <c r="B5801" s="2" t="s">
        <v>12585</v>
      </c>
      <c r="C5801" s="2" t="s">
        <v>7596</v>
      </c>
    </row>
    <row r="5802">
      <c r="A5802" s="2" t="s">
        <v>12586</v>
      </c>
      <c r="B5802" s="2" t="s">
        <v>12587</v>
      </c>
      <c r="C5802" s="2" t="s">
        <v>7596</v>
      </c>
    </row>
    <row r="5803">
      <c r="A5803" s="2" t="s">
        <v>12588</v>
      </c>
      <c r="B5803" s="2" t="s">
        <v>12589</v>
      </c>
      <c r="C5803" s="2" t="s">
        <v>7596</v>
      </c>
    </row>
    <row r="5804">
      <c r="A5804" s="2" t="s">
        <v>12590</v>
      </c>
      <c r="B5804" s="2" t="s">
        <v>12591</v>
      </c>
      <c r="C5804" s="2" t="s">
        <v>7596</v>
      </c>
    </row>
    <row r="5805">
      <c r="A5805" s="2" t="s">
        <v>12592</v>
      </c>
      <c r="B5805" s="2" t="s">
        <v>12593</v>
      </c>
      <c r="C5805" s="2" t="s">
        <v>7596</v>
      </c>
    </row>
    <row r="5806">
      <c r="A5806" s="2" t="s">
        <v>12594</v>
      </c>
      <c r="B5806" s="2" t="s">
        <v>12595</v>
      </c>
      <c r="C5806" s="2" t="s">
        <v>7596</v>
      </c>
    </row>
    <row r="5807">
      <c r="A5807" s="2" t="s">
        <v>12596</v>
      </c>
      <c r="B5807" s="2" t="s">
        <v>12597</v>
      </c>
      <c r="C5807" s="2" t="s">
        <v>7596</v>
      </c>
    </row>
    <row r="5808">
      <c r="A5808" s="2" t="s">
        <v>12598</v>
      </c>
      <c r="B5808" s="2" t="s">
        <v>12599</v>
      </c>
      <c r="C5808" s="2" t="s">
        <v>7596</v>
      </c>
    </row>
    <row r="5809">
      <c r="A5809" s="2" t="s">
        <v>12600</v>
      </c>
      <c r="B5809" s="2" t="s">
        <v>12601</v>
      </c>
      <c r="C5809" s="2" t="s">
        <v>7596</v>
      </c>
    </row>
    <row r="5810">
      <c r="A5810" s="2" t="s">
        <v>12602</v>
      </c>
      <c r="B5810" s="2" t="s">
        <v>12603</v>
      </c>
      <c r="C5810" s="2" t="s">
        <v>7596</v>
      </c>
    </row>
    <row r="5811">
      <c r="A5811" s="2" t="s">
        <v>12604</v>
      </c>
      <c r="B5811" s="2" t="s">
        <v>12605</v>
      </c>
      <c r="C5811" s="2" t="s">
        <v>7596</v>
      </c>
    </row>
    <row r="5812">
      <c r="A5812" s="2" t="s">
        <v>12606</v>
      </c>
      <c r="B5812" s="2" t="s">
        <v>12607</v>
      </c>
      <c r="C5812" s="2" t="s">
        <v>7596</v>
      </c>
    </row>
    <row r="5813">
      <c r="A5813" s="2" t="s">
        <v>12608</v>
      </c>
      <c r="B5813" s="2" t="s">
        <v>12607</v>
      </c>
      <c r="C5813" s="2" t="s">
        <v>7596</v>
      </c>
    </row>
    <row r="5814">
      <c r="A5814" s="2" t="s">
        <v>12609</v>
      </c>
      <c r="B5814" s="2" t="s">
        <v>12607</v>
      </c>
      <c r="C5814" s="2" t="s">
        <v>7596</v>
      </c>
    </row>
    <row r="5815">
      <c r="A5815" s="2" t="s">
        <v>12610</v>
      </c>
      <c r="B5815" s="2" t="s">
        <v>12611</v>
      </c>
      <c r="C5815" s="2" t="s">
        <v>7596</v>
      </c>
    </row>
    <row r="5816">
      <c r="A5816" s="2" t="s">
        <v>12612</v>
      </c>
      <c r="B5816" s="2" t="s">
        <v>12613</v>
      </c>
      <c r="C5816" s="2" t="s">
        <v>7596</v>
      </c>
    </row>
    <row r="5817">
      <c r="A5817" s="2" t="s">
        <v>12614</v>
      </c>
      <c r="B5817" s="2" t="s">
        <v>12615</v>
      </c>
      <c r="C5817" s="2" t="s">
        <v>7596</v>
      </c>
    </row>
    <row r="5818">
      <c r="A5818" s="2" t="s">
        <v>12616</v>
      </c>
      <c r="B5818" s="2" t="s">
        <v>12615</v>
      </c>
      <c r="C5818" s="2" t="s">
        <v>7596</v>
      </c>
    </row>
    <row r="5819">
      <c r="A5819" s="2" t="s">
        <v>12617</v>
      </c>
      <c r="B5819" s="2" t="s">
        <v>12615</v>
      </c>
      <c r="C5819" s="2" t="s">
        <v>7596</v>
      </c>
    </row>
    <row r="5820">
      <c r="A5820" s="2" t="s">
        <v>12618</v>
      </c>
      <c r="B5820" s="2" t="s">
        <v>12619</v>
      </c>
      <c r="C5820" s="2" t="s">
        <v>7596</v>
      </c>
    </row>
    <row r="5821">
      <c r="A5821" s="2" t="s">
        <v>12620</v>
      </c>
      <c r="B5821" s="2" t="s">
        <v>12621</v>
      </c>
      <c r="C5821" s="2" t="s">
        <v>7596</v>
      </c>
    </row>
    <row r="5822">
      <c r="A5822" s="2" t="s">
        <v>12622</v>
      </c>
      <c r="B5822" s="2" t="s">
        <v>12621</v>
      </c>
      <c r="C5822" s="2" t="s">
        <v>7596</v>
      </c>
    </row>
    <row r="5823">
      <c r="A5823" s="2" t="s">
        <v>12623</v>
      </c>
      <c r="B5823" s="2" t="s">
        <v>12624</v>
      </c>
      <c r="C5823" s="2" t="s">
        <v>7596</v>
      </c>
    </row>
    <row r="5824">
      <c r="A5824" s="2" t="s">
        <v>12625</v>
      </c>
      <c r="B5824" s="2" t="s">
        <v>12626</v>
      </c>
      <c r="C5824" s="2" t="s">
        <v>7596</v>
      </c>
    </row>
    <row r="5825">
      <c r="A5825" s="2" t="s">
        <v>12627</v>
      </c>
      <c r="B5825" s="2" t="s">
        <v>12628</v>
      </c>
      <c r="C5825" s="2" t="s">
        <v>7596</v>
      </c>
    </row>
    <row r="5826">
      <c r="A5826" s="2" t="s">
        <v>12629</v>
      </c>
      <c r="B5826" s="2" t="s">
        <v>12630</v>
      </c>
      <c r="C5826" s="2" t="s">
        <v>7596</v>
      </c>
    </row>
    <row r="5827">
      <c r="A5827" s="2" t="s">
        <v>12631</v>
      </c>
      <c r="B5827" s="2" t="s">
        <v>12632</v>
      </c>
      <c r="C5827" s="2" t="s">
        <v>7596</v>
      </c>
    </row>
    <row r="5828">
      <c r="A5828" s="2" t="s">
        <v>12633</v>
      </c>
      <c r="B5828" s="2" t="s">
        <v>12634</v>
      </c>
      <c r="C5828" s="2" t="s">
        <v>7596</v>
      </c>
    </row>
    <row r="5829">
      <c r="A5829" s="2" t="s">
        <v>12635</v>
      </c>
      <c r="B5829" s="2" t="s">
        <v>12636</v>
      </c>
      <c r="C5829" s="2" t="s">
        <v>7596</v>
      </c>
    </row>
    <row r="5830">
      <c r="A5830" s="2" t="s">
        <v>12637</v>
      </c>
      <c r="B5830" s="2" t="s">
        <v>12638</v>
      </c>
      <c r="C5830" s="2" t="s">
        <v>7596</v>
      </c>
    </row>
    <row r="5831">
      <c r="A5831" s="2" t="s">
        <v>12639</v>
      </c>
      <c r="B5831" s="2" t="s">
        <v>12640</v>
      </c>
      <c r="C5831" s="2" t="s">
        <v>7596</v>
      </c>
    </row>
    <row r="5832">
      <c r="A5832" s="2" t="s">
        <v>12641</v>
      </c>
      <c r="B5832" s="2" t="s">
        <v>12642</v>
      </c>
      <c r="C5832" s="2" t="s">
        <v>7596</v>
      </c>
    </row>
    <row r="5833">
      <c r="A5833" s="2" t="s">
        <v>12643</v>
      </c>
      <c r="B5833" s="2" t="s">
        <v>12644</v>
      </c>
      <c r="C5833" s="2" t="s">
        <v>7596</v>
      </c>
    </row>
    <row r="5834">
      <c r="A5834" s="2" t="s">
        <v>12645</v>
      </c>
      <c r="B5834" s="2" t="s">
        <v>12646</v>
      </c>
      <c r="C5834" s="2" t="s">
        <v>7596</v>
      </c>
    </row>
    <row r="5835">
      <c r="A5835" s="2" t="s">
        <v>12647</v>
      </c>
      <c r="B5835" s="2" t="s">
        <v>12648</v>
      </c>
      <c r="C5835" s="2" t="s">
        <v>7596</v>
      </c>
    </row>
    <row r="5836">
      <c r="A5836" s="2" t="s">
        <v>12649</v>
      </c>
      <c r="B5836" s="2" t="s">
        <v>12650</v>
      </c>
      <c r="C5836" s="2" t="s">
        <v>7596</v>
      </c>
    </row>
    <row r="5837">
      <c r="A5837" s="2" t="s">
        <v>12651</v>
      </c>
      <c r="B5837" s="2" t="s">
        <v>12652</v>
      </c>
      <c r="C5837" s="2" t="s">
        <v>7596</v>
      </c>
    </row>
    <row r="5838">
      <c r="A5838" s="2" t="s">
        <v>12653</v>
      </c>
      <c r="B5838" s="2" t="s">
        <v>12654</v>
      </c>
      <c r="C5838" s="2" t="s">
        <v>7596</v>
      </c>
    </row>
    <row r="5839">
      <c r="A5839" s="2" t="s">
        <v>12655</v>
      </c>
      <c r="B5839" s="2" t="s">
        <v>12656</v>
      </c>
      <c r="C5839" s="2" t="s">
        <v>7596</v>
      </c>
    </row>
    <row r="5840">
      <c r="A5840" s="2" t="s">
        <v>12657</v>
      </c>
      <c r="B5840" s="2" t="s">
        <v>12658</v>
      </c>
      <c r="C5840" s="2" t="s">
        <v>7596</v>
      </c>
    </row>
    <row r="5841">
      <c r="A5841" s="2" t="s">
        <v>12659</v>
      </c>
      <c r="B5841" s="2" t="s">
        <v>12660</v>
      </c>
      <c r="C5841" s="2" t="s">
        <v>7596</v>
      </c>
    </row>
    <row r="5842">
      <c r="A5842" s="2" t="s">
        <v>12661</v>
      </c>
      <c r="B5842" s="2" t="s">
        <v>12662</v>
      </c>
      <c r="C5842" s="2" t="s">
        <v>7596</v>
      </c>
    </row>
    <row r="5843">
      <c r="A5843" s="2" t="s">
        <v>12663</v>
      </c>
      <c r="B5843" s="2" t="s">
        <v>12664</v>
      </c>
      <c r="C5843" s="2" t="s">
        <v>7596</v>
      </c>
    </row>
    <row r="5844">
      <c r="A5844" s="2" t="s">
        <v>12665</v>
      </c>
      <c r="B5844" s="2" t="s">
        <v>12666</v>
      </c>
      <c r="C5844" s="2" t="s">
        <v>7596</v>
      </c>
    </row>
    <row r="5845">
      <c r="A5845" s="2" t="s">
        <v>12667</v>
      </c>
      <c r="B5845" s="2" t="s">
        <v>12668</v>
      </c>
      <c r="C5845" s="2" t="s">
        <v>7596</v>
      </c>
    </row>
    <row r="5846">
      <c r="A5846" s="2" t="s">
        <v>12669</v>
      </c>
      <c r="B5846" s="2" t="s">
        <v>12670</v>
      </c>
      <c r="C5846" s="2" t="s">
        <v>7596</v>
      </c>
    </row>
    <row r="5847">
      <c r="A5847" s="2" t="s">
        <v>12671</v>
      </c>
      <c r="B5847" s="2" t="s">
        <v>12672</v>
      </c>
      <c r="C5847" s="2" t="s">
        <v>7596</v>
      </c>
    </row>
    <row r="5848">
      <c r="A5848" s="2" t="s">
        <v>12673</v>
      </c>
      <c r="B5848" s="2" t="s">
        <v>12674</v>
      </c>
      <c r="C5848" s="2" t="s">
        <v>7596</v>
      </c>
    </row>
    <row r="5849">
      <c r="A5849" s="2" t="s">
        <v>12675</v>
      </c>
      <c r="B5849" s="2" t="s">
        <v>12676</v>
      </c>
      <c r="C5849" s="2" t="s">
        <v>7596</v>
      </c>
    </row>
    <row r="5850">
      <c r="A5850" s="2" t="s">
        <v>12677</v>
      </c>
      <c r="B5850" s="2" t="s">
        <v>12678</v>
      </c>
      <c r="C5850" s="2" t="s">
        <v>7596</v>
      </c>
    </row>
    <row r="5851">
      <c r="A5851" s="2" t="s">
        <v>12679</v>
      </c>
      <c r="B5851" s="2" t="s">
        <v>12680</v>
      </c>
      <c r="C5851" s="2" t="s">
        <v>7596</v>
      </c>
    </row>
    <row r="5852">
      <c r="A5852" s="2" t="s">
        <v>12681</v>
      </c>
      <c r="B5852" s="2" t="s">
        <v>12682</v>
      </c>
      <c r="C5852" s="2" t="s">
        <v>7596</v>
      </c>
    </row>
    <row r="5853">
      <c r="A5853" s="2" t="s">
        <v>12683</v>
      </c>
      <c r="B5853" s="2" t="s">
        <v>12684</v>
      </c>
      <c r="C5853" s="2" t="s">
        <v>7596</v>
      </c>
    </row>
    <row r="5854">
      <c r="A5854" s="2" t="s">
        <v>12685</v>
      </c>
      <c r="B5854" s="2" t="s">
        <v>12686</v>
      </c>
      <c r="C5854" s="2" t="s">
        <v>7596</v>
      </c>
    </row>
    <row r="5855">
      <c r="A5855" s="2" t="s">
        <v>12687</v>
      </c>
      <c r="B5855" s="2" t="s">
        <v>12688</v>
      </c>
      <c r="C5855" s="2" t="s">
        <v>7596</v>
      </c>
    </row>
    <row r="5856">
      <c r="A5856" s="2" t="s">
        <v>12689</v>
      </c>
      <c r="B5856" s="2" t="s">
        <v>12690</v>
      </c>
      <c r="C5856" s="2" t="s">
        <v>7596</v>
      </c>
    </row>
    <row r="5857">
      <c r="A5857" s="2" t="s">
        <v>12691</v>
      </c>
      <c r="B5857" s="2" t="s">
        <v>12692</v>
      </c>
      <c r="C5857" s="2" t="s">
        <v>7596</v>
      </c>
    </row>
    <row r="5858">
      <c r="A5858" s="2" t="s">
        <v>12693</v>
      </c>
      <c r="B5858" s="2" t="s">
        <v>12694</v>
      </c>
      <c r="C5858" s="2" t="s">
        <v>7596</v>
      </c>
    </row>
    <row r="5859">
      <c r="A5859" s="2" t="s">
        <v>12695</v>
      </c>
      <c r="B5859" s="2" t="s">
        <v>12696</v>
      </c>
      <c r="C5859" s="2" t="s">
        <v>7596</v>
      </c>
    </row>
    <row r="5860">
      <c r="A5860" s="2" t="s">
        <v>12697</v>
      </c>
      <c r="B5860" s="2" t="s">
        <v>12698</v>
      </c>
      <c r="C5860" s="2" t="s">
        <v>7596</v>
      </c>
    </row>
    <row r="5861">
      <c r="A5861" s="2" t="s">
        <v>12699</v>
      </c>
      <c r="B5861" s="2" t="s">
        <v>12700</v>
      </c>
      <c r="C5861" s="2" t="s">
        <v>7596</v>
      </c>
    </row>
    <row r="5862">
      <c r="A5862" s="2" t="s">
        <v>12701</v>
      </c>
      <c r="B5862" s="2" t="s">
        <v>12702</v>
      </c>
      <c r="C5862" s="2" t="s">
        <v>7596</v>
      </c>
    </row>
    <row r="5863">
      <c r="A5863" s="2" t="s">
        <v>12703</v>
      </c>
      <c r="B5863" s="2" t="s">
        <v>12704</v>
      </c>
      <c r="C5863" s="2" t="s">
        <v>7596</v>
      </c>
    </row>
    <row r="5864">
      <c r="A5864" s="2" t="s">
        <v>12705</v>
      </c>
      <c r="B5864" s="2" t="s">
        <v>12706</v>
      </c>
      <c r="C5864" s="2" t="s">
        <v>7596</v>
      </c>
    </row>
    <row r="5865">
      <c r="A5865" s="2" t="s">
        <v>12707</v>
      </c>
      <c r="B5865" s="2" t="s">
        <v>12708</v>
      </c>
      <c r="C5865" s="2" t="s">
        <v>7596</v>
      </c>
    </row>
    <row r="5866">
      <c r="A5866" s="2" t="s">
        <v>12709</v>
      </c>
      <c r="B5866" s="2" t="s">
        <v>12710</v>
      </c>
      <c r="C5866" s="2" t="s">
        <v>7596</v>
      </c>
    </row>
    <row r="5867">
      <c r="A5867" s="2" t="s">
        <v>12711</v>
      </c>
      <c r="B5867" s="2" t="s">
        <v>12712</v>
      </c>
      <c r="C5867" s="2" t="s">
        <v>7596</v>
      </c>
    </row>
    <row r="5868">
      <c r="A5868" s="2" t="s">
        <v>12713</v>
      </c>
      <c r="B5868" s="2" t="s">
        <v>12714</v>
      </c>
      <c r="C5868" s="2" t="s">
        <v>7596</v>
      </c>
    </row>
    <row r="5869">
      <c r="A5869" s="2" t="s">
        <v>12715</v>
      </c>
      <c r="B5869" s="2" t="s">
        <v>12716</v>
      </c>
      <c r="C5869" s="2" t="s">
        <v>7596</v>
      </c>
    </row>
    <row r="5870">
      <c r="A5870" s="2" t="s">
        <v>12717</v>
      </c>
      <c r="B5870" s="2" t="s">
        <v>12718</v>
      </c>
      <c r="C5870" s="2" t="s">
        <v>7596</v>
      </c>
    </row>
    <row r="5871">
      <c r="A5871" s="2" t="s">
        <v>12719</v>
      </c>
      <c r="B5871" s="2" t="s">
        <v>12720</v>
      </c>
      <c r="C5871" s="2" t="s">
        <v>7596</v>
      </c>
    </row>
    <row r="5872">
      <c r="A5872" s="2" t="s">
        <v>12721</v>
      </c>
      <c r="B5872" s="2" t="s">
        <v>12722</v>
      </c>
      <c r="C5872" s="2" t="s">
        <v>7596</v>
      </c>
    </row>
    <row r="5873">
      <c r="A5873" s="2" t="s">
        <v>12723</v>
      </c>
      <c r="B5873" s="2" t="s">
        <v>12724</v>
      </c>
      <c r="C5873" s="2" t="s">
        <v>7596</v>
      </c>
    </row>
    <row r="5874">
      <c r="A5874" s="2" t="s">
        <v>12725</v>
      </c>
      <c r="B5874" s="2" t="s">
        <v>12726</v>
      </c>
      <c r="C5874" s="2" t="s">
        <v>7596</v>
      </c>
    </row>
    <row r="5875">
      <c r="A5875" s="2" t="s">
        <v>12727</v>
      </c>
      <c r="B5875" s="2" t="s">
        <v>12728</v>
      </c>
      <c r="C5875" s="2" t="s">
        <v>7596</v>
      </c>
    </row>
    <row r="5876">
      <c r="A5876" s="2" t="s">
        <v>12729</v>
      </c>
      <c r="B5876" s="2" t="s">
        <v>12730</v>
      </c>
      <c r="C5876" s="2" t="s">
        <v>7596</v>
      </c>
    </row>
    <row r="5877">
      <c r="A5877" s="2" t="s">
        <v>12731</v>
      </c>
      <c r="B5877" s="2" t="s">
        <v>12732</v>
      </c>
      <c r="C5877" s="2" t="s">
        <v>7596</v>
      </c>
    </row>
    <row r="5878">
      <c r="A5878" s="2" t="s">
        <v>12733</v>
      </c>
      <c r="B5878" s="2" t="s">
        <v>12734</v>
      </c>
      <c r="C5878" s="2" t="s">
        <v>7596</v>
      </c>
    </row>
    <row r="5879">
      <c r="A5879" s="2" t="s">
        <v>12735</v>
      </c>
      <c r="B5879" s="2" t="s">
        <v>12736</v>
      </c>
      <c r="C5879" s="2" t="s">
        <v>7596</v>
      </c>
    </row>
    <row r="5880">
      <c r="A5880" s="2" t="s">
        <v>12737</v>
      </c>
      <c r="B5880" s="2" t="s">
        <v>12738</v>
      </c>
      <c r="C5880" s="2" t="s">
        <v>7596</v>
      </c>
    </row>
    <row r="5881">
      <c r="A5881" s="2" t="s">
        <v>12739</v>
      </c>
      <c r="B5881" s="2" t="s">
        <v>12740</v>
      </c>
      <c r="C5881" s="2" t="s">
        <v>7596</v>
      </c>
    </row>
    <row r="5882">
      <c r="A5882" s="2" t="s">
        <v>12741</v>
      </c>
      <c r="B5882" s="2" t="s">
        <v>12742</v>
      </c>
      <c r="C5882" s="2" t="s">
        <v>7596</v>
      </c>
    </row>
    <row r="5883">
      <c r="A5883" s="2" t="s">
        <v>12743</v>
      </c>
      <c r="B5883" s="2" t="s">
        <v>12744</v>
      </c>
      <c r="C5883" s="2" t="s">
        <v>7596</v>
      </c>
    </row>
    <row r="5884">
      <c r="A5884" s="2" t="s">
        <v>12745</v>
      </c>
      <c r="B5884" s="2" t="s">
        <v>12746</v>
      </c>
      <c r="C5884" s="2" t="s">
        <v>7596</v>
      </c>
    </row>
    <row r="5885">
      <c r="A5885" s="2" t="s">
        <v>12747</v>
      </c>
      <c r="B5885" s="2" t="s">
        <v>12748</v>
      </c>
      <c r="C5885" s="2" t="s">
        <v>7596</v>
      </c>
    </row>
    <row r="5886">
      <c r="A5886" s="2" t="s">
        <v>12749</v>
      </c>
      <c r="B5886" s="2" t="s">
        <v>12750</v>
      </c>
      <c r="C5886" s="2" t="s">
        <v>7596</v>
      </c>
    </row>
    <row r="5887">
      <c r="A5887" s="2" t="s">
        <v>12751</v>
      </c>
      <c r="B5887" s="2" t="s">
        <v>12752</v>
      </c>
      <c r="C5887" s="2" t="s">
        <v>7596</v>
      </c>
    </row>
    <row r="5888">
      <c r="A5888" s="2" t="s">
        <v>12753</v>
      </c>
      <c r="B5888" s="2" t="s">
        <v>12754</v>
      </c>
      <c r="C5888" s="2" t="s">
        <v>7596</v>
      </c>
    </row>
    <row r="5889">
      <c r="A5889" s="2" t="s">
        <v>12755</v>
      </c>
      <c r="B5889" s="2" t="s">
        <v>12756</v>
      </c>
      <c r="C5889" s="2" t="s">
        <v>7596</v>
      </c>
    </row>
    <row r="5890">
      <c r="A5890" s="2" t="s">
        <v>12757</v>
      </c>
      <c r="B5890" s="2" t="s">
        <v>12758</v>
      </c>
      <c r="C5890" s="2" t="s">
        <v>7596</v>
      </c>
    </row>
    <row r="5891">
      <c r="A5891" s="2" t="s">
        <v>12759</v>
      </c>
      <c r="B5891" s="2" t="s">
        <v>12760</v>
      </c>
      <c r="C5891" s="2" t="s">
        <v>7596</v>
      </c>
    </row>
    <row r="5892">
      <c r="A5892" s="2" t="s">
        <v>12761</v>
      </c>
      <c r="B5892" s="2" t="s">
        <v>12762</v>
      </c>
      <c r="C5892" s="2" t="s">
        <v>7596</v>
      </c>
    </row>
    <row r="5893">
      <c r="A5893" s="2" t="s">
        <v>12763</v>
      </c>
      <c r="B5893" s="2" t="s">
        <v>12764</v>
      </c>
      <c r="C5893" s="2" t="s">
        <v>7596</v>
      </c>
    </row>
    <row r="5894">
      <c r="A5894" s="2" t="s">
        <v>12765</v>
      </c>
      <c r="B5894" s="2" t="s">
        <v>12766</v>
      </c>
      <c r="C5894" s="2" t="s">
        <v>7596</v>
      </c>
    </row>
    <row r="5895">
      <c r="A5895" s="2" t="s">
        <v>12767</v>
      </c>
      <c r="B5895" s="2" t="s">
        <v>12768</v>
      </c>
      <c r="C5895" s="2" t="s">
        <v>7596</v>
      </c>
    </row>
    <row r="5896">
      <c r="A5896" s="2" t="s">
        <v>12769</v>
      </c>
      <c r="B5896" s="2" t="s">
        <v>12770</v>
      </c>
      <c r="C5896" s="2" t="s">
        <v>7596</v>
      </c>
    </row>
    <row r="5897">
      <c r="A5897" s="2" t="s">
        <v>12771</v>
      </c>
      <c r="B5897" s="2" t="s">
        <v>12772</v>
      </c>
      <c r="C5897" s="2" t="s">
        <v>7596</v>
      </c>
    </row>
    <row r="5898">
      <c r="A5898" s="2" t="s">
        <v>12773</v>
      </c>
      <c r="B5898" s="2" t="s">
        <v>12774</v>
      </c>
      <c r="C5898" s="2" t="s">
        <v>7596</v>
      </c>
    </row>
    <row r="5899">
      <c r="A5899" s="2" t="s">
        <v>12775</v>
      </c>
      <c r="B5899" s="2" t="s">
        <v>12776</v>
      </c>
      <c r="C5899" s="2" t="s">
        <v>7596</v>
      </c>
    </row>
    <row r="5900">
      <c r="A5900" s="2" t="s">
        <v>12777</v>
      </c>
      <c r="B5900" s="2" t="s">
        <v>12778</v>
      </c>
      <c r="C5900" s="2" t="s">
        <v>7596</v>
      </c>
    </row>
    <row r="5901">
      <c r="A5901" s="2" t="s">
        <v>12779</v>
      </c>
      <c r="B5901" s="2" t="s">
        <v>12780</v>
      </c>
      <c r="C5901" s="2" t="s">
        <v>7596</v>
      </c>
    </row>
    <row r="5902">
      <c r="A5902" s="2" t="s">
        <v>12781</v>
      </c>
      <c r="B5902" s="2" t="s">
        <v>12782</v>
      </c>
      <c r="C5902" s="2" t="s">
        <v>7596</v>
      </c>
    </row>
    <row r="5903">
      <c r="A5903" s="2" t="s">
        <v>12783</v>
      </c>
      <c r="B5903" s="2" t="s">
        <v>12784</v>
      </c>
      <c r="C5903" s="2" t="s">
        <v>7596</v>
      </c>
    </row>
    <row r="5904">
      <c r="A5904" s="2" t="s">
        <v>12785</v>
      </c>
      <c r="B5904" s="2" t="s">
        <v>12786</v>
      </c>
      <c r="C5904" s="2" t="s">
        <v>7596</v>
      </c>
    </row>
    <row r="5905">
      <c r="A5905" s="2" t="s">
        <v>12787</v>
      </c>
      <c r="B5905" s="2" t="s">
        <v>12788</v>
      </c>
      <c r="C5905" s="2" t="s">
        <v>7596</v>
      </c>
    </row>
    <row r="5906">
      <c r="A5906" s="2" t="s">
        <v>12789</v>
      </c>
      <c r="B5906" s="2" t="s">
        <v>12790</v>
      </c>
      <c r="C5906" s="2" t="s">
        <v>7596</v>
      </c>
    </row>
    <row r="5907">
      <c r="A5907" s="2" t="s">
        <v>12791</v>
      </c>
      <c r="B5907" s="2" t="s">
        <v>12792</v>
      </c>
      <c r="C5907" s="2" t="s">
        <v>7596</v>
      </c>
    </row>
    <row r="5908">
      <c r="A5908" s="2" t="s">
        <v>12793</v>
      </c>
      <c r="B5908" s="2" t="s">
        <v>12794</v>
      </c>
      <c r="C5908" s="2" t="s">
        <v>7596</v>
      </c>
    </row>
    <row r="5909">
      <c r="A5909" s="2" t="s">
        <v>12795</v>
      </c>
      <c r="B5909" s="2" t="s">
        <v>12796</v>
      </c>
      <c r="C5909" s="2" t="s">
        <v>7596</v>
      </c>
    </row>
    <row r="5910">
      <c r="A5910" s="2" t="s">
        <v>12797</v>
      </c>
      <c r="B5910" s="2" t="s">
        <v>12798</v>
      </c>
      <c r="C5910" s="2" t="s">
        <v>7596</v>
      </c>
    </row>
    <row r="5911">
      <c r="A5911" s="2" t="s">
        <v>12799</v>
      </c>
      <c r="B5911" s="2" t="s">
        <v>12800</v>
      </c>
      <c r="C5911" s="2" t="s">
        <v>7596</v>
      </c>
    </row>
    <row r="5912">
      <c r="A5912" s="2" t="s">
        <v>12801</v>
      </c>
      <c r="B5912" s="2" t="s">
        <v>12802</v>
      </c>
      <c r="C5912" s="2" t="s">
        <v>7596</v>
      </c>
    </row>
    <row r="5913">
      <c r="A5913" s="2" t="s">
        <v>12803</v>
      </c>
      <c r="B5913" s="2" t="s">
        <v>12804</v>
      </c>
      <c r="C5913" s="2" t="s">
        <v>7596</v>
      </c>
    </row>
    <row r="5914">
      <c r="A5914" s="2" t="s">
        <v>12805</v>
      </c>
      <c r="B5914" s="2" t="s">
        <v>12806</v>
      </c>
      <c r="C5914" s="2" t="s">
        <v>7596</v>
      </c>
    </row>
    <row r="5915">
      <c r="A5915" s="2" t="s">
        <v>12807</v>
      </c>
      <c r="B5915" s="2" t="s">
        <v>12808</v>
      </c>
      <c r="C5915" s="2" t="s">
        <v>7596</v>
      </c>
    </row>
    <row r="5916">
      <c r="A5916" s="2" t="s">
        <v>12809</v>
      </c>
      <c r="B5916" s="2" t="s">
        <v>12810</v>
      </c>
      <c r="C5916" s="2" t="s">
        <v>7596</v>
      </c>
    </row>
    <row r="5917">
      <c r="A5917" s="2" t="s">
        <v>12811</v>
      </c>
      <c r="B5917" s="2" t="s">
        <v>12812</v>
      </c>
      <c r="C5917" s="2" t="s">
        <v>7596</v>
      </c>
    </row>
    <row r="5918">
      <c r="A5918" s="2" t="s">
        <v>12813</v>
      </c>
      <c r="B5918" s="2" t="s">
        <v>12814</v>
      </c>
      <c r="C5918" s="2" t="s">
        <v>7596</v>
      </c>
    </row>
    <row r="5919">
      <c r="A5919" s="2" t="s">
        <v>12815</v>
      </c>
      <c r="B5919" s="2" t="s">
        <v>12816</v>
      </c>
      <c r="C5919" s="2" t="s">
        <v>7596</v>
      </c>
    </row>
    <row r="5920">
      <c r="A5920" s="2" t="s">
        <v>12817</v>
      </c>
      <c r="B5920" s="2" t="s">
        <v>12818</v>
      </c>
      <c r="C5920" s="2" t="s">
        <v>7596</v>
      </c>
    </row>
    <row r="5921">
      <c r="A5921" s="2" t="s">
        <v>12819</v>
      </c>
      <c r="B5921" s="2" t="s">
        <v>12820</v>
      </c>
      <c r="C5921" s="2" t="s">
        <v>7596</v>
      </c>
    </row>
    <row r="5922">
      <c r="A5922" s="2" t="s">
        <v>12821</v>
      </c>
      <c r="B5922" s="2" t="s">
        <v>12822</v>
      </c>
      <c r="C5922" s="2" t="s">
        <v>7596</v>
      </c>
    </row>
    <row r="5923">
      <c r="A5923" s="2" t="s">
        <v>12823</v>
      </c>
      <c r="B5923" s="2" t="s">
        <v>12824</v>
      </c>
      <c r="C5923" s="2" t="s">
        <v>7596</v>
      </c>
    </row>
    <row r="5924">
      <c r="A5924" s="2" t="s">
        <v>12825</v>
      </c>
      <c r="B5924" s="2" t="s">
        <v>12826</v>
      </c>
      <c r="C5924" s="2" t="s">
        <v>7596</v>
      </c>
    </row>
    <row r="5925">
      <c r="A5925" s="2" t="s">
        <v>12827</v>
      </c>
      <c r="B5925" s="2" t="s">
        <v>12828</v>
      </c>
      <c r="C5925" s="2" t="s">
        <v>7596</v>
      </c>
    </row>
    <row r="5926">
      <c r="A5926" s="2" t="s">
        <v>12829</v>
      </c>
      <c r="B5926" s="2" t="s">
        <v>12830</v>
      </c>
      <c r="C5926" s="2" t="s">
        <v>7596</v>
      </c>
    </row>
    <row r="5927">
      <c r="A5927" s="2" t="s">
        <v>12831</v>
      </c>
      <c r="B5927" s="2" t="s">
        <v>12832</v>
      </c>
      <c r="C5927" s="2" t="s">
        <v>7596</v>
      </c>
    </row>
    <row r="5928">
      <c r="A5928" s="2" t="s">
        <v>12833</v>
      </c>
      <c r="B5928" s="2" t="s">
        <v>12834</v>
      </c>
      <c r="C5928" s="2" t="s">
        <v>7596</v>
      </c>
    </row>
    <row r="5929">
      <c r="A5929" s="2" t="s">
        <v>12835</v>
      </c>
      <c r="B5929" s="2" t="s">
        <v>12836</v>
      </c>
      <c r="C5929" s="2" t="s">
        <v>7596</v>
      </c>
    </row>
    <row r="5930">
      <c r="A5930" s="2" t="s">
        <v>12837</v>
      </c>
      <c r="B5930" s="2" t="s">
        <v>12838</v>
      </c>
      <c r="C5930" s="2" t="s">
        <v>7596</v>
      </c>
    </row>
    <row r="5931">
      <c r="A5931" s="2" t="s">
        <v>12839</v>
      </c>
      <c r="B5931" s="2" t="s">
        <v>12840</v>
      </c>
      <c r="C5931" s="2" t="s">
        <v>7596</v>
      </c>
    </row>
    <row r="5932">
      <c r="A5932" s="2" t="s">
        <v>12841</v>
      </c>
      <c r="B5932" s="2" t="s">
        <v>12842</v>
      </c>
      <c r="C5932" s="2" t="s">
        <v>7596</v>
      </c>
    </row>
    <row r="5933">
      <c r="A5933" s="2" t="s">
        <v>12843</v>
      </c>
      <c r="B5933" s="2" t="s">
        <v>12844</v>
      </c>
      <c r="C5933" s="2" t="s">
        <v>7596</v>
      </c>
    </row>
    <row r="5934">
      <c r="A5934" s="2" t="s">
        <v>12845</v>
      </c>
      <c r="B5934" s="2" t="s">
        <v>12846</v>
      </c>
      <c r="C5934" s="2" t="s">
        <v>7596</v>
      </c>
    </row>
    <row r="5935">
      <c r="A5935" s="2" t="s">
        <v>12847</v>
      </c>
      <c r="B5935" s="2" t="s">
        <v>12848</v>
      </c>
      <c r="C5935" s="2" t="s">
        <v>7596</v>
      </c>
    </row>
    <row r="5936">
      <c r="A5936" s="2" t="s">
        <v>12849</v>
      </c>
      <c r="B5936" s="2" t="s">
        <v>12848</v>
      </c>
      <c r="C5936" s="2" t="s">
        <v>7596</v>
      </c>
    </row>
    <row r="5937">
      <c r="A5937" s="2" t="s">
        <v>12850</v>
      </c>
      <c r="B5937" s="2" t="s">
        <v>12851</v>
      </c>
      <c r="C5937" s="2" t="s">
        <v>7596</v>
      </c>
    </row>
    <row r="5938">
      <c r="A5938" s="2" t="s">
        <v>12852</v>
      </c>
      <c r="B5938" s="2" t="s">
        <v>12851</v>
      </c>
      <c r="C5938" s="2" t="s">
        <v>7596</v>
      </c>
    </row>
    <row r="5939">
      <c r="A5939" s="2" t="s">
        <v>12853</v>
      </c>
      <c r="B5939" s="2" t="s">
        <v>12854</v>
      </c>
      <c r="C5939" s="2" t="s">
        <v>7596</v>
      </c>
    </row>
    <row r="5940">
      <c r="A5940" s="2" t="s">
        <v>12855</v>
      </c>
      <c r="B5940" s="2" t="s">
        <v>12854</v>
      </c>
      <c r="C5940" s="2" t="s">
        <v>7596</v>
      </c>
    </row>
    <row r="5941">
      <c r="A5941" s="2" t="s">
        <v>12856</v>
      </c>
      <c r="B5941" s="2" t="s">
        <v>12857</v>
      </c>
      <c r="C5941" s="2" t="s">
        <v>7596</v>
      </c>
    </row>
    <row r="5942">
      <c r="A5942" s="2" t="s">
        <v>12858</v>
      </c>
      <c r="B5942" s="2" t="s">
        <v>12857</v>
      </c>
      <c r="C5942" s="2" t="s">
        <v>7596</v>
      </c>
    </row>
    <row r="5943">
      <c r="A5943" s="2" t="s">
        <v>12859</v>
      </c>
      <c r="B5943" s="2" t="s">
        <v>12860</v>
      </c>
      <c r="C5943" s="2" t="s">
        <v>7596</v>
      </c>
    </row>
    <row r="5944">
      <c r="A5944" s="2" t="s">
        <v>12861</v>
      </c>
      <c r="B5944" s="2" t="s">
        <v>12860</v>
      </c>
      <c r="C5944" s="2" t="s">
        <v>7596</v>
      </c>
    </row>
    <row r="5945">
      <c r="A5945" s="2" t="s">
        <v>12862</v>
      </c>
      <c r="B5945" s="2" t="s">
        <v>12863</v>
      </c>
      <c r="C5945" s="2" t="s">
        <v>7596</v>
      </c>
    </row>
    <row r="5946">
      <c r="A5946" s="2" t="s">
        <v>12864</v>
      </c>
      <c r="B5946" s="2" t="s">
        <v>12863</v>
      </c>
      <c r="C5946" s="2" t="s">
        <v>7596</v>
      </c>
    </row>
    <row r="5947">
      <c r="A5947" s="2" t="s">
        <v>12865</v>
      </c>
      <c r="B5947" s="2" t="s">
        <v>12866</v>
      </c>
      <c r="C5947" s="2" t="s">
        <v>7596</v>
      </c>
    </row>
    <row r="5948">
      <c r="A5948" s="2" t="s">
        <v>12867</v>
      </c>
      <c r="B5948" s="2" t="s">
        <v>12868</v>
      </c>
      <c r="C5948" s="2" t="s">
        <v>7596</v>
      </c>
    </row>
    <row r="5949">
      <c r="A5949" s="2" t="s">
        <v>12869</v>
      </c>
      <c r="B5949" s="2" t="s">
        <v>12870</v>
      </c>
      <c r="C5949" s="2" t="s">
        <v>7596</v>
      </c>
    </row>
    <row r="5950">
      <c r="A5950" s="2" t="s">
        <v>12871</v>
      </c>
      <c r="B5950" s="2" t="s">
        <v>12872</v>
      </c>
      <c r="C5950" s="2" t="s">
        <v>7596</v>
      </c>
    </row>
    <row r="5951">
      <c r="A5951" s="2" t="s">
        <v>12873</v>
      </c>
      <c r="B5951" s="2" t="s">
        <v>12874</v>
      </c>
      <c r="C5951" s="2" t="s">
        <v>7596</v>
      </c>
    </row>
    <row r="5952">
      <c r="A5952" s="2" t="s">
        <v>12875</v>
      </c>
      <c r="B5952" s="2" t="s">
        <v>12876</v>
      </c>
      <c r="C5952" s="2" t="s">
        <v>7596</v>
      </c>
    </row>
    <row r="5953">
      <c r="A5953" s="2" t="s">
        <v>12877</v>
      </c>
      <c r="B5953" s="2" t="s">
        <v>12878</v>
      </c>
      <c r="C5953" s="2" t="s">
        <v>7596</v>
      </c>
    </row>
    <row r="5954">
      <c r="A5954" s="2" t="s">
        <v>12879</v>
      </c>
      <c r="B5954" s="2" t="s">
        <v>12878</v>
      </c>
      <c r="C5954" s="2" t="s">
        <v>7596</v>
      </c>
    </row>
    <row r="5955">
      <c r="A5955" s="2" t="s">
        <v>12880</v>
      </c>
      <c r="B5955" s="2" t="s">
        <v>12881</v>
      </c>
      <c r="C5955" s="2" t="s">
        <v>7596</v>
      </c>
    </row>
    <row r="5956">
      <c r="A5956" s="2" t="s">
        <v>12882</v>
      </c>
      <c r="B5956" s="2" t="s">
        <v>12881</v>
      </c>
      <c r="C5956" s="2" t="s">
        <v>7596</v>
      </c>
    </row>
    <row r="5957">
      <c r="A5957" s="2" t="s">
        <v>12883</v>
      </c>
      <c r="B5957" s="2" t="s">
        <v>12884</v>
      </c>
      <c r="C5957" s="2" t="s">
        <v>7596</v>
      </c>
    </row>
    <row r="5958">
      <c r="A5958" s="2" t="s">
        <v>12885</v>
      </c>
      <c r="B5958" s="2" t="s">
        <v>12884</v>
      </c>
      <c r="C5958" s="2" t="s">
        <v>7596</v>
      </c>
    </row>
    <row r="5959">
      <c r="A5959" s="2" t="s">
        <v>12886</v>
      </c>
      <c r="B5959" s="2" t="s">
        <v>12887</v>
      </c>
      <c r="C5959" s="2" t="s">
        <v>7596</v>
      </c>
    </row>
    <row r="5960">
      <c r="A5960" s="2" t="s">
        <v>12888</v>
      </c>
      <c r="B5960" s="2" t="s">
        <v>12887</v>
      </c>
      <c r="C5960" s="2" t="s">
        <v>7596</v>
      </c>
    </row>
    <row r="5961">
      <c r="A5961" s="2" t="s">
        <v>12889</v>
      </c>
      <c r="B5961" s="2" t="s">
        <v>12890</v>
      </c>
      <c r="C5961" s="2" t="s">
        <v>7596</v>
      </c>
    </row>
    <row r="5962">
      <c r="A5962" s="2" t="s">
        <v>12891</v>
      </c>
      <c r="B5962" s="2" t="s">
        <v>12890</v>
      </c>
      <c r="C5962" s="2" t="s">
        <v>7596</v>
      </c>
    </row>
    <row r="5963">
      <c r="A5963" s="2" t="s">
        <v>12892</v>
      </c>
      <c r="B5963" s="2" t="s">
        <v>12893</v>
      </c>
      <c r="C5963" s="2" t="s">
        <v>7596</v>
      </c>
    </row>
    <row r="5964">
      <c r="A5964" s="2" t="s">
        <v>12894</v>
      </c>
      <c r="B5964" s="2" t="s">
        <v>12893</v>
      </c>
      <c r="C5964" s="2" t="s">
        <v>7596</v>
      </c>
    </row>
    <row r="5965">
      <c r="A5965" s="2" t="s">
        <v>12895</v>
      </c>
      <c r="B5965" s="2" t="s">
        <v>12896</v>
      </c>
      <c r="C5965" s="2" t="s">
        <v>7596</v>
      </c>
    </row>
    <row r="5966">
      <c r="A5966" s="2" t="s">
        <v>12897</v>
      </c>
      <c r="B5966" s="2" t="s">
        <v>12896</v>
      </c>
      <c r="C5966" s="2" t="s">
        <v>7596</v>
      </c>
    </row>
    <row r="5967">
      <c r="A5967" s="2" t="s">
        <v>12898</v>
      </c>
      <c r="B5967" s="2" t="s">
        <v>12899</v>
      </c>
      <c r="C5967" s="2" t="s">
        <v>7596</v>
      </c>
    </row>
    <row r="5968">
      <c r="A5968" s="2" t="s">
        <v>12900</v>
      </c>
      <c r="B5968" s="2" t="s">
        <v>12899</v>
      </c>
      <c r="C5968" s="2" t="s">
        <v>7596</v>
      </c>
    </row>
    <row r="5969">
      <c r="A5969" s="2" t="s">
        <v>12901</v>
      </c>
      <c r="B5969" s="2" t="s">
        <v>12902</v>
      </c>
      <c r="C5969" s="2" t="s">
        <v>7596</v>
      </c>
    </row>
    <row r="5970">
      <c r="A5970" s="2" t="s">
        <v>12903</v>
      </c>
      <c r="B5970" s="2" t="s">
        <v>12902</v>
      </c>
      <c r="C5970" s="2" t="s">
        <v>7596</v>
      </c>
    </row>
    <row r="5971">
      <c r="A5971" s="2" t="s">
        <v>12904</v>
      </c>
      <c r="B5971" s="2" t="s">
        <v>12905</v>
      </c>
      <c r="C5971" s="2" t="s">
        <v>7596</v>
      </c>
    </row>
    <row r="5972">
      <c r="A5972" s="2" t="s">
        <v>12906</v>
      </c>
      <c r="B5972" s="2" t="s">
        <v>12907</v>
      </c>
      <c r="C5972" s="2" t="s">
        <v>7596</v>
      </c>
    </row>
    <row r="5973">
      <c r="A5973" s="2" t="s">
        <v>12908</v>
      </c>
      <c r="B5973" s="2" t="s">
        <v>12909</v>
      </c>
      <c r="C5973" s="2" t="s">
        <v>7596</v>
      </c>
    </row>
    <row r="5974">
      <c r="A5974" s="2" t="s">
        <v>12910</v>
      </c>
      <c r="B5974" s="2" t="s">
        <v>12911</v>
      </c>
      <c r="C5974" s="2" t="s">
        <v>7596</v>
      </c>
    </row>
    <row r="5975">
      <c r="A5975" s="2" t="s">
        <v>12912</v>
      </c>
      <c r="B5975" s="2" t="s">
        <v>12913</v>
      </c>
      <c r="C5975" s="2" t="s">
        <v>7596</v>
      </c>
    </row>
    <row r="5976">
      <c r="A5976" s="2" t="s">
        <v>12914</v>
      </c>
      <c r="B5976" s="2" t="s">
        <v>12915</v>
      </c>
      <c r="C5976" s="2" t="s">
        <v>7596</v>
      </c>
    </row>
    <row r="5977">
      <c r="A5977" s="2" t="s">
        <v>12916</v>
      </c>
      <c r="B5977" s="2" t="s">
        <v>12917</v>
      </c>
      <c r="C5977" s="2" t="s">
        <v>7596</v>
      </c>
    </row>
    <row r="5978">
      <c r="A5978" s="2" t="s">
        <v>12918</v>
      </c>
      <c r="B5978" s="2" t="s">
        <v>12919</v>
      </c>
      <c r="C5978" s="2" t="s">
        <v>7596</v>
      </c>
    </row>
    <row r="5979">
      <c r="A5979" s="2" t="s">
        <v>12920</v>
      </c>
      <c r="B5979" s="2" t="s">
        <v>12921</v>
      </c>
      <c r="C5979" s="2" t="s">
        <v>7596</v>
      </c>
    </row>
    <row r="5980">
      <c r="A5980" s="2" t="s">
        <v>12922</v>
      </c>
      <c r="B5980" s="2" t="s">
        <v>12923</v>
      </c>
      <c r="C5980" s="2" t="s">
        <v>7596</v>
      </c>
    </row>
    <row r="5981">
      <c r="A5981" s="2" t="s">
        <v>12924</v>
      </c>
      <c r="B5981" s="2" t="s">
        <v>12925</v>
      </c>
      <c r="C5981" s="2" t="s">
        <v>7596</v>
      </c>
    </row>
    <row r="5982">
      <c r="A5982" s="2" t="s">
        <v>12926</v>
      </c>
      <c r="B5982" s="2" t="s">
        <v>12927</v>
      </c>
      <c r="C5982" s="2" t="s">
        <v>7596</v>
      </c>
    </row>
    <row r="5983">
      <c r="A5983" s="2" t="s">
        <v>12928</v>
      </c>
      <c r="B5983" s="2" t="s">
        <v>12929</v>
      </c>
      <c r="C5983" s="2" t="s">
        <v>7596</v>
      </c>
    </row>
    <row r="5984">
      <c r="A5984" s="2" t="s">
        <v>12930</v>
      </c>
      <c r="B5984" s="2" t="s">
        <v>12931</v>
      </c>
      <c r="C5984" s="2" t="s">
        <v>7596</v>
      </c>
    </row>
    <row r="5985">
      <c r="A5985" s="2" t="s">
        <v>12932</v>
      </c>
      <c r="B5985" s="2" t="s">
        <v>12933</v>
      </c>
      <c r="C5985" s="2" t="s">
        <v>7596</v>
      </c>
    </row>
    <row r="5986">
      <c r="A5986" s="2" t="s">
        <v>12934</v>
      </c>
      <c r="B5986" s="2" t="s">
        <v>12935</v>
      </c>
      <c r="C5986" s="2" t="s">
        <v>7596</v>
      </c>
    </row>
    <row r="5987">
      <c r="A5987" s="2" t="s">
        <v>12936</v>
      </c>
      <c r="B5987" s="2" t="s">
        <v>12937</v>
      </c>
      <c r="C5987" s="2" t="s">
        <v>7596</v>
      </c>
    </row>
    <row r="5988">
      <c r="A5988" s="2" t="s">
        <v>12938</v>
      </c>
      <c r="B5988" s="2" t="s">
        <v>12939</v>
      </c>
      <c r="C5988" s="2" t="s">
        <v>7596</v>
      </c>
    </row>
    <row r="5989">
      <c r="A5989" s="2" t="s">
        <v>12940</v>
      </c>
      <c r="B5989" s="2" t="s">
        <v>12941</v>
      </c>
      <c r="C5989" s="2" t="s">
        <v>7596</v>
      </c>
    </row>
    <row r="5990">
      <c r="A5990" s="2" t="s">
        <v>12942</v>
      </c>
      <c r="B5990" s="2" t="s">
        <v>12943</v>
      </c>
      <c r="C5990" s="2" t="s">
        <v>7596</v>
      </c>
    </row>
    <row r="5991">
      <c r="A5991" s="2" t="s">
        <v>12944</v>
      </c>
      <c r="B5991" s="2" t="s">
        <v>12945</v>
      </c>
      <c r="C5991" s="2" t="s">
        <v>7596</v>
      </c>
    </row>
    <row r="5992">
      <c r="A5992" s="2" t="s">
        <v>12946</v>
      </c>
      <c r="B5992" s="2" t="s">
        <v>12947</v>
      </c>
      <c r="C5992" s="2" t="s">
        <v>7596</v>
      </c>
    </row>
    <row r="5993">
      <c r="A5993" s="2" t="s">
        <v>12948</v>
      </c>
      <c r="B5993" s="2" t="s">
        <v>12949</v>
      </c>
      <c r="C5993" s="2" t="s">
        <v>7596</v>
      </c>
    </row>
    <row r="5994">
      <c r="A5994" s="2" t="s">
        <v>12950</v>
      </c>
      <c r="B5994" s="2" t="s">
        <v>12951</v>
      </c>
      <c r="C5994" s="2" t="s">
        <v>7596</v>
      </c>
    </row>
    <row r="5995">
      <c r="A5995" s="2" t="s">
        <v>12952</v>
      </c>
      <c r="B5995" s="2" t="s">
        <v>12953</v>
      </c>
      <c r="C5995" s="2" t="s">
        <v>7596</v>
      </c>
    </row>
    <row r="5996">
      <c r="A5996" s="2" t="s">
        <v>12954</v>
      </c>
      <c r="B5996" s="2" t="s">
        <v>12955</v>
      </c>
      <c r="C5996" s="2" t="s">
        <v>7596</v>
      </c>
    </row>
    <row r="5997">
      <c r="A5997" s="2" t="s">
        <v>12956</v>
      </c>
      <c r="B5997" s="2" t="s">
        <v>12957</v>
      </c>
      <c r="C5997" s="2" t="s">
        <v>7596</v>
      </c>
    </row>
    <row r="5998">
      <c r="A5998" s="2" t="s">
        <v>12958</v>
      </c>
      <c r="B5998" s="2" t="s">
        <v>12959</v>
      </c>
      <c r="C5998" s="2" t="s">
        <v>7596</v>
      </c>
    </row>
    <row r="5999">
      <c r="A5999" s="2" t="s">
        <v>12960</v>
      </c>
      <c r="B5999" s="2" t="s">
        <v>12961</v>
      </c>
      <c r="C5999" s="2" t="s">
        <v>7596</v>
      </c>
    </row>
    <row r="6000">
      <c r="A6000" s="2" t="s">
        <v>12962</v>
      </c>
      <c r="B6000" s="2" t="s">
        <v>12963</v>
      </c>
      <c r="C6000" s="2" t="s">
        <v>7596</v>
      </c>
    </row>
    <row r="6001">
      <c r="A6001" s="2" t="s">
        <v>12964</v>
      </c>
      <c r="B6001" s="2" t="s">
        <v>12965</v>
      </c>
      <c r="C6001" s="2" t="s">
        <v>7596</v>
      </c>
    </row>
    <row r="6002">
      <c r="A6002" s="2" t="s">
        <v>12966</v>
      </c>
      <c r="B6002" s="2" t="s">
        <v>12967</v>
      </c>
      <c r="C6002" s="2" t="s">
        <v>7596</v>
      </c>
    </row>
    <row r="6003">
      <c r="A6003" s="2" t="s">
        <v>12968</v>
      </c>
      <c r="B6003" s="2" t="s">
        <v>12969</v>
      </c>
      <c r="C6003" s="2" t="s">
        <v>7596</v>
      </c>
    </row>
    <row r="6004">
      <c r="A6004" s="2" t="s">
        <v>12970</v>
      </c>
      <c r="B6004" s="2" t="s">
        <v>12971</v>
      </c>
      <c r="C6004" s="2" t="s">
        <v>7596</v>
      </c>
    </row>
    <row r="6005">
      <c r="A6005" s="2" t="s">
        <v>12972</v>
      </c>
      <c r="B6005" s="2" t="s">
        <v>12973</v>
      </c>
      <c r="C6005" s="2" t="s">
        <v>7596</v>
      </c>
    </row>
    <row r="6006">
      <c r="A6006" s="2" t="s">
        <v>12974</v>
      </c>
      <c r="B6006" s="2" t="s">
        <v>12973</v>
      </c>
      <c r="C6006" s="2" t="s">
        <v>7596</v>
      </c>
    </row>
    <row r="6007">
      <c r="A6007" s="2" t="s">
        <v>12975</v>
      </c>
      <c r="B6007" s="2" t="s">
        <v>12976</v>
      </c>
      <c r="C6007" s="2" t="s">
        <v>7596</v>
      </c>
    </row>
    <row r="6008">
      <c r="A6008" s="2" t="s">
        <v>12977</v>
      </c>
      <c r="B6008" s="2" t="s">
        <v>12978</v>
      </c>
      <c r="C6008" s="2" t="s">
        <v>7596</v>
      </c>
    </row>
    <row r="6009">
      <c r="A6009" s="2" t="s">
        <v>12979</v>
      </c>
      <c r="B6009" s="2" t="s">
        <v>12980</v>
      </c>
      <c r="C6009" s="2" t="s">
        <v>7596</v>
      </c>
    </row>
    <row r="6010">
      <c r="A6010" s="2" t="s">
        <v>12981</v>
      </c>
      <c r="B6010" s="2" t="s">
        <v>12982</v>
      </c>
      <c r="C6010" s="2" t="s">
        <v>7596</v>
      </c>
    </row>
    <row r="6011">
      <c r="A6011" s="2" t="s">
        <v>12983</v>
      </c>
      <c r="B6011" s="2" t="s">
        <v>12982</v>
      </c>
      <c r="C6011" s="2" t="s">
        <v>7596</v>
      </c>
    </row>
    <row r="6012">
      <c r="A6012" s="2" t="s">
        <v>12984</v>
      </c>
      <c r="B6012" s="2" t="s">
        <v>12985</v>
      </c>
      <c r="C6012" s="2" t="s">
        <v>7596</v>
      </c>
    </row>
    <row r="6013">
      <c r="A6013" s="2" t="s">
        <v>12986</v>
      </c>
      <c r="B6013" s="2" t="s">
        <v>12987</v>
      </c>
      <c r="C6013" s="2" t="s">
        <v>7596</v>
      </c>
    </row>
    <row r="6014">
      <c r="A6014" s="2" t="s">
        <v>12988</v>
      </c>
      <c r="B6014" s="2" t="s">
        <v>12989</v>
      </c>
      <c r="C6014" s="2" t="s">
        <v>7596</v>
      </c>
    </row>
    <row r="6015">
      <c r="A6015" s="2" t="s">
        <v>12990</v>
      </c>
      <c r="B6015" s="2" t="s">
        <v>12991</v>
      </c>
      <c r="C6015" s="2" t="s">
        <v>7596</v>
      </c>
    </row>
    <row r="6016">
      <c r="A6016" s="2" t="s">
        <v>12992</v>
      </c>
      <c r="B6016" s="2" t="s">
        <v>12993</v>
      </c>
      <c r="C6016" s="2" t="s">
        <v>7596</v>
      </c>
    </row>
    <row r="6017">
      <c r="A6017" s="2" t="s">
        <v>12994</v>
      </c>
      <c r="B6017" s="2" t="s">
        <v>12995</v>
      </c>
      <c r="C6017" s="2" t="s">
        <v>7596</v>
      </c>
    </row>
    <row r="6018">
      <c r="A6018" s="2" t="s">
        <v>12996</v>
      </c>
      <c r="B6018" s="2" t="s">
        <v>12997</v>
      </c>
      <c r="C6018" s="2" t="s">
        <v>7596</v>
      </c>
    </row>
    <row r="6019">
      <c r="A6019" s="2" t="s">
        <v>12998</v>
      </c>
      <c r="B6019" s="2" t="s">
        <v>12999</v>
      </c>
      <c r="C6019" s="2" t="s">
        <v>7596</v>
      </c>
    </row>
    <row r="6020">
      <c r="A6020" s="2" t="s">
        <v>13000</v>
      </c>
      <c r="B6020" s="2" t="s">
        <v>13001</v>
      </c>
      <c r="C6020" s="2" t="s">
        <v>7596</v>
      </c>
    </row>
    <row r="6021">
      <c r="A6021" s="2" t="s">
        <v>13002</v>
      </c>
      <c r="B6021" s="2" t="s">
        <v>13003</v>
      </c>
      <c r="C6021" s="2" t="s">
        <v>7596</v>
      </c>
    </row>
    <row r="6022">
      <c r="A6022" s="2" t="s">
        <v>13004</v>
      </c>
      <c r="B6022" s="2" t="s">
        <v>13005</v>
      </c>
      <c r="C6022" s="2" t="s">
        <v>7596</v>
      </c>
    </row>
    <row r="6023">
      <c r="A6023" s="2" t="s">
        <v>13006</v>
      </c>
      <c r="B6023" s="2" t="s">
        <v>13007</v>
      </c>
      <c r="C6023" s="2" t="s">
        <v>7596</v>
      </c>
    </row>
    <row r="6024">
      <c r="A6024" s="2" t="s">
        <v>13008</v>
      </c>
      <c r="B6024" s="2" t="s">
        <v>13009</v>
      </c>
      <c r="C6024" s="2" t="s">
        <v>7596</v>
      </c>
    </row>
    <row r="6025">
      <c r="A6025" s="2" t="s">
        <v>13010</v>
      </c>
      <c r="B6025" s="2" t="s">
        <v>13011</v>
      </c>
      <c r="C6025" s="2" t="s">
        <v>7596</v>
      </c>
    </row>
    <row r="6026">
      <c r="A6026" s="2" t="s">
        <v>13012</v>
      </c>
      <c r="B6026" s="2" t="s">
        <v>13013</v>
      </c>
      <c r="C6026" s="2" t="s">
        <v>7596</v>
      </c>
    </row>
    <row r="6027">
      <c r="A6027" s="2" t="s">
        <v>13014</v>
      </c>
      <c r="B6027" s="2" t="s">
        <v>13015</v>
      </c>
      <c r="C6027" s="2" t="s">
        <v>7596</v>
      </c>
    </row>
    <row r="6028">
      <c r="A6028" s="2" t="s">
        <v>13016</v>
      </c>
      <c r="B6028" s="2" t="s">
        <v>13017</v>
      </c>
      <c r="C6028" s="2" t="s">
        <v>7596</v>
      </c>
    </row>
    <row r="6029">
      <c r="A6029" s="2" t="s">
        <v>13018</v>
      </c>
      <c r="B6029" s="2" t="s">
        <v>13019</v>
      </c>
      <c r="C6029" s="2" t="s">
        <v>7596</v>
      </c>
    </row>
    <row r="6030">
      <c r="A6030" s="2" t="s">
        <v>13020</v>
      </c>
      <c r="B6030" s="2" t="s">
        <v>13021</v>
      </c>
      <c r="C6030" s="2" t="s">
        <v>7596</v>
      </c>
    </row>
    <row r="6031">
      <c r="A6031" s="2" t="s">
        <v>13022</v>
      </c>
      <c r="B6031" s="2" t="s">
        <v>13023</v>
      </c>
      <c r="C6031" s="2" t="s">
        <v>7596</v>
      </c>
    </row>
    <row r="6032">
      <c r="A6032" s="2" t="s">
        <v>13024</v>
      </c>
      <c r="B6032" s="2" t="s">
        <v>13025</v>
      </c>
      <c r="C6032" s="2" t="s">
        <v>7596</v>
      </c>
    </row>
    <row r="6033">
      <c r="A6033" s="2" t="s">
        <v>13026</v>
      </c>
      <c r="B6033" s="2" t="s">
        <v>13027</v>
      </c>
      <c r="C6033" s="2" t="s">
        <v>7596</v>
      </c>
    </row>
    <row r="6034">
      <c r="A6034" s="2" t="s">
        <v>13028</v>
      </c>
      <c r="B6034" s="2" t="s">
        <v>13029</v>
      </c>
      <c r="C6034" s="2" t="s">
        <v>7596</v>
      </c>
    </row>
    <row r="6035">
      <c r="A6035" s="2" t="s">
        <v>13030</v>
      </c>
      <c r="B6035" s="2" t="s">
        <v>13029</v>
      </c>
      <c r="C6035" s="2" t="s">
        <v>7596</v>
      </c>
    </row>
    <row r="6036">
      <c r="A6036" s="2" t="s">
        <v>13031</v>
      </c>
      <c r="B6036" s="2" t="s">
        <v>13032</v>
      </c>
      <c r="C6036" s="2" t="s">
        <v>7596</v>
      </c>
    </row>
    <row r="6037">
      <c r="A6037" s="2" t="s">
        <v>13033</v>
      </c>
      <c r="B6037" s="2" t="s">
        <v>13032</v>
      </c>
      <c r="C6037" s="2" t="s">
        <v>7596</v>
      </c>
    </row>
    <row r="6038">
      <c r="A6038" s="2" t="s">
        <v>13034</v>
      </c>
      <c r="B6038" s="2" t="s">
        <v>13035</v>
      </c>
      <c r="C6038" s="2" t="s">
        <v>7596</v>
      </c>
    </row>
    <row r="6039">
      <c r="A6039" s="2" t="s">
        <v>13036</v>
      </c>
      <c r="B6039" s="2" t="s">
        <v>13037</v>
      </c>
      <c r="C6039" s="2" t="s">
        <v>7596</v>
      </c>
    </row>
    <row r="6040">
      <c r="A6040" s="2" t="s">
        <v>13038</v>
      </c>
      <c r="B6040" s="2" t="s">
        <v>13039</v>
      </c>
      <c r="C6040" s="2" t="s">
        <v>7596</v>
      </c>
    </row>
    <row r="6041">
      <c r="A6041" s="2" t="s">
        <v>13040</v>
      </c>
      <c r="B6041" s="2" t="s">
        <v>13039</v>
      </c>
      <c r="C6041" s="2" t="s">
        <v>7596</v>
      </c>
    </row>
    <row r="6042">
      <c r="A6042" s="2" t="s">
        <v>13041</v>
      </c>
      <c r="B6042" s="2" t="s">
        <v>13042</v>
      </c>
      <c r="C6042" s="2" t="s">
        <v>7596</v>
      </c>
    </row>
    <row r="6043">
      <c r="A6043" s="2" t="s">
        <v>13043</v>
      </c>
      <c r="B6043" s="2" t="s">
        <v>13042</v>
      </c>
      <c r="C6043" s="2" t="s">
        <v>7596</v>
      </c>
    </row>
    <row r="6044">
      <c r="A6044" s="2" t="s">
        <v>13044</v>
      </c>
      <c r="B6044" s="2" t="s">
        <v>13045</v>
      </c>
      <c r="C6044" s="2" t="s">
        <v>7596</v>
      </c>
    </row>
    <row r="6045">
      <c r="A6045" s="2" t="s">
        <v>13046</v>
      </c>
      <c r="B6045" s="2" t="s">
        <v>13047</v>
      </c>
      <c r="C6045" s="2" t="s">
        <v>7596</v>
      </c>
    </row>
    <row r="6046">
      <c r="A6046" s="2" t="s">
        <v>13048</v>
      </c>
      <c r="B6046" s="2" t="s">
        <v>13049</v>
      </c>
      <c r="C6046" s="2" t="s">
        <v>7596</v>
      </c>
    </row>
    <row r="6047">
      <c r="A6047" s="2" t="s">
        <v>13050</v>
      </c>
      <c r="B6047" s="2" t="s">
        <v>13051</v>
      </c>
      <c r="C6047" s="2" t="s">
        <v>7596</v>
      </c>
    </row>
    <row r="6048">
      <c r="A6048" s="2" t="s">
        <v>13052</v>
      </c>
      <c r="B6048" s="2" t="s">
        <v>13053</v>
      </c>
      <c r="C6048" s="2" t="s">
        <v>7596</v>
      </c>
    </row>
    <row r="6049">
      <c r="A6049" s="2" t="s">
        <v>13054</v>
      </c>
      <c r="B6049" s="2" t="s">
        <v>13055</v>
      </c>
      <c r="C6049" s="2" t="s">
        <v>7596</v>
      </c>
    </row>
    <row r="6050">
      <c r="A6050" s="2" t="s">
        <v>13056</v>
      </c>
      <c r="B6050" s="2" t="s">
        <v>13057</v>
      </c>
      <c r="C6050" s="2" t="s">
        <v>7596</v>
      </c>
    </row>
    <row r="6051">
      <c r="A6051" s="2" t="s">
        <v>13058</v>
      </c>
      <c r="B6051" s="2" t="s">
        <v>13059</v>
      </c>
      <c r="C6051" s="2" t="s">
        <v>7596</v>
      </c>
    </row>
    <row r="6052">
      <c r="A6052" s="2" t="s">
        <v>13060</v>
      </c>
      <c r="B6052" s="2" t="s">
        <v>13061</v>
      </c>
      <c r="C6052" s="2" t="s">
        <v>7596</v>
      </c>
    </row>
    <row r="6053">
      <c r="A6053" s="2" t="s">
        <v>13062</v>
      </c>
      <c r="B6053" s="2" t="s">
        <v>13061</v>
      </c>
      <c r="C6053" s="2" t="s">
        <v>7596</v>
      </c>
    </row>
    <row r="6054">
      <c r="A6054" s="2" t="s">
        <v>13063</v>
      </c>
      <c r="B6054" s="2" t="s">
        <v>13064</v>
      </c>
      <c r="C6054" s="2" t="s">
        <v>7596</v>
      </c>
    </row>
    <row r="6055">
      <c r="A6055" s="2" t="s">
        <v>13065</v>
      </c>
      <c r="B6055" s="2" t="s">
        <v>13064</v>
      </c>
      <c r="C6055" s="2" t="s">
        <v>7596</v>
      </c>
    </row>
    <row r="6056">
      <c r="A6056" s="2" t="s">
        <v>13066</v>
      </c>
      <c r="B6056" s="2" t="s">
        <v>13067</v>
      </c>
      <c r="C6056" s="2" t="s">
        <v>7596</v>
      </c>
    </row>
    <row r="6057">
      <c r="A6057" s="2" t="s">
        <v>13068</v>
      </c>
      <c r="B6057" s="2" t="s">
        <v>13069</v>
      </c>
      <c r="C6057" s="2" t="s">
        <v>7596</v>
      </c>
    </row>
    <row r="6058">
      <c r="A6058" s="2" t="s">
        <v>13070</v>
      </c>
      <c r="B6058" s="2" t="s">
        <v>13071</v>
      </c>
      <c r="C6058" s="2" t="s">
        <v>7596</v>
      </c>
    </row>
    <row r="6059">
      <c r="A6059" s="2" t="s">
        <v>13072</v>
      </c>
      <c r="B6059" s="2" t="s">
        <v>13071</v>
      </c>
      <c r="C6059" s="2" t="s">
        <v>7596</v>
      </c>
    </row>
    <row r="6060">
      <c r="A6060" s="2" t="s">
        <v>13073</v>
      </c>
      <c r="B6060" s="2" t="s">
        <v>13074</v>
      </c>
      <c r="C6060" s="2" t="s">
        <v>7596</v>
      </c>
    </row>
    <row r="6061">
      <c r="A6061" s="2" t="s">
        <v>13075</v>
      </c>
      <c r="B6061" s="2" t="s">
        <v>13074</v>
      </c>
      <c r="C6061" s="2" t="s">
        <v>7596</v>
      </c>
    </row>
    <row r="6062">
      <c r="A6062" s="2" t="s">
        <v>13076</v>
      </c>
      <c r="B6062" s="2" t="s">
        <v>13077</v>
      </c>
      <c r="C6062" s="2" t="s">
        <v>7596</v>
      </c>
    </row>
    <row r="6063">
      <c r="A6063" s="2" t="s">
        <v>13078</v>
      </c>
      <c r="B6063" s="2" t="s">
        <v>13079</v>
      </c>
      <c r="C6063" s="2" t="s">
        <v>7596</v>
      </c>
    </row>
    <row r="6064">
      <c r="A6064" s="2" t="s">
        <v>13080</v>
      </c>
      <c r="B6064" s="2" t="s">
        <v>13081</v>
      </c>
      <c r="C6064" s="2" t="s">
        <v>7596</v>
      </c>
    </row>
    <row r="6065">
      <c r="A6065" s="2" t="s">
        <v>13082</v>
      </c>
      <c r="B6065" s="2" t="s">
        <v>13081</v>
      </c>
      <c r="C6065" s="2" t="s">
        <v>7596</v>
      </c>
    </row>
    <row r="6066">
      <c r="A6066" s="2" t="s">
        <v>13083</v>
      </c>
      <c r="B6066" s="2" t="s">
        <v>13084</v>
      </c>
      <c r="C6066" s="2" t="s">
        <v>7596</v>
      </c>
    </row>
    <row r="6067">
      <c r="A6067" s="2" t="s">
        <v>13085</v>
      </c>
      <c r="B6067" s="2" t="s">
        <v>13084</v>
      </c>
      <c r="C6067" s="2" t="s">
        <v>7596</v>
      </c>
    </row>
    <row r="6068">
      <c r="A6068" s="2" t="s">
        <v>13086</v>
      </c>
      <c r="B6068" s="2" t="s">
        <v>13087</v>
      </c>
      <c r="C6068" s="2" t="s">
        <v>7596</v>
      </c>
    </row>
    <row r="6069">
      <c r="A6069" s="2" t="s">
        <v>13088</v>
      </c>
      <c r="B6069" s="2" t="s">
        <v>13089</v>
      </c>
      <c r="C6069" s="2" t="s">
        <v>7596</v>
      </c>
    </row>
    <row r="6070">
      <c r="A6070" s="2" t="s">
        <v>13090</v>
      </c>
      <c r="B6070" s="2" t="s">
        <v>13091</v>
      </c>
      <c r="C6070" s="2" t="s">
        <v>7596</v>
      </c>
    </row>
    <row r="6071">
      <c r="A6071" s="2" t="s">
        <v>13092</v>
      </c>
      <c r="B6071" s="2" t="s">
        <v>13093</v>
      </c>
      <c r="C6071" s="2" t="s">
        <v>7596</v>
      </c>
    </row>
    <row r="6072">
      <c r="A6072" s="2" t="s">
        <v>13094</v>
      </c>
      <c r="B6072" s="2" t="s">
        <v>13095</v>
      </c>
      <c r="C6072" s="2" t="s">
        <v>7596</v>
      </c>
    </row>
    <row r="6073">
      <c r="A6073" s="2" t="s">
        <v>13096</v>
      </c>
      <c r="B6073" s="2" t="s">
        <v>13097</v>
      </c>
      <c r="C6073" s="2" t="s">
        <v>7596</v>
      </c>
    </row>
    <row r="6074">
      <c r="A6074" s="2" t="s">
        <v>13098</v>
      </c>
      <c r="B6074" s="2" t="s">
        <v>13099</v>
      </c>
      <c r="C6074" s="2" t="s">
        <v>7596</v>
      </c>
    </row>
    <row r="6075">
      <c r="A6075" s="2" t="s">
        <v>13100</v>
      </c>
      <c r="B6075" s="2" t="s">
        <v>13101</v>
      </c>
      <c r="C6075" s="2" t="s">
        <v>7596</v>
      </c>
    </row>
    <row r="6076">
      <c r="A6076" s="2" t="s">
        <v>13102</v>
      </c>
      <c r="B6076" s="2" t="s">
        <v>13103</v>
      </c>
      <c r="C6076" s="2" t="s">
        <v>7596</v>
      </c>
    </row>
    <row r="6077">
      <c r="A6077" s="2" t="s">
        <v>13104</v>
      </c>
      <c r="B6077" s="2" t="s">
        <v>13105</v>
      </c>
      <c r="C6077" s="2" t="s">
        <v>7596</v>
      </c>
    </row>
    <row r="6078">
      <c r="A6078" s="2" t="s">
        <v>13106</v>
      </c>
      <c r="B6078" s="2" t="s">
        <v>13107</v>
      </c>
      <c r="C6078" s="2" t="s">
        <v>7596</v>
      </c>
    </row>
    <row r="6079">
      <c r="A6079" s="2" t="s">
        <v>13108</v>
      </c>
      <c r="B6079" s="2" t="s">
        <v>13109</v>
      </c>
      <c r="C6079" s="2" t="s">
        <v>7596</v>
      </c>
    </row>
    <row r="6080">
      <c r="A6080" s="2" t="s">
        <v>13110</v>
      </c>
      <c r="B6080" s="2" t="s">
        <v>13111</v>
      </c>
      <c r="C6080" s="2" t="s">
        <v>7596</v>
      </c>
    </row>
    <row r="6081">
      <c r="A6081" s="2" t="s">
        <v>13112</v>
      </c>
      <c r="B6081" s="2" t="s">
        <v>13113</v>
      </c>
      <c r="C6081" s="2" t="s">
        <v>7596</v>
      </c>
    </row>
    <row r="6082">
      <c r="A6082" s="2" t="s">
        <v>13114</v>
      </c>
      <c r="B6082" s="2" t="s">
        <v>13115</v>
      </c>
      <c r="C6082" s="2" t="s">
        <v>7596</v>
      </c>
    </row>
    <row r="6083">
      <c r="A6083" s="2" t="s">
        <v>13116</v>
      </c>
      <c r="B6083" s="2" t="s">
        <v>13117</v>
      </c>
      <c r="C6083" s="2" t="s">
        <v>7596</v>
      </c>
    </row>
    <row r="6084">
      <c r="A6084" s="2" t="s">
        <v>13118</v>
      </c>
      <c r="B6084" s="2" t="s">
        <v>13119</v>
      </c>
      <c r="C6084" s="2" t="s">
        <v>7596</v>
      </c>
    </row>
    <row r="6085">
      <c r="A6085" s="2" t="s">
        <v>13120</v>
      </c>
      <c r="B6085" s="2" t="s">
        <v>13121</v>
      </c>
      <c r="C6085" s="2" t="s">
        <v>7596</v>
      </c>
    </row>
    <row r="6086">
      <c r="A6086" s="2" t="s">
        <v>13122</v>
      </c>
      <c r="B6086" s="2" t="s">
        <v>13123</v>
      </c>
      <c r="C6086" s="2" t="s">
        <v>7596</v>
      </c>
    </row>
    <row r="6087">
      <c r="A6087" s="2" t="s">
        <v>13124</v>
      </c>
      <c r="B6087" s="2" t="s">
        <v>13125</v>
      </c>
      <c r="C6087" s="2" t="s">
        <v>7596</v>
      </c>
    </row>
    <row r="6088">
      <c r="A6088" s="2" t="s">
        <v>13126</v>
      </c>
      <c r="B6088" s="2" t="s">
        <v>13127</v>
      </c>
      <c r="C6088" s="2" t="s">
        <v>7596</v>
      </c>
    </row>
    <row r="6089">
      <c r="A6089" s="2" t="s">
        <v>13128</v>
      </c>
      <c r="B6089" s="2" t="s">
        <v>13129</v>
      </c>
      <c r="C6089" s="2" t="s">
        <v>7596</v>
      </c>
    </row>
    <row r="6090">
      <c r="A6090" s="2" t="s">
        <v>13130</v>
      </c>
      <c r="B6090" s="2" t="s">
        <v>13131</v>
      </c>
      <c r="C6090" s="2" t="s">
        <v>7596</v>
      </c>
    </row>
    <row r="6091">
      <c r="A6091" s="2" t="s">
        <v>13132</v>
      </c>
      <c r="B6091" s="2" t="s">
        <v>13133</v>
      </c>
      <c r="C6091" s="2" t="s">
        <v>7596</v>
      </c>
    </row>
    <row r="6092">
      <c r="A6092" s="2" t="s">
        <v>13134</v>
      </c>
      <c r="B6092" s="2" t="s">
        <v>13135</v>
      </c>
      <c r="C6092" s="2" t="s">
        <v>7596</v>
      </c>
    </row>
    <row r="6093">
      <c r="A6093" s="2" t="s">
        <v>13136</v>
      </c>
      <c r="B6093" s="2" t="s">
        <v>13137</v>
      </c>
      <c r="C6093" s="2" t="s">
        <v>7596</v>
      </c>
    </row>
    <row r="6094">
      <c r="A6094" s="2" t="s">
        <v>13138</v>
      </c>
      <c r="B6094" s="2" t="s">
        <v>13139</v>
      </c>
      <c r="C6094" s="2" t="s">
        <v>7596</v>
      </c>
    </row>
    <row r="6095">
      <c r="A6095" s="2" t="s">
        <v>13140</v>
      </c>
      <c r="B6095" s="2" t="s">
        <v>13141</v>
      </c>
      <c r="C6095" s="2" t="s">
        <v>7596</v>
      </c>
    </row>
    <row r="6096">
      <c r="A6096" s="2" t="s">
        <v>13142</v>
      </c>
      <c r="B6096" s="2" t="s">
        <v>13143</v>
      </c>
      <c r="C6096" s="2" t="s">
        <v>7596</v>
      </c>
    </row>
    <row r="6097">
      <c r="A6097" s="2" t="s">
        <v>13144</v>
      </c>
      <c r="B6097" s="2" t="s">
        <v>13145</v>
      </c>
      <c r="C6097" s="2" t="s">
        <v>7596</v>
      </c>
    </row>
    <row r="6098">
      <c r="A6098" s="2" t="s">
        <v>13146</v>
      </c>
      <c r="B6098" s="2" t="s">
        <v>13147</v>
      </c>
      <c r="C6098" s="2" t="s">
        <v>7596</v>
      </c>
    </row>
    <row r="6099">
      <c r="A6099" s="2" t="s">
        <v>13148</v>
      </c>
      <c r="B6099" s="2" t="s">
        <v>13149</v>
      </c>
      <c r="C6099" s="2" t="s">
        <v>7596</v>
      </c>
    </row>
    <row r="6100">
      <c r="A6100" s="2" t="s">
        <v>13150</v>
      </c>
      <c r="B6100" s="2" t="s">
        <v>13151</v>
      </c>
      <c r="C6100" s="2" t="s">
        <v>7596</v>
      </c>
    </row>
    <row r="6101">
      <c r="A6101" s="2" t="s">
        <v>13152</v>
      </c>
      <c r="B6101" s="2" t="s">
        <v>13153</v>
      </c>
      <c r="C6101" s="2" t="s">
        <v>7596</v>
      </c>
    </row>
    <row r="6102">
      <c r="A6102" s="2" t="s">
        <v>13154</v>
      </c>
      <c r="B6102" s="2" t="s">
        <v>13155</v>
      </c>
      <c r="C6102" s="2" t="s">
        <v>7596</v>
      </c>
    </row>
    <row r="6103">
      <c r="A6103" s="2" t="s">
        <v>13156</v>
      </c>
      <c r="B6103" s="2" t="s">
        <v>13157</v>
      </c>
      <c r="C6103" s="2" t="s">
        <v>7596</v>
      </c>
    </row>
    <row r="6104">
      <c r="A6104" s="2" t="s">
        <v>13158</v>
      </c>
      <c r="B6104" s="2" t="s">
        <v>13159</v>
      </c>
      <c r="C6104" s="2" t="s">
        <v>7596</v>
      </c>
    </row>
    <row r="6105">
      <c r="A6105" s="2" t="s">
        <v>13160</v>
      </c>
      <c r="B6105" s="2" t="s">
        <v>13161</v>
      </c>
      <c r="C6105" s="2" t="s">
        <v>7596</v>
      </c>
    </row>
    <row r="6106">
      <c r="A6106" s="2" t="s">
        <v>13162</v>
      </c>
      <c r="B6106" s="2" t="s">
        <v>13163</v>
      </c>
      <c r="C6106" s="2" t="s">
        <v>7596</v>
      </c>
    </row>
    <row r="6107">
      <c r="A6107" s="2" t="s">
        <v>13164</v>
      </c>
      <c r="B6107" s="2" t="s">
        <v>13165</v>
      </c>
      <c r="C6107" s="2" t="s">
        <v>7596</v>
      </c>
    </row>
    <row r="6108">
      <c r="A6108" s="2" t="s">
        <v>13166</v>
      </c>
      <c r="B6108" s="2" t="s">
        <v>13167</v>
      </c>
      <c r="C6108" s="2" t="s">
        <v>7596</v>
      </c>
    </row>
    <row r="6109">
      <c r="A6109" s="2" t="s">
        <v>13168</v>
      </c>
      <c r="B6109" s="2" t="s">
        <v>13169</v>
      </c>
      <c r="C6109" s="2" t="s">
        <v>7596</v>
      </c>
    </row>
    <row r="6110">
      <c r="A6110" s="2" t="s">
        <v>13170</v>
      </c>
      <c r="B6110" s="2" t="s">
        <v>13171</v>
      </c>
      <c r="C6110" s="2" t="s">
        <v>7596</v>
      </c>
    </row>
    <row r="6111">
      <c r="A6111" s="2" t="s">
        <v>13172</v>
      </c>
      <c r="B6111" s="2" t="s">
        <v>13173</v>
      </c>
      <c r="C6111" s="2" t="s">
        <v>7596</v>
      </c>
    </row>
    <row r="6112">
      <c r="A6112" s="2" t="s">
        <v>13174</v>
      </c>
      <c r="B6112" s="2" t="s">
        <v>13175</v>
      </c>
      <c r="C6112" s="2" t="s">
        <v>7596</v>
      </c>
    </row>
    <row r="6113">
      <c r="A6113" s="2" t="s">
        <v>13176</v>
      </c>
      <c r="B6113" s="2" t="s">
        <v>13177</v>
      </c>
      <c r="C6113" s="2" t="s">
        <v>7596</v>
      </c>
    </row>
    <row r="6114">
      <c r="A6114" s="2" t="s">
        <v>13178</v>
      </c>
      <c r="B6114" s="2" t="s">
        <v>13179</v>
      </c>
      <c r="C6114" s="2" t="s">
        <v>7596</v>
      </c>
    </row>
    <row r="6115">
      <c r="A6115" s="2" t="s">
        <v>13180</v>
      </c>
      <c r="B6115" s="2" t="s">
        <v>13181</v>
      </c>
      <c r="C6115" s="2" t="s">
        <v>7596</v>
      </c>
    </row>
    <row r="6116">
      <c r="A6116" s="2" t="s">
        <v>13182</v>
      </c>
      <c r="B6116" s="2" t="s">
        <v>13183</v>
      </c>
      <c r="C6116" s="2" t="s">
        <v>7596</v>
      </c>
    </row>
    <row r="6117">
      <c r="A6117" s="2" t="s">
        <v>13184</v>
      </c>
      <c r="B6117" s="2" t="s">
        <v>13185</v>
      </c>
      <c r="C6117" s="2" t="s">
        <v>7596</v>
      </c>
    </row>
    <row r="6118">
      <c r="A6118" s="2" t="s">
        <v>13186</v>
      </c>
      <c r="B6118" s="2" t="s">
        <v>13187</v>
      </c>
      <c r="C6118" s="2" t="s">
        <v>7596</v>
      </c>
    </row>
    <row r="6119">
      <c r="A6119" s="2" t="s">
        <v>13188</v>
      </c>
      <c r="B6119" s="2" t="s">
        <v>13189</v>
      </c>
      <c r="C6119" s="2" t="s">
        <v>7596</v>
      </c>
    </row>
    <row r="6120">
      <c r="A6120" s="2" t="s">
        <v>13190</v>
      </c>
      <c r="B6120" s="2" t="s">
        <v>13191</v>
      </c>
      <c r="C6120" s="2" t="s">
        <v>7596</v>
      </c>
    </row>
    <row r="6121">
      <c r="A6121" s="2" t="s">
        <v>13192</v>
      </c>
      <c r="B6121" s="2" t="s">
        <v>13193</v>
      </c>
      <c r="C6121" s="2" t="s">
        <v>7596</v>
      </c>
    </row>
    <row r="6122">
      <c r="A6122" s="2" t="s">
        <v>13194</v>
      </c>
      <c r="B6122" s="2" t="s">
        <v>13195</v>
      </c>
      <c r="C6122" s="2" t="s">
        <v>7596</v>
      </c>
    </row>
    <row r="6123">
      <c r="A6123" s="2" t="s">
        <v>13196</v>
      </c>
      <c r="B6123" s="2" t="s">
        <v>13197</v>
      </c>
      <c r="C6123" s="2" t="s">
        <v>7596</v>
      </c>
    </row>
    <row r="6124">
      <c r="A6124" s="2" t="s">
        <v>13198</v>
      </c>
      <c r="B6124" s="2" t="s">
        <v>13199</v>
      </c>
      <c r="C6124" s="2" t="s">
        <v>7596</v>
      </c>
    </row>
    <row r="6125">
      <c r="A6125" s="2" t="s">
        <v>13200</v>
      </c>
      <c r="B6125" s="2" t="s">
        <v>13201</v>
      </c>
      <c r="C6125" s="2" t="s">
        <v>7596</v>
      </c>
    </row>
    <row r="6126">
      <c r="A6126" s="2" t="s">
        <v>13202</v>
      </c>
      <c r="B6126" s="2" t="s">
        <v>13203</v>
      </c>
      <c r="C6126" s="2" t="s">
        <v>7596</v>
      </c>
    </row>
    <row r="6127">
      <c r="A6127" s="2" t="s">
        <v>13204</v>
      </c>
      <c r="B6127" s="2" t="s">
        <v>13205</v>
      </c>
      <c r="C6127" s="2" t="s">
        <v>7596</v>
      </c>
    </row>
    <row r="6128">
      <c r="A6128" s="2" t="s">
        <v>13206</v>
      </c>
      <c r="B6128" s="2" t="s">
        <v>13207</v>
      </c>
      <c r="C6128" s="2" t="s">
        <v>7596</v>
      </c>
    </row>
    <row r="6129">
      <c r="A6129" s="2" t="s">
        <v>13208</v>
      </c>
      <c r="B6129" s="2" t="s">
        <v>13209</v>
      </c>
      <c r="C6129" s="2" t="s">
        <v>7596</v>
      </c>
    </row>
    <row r="6130">
      <c r="A6130" s="2" t="s">
        <v>13210</v>
      </c>
      <c r="B6130" s="2" t="s">
        <v>13211</v>
      </c>
      <c r="C6130" s="2" t="s">
        <v>7596</v>
      </c>
    </row>
    <row r="6131">
      <c r="A6131" s="2" t="s">
        <v>13212</v>
      </c>
      <c r="B6131" s="2" t="s">
        <v>13213</v>
      </c>
      <c r="C6131" s="2" t="s">
        <v>7596</v>
      </c>
    </row>
    <row r="6132">
      <c r="A6132" s="2" t="s">
        <v>13214</v>
      </c>
      <c r="B6132" s="2" t="s">
        <v>13215</v>
      </c>
      <c r="C6132" s="2" t="s">
        <v>7596</v>
      </c>
    </row>
    <row r="6133">
      <c r="A6133" s="2" t="s">
        <v>13216</v>
      </c>
      <c r="B6133" s="2" t="s">
        <v>13217</v>
      </c>
      <c r="C6133" s="2" t="s">
        <v>7596</v>
      </c>
    </row>
    <row r="6134">
      <c r="A6134" s="2" t="s">
        <v>13218</v>
      </c>
      <c r="B6134" s="2" t="s">
        <v>13219</v>
      </c>
      <c r="C6134" s="2" t="s">
        <v>7596</v>
      </c>
    </row>
    <row r="6135">
      <c r="A6135" s="2" t="s">
        <v>13220</v>
      </c>
      <c r="B6135" s="2" t="s">
        <v>13221</v>
      </c>
      <c r="C6135" s="2" t="s">
        <v>7596</v>
      </c>
    </row>
    <row r="6136">
      <c r="A6136" s="2" t="s">
        <v>13222</v>
      </c>
      <c r="B6136" s="2" t="s">
        <v>13223</v>
      </c>
      <c r="C6136" s="2" t="s">
        <v>7596</v>
      </c>
    </row>
    <row r="6137">
      <c r="A6137" s="2" t="s">
        <v>13224</v>
      </c>
      <c r="B6137" s="2" t="s">
        <v>13225</v>
      </c>
      <c r="C6137" s="2" t="s">
        <v>7596</v>
      </c>
    </row>
    <row r="6138">
      <c r="A6138" s="2" t="s">
        <v>13226</v>
      </c>
      <c r="B6138" s="2" t="s">
        <v>13227</v>
      </c>
      <c r="C6138" s="2" t="s">
        <v>7596</v>
      </c>
    </row>
    <row r="6139">
      <c r="A6139" s="2" t="s">
        <v>13228</v>
      </c>
      <c r="B6139" s="2" t="s">
        <v>13229</v>
      </c>
      <c r="C6139" s="2" t="s">
        <v>7596</v>
      </c>
    </row>
    <row r="6140">
      <c r="A6140" s="2" t="s">
        <v>13230</v>
      </c>
      <c r="B6140" s="2" t="s">
        <v>13231</v>
      </c>
      <c r="C6140" s="2" t="s">
        <v>7596</v>
      </c>
    </row>
    <row r="6141">
      <c r="A6141" s="2" t="s">
        <v>13232</v>
      </c>
      <c r="B6141" s="2" t="s">
        <v>13233</v>
      </c>
      <c r="C6141" s="2" t="s">
        <v>7596</v>
      </c>
    </row>
    <row r="6142">
      <c r="A6142" s="2" t="s">
        <v>13234</v>
      </c>
      <c r="B6142" s="2" t="s">
        <v>13235</v>
      </c>
      <c r="C6142" s="2" t="s">
        <v>7596</v>
      </c>
    </row>
    <row r="6143">
      <c r="A6143" s="2" t="s">
        <v>13236</v>
      </c>
      <c r="B6143" s="2" t="s">
        <v>13237</v>
      </c>
      <c r="C6143" s="2" t="s">
        <v>7596</v>
      </c>
    </row>
    <row r="6144">
      <c r="A6144" s="2" t="s">
        <v>13238</v>
      </c>
      <c r="B6144" s="2" t="s">
        <v>13239</v>
      </c>
      <c r="C6144" s="2" t="s">
        <v>7596</v>
      </c>
    </row>
    <row r="6145">
      <c r="A6145" s="2" t="s">
        <v>13240</v>
      </c>
      <c r="B6145" s="2" t="s">
        <v>13241</v>
      </c>
      <c r="C6145" s="2" t="s">
        <v>7596</v>
      </c>
    </row>
    <row r="6146">
      <c r="A6146" s="2" t="s">
        <v>13242</v>
      </c>
      <c r="B6146" s="2" t="s">
        <v>13243</v>
      </c>
      <c r="C6146" s="2" t="s">
        <v>7596</v>
      </c>
    </row>
    <row r="6147">
      <c r="A6147" s="2" t="s">
        <v>13244</v>
      </c>
      <c r="B6147" s="2" t="s">
        <v>13245</v>
      </c>
      <c r="C6147" s="2" t="s">
        <v>7596</v>
      </c>
    </row>
    <row r="6148">
      <c r="A6148" s="2" t="s">
        <v>13246</v>
      </c>
      <c r="B6148" s="2" t="s">
        <v>13247</v>
      </c>
      <c r="C6148" s="2" t="s">
        <v>7596</v>
      </c>
    </row>
    <row r="6149">
      <c r="A6149" s="2" t="s">
        <v>13248</v>
      </c>
      <c r="B6149" s="2" t="s">
        <v>13249</v>
      </c>
      <c r="C6149" s="2" t="s">
        <v>7596</v>
      </c>
    </row>
    <row r="6150">
      <c r="A6150" s="2" t="s">
        <v>13250</v>
      </c>
      <c r="B6150" s="2" t="s">
        <v>13251</v>
      </c>
      <c r="C6150" s="2" t="s">
        <v>7596</v>
      </c>
    </row>
    <row r="6151">
      <c r="A6151" s="2" t="s">
        <v>13252</v>
      </c>
      <c r="B6151" s="2" t="s">
        <v>13253</v>
      </c>
      <c r="C6151" s="2" t="s">
        <v>7596</v>
      </c>
    </row>
    <row r="6152">
      <c r="A6152" s="2" t="s">
        <v>13254</v>
      </c>
      <c r="B6152" s="2" t="s">
        <v>13255</v>
      </c>
      <c r="C6152" s="2" t="s">
        <v>7596</v>
      </c>
    </row>
    <row r="6153">
      <c r="A6153" s="2" t="s">
        <v>13256</v>
      </c>
      <c r="B6153" s="2" t="s">
        <v>13257</v>
      </c>
      <c r="C6153" s="2" t="s">
        <v>7596</v>
      </c>
    </row>
    <row r="6154">
      <c r="A6154" s="2" t="s">
        <v>13258</v>
      </c>
      <c r="B6154" s="2" t="s">
        <v>13259</v>
      </c>
      <c r="C6154" s="2" t="s">
        <v>7596</v>
      </c>
    </row>
    <row r="6155">
      <c r="A6155" s="2" t="s">
        <v>13260</v>
      </c>
      <c r="B6155" s="2" t="s">
        <v>13261</v>
      </c>
      <c r="C6155" s="2" t="s">
        <v>7596</v>
      </c>
    </row>
    <row r="6156">
      <c r="A6156" s="2" t="s">
        <v>13262</v>
      </c>
      <c r="B6156" s="2" t="s">
        <v>13263</v>
      </c>
      <c r="C6156" s="2" t="s">
        <v>7596</v>
      </c>
    </row>
    <row r="6157">
      <c r="A6157" s="2" t="s">
        <v>13264</v>
      </c>
      <c r="B6157" s="2" t="s">
        <v>13265</v>
      </c>
      <c r="C6157" s="2" t="s">
        <v>7596</v>
      </c>
    </row>
    <row r="6158">
      <c r="A6158" s="2" t="s">
        <v>13266</v>
      </c>
      <c r="B6158" s="2" t="s">
        <v>13267</v>
      </c>
      <c r="C6158" s="2" t="s">
        <v>7596</v>
      </c>
    </row>
    <row r="6159">
      <c r="A6159" s="2" t="s">
        <v>13268</v>
      </c>
      <c r="B6159" s="2" t="s">
        <v>13269</v>
      </c>
      <c r="C6159" s="2" t="s">
        <v>7596</v>
      </c>
    </row>
    <row r="6160">
      <c r="A6160" s="2" t="s">
        <v>13270</v>
      </c>
      <c r="B6160" s="2" t="s">
        <v>13271</v>
      </c>
      <c r="C6160" s="2" t="s">
        <v>7596</v>
      </c>
    </row>
    <row r="6161">
      <c r="A6161" s="2" t="s">
        <v>13272</v>
      </c>
      <c r="B6161" s="2" t="s">
        <v>13273</v>
      </c>
      <c r="C6161" s="2" t="s">
        <v>7596</v>
      </c>
    </row>
    <row r="6162">
      <c r="A6162" s="2" t="s">
        <v>13274</v>
      </c>
      <c r="B6162" s="2" t="s">
        <v>13275</v>
      </c>
      <c r="C6162" s="2" t="s">
        <v>7596</v>
      </c>
    </row>
    <row r="6163">
      <c r="A6163" s="2" t="s">
        <v>13276</v>
      </c>
      <c r="B6163" s="2" t="s">
        <v>13277</v>
      </c>
      <c r="C6163" s="2" t="s">
        <v>7596</v>
      </c>
    </row>
    <row r="6164">
      <c r="A6164" s="2" t="s">
        <v>13278</v>
      </c>
      <c r="B6164" s="2" t="s">
        <v>13279</v>
      </c>
      <c r="C6164" s="2" t="s">
        <v>7596</v>
      </c>
    </row>
    <row r="6165">
      <c r="A6165" s="2" t="s">
        <v>13280</v>
      </c>
      <c r="B6165" s="2" t="s">
        <v>13281</v>
      </c>
      <c r="C6165" s="2" t="s">
        <v>7596</v>
      </c>
    </row>
    <row r="6166">
      <c r="A6166" s="2" t="s">
        <v>13282</v>
      </c>
      <c r="B6166" s="2" t="s">
        <v>13283</v>
      </c>
      <c r="C6166" s="2" t="s">
        <v>7596</v>
      </c>
    </row>
    <row r="6167">
      <c r="A6167" s="2" t="s">
        <v>13284</v>
      </c>
      <c r="B6167" s="2" t="s">
        <v>13285</v>
      </c>
      <c r="C6167" s="2" t="s">
        <v>7596</v>
      </c>
    </row>
    <row r="6168">
      <c r="A6168" s="2" t="s">
        <v>13286</v>
      </c>
      <c r="B6168" s="2" t="s">
        <v>13287</v>
      </c>
      <c r="C6168" s="2" t="s">
        <v>7596</v>
      </c>
    </row>
    <row r="6169">
      <c r="A6169" s="2" t="s">
        <v>13288</v>
      </c>
      <c r="B6169" s="2" t="s">
        <v>13289</v>
      </c>
      <c r="C6169" s="2" t="s">
        <v>7596</v>
      </c>
    </row>
    <row r="6170">
      <c r="A6170" s="2" t="s">
        <v>13290</v>
      </c>
      <c r="B6170" s="2" t="s">
        <v>13291</v>
      </c>
      <c r="C6170" s="2" t="s">
        <v>7596</v>
      </c>
    </row>
    <row r="6171">
      <c r="A6171" s="2" t="s">
        <v>13292</v>
      </c>
      <c r="B6171" s="2" t="s">
        <v>13293</v>
      </c>
      <c r="C6171" s="2" t="s">
        <v>7596</v>
      </c>
    </row>
    <row r="6172">
      <c r="A6172" s="2" t="s">
        <v>13294</v>
      </c>
      <c r="B6172" s="2" t="s">
        <v>13295</v>
      </c>
      <c r="C6172" s="2" t="s">
        <v>7596</v>
      </c>
    </row>
    <row r="6173">
      <c r="A6173" s="2" t="s">
        <v>13296</v>
      </c>
      <c r="B6173" s="2" t="s">
        <v>13297</v>
      </c>
      <c r="C6173" s="2" t="s">
        <v>7596</v>
      </c>
    </row>
    <row r="6174">
      <c r="A6174" s="2" t="s">
        <v>13298</v>
      </c>
      <c r="B6174" s="2" t="s">
        <v>13299</v>
      </c>
      <c r="C6174" s="2" t="s">
        <v>7596</v>
      </c>
    </row>
    <row r="6175">
      <c r="A6175" s="2" t="s">
        <v>13300</v>
      </c>
      <c r="B6175" s="2" t="s">
        <v>13301</v>
      </c>
      <c r="C6175" s="2" t="s">
        <v>7596</v>
      </c>
    </row>
    <row r="6176">
      <c r="A6176" s="2" t="s">
        <v>13302</v>
      </c>
      <c r="B6176" s="2" t="s">
        <v>13303</v>
      </c>
      <c r="C6176" s="2" t="s">
        <v>7596</v>
      </c>
    </row>
    <row r="6177">
      <c r="A6177" s="2" t="s">
        <v>13304</v>
      </c>
      <c r="B6177" s="2" t="s">
        <v>13305</v>
      </c>
      <c r="C6177" s="2" t="s">
        <v>7596</v>
      </c>
    </row>
    <row r="6178">
      <c r="A6178" s="2" t="s">
        <v>13306</v>
      </c>
      <c r="B6178" s="2" t="s">
        <v>13307</v>
      </c>
      <c r="C6178" s="2" t="s">
        <v>7596</v>
      </c>
    </row>
    <row r="6179">
      <c r="A6179" s="2" t="s">
        <v>13308</v>
      </c>
      <c r="B6179" s="2" t="s">
        <v>13309</v>
      </c>
      <c r="C6179" s="2" t="s">
        <v>7596</v>
      </c>
    </row>
    <row r="6180">
      <c r="A6180" s="2" t="s">
        <v>13310</v>
      </c>
      <c r="B6180" s="2" t="s">
        <v>13309</v>
      </c>
      <c r="C6180" s="2" t="s">
        <v>7596</v>
      </c>
    </row>
    <row r="6181">
      <c r="A6181" s="2" t="s">
        <v>13311</v>
      </c>
      <c r="B6181" s="2" t="s">
        <v>13312</v>
      </c>
      <c r="C6181" s="2" t="s">
        <v>7596</v>
      </c>
    </row>
    <row r="6182">
      <c r="A6182" s="2" t="s">
        <v>13313</v>
      </c>
      <c r="B6182" s="2" t="s">
        <v>13312</v>
      </c>
      <c r="C6182" s="2" t="s">
        <v>7596</v>
      </c>
    </row>
    <row r="6183">
      <c r="A6183" s="2" t="s">
        <v>13314</v>
      </c>
      <c r="B6183" s="2" t="s">
        <v>13315</v>
      </c>
      <c r="C6183" s="2" t="s">
        <v>7596</v>
      </c>
    </row>
    <row r="6184">
      <c r="A6184" s="2" t="s">
        <v>13316</v>
      </c>
      <c r="B6184" s="2" t="s">
        <v>13315</v>
      </c>
      <c r="C6184" s="2" t="s">
        <v>7596</v>
      </c>
    </row>
    <row r="6185">
      <c r="A6185" s="2" t="s">
        <v>13317</v>
      </c>
      <c r="B6185" s="2" t="s">
        <v>13318</v>
      </c>
      <c r="C6185" s="2" t="s">
        <v>7596</v>
      </c>
    </row>
    <row r="6186">
      <c r="A6186" s="2" t="s">
        <v>13319</v>
      </c>
      <c r="B6186" s="2" t="s">
        <v>13318</v>
      </c>
      <c r="C6186" s="2" t="s">
        <v>7596</v>
      </c>
    </row>
    <row r="6187">
      <c r="A6187" s="2" t="s">
        <v>13320</v>
      </c>
      <c r="B6187" s="2" t="s">
        <v>13321</v>
      </c>
      <c r="C6187" s="2" t="s">
        <v>7596</v>
      </c>
    </row>
    <row r="6188">
      <c r="A6188" s="2" t="s">
        <v>13322</v>
      </c>
      <c r="B6188" s="2" t="s">
        <v>13321</v>
      </c>
      <c r="C6188" s="2" t="s">
        <v>7596</v>
      </c>
    </row>
    <row r="6189">
      <c r="A6189" s="2" t="s">
        <v>13323</v>
      </c>
      <c r="B6189" s="2" t="s">
        <v>13324</v>
      </c>
      <c r="C6189" s="2" t="s">
        <v>7596</v>
      </c>
    </row>
    <row r="6190">
      <c r="A6190" s="2" t="s">
        <v>13325</v>
      </c>
      <c r="B6190" s="2" t="s">
        <v>13324</v>
      </c>
      <c r="C6190" s="2" t="s">
        <v>7596</v>
      </c>
    </row>
    <row r="6191">
      <c r="A6191" s="2" t="s">
        <v>13326</v>
      </c>
      <c r="B6191" s="2" t="s">
        <v>13327</v>
      </c>
      <c r="C6191" s="2" t="s">
        <v>7596</v>
      </c>
    </row>
    <row r="6192">
      <c r="A6192" s="2" t="s">
        <v>13328</v>
      </c>
      <c r="B6192" s="2" t="s">
        <v>13327</v>
      </c>
      <c r="C6192" s="2" t="s">
        <v>7596</v>
      </c>
    </row>
    <row r="6193">
      <c r="A6193" s="2" t="s">
        <v>13329</v>
      </c>
      <c r="B6193" s="2" t="s">
        <v>13330</v>
      </c>
      <c r="C6193" s="2" t="s">
        <v>7596</v>
      </c>
    </row>
    <row r="6194">
      <c r="A6194" s="2" t="s">
        <v>13331</v>
      </c>
      <c r="B6194" s="2" t="s">
        <v>13330</v>
      </c>
      <c r="C6194" s="2" t="s">
        <v>7596</v>
      </c>
    </row>
    <row r="6195">
      <c r="A6195" s="2" t="s">
        <v>13332</v>
      </c>
      <c r="B6195" s="2" t="s">
        <v>13333</v>
      </c>
      <c r="C6195" s="2" t="s">
        <v>7596</v>
      </c>
    </row>
    <row r="6196">
      <c r="A6196" s="2" t="s">
        <v>13334</v>
      </c>
      <c r="B6196" s="2" t="s">
        <v>13333</v>
      </c>
      <c r="C6196" s="2" t="s">
        <v>7596</v>
      </c>
    </row>
    <row r="6197">
      <c r="A6197" s="2" t="s">
        <v>13335</v>
      </c>
      <c r="B6197" s="2" t="s">
        <v>13336</v>
      </c>
      <c r="C6197" s="2" t="s">
        <v>7596</v>
      </c>
    </row>
    <row r="6198">
      <c r="A6198" s="2" t="s">
        <v>13337</v>
      </c>
      <c r="B6198" s="2" t="s">
        <v>13336</v>
      </c>
      <c r="C6198" s="2" t="s">
        <v>7596</v>
      </c>
    </row>
    <row r="6199">
      <c r="A6199" s="2" t="s">
        <v>13338</v>
      </c>
      <c r="B6199" s="2" t="s">
        <v>13339</v>
      </c>
      <c r="C6199" s="2" t="s">
        <v>7596</v>
      </c>
    </row>
    <row r="6200">
      <c r="A6200" s="2" t="s">
        <v>13340</v>
      </c>
      <c r="B6200" s="2" t="s">
        <v>13339</v>
      </c>
      <c r="C6200" s="2" t="s">
        <v>7596</v>
      </c>
    </row>
    <row r="6201">
      <c r="A6201" s="2" t="s">
        <v>13341</v>
      </c>
      <c r="B6201" s="2" t="s">
        <v>13342</v>
      </c>
      <c r="C6201" s="2" t="s">
        <v>7596</v>
      </c>
    </row>
    <row r="6202">
      <c r="A6202" s="2" t="s">
        <v>13343</v>
      </c>
      <c r="B6202" s="2" t="s">
        <v>13342</v>
      </c>
      <c r="C6202" s="2" t="s">
        <v>7596</v>
      </c>
    </row>
    <row r="6203">
      <c r="A6203" s="2" t="s">
        <v>13344</v>
      </c>
      <c r="B6203" s="2" t="s">
        <v>13345</v>
      </c>
      <c r="C6203" s="2" t="s">
        <v>7596</v>
      </c>
    </row>
    <row r="6204">
      <c r="A6204" s="2" t="s">
        <v>13346</v>
      </c>
      <c r="B6204" s="2" t="s">
        <v>13347</v>
      </c>
      <c r="C6204" s="2" t="s">
        <v>7596</v>
      </c>
    </row>
    <row r="6205">
      <c r="A6205" s="2" t="s">
        <v>13348</v>
      </c>
      <c r="B6205" s="2" t="s">
        <v>13349</v>
      </c>
      <c r="C6205" s="2" t="s">
        <v>7596</v>
      </c>
    </row>
    <row r="6206">
      <c r="A6206" s="2" t="s">
        <v>13350</v>
      </c>
      <c r="B6206" s="2" t="s">
        <v>13351</v>
      </c>
      <c r="C6206" s="2" t="s">
        <v>7596</v>
      </c>
    </row>
    <row r="6207">
      <c r="A6207" s="2" t="s">
        <v>13352</v>
      </c>
      <c r="B6207" s="2" t="s">
        <v>13351</v>
      </c>
      <c r="C6207" s="2" t="s">
        <v>7596</v>
      </c>
    </row>
    <row r="6208">
      <c r="A6208" s="2" t="s">
        <v>13353</v>
      </c>
      <c r="B6208" s="2" t="s">
        <v>13354</v>
      </c>
      <c r="C6208" s="2" t="s">
        <v>7596</v>
      </c>
    </row>
    <row r="6209">
      <c r="A6209" s="2" t="s">
        <v>13355</v>
      </c>
      <c r="B6209" s="2" t="s">
        <v>13354</v>
      </c>
      <c r="C6209" s="2" t="s">
        <v>7596</v>
      </c>
    </row>
    <row r="6210">
      <c r="A6210" s="2" t="s">
        <v>13356</v>
      </c>
      <c r="B6210" s="2" t="s">
        <v>13357</v>
      </c>
      <c r="C6210" s="2" t="s">
        <v>7596</v>
      </c>
    </row>
    <row r="6211">
      <c r="A6211" s="2" t="s">
        <v>13358</v>
      </c>
      <c r="B6211" s="2" t="s">
        <v>13357</v>
      </c>
      <c r="C6211" s="2" t="s">
        <v>7596</v>
      </c>
    </row>
    <row r="6212">
      <c r="A6212" s="2" t="s">
        <v>13359</v>
      </c>
      <c r="B6212" s="2" t="s">
        <v>13360</v>
      </c>
      <c r="C6212" s="2" t="s">
        <v>7596</v>
      </c>
    </row>
    <row r="6213">
      <c r="A6213" s="2" t="s">
        <v>13361</v>
      </c>
      <c r="B6213" s="2" t="s">
        <v>13362</v>
      </c>
      <c r="C6213" s="2" t="s">
        <v>7596</v>
      </c>
    </row>
    <row r="6214">
      <c r="A6214" s="2" t="s">
        <v>13363</v>
      </c>
      <c r="B6214" s="2" t="s">
        <v>13364</v>
      </c>
      <c r="C6214" s="2" t="s">
        <v>7596</v>
      </c>
    </row>
    <row r="6215">
      <c r="A6215" s="2" t="s">
        <v>13365</v>
      </c>
      <c r="B6215" s="2" t="s">
        <v>13366</v>
      </c>
      <c r="C6215" s="2" t="s">
        <v>7596</v>
      </c>
    </row>
    <row r="6216">
      <c r="A6216" s="2" t="s">
        <v>13367</v>
      </c>
      <c r="B6216" s="2" t="s">
        <v>13366</v>
      </c>
      <c r="C6216" s="2" t="s">
        <v>7596</v>
      </c>
    </row>
    <row r="6217">
      <c r="A6217" s="2" t="s">
        <v>13368</v>
      </c>
      <c r="B6217" s="2" t="s">
        <v>13369</v>
      </c>
      <c r="C6217" s="2" t="s">
        <v>7596</v>
      </c>
    </row>
    <row r="6218">
      <c r="A6218" s="2" t="s">
        <v>13370</v>
      </c>
      <c r="B6218" s="2" t="s">
        <v>13369</v>
      </c>
      <c r="C6218" s="2" t="s">
        <v>7596</v>
      </c>
    </row>
    <row r="6219">
      <c r="A6219" s="2" t="s">
        <v>13371</v>
      </c>
      <c r="B6219" s="2" t="s">
        <v>13372</v>
      </c>
      <c r="C6219" s="2" t="s">
        <v>7596</v>
      </c>
    </row>
    <row r="6220">
      <c r="A6220" s="2" t="s">
        <v>13373</v>
      </c>
      <c r="B6220" s="2" t="s">
        <v>13372</v>
      </c>
      <c r="C6220" s="2" t="s">
        <v>7596</v>
      </c>
    </row>
    <row r="6221">
      <c r="A6221" s="2" t="s">
        <v>13374</v>
      </c>
      <c r="B6221" s="2" t="s">
        <v>13375</v>
      </c>
      <c r="C6221" s="2" t="s">
        <v>7596</v>
      </c>
    </row>
    <row r="6222">
      <c r="A6222" s="2" t="s">
        <v>13376</v>
      </c>
      <c r="B6222" s="2" t="s">
        <v>13375</v>
      </c>
      <c r="C6222" s="2" t="s">
        <v>7596</v>
      </c>
    </row>
    <row r="6223">
      <c r="A6223" s="2" t="s">
        <v>13377</v>
      </c>
      <c r="B6223" s="2" t="s">
        <v>13378</v>
      </c>
      <c r="C6223" s="2" t="s">
        <v>7596</v>
      </c>
    </row>
    <row r="6224">
      <c r="A6224" s="2" t="s">
        <v>13379</v>
      </c>
      <c r="B6224" s="2" t="s">
        <v>13378</v>
      </c>
      <c r="C6224" s="2" t="s">
        <v>7596</v>
      </c>
    </row>
    <row r="6225">
      <c r="A6225" s="2" t="s">
        <v>13380</v>
      </c>
      <c r="B6225" s="2" t="s">
        <v>13381</v>
      </c>
      <c r="C6225" s="2" t="s">
        <v>7596</v>
      </c>
    </row>
    <row r="6226">
      <c r="A6226" s="2" t="s">
        <v>13382</v>
      </c>
      <c r="B6226" s="2" t="s">
        <v>13381</v>
      </c>
      <c r="C6226" s="2" t="s">
        <v>7596</v>
      </c>
    </row>
    <row r="6227">
      <c r="A6227" s="2" t="s">
        <v>13383</v>
      </c>
      <c r="B6227" s="2" t="s">
        <v>13384</v>
      </c>
      <c r="C6227" s="2" t="s">
        <v>7596</v>
      </c>
    </row>
    <row r="6228">
      <c r="A6228" s="2" t="s">
        <v>13385</v>
      </c>
      <c r="B6228" s="2" t="s">
        <v>13384</v>
      </c>
      <c r="C6228" s="2" t="s">
        <v>7596</v>
      </c>
    </row>
    <row r="6229">
      <c r="A6229" s="2" t="s">
        <v>13386</v>
      </c>
      <c r="B6229" s="2" t="s">
        <v>13387</v>
      </c>
      <c r="C6229" s="2" t="s">
        <v>7596</v>
      </c>
    </row>
    <row r="6230">
      <c r="A6230" s="2" t="s">
        <v>13388</v>
      </c>
      <c r="B6230" s="2" t="s">
        <v>13387</v>
      </c>
      <c r="C6230" s="2" t="s">
        <v>7596</v>
      </c>
    </row>
    <row r="6231">
      <c r="A6231" s="2" t="s">
        <v>13389</v>
      </c>
      <c r="B6231" s="2" t="s">
        <v>13390</v>
      </c>
      <c r="C6231" s="2" t="s">
        <v>7596</v>
      </c>
    </row>
    <row r="6232">
      <c r="A6232" s="2" t="s">
        <v>13391</v>
      </c>
      <c r="B6232" s="2" t="s">
        <v>13390</v>
      </c>
      <c r="C6232" s="2" t="s">
        <v>7596</v>
      </c>
    </row>
    <row r="6233">
      <c r="A6233" s="2" t="s">
        <v>13392</v>
      </c>
      <c r="B6233" s="2" t="s">
        <v>13393</v>
      </c>
      <c r="C6233" s="2" t="s">
        <v>7596</v>
      </c>
    </row>
    <row r="6234">
      <c r="A6234" s="2" t="s">
        <v>13394</v>
      </c>
      <c r="B6234" s="2" t="s">
        <v>13395</v>
      </c>
      <c r="C6234" s="2" t="s">
        <v>7596</v>
      </c>
    </row>
    <row r="6235">
      <c r="A6235" s="2" t="s">
        <v>13396</v>
      </c>
      <c r="B6235" s="2" t="s">
        <v>13397</v>
      </c>
      <c r="C6235" s="2" t="s">
        <v>7596</v>
      </c>
    </row>
    <row r="6236">
      <c r="A6236" s="2" t="s">
        <v>13398</v>
      </c>
      <c r="B6236" s="2" t="s">
        <v>13399</v>
      </c>
      <c r="C6236" s="2" t="s">
        <v>7596</v>
      </c>
    </row>
    <row r="6237">
      <c r="A6237" s="2" t="s">
        <v>13400</v>
      </c>
      <c r="B6237" s="2" t="s">
        <v>13401</v>
      </c>
      <c r="C6237" s="2" t="s">
        <v>7596</v>
      </c>
    </row>
    <row r="6238">
      <c r="A6238" s="2" t="s">
        <v>13402</v>
      </c>
      <c r="B6238" s="2" t="s">
        <v>13403</v>
      </c>
      <c r="C6238" s="2" t="s">
        <v>7596</v>
      </c>
    </row>
    <row r="6239">
      <c r="A6239" s="2" t="s">
        <v>13404</v>
      </c>
      <c r="B6239" s="2" t="s">
        <v>13405</v>
      </c>
      <c r="C6239" s="2" t="s">
        <v>7596</v>
      </c>
    </row>
    <row r="6240">
      <c r="A6240" s="2" t="s">
        <v>13406</v>
      </c>
      <c r="B6240" s="2" t="s">
        <v>13407</v>
      </c>
      <c r="C6240" s="2" t="s">
        <v>7596</v>
      </c>
    </row>
    <row r="6241">
      <c r="A6241" s="2" t="s">
        <v>13408</v>
      </c>
      <c r="B6241" s="2" t="s">
        <v>13409</v>
      </c>
      <c r="C6241" s="2" t="s">
        <v>7596</v>
      </c>
    </row>
    <row r="6242">
      <c r="A6242" s="2" t="s">
        <v>13410</v>
      </c>
      <c r="B6242" s="2" t="s">
        <v>13411</v>
      </c>
      <c r="C6242" s="2" t="s">
        <v>7596</v>
      </c>
    </row>
    <row r="6243">
      <c r="A6243" s="2" t="s">
        <v>13412</v>
      </c>
      <c r="B6243" s="2" t="s">
        <v>13413</v>
      </c>
      <c r="C6243" s="2" t="s">
        <v>7596</v>
      </c>
    </row>
    <row r="6244">
      <c r="A6244" s="2" t="s">
        <v>13414</v>
      </c>
      <c r="B6244" s="2" t="s">
        <v>13415</v>
      </c>
      <c r="C6244" s="2" t="s">
        <v>7596</v>
      </c>
    </row>
    <row r="6245">
      <c r="A6245" s="2" t="s">
        <v>13416</v>
      </c>
      <c r="B6245" s="2" t="s">
        <v>13417</v>
      </c>
      <c r="C6245" s="2" t="s">
        <v>7596</v>
      </c>
    </row>
    <row r="6246">
      <c r="A6246" s="2" t="s">
        <v>13418</v>
      </c>
      <c r="B6246" s="2" t="s">
        <v>13419</v>
      </c>
      <c r="C6246" s="2" t="s">
        <v>7596</v>
      </c>
    </row>
    <row r="6247">
      <c r="A6247" s="2" t="s">
        <v>13420</v>
      </c>
      <c r="B6247" s="2" t="s">
        <v>13421</v>
      </c>
      <c r="C6247" s="2" t="s">
        <v>7596</v>
      </c>
    </row>
    <row r="6248">
      <c r="A6248" s="2" t="s">
        <v>13422</v>
      </c>
      <c r="B6248" s="2" t="s">
        <v>13423</v>
      </c>
      <c r="C6248" s="2" t="s">
        <v>7596</v>
      </c>
    </row>
    <row r="6249">
      <c r="A6249" s="2" t="s">
        <v>13424</v>
      </c>
      <c r="B6249" s="2" t="s">
        <v>13425</v>
      </c>
      <c r="C6249" s="2" t="s">
        <v>7596</v>
      </c>
    </row>
    <row r="6250">
      <c r="A6250" s="2" t="s">
        <v>13426</v>
      </c>
      <c r="B6250" s="2" t="s">
        <v>13427</v>
      </c>
      <c r="C6250" s="2" t="s">
        <v>7596</v>
      </c>
    </row>
    <row r="6251">
      <c r="A6251" s="2" t="s">
        <v>13428</v>
      </c>
      <c r="B6251" s="2" t="s">
        <v>13429</v>
      </c>
      <c r="C6251" s="2" t="s">
        <v>7596</v>
      </c>
    </row>
    <row r="6252">
      <c r="A6252" s="2" t="s">
        <v>13430</v>
      </c>
      <c r="B6252" s="2" t="s">
        <v>13431</v>
      </c>
      <c r="C6252" s="2" t="s">
        <v>7596</v>
      </c>
    </row>
    <row r="6253">
      <c r="A6253" s="2" t="s">
        <v>13432</v>
      </c>
      <c r="B6253" s="2" t="s">
        <v>13433</v>
      </c>
      <c r="C6253" s="2" t="s">
        <v>7596</v>
      </c>
    </row>
    <row r="6254">
      <c r="A6254" s="2" t="s">
        <v>13434</v>
      </c>
      <c r="B6254" s="2" t="s">
        <v>13435</v>
      </c>
      <c r="C6254" s="2" t="s">
        <v>7596</v>
      </c>
    </row>
    <row r="6255">
      <c r="A6255" s="2" t="s">
        <v>13436</v>
      </c>
      <c r="B6255" s="2" t="s">
        <v>13437</v>
      </c>
      <c r="C6255" s="2" t="s">
        <v>7596</v>
      </c>
    </row>
    <row r="6256">
      <c r="A6256" s="2" t="s">
        <v>13438</v>
      </c>
      <c r="B6256" s="2" t="s">
        <v>13439</v>
      </c>
      <c r="C6256" s="2" t="s">
        <v>7596</v>
      </c>
    </row>
    <row r="6257">
      <c r="A6257" s="2" t="s">
        <v>13440</v>
      </c>
      <c r="B6257" s="2" t="s">
        <v>13441</v>
      </c>
      <c r="C6257" s="2" t="s">
        <v>7596</v>
      </c>
    </row>
    <row r="6258">
      <c r="A6258" s="2" t="s">
        <v>13442</v>
      </c>
      <c r="B6258" s="2" t="s">
        <v>13443</v>
      </c>
      <c r="C6258" s="2" t="s">
        <v>7596</v>
      </c>
    </row>
    <row r="6259">
      <c r="A6259" s="2" t="s">
        <v>13444</v>
      </c>
      <c r="B6259" s="2" t="s">
        <v>13445</v>
      </c>
      <c r="C6259" s="2" t="s">
        <v>7596</v>
      </c>
    </row>
    <row r="6260">
      <c r="A6260" s="2" t="s">
        <v>13446</v>
      </c>
      <c r="B6260" s="2" t="s">
        <v>13447</v>
      </c>
      <c r="C6260" s="2" t="s">
        <v>7596</v>
      </c>
    </row>
    <row r="6261">
      <c r="A6261" s="2" t="s">
        <v>13448</v>
      </c>
      <c r="B6261" s="2" t="s">
        <v>13449</v>
      </c>
      <c r="C6261" s="2" t="s">
        <v>7596</v>
      </c>
    </row>
    <row r="6262">
      <c r="A6262" s="2" t="s">
        <v>13450</v>
      </c>
      <c r="B6262" s="2" t="s">
        <v>13451</v>
      </c>
      <c r="C6262" s="2" t="s">
        <v>7596</v>
      </c>
    </row>
    <row r="6263">
      <c r="A6263" s="2" t="s">
        <v>13452</v>
      </c>
      <c r="B6263" s="2" t="s">
        <v>13453</v>
      </c>
      <c r="C6263" s="2" t="s">
        <v>7596</v>
      </c>
    </row>
    <row r="6264">
      <c r="A6264" s="2" t="s">
        <v>13454</v>
      </c>
      <c r="B6264" s="2" t="s">
        <v>13455</v>
      </c>
      <c r="C6264" s="2" t="s">
        <v>7596</v>
      </c>
    </row>
    <row r="6265">
      <c r="A6265" s="2" t="s">
        <v>13456</v>
      </c>
      <c r="B6265" s="2" t="s">
        <v>13457</v>
      </c>
      <c r="C6265" s="2" t="s">
        <v>7596</v>
      </c>
    </row>
    <row r="6266">
      <c r="A6266" s="2" t="s">
        <v>13458</v>
      </c>
      <c r="B6266" s="2" t="s">
        <v>13459</v>
      </c>
      <c r="C6266" s="2" t="s">
        <v>7596</v>
      </c>
    </row>
    <row r="6267">
      <c r="A6267" s="2" t="s">
        <v>13460</v>
      </c>
      <c r="B6267" s="2" t="s">
        <v>13461</v>
      </c>
      <c r="C6267" s="2" t="s">
        <v>7596</v>
      </c>
    </row>
    <row r="6268">
      <c r="A6268" s="2" t="s">
        <v>13462</v>
      </c>
      <c r="B6268" s="2" t="s">
        <v>13463</v>
      </c>
      <c r="C6268" s="2" t="s">
        <v>7596</v>
      </c>
    </row>
    <row r="6269">
      <c r="A6269" s="2" t="s">
        <v>13464</v>
      </c>
      <c r="B6269" s="2" t="s">
        <v>13465</v>
      </c>
      <c r="C6269" s="2" t="s">
        <v>7596</v>
      </c>
    </row>
    <row r="6270">
      <c r="A6270" s="2" t="s">
        <v>13466</v>
      </c>
      <c r="B6270" s="2" t="s">
        <v>13467</v>
      </c>
      <c r="C6270" s="2" t="s">
        <v>7596</v>
      </c>
    </row>
    <row r="6271">
      <c r="A6271" s="2" t="s">
        <v>13468</v>
      </c>
      <c r="B6271" s="2" t="s">
        <v>13469</v>
      </c>
      <c r="C6271" s="2" t="s">
        <v>7596</v>
      </c>
    </row>
    <row r="6272">
      <c r="A6272" s="2" t="s">
        <v>13470</v>
      </c>
      <c r="B6272" s="2" t="s">
        <v>13471</v>
      </c>
      <c r="C6272" s="2" t="s">
        <v>7596</v>
      </c>
    </row>
    <row r="6273">
      <c r="A6273" s="2" t="s">
        <v>13472</v>
      </c>
      <c r="B6273" s="2" t="s">
        <v>13473</v>
      </c>
      <c r="C6273" s="2" t="s">
        <v>7596</v>
      </c>
    </row>
    <row r="6274">
      <c r="A6274" s="2" t="s">
        <v>13474</v>
      </c>
      <c r="B6274" s="2" t="s">
        <v>13475</v>
      </c>
      <c r="C6274" s="2" t="s">
        <v>7596</v>
      </c>
    </row>
    <row r="6275">
      <c r="A6275" s="2" t="s">
        <v>13476</v>
      </c>
      <c r="B6275" s="2" t="s">
        <v>13477</v>
      </c>
      <c r="C6275" s="2" t="s">
        <v>7596</v>
      </c>
    </row>
    <row r="6276">
      <c r="A6276" s="2" t="s">
        <v>13478</v>
      </c>
      <c r="B6276" s="2" t="s">
        <v>13479</v>
      </c>
      <c r="C6276" s="2" t="s">
        <v>7596</v>
      </c>
    </row>
    <row r="6277">
      <c r="A6277" s="2" t="s">
        <v>13480</v>
      </c>
      <c r="B6277" s="2" t="s">
        <v>13481</v>
      </c>
      <c r="C6277" s="2" t="s">
        <v>7596</v>
      </c>
    </row>
    <row r="6278">
      <c r="A6278" s="2" t="s">
        <v>13482</v>
      </c>
      <c r="B6278" s="2" t="s">
        <v>13483</v>
      </c>
      <c r="C6278" s="2" t="s">
        <v>7596</v>
      </c>
    </row>
    <row r="6279">
      <c r="A6279" s="2" t="s">
        <v>13484</v>
      </c>
      <c r="B6279" s="2" t="s">
        <v>13485</v>
      </c>
      <c r="C6279" s="2" t="s">
        <v>7596</v>
      </c>
    </row>
    <row r="6280">
      <c r="A6280" s="2" t="s">
        <v>13486</v>
      </c>
      <c r="B6280" s="2" t="s">
        <v>13487</v>
      </c>
      <c r="C6280" s="2" t="s">
        <v>7596</v>
      </c>
    </row>
    <row r="6281">
      <c r="A6281" s="2" t="s">
        <v>13488</v>
      </c>
      <c r="B6281" s="2" t="s">
        <v>13489</v>
      </c>
      <c r="C6281" s="2" t="s">
        <v>7596</v>
      </c>
    </row>
    <row r="6282">
      <c r="A6282" s="2" t="s">
        <v>13490</v>
      </c>
      <c r="B6282" s="2" t="s">
        <v>13491</v>
      </c>
      <c r="C6282" s="2" t="s">
        <v>7596</v>
      </c>
    </row>
    <row r="6283">
      <c r="A6283" s="2" t="s">
        <v>13492</v>
      </c>
      <c r="B6283" s="2" t="s">
        <v>13493</v>
      </c>
      <c r="C6283" s="2" t="s">
        <v>7596</v>
      </c>
    </row>
    <row r="6284">
      <c r="A6284" s="2" t="s">
        <v>13494</v>
      </c>
      <c r="B6284" s="2" t="s">
        <v>13495</v>
      </c>
      <c r="C6284" s="2" t="s">
        <v>7596</v>
      </c>
    </row>
    <row r="6285">
      <c r="A6285" s="2" t="s">
        <v>13496</v>
      </c>
      <c r="B6285" s="2" t="s">
        <v>13497</v>
      </c>
      <c r="C6285" s="2" t="s">
        <v>7596</v>
      </c>
    </row>
    <row r="6286">
      <c r="A6286" s="2" t="s">
        <v>13498</v>
      </c>
      <c r="B6286" s="2" t="s">
        <v>13499</v>
      </c>
      <c r="C6286" s="2" t="s">
        <v>7596</v>
      </c>
    </row>
    <row r="6287">
      <c r="A6287" s="2" t="s">
        <v>13500</v>
      </c>
      <c r="B6287" s="2" t="s">
        <v>13501</v>
      </c>
      <c r="C6287" s="2" t="s">
        <v>7596</v>
      </c>
    </row>
    <row r="6288">
      <c r="A6288" s="2" t="s">
        <v>13502</v>
      </c>
      <c r="B6288" s="2" t="s">
        <v>13503</v>
      </c>
      <c r="C6288" s="2" t="s">
        <v>7596</v>
      </c>
    </row>
    <row r="6289">
      <c r="A6289" s="2" t="s">
        <v>13504</v>
      </c>
      <c r="B6289" s="2" t="s">
        <v>13505</v>
      </c>
      <c r="C6289" s="2" t="s">
        <v>7596</v>
      </c>
    </row>
    <row r="6290">
      <c r="A6290" s="2" t="s">
        <v>13506</v>
      </c>
      <c r="B6290" s="2" t="s">
        <v>13505</v>
      </c>
      <c r="C6290" s="2" t="s">
        <v>7596</v>
      </c>
    </row>
    <row r="6291">
      <c r="A6291" s="2" t="s">
        <v>13507</v>
      </c>
      <c r="B6291" s="2" t="s">
        <v>13508</v>
      </c>
      <c r="C6291" s="2" t="s">
        <v>7596</v>
      </c>
    </row>
    <row r="6292">
      <c r="A6292" s="2" t="s">
        <v>13509</v>
      </c>
      <c r="B6292" s="2" t="s">
        <v>13510</v>
      </c>
      <c r="C6292" s="2" t="s">
        <v>7596</v>
      </c>
    </row>
    <row r="6293">
      <c r="A6293" s="2" t="s">
        <v>13511</v>
      </c>
      <c r="B6293" s="2" t="s">
        <v>13512</v>
      </c>
      <c r="C6293" s="2" t="s">
        <v>7596</v>
      </c>
    </row>
    <row r="6294">
      <c r="A6294" s="2" t="s">
        <v>13513</v>
      </c>
      <c r="B6294" s="2" t="s">
        <v>13514</v>
      </c>
      <c r="C6294" s="2" t="s">
        <v>7596</v>
      </c>
    </row>
    <row r="6295">
      <c r="A6295" s="2" t="s">
        <v>13515</v>
      </c>
      <c r="B6295" s="2" t="s">
        <v>13514</v>
      </c>
      <c r="C6295" s="2" t="s">
        <v>7596</v>
      </c>
    </row>
    <row r="6296">
      <c r="A6296" s="2" t="s">
        <v>13516</v>
      </c>
      <c r="B6296" s="2" t="s">
        <v>13514</v>
      </c>
      <c r="C6296" s="2" t="s">
        <v>7596</v>
      </c>
    </row>
    <row r="6297">
      <c r="A6297" s="2" t="s">
        <v>13517</v>
      </c>
      <c r="B6297" s="2" t="s">
        <v>13518</v>
      </c>
      <c r="C6297" s="2" t="s">
        <v>7596</v>
      </c>
    </row>
    <row r="6298">
      <c r="A6298" s="2" t="s">
        <v>13519</v>
      </c>
      <c r="B6298" s="2" t="s">
        <v>13520</v>
      </c>
      <c r="C6298" s="2" t="s">
        <v>7596</v>
      </c>
    </row>
    <row r="6299">
      <c r="A6299" s="2" t="s">
        <v>13521</v>
      </c>
      <c r="B6299" s="2" t="s">
        <v>13522</v>
      </c>
      <c r="C6299" s="2" t="s">
        <v>7596</v>
      </c>
    </row>
    <row r="6300">
      <c r="A6300" s="2" t="s">
        <v>13523</v>
      </c>
      <c r="B6300" s="2" t="s">
        <v>13524</v>
      </c>
      <c r="C6300" s="2" t="s">
        <v>7596</v>
      </c>
    </row>
    <row r="6301">
      <c r="A6301" s="2" t="s">
        <v>13525</v>
      </c>
      <c r="B6301" s="2" t="s">
        <v>13526</v>
      </c>
      <c r="C6301" s="2" t="s">
        <v>7596</v>
      </c>
    </row>
    <row r="6302">
      <c r="A6302" s="2" t="s">
        <v>13527</v>
      </c>
      <c r="B6302" s="2" t="s">
        <v>13528</v>
      </c>
      <c r="C6302" s="2" t="s">
        <v>7596</v>
      </c>
    </row>
    <row r="6303">
      <c r="A6303" s="2" t="s">
        <v>13529</v>
      </c>
      <c r="B6303" s="2" t="s">
        <v>13530</v>
      </c>
      <c r="C6303" s="2" t="s">
        <v>7596</v>
      </c>
    </row>
    <row r="6304">
      <c r="A6304" s="2" t="s">
        <v>13531</v>
      </c>
      <c r="B6304" s="2" t="s">
        <v>13532</v>
      </c>
      <c r="C6304" s="2" t="s">
        <v>7596</v>
      </c>
    </row>
    <row r="6305">
      <c r="A6305" s="2" t="s">
        <v>13533</v>
      </c>
      <c r="B6305" s="2" t="s">
        <v>13534</v>
      </c>
      <c r="C6305" s="2" t="s">
        <v>7596</v>
      </c>
    </row>
    <row r="6306">
      <c r="A6306" s="2" t="s">
        <v>13535</v>
      </c>
      <c r="B6306" s="2" t="s">
        <v>13534</v>
      </c>
      <c r="C6306" s="2" t="s">
        <v>7596</v>
      </c>
    </row>
    <row r="6307">
      <c r="A6307" s="2" t="s">
        <v>13536</v>
      </c>
      <c r="B6307" s="2" t="s">
        <v>13534</v>
      </c>
      <c r="C6307" s="2" t="s">
        <v>7596</v>
      </c>
    </row>
    <row r="6308">
      <c r="A6308" s="2" t="s">
        <v>13537</v>
      </c>
      <c r="B6308" s="2" t="s">
        <v>13538</v>
      </c>
      <c r="C6308" s="2" t="s">
        <v>7596</v>
      </c>
    </row>
    <row r="6309">
      <c r="A6309" s="2" t="s">
        <v>13539</v>
      </c>
      <c r="B6309" s="2" t="s">
        <v>13540</v>
      </c>
      <c r="C6309" s="2" t="s">
        <v>7596</v>
      </c>
    </row>
    <row r="6310">
      <c r="A6310" s="2" t="s">
        <v>13541</v>
      </c>
      <c r="B6310" s="2" t="s">
        <v>13542</v>
      </c>
      <c r="C6310" s="2" t="s">
        <v>7596</v>
      </c>
    </row>
    <row r="6311">
      <c r="A6311" s="2" t="s">
        <v>13543</v>
      </c>
      <c r="B6311" s="2" t="s">
        <v>13544</v>
      </c>
      <c r="C6311" s="2" t="s">
        <v>7596</v>
      </c>
    </row>
    <row r="6312">
      <c r="A6312" s="2" t="s">
        <v>13545</v>
      </c>
      <c r="B6312" s="2" t="s">
        <v>13546</v>
      </c>
      <c r="C6312" s="2" t="s">
        <v>7596</v>
      </c>
    </row>
    <row r="6313">
      <c r="A6313" s="2" t="s">
        <v>13547</v>
      </c>
      <c r="B6313" s="2" t="s">
        <v>13548</v>
      </c>
      <c r="C6313" s="2" t="s">
        <v>7596</v>
      </c>
    </row>
    <row r="6314">
      <c r="A6314" s="2" t="s">
        <v>13549</v>
      </c>
      <c r="B6314" s="2" t="s">
        <v>13550</v>
      </c>
      <c r="C6314" s="2" t="s">
        <v>7596</v>
      </c>
    </row>
    <row r="6315">
      <c r="A6315" s="2" t="s">
        <v>13551</v>
      </c>
      <c r="B6315" s="2" t="s">
        <v>13552</v>
      </c>
      <c r="C6315" s="2" t="s">
        <v>7596</v>
      </c>
    </row>
    <row r="6316">
      <c r="A6316" s="2" t="s">
        <v>13553</v>
      </c>
      <c r="B6316" s="2" t="s">
        <v>13554</v>
      </c>
      <c r="C6316" s="2" t="s">
        <v>7596</v>
      </c>
    </row>
    <row r="6317">
      <c r="A6317" s="2" t="s">
        <v>13555</v>
      </c>
      <c r="B6317" s="2" t="s">
        <v>13556</v>
      </c>
      <c r="C6317" s="2" t="s">
        <v>7596</v>
      </c>
    </row>
    <row r="6318">
      <c r="A6318" s="2" t="s">
        <v>13557</v>
      </c>
      <c r="B6318" s="2" t="s">
        <v>13558</v>
      </c>
      <c r="C6318" s="2" t="s">
        <v>7596</v>
      </c>
    </row>
    <row r="6319">
      <c r="A6319" s="2" t="s">
        <v>13559</v>
      </c>
      <c r="B6319" s="2" t="s">
        <v>13560</v>
      </c>
      <c r="C6319" s="2" t="s">
        <v>7596</v>
      </c>
    </row>
    <row r="6320">
      <c r="A6320" s="2" t="s">
        <v>13561</v>
      </c>
      <c r="B6320" s="2" t="s">
        <v>13562</v>
      </c>
      <c r="C6320" s="2" t="s">
        <v>7596</v>
      </c>
    </row>
    <row r="6321">
      <c r="A6321" s="2" t="s">
        <v>13563</v>
      </c>
      <c r="B6321" s="2" t="s">
        <v>13564</v>
      </c>
      <c r="C6321" s="2" t="s">
        <v>7596</v>
      </c>
    </row>
    <row r="6322">
      <c r="A6322" s="2" t="s">
        <v>13565</v>
      </c>
      <c r="B6322" s="2" t="s">
        <v>13566</v>
      </c>
      <c r="C6322" s="2" t="s">
        <v>7596</v>
      </c>
    </row>
    <row r="6323">
      <c r="A6323" s="2" t="s">
        <v>13567</v>
      </c>
      <c r="B6323" s="2" t="s">
        <v>13568</v>
      </c>
      <c r="C6323" s="2" t="s">
        <v>7596</v>
      </c>
    </row>
    <row r="6324">
      <c r="A6324" s="2" t="s">
        <v>13569</v>
      </c>
      <c r="B6324" s="2" t="s">
        <v>13570</v>
      </c>
      <c r="C6324" s="2" t="s">
        <v>7596</v>
      </c>
    </row>
    <row r="6325">
      <c r="A6325" s="2" t="s">
        <v>13571</v>
      </c>
      <c r="B6325" s="2" t="s">
        <v>13572</v>
      </c>
      <c r="C6325" s="2" t="s">
        <v>7596</v>
      </c>
    </row>
    <row r="6326">
      <c r="A6326" s="2" t="s">
        <v>13573</v>
      </c>
      <c r="B6326" s="2" t="s">
        <v>13574</v>
      </c>
      <c r="C6326" s="2" t="s">
        <v>7596</v>
      </c>
    </row>
    <row r="6327">
      <c r="A6327" s="2" t="s">
        <v>13575</v>
      </c>
      <c r="B6327" s="2" t="s">
        <v>13574</v>
      </c>
      <c r="C6327" s="2" t="s">
        <v>7596</v>
      </c>
    </row>
    <row r="6328">
      <c r="A6328" s="2" t="s">
        <v>13576</v>
      </c>
      <c r="B6328" s="2" t="s">
        <v>13577</v>
      </c>
      <c r="C6328" s="2" t="s">
        <v>7596</v>
      </c>
    </row>
    <row r="6329">
      <c r="A6329" s="2" t="s">
        <v>13578</v>
      </c>
      <c r="B6329" s="2" t="s">
        <v>13579</v>
      </c>
      <c r="C6329" s="2" t="s">
        <v>7596</v>
      </c>
    </row>
    <row r="6330">
      <c r="A6330" s="2" t="s">
        <v>13580</v>
      </c>
      <c r="B6330" s="2" t="s">
        <v>13579</v>
      </c>
      <c r="C6330" s="2" t="s">
        <v>7596</v>
      </c>
    </row>
    <row r="6331">
      <c r="A6331" s="2" t="s">
        <v>13581</v>
      </c>
      <c r="B6331" s="2" t="s">
        <v>13579</v>
      </c>
      <c r="C6331" s="2" t="s">
        <v>7596</v>
      </c>
    </row>
    <row r="6332">
      <c r="A6332" s="2" t="s">
        <v>13582</v>
      </c>
      <c r="B6332" s="2" t="s">
        <v>13583</v>
      </c>
      <c r="C6332" s="2" t="s">
        <v>7596</v>
      </c>
    </row>
    <row r="6333">
      <c r="A6333" s="2" t="s">
        <v>13584</v>
      </c>
      <c r="B6333" s="2" t="s">
        <v>13585</v>
      </c>
      <c r="C6333" s="2" t="s">
        <v>7596</v>
      </c>
    </row>
    <row r="6334">
      <c r="A6334" s="2" t="s">
        <v>13586</v>
      </c>
      <c r="B6334" s="2" t="s">
        <v>13587</v>
      </c>
      <c r="C6334" s="2" t="s">
        <v>7596</v>
      </c>
    </row>
    <row r="6335">
      <c r="A6335" s="2" t="s">
        <v>13588</v>
      </c>
      <c r="B6335" s="2" t="s">
        <v>13589</v>
      </c>
      <c r="C6335" s="2" t="s">
        <v>7596</v>
      </c>
    </row>
    <row r="6336">
      <c r="A6336" s="2" t="s">
        <v>13590</v>
      </c>
      <c r="B6336" s="2" t="s">
        <v>13591</v>
      </c>
      <c r="C6336" s="2" t="s">
        <v>7596</v>
      </c>
    </row>
    <row r="6337">
      <c r="A6337" s="2" t="s">
        <v>13592</v>
      </c>
      <c r="B6337" s="2" t="s">
        <v>13593</v>
      </c>
      <c r="C6337" s="2" t="s">
        <v>7596</v>
      </c>
    </row>
    <row r="6338">
      <c r="A6338" s="2" t="s">
        <v>13594</v>
      </c>
      <c r="B6338" s="2" t="s">
        <v>13595</v>
      </c>
      <c r="C6338" s="2" t="s">
        <v>7596</v>
      </c>
    </row>
    <row r="6339">
      <c r="A6339" s="2" t="s">
        <v>13596</v>
      </c>
      <c r="B6339" s="2" t="s">
        <v>13597</v>
      </c>
      <c r="C6339" s="2" t="s">
        <v>7596</v>
      </c>
    </row>
    <row r="6340">
      <c r="A6340" s="2" t="s">
        <v>13598</v>
      </c>
      <c r="B6340" s="2" t="s">
        <v>13599</v>
      </c>
      <c r="C6340" s="2" t="s">
        <v>7596</v>
      </c>
    </row>
    <row r="6341">
      <c r="A6341" s="2" t="s">
        <v>13600</v>
      </c>
      <c r="B6341" s="2" t="s">
        <v>13599</v>
      </c>
      <c r="C6341" s="2" t="s">
        <v>7596</v>
      </c>
    </row>
    <row r="6342">
      <c r="A6342" s="2" t="s">
        <v>13601</v>
      </c>
      <c r="B6342" s="2" t="s">
        <v>13602</v>
      </c>
      <c r="C6342" s="2" t="s">
        <v>7596</v>
      </c>
    </row>
    <row r="6343">
      <c r="A6343" s="2" t="s">
        <v>13603</v>
      </c>
      <c r="B6343" s="2" t="s">
        <v>13604</v>
      </c>
      <c r="C6343" s="2" t="s">
        <v>7596</v>
      </c>
    </row>
    <row r="6344">
      <c r="A6344" s="2" t="s">
        <v>13605</v>
      </c>
      <c r="B6344" s="2" t="s">
        <v>13606</v>
      </c>
      <c r="C6344" s="2" t="s">
        <v>7596</v>
      </c>
    </row>
    <row r="6345">
      <c r="A6345" s="2" t="s">
        <v>13607</v>
      </c>
      <c r="B6345" s="2" t="s">
        <v>13608</v>
      </c>
      <c r="C6345" s="2" t="s">
        <v>7596</v>
      </c>
    </row>
    <row r="6346">
      <c r="A6346" s="2" t="s">
        <v>13609</v>
      </c>
      <c r="B6346" s="2" t="s">
        <v>13610</v>
      </c>
      <c r="C6346" s="2" t="s">
        <v>7596</v>
      </c>
    </row>
    <row r="6347">
      <c r="A6347" s="2" t="s">
        <v>13611</v>
      </c>
      <c r="B6347" s="2" t="s">
        <v>13612</v>
      </c>
      <c r="C6347" s="2" t="s">
        <v>7596</v>
      </c>
    </row>
    <row r="6348">
      <c r="A6348" s="2" t="s">
        <v>13613</v>
      </c>
      <c r="B6348" s="2" t="s">
        <v>13614</v>
      </c>
      <c r="C6348" s="2" t="s">
        <v>7596</v>
      </c>
    </row>
    <row r="6349">
      <c r="A6349" s="2" t="s">
        <v>13615</v>
      </c>
      <c r="B6349" s="2" t="s">
        <v>13616</v>
      </c>
      <c r="C6349" s="2" t="s">
        <v>7596</v>
      </c>
    </row>
    <row r="6350">
      <c r="A6350" s="2" t="s">
        <v>13617</v>
      </c>
      <c r="B6350" s="2" t="s">
        <v>13618</v>
      </c>
      <c r="C6350" s="2" t="s">
        <v>7596</v>
      </c>
    </row>
    <row r="6351">
      <c r="A6351" s="2" t="s">
        <v>13619</v>
      </c>
      <c r="B6351" s="2" t="s">
        <v>13620</v>
      </c>
      <c r="C6351" s="2" t="s">
        <v>7596</v>
      </c>
    </row>
    <row r="6352">
      <c r="A6352" s="2" t="s">
        <v>13621</v>
      </c>
      <c r="B6352" s="2" t="s">
        <v>13622</v>
      </c>
      <c r="C6352" s="2" t="s">
        <v>7596</v>
      </c>
    </row>
    <row r="6353">
      <c r="A6353" s="2" t="s">
        <v>13623</v>
      </c>
      <c r="B6353" s="2" t="s">
        <v>13624</v>
      </c>
      <c r="C6353" s="2" t="s">
        <v>7596</v>
      </c>
    </row>
    <row r="6354">
      <c r="A6354" s="2" t="s">
        <v>13625</v>
      </c>
      <c r="B6354" s="2" t="s">
        <v>13626</v>
      </c>
      <c r="C6354" s="2" t="s">
        <v>7596</v>
      </c>
    </row>
    <row r="6355">
      <c r="A6355" s="2" t="s">
        <v>13627</v>
      </c>
      <c r="B6355" s="2" t="s">
        <v>13628</v>
      </c>
      <c r="C6355" s="2" t="s">
        <v>7596</v>
      </c>
    </row>
    <row r="6356">
      <c r="A6356" s="2" t="s">
        <v>13629</v>
      </c>
      <c r="B6356" s="2" t="s">
        <v>13630</v>
      </c>
      <c r="C6356" s="2" t="s">
        <v>7596</v>
      </c>
    </row>
    <row r="6357">
      <c r="A6357" s="2" t="s">
        <v>13631</v>
      </c>
      <c r="B6357" s="2" t="s">
        <v>13632</v>
      </c>
      <c r="C6357" s="2" t="s">
        <v>7596</v>
      </c>
    </row>
    <row r="6358">
      <c r="A6358" s="2" t="s">
        <v>13633</v>
      </c>
      <c r="B6358" s="2" t="s">
        <v>13634</v>
      </c>
      <c r="C6358" s="2" t="s">
        <v>7596</v>
      </c>
    </row>
    <row r="6359">
      <c r="A6359" s="2" t="s">
        <v>13635</v>
      </c>
      <c r="B6359" s="2" t="s">
        <v>13636</v>
      </c>
      <c r="C6359" s="2" t="s">
        <v>7596</v>
      </c>
    </row>
    <row r="6360">
      <c r="A6360" s="2" t="s">
        <v>13637</v>
      </c>
      <c r="B6360" s="2" t="s">
        <v>13638</v>
      </c>
      <c r="C6360" s="2" t="s">
        <v>7596</v>
      </c>
    </row>
    <row r="6361">
      <c r="A6361" s="2" t="s">
        <v>13639</v>
      </c>
      <c r="B6361" s="2" t="s">
        <v>13640</v>
      </c>
      <c r="C6361" s="2" t="s">
        <v>7596</v>
      </c>
    </row>
    <row r="6362">
      <c r="A6362" s="2" t="s">
        <v>13641</v>
      </c>
      <c r="B6362" s="2" t="s">
        <v>13642</v>
      </c>
      <c r="C6362" s="2" t="s">
        <v>7596</v>
      </c>
    </row>
    <row r="6363">
      <c r="A6363" s="2" t="s">
        <v>13643</v>
      </c>
      <c r="B6363" s="2" t="s">
        <v>13644</v>
      </c>
      <c r="C6363" s="2" t="s">
        <v>7596</v>
      </c>
    </row>
    <row r="6364">
      <c r="A6364" s="2" t="s">
        <v>13645</v>
      </c>
      <c r="B6364" s="2" t="s">
        <v>13646</v>
      </c>
      <c r="C6364" s="2" t="s">
        <v>7596</v>
      </c>
    </row>
    <row r="6365">
      <c r="A6365" s="2" t="s">
        <v>13647</v>
      </c>
      <c r="B6365" s="2" t="s">
        <v>13648</v>
      </c>
      <c r="C6365" s="2" t="s">
        <v>7596</v>
      </c>
    </row>
    <row r="6366">
      <c r="A6366" s="2" t="s">
        <v>13649</v>
      </c>
      <c r="B6366" s="2" t="s">
        <v>13648</v>
      </c>
      <c r="C6366" s="2" t="s">
        <v>7596</v>
      </c>
    </row>
    <row r="6367">
      <c r="A6367" s="2" t="s">
        <v>13650</v>
      </c>
      <c r="B6367" s="2" t="s">
        <v>13651</v>
      </c>
      <c r="C6367" s="2" t="s">
        <v>7596</v>
      </c>
    </row>
    <row r="6368">
      <c r="A6368" s="2" t="s">
        <v>13652</v>
      </c>
      <c r="B6368" s="2" t="s">
        <v>13653</v>
      </c>
      <c r="C6368" s="2" t="s">
        <v>7596</v>
      </c>
    </row>
    <row r="6369">
      <c r="A6369" s="2" t="s">
        <v>13654</v>
      </c>
      <c r="B6369" s="2" t="s">
        <v>13655</v>
      </c>
      <c r="C6369" s="2" t="s">
        <v>7596</v>
      </c>
    </row>
    <row r="6370">
      <c r="A6370" s="2" t="s">
        <v>13656</v>
      </c>
      <c r="B6370" s="2" t="s">
        <v>13657</v>
      </c>
      <c r="C6370" s="2" t="s">
        <v>7596</v>
      </c>
    </row>
    <row r="6371">
      <c r="A6371" s="2" t="s">
        <v>13658</v>
      </c>
      <c r="B6371" s="2" t="s">
        <v>13659</v>
      </c>
      <c r="C6371" s="2" t="s">
        <v>7596</v>
      </c>
    </row>
    <row r="6372">
      <c r="A6372" s="2" t="s">
        <v>13660</v>
      </c>
      <c r="B6372" s="2" t="s">
        <v>13659</v>
      </c>
      <c r="C6372" s="2" t="s">
        <v>7596</v>
      </c>
    </row>
    <row r="6373">
      <c r="A6373" s="2" t="s">
        <v>13661</v>
      </c>
      <c r="B6373" s="2" t="s">
        <v>13662</v>
      </c>
      <c r="C6373" s="2" t="s">
        <v>7596</v>
      </c>
    </row>
    <row r="6374">
      <c r="A6374" s="2" t="s">
        <v>13663</v>
      </c>
      <c r="B6374" s="2" t="s">
        <v>13664</v>
      </c>
      <c r="C6374" s="2" t="s">
        <v>7596</v>
      </c>
    </row>
    <row r="6375">
      <c r="A6375" s="2" t="s">
        <v>13665</v>
      </c>
      <c r="B6375" s="2" t="s">
        <v>13666</v>
      </c>
      <c r="C6375" s="2" t="s">
        <v>7596</v>
      </c>
    </row>
    <row r="6376">
      <c r="A6376" s="2" t="s">
        <v>13667</v>
      </c>
      <c r="B6376" s="2" t="s">
        <v>13668</v>
      </c>
      <c r="C6376" s="2" t="s">
        <v>7596</v>
      </c>
    </row>
    <row r="6377">
      <c r="A6377" s="2" t="s">
        <v>13669</v>
      </c>
      <c r="B6377" s="2" t="s">
        <v>13670</v>
      </c>
      <c r="C6377" s="2" t="s">
        <v>7596</v>
      </c>
    </row>
    <row r="6378">
      <c r="A6378" s="2" t="s">
        <v>13671</v>
      </c>
      <c r="B6378" s="2" t="s">
        <v>13672</v>
      </c>
      <c r="C6378" s="2" t="s">
        <v>7596</v>
      </c>
    </row>
    <row r="6379">
      <c r="A6379" s="2" t="s">
        <v>13673</v>
      </c>
      <c r="B6379" s="2" t="s">
        <v>13674</v>
      </c>
      <c r="C6379" s="2" t="s">
        <v>7596</v>
      </c>
    </row>
    <row r="6380">
      <c r="A6380" s="2" t="s">
        <v>13675</v>
      </c>
      <c r="B6380" s="2" t="s">
        <v>13676</v>
      </c>
      <c r="C6380" s="2" t="s">
        <v>7596</v>
      </c>
    </row>
    <row r="6381">
      <c r="A6381" s="2" t="s">
        <v>13677</v>
      </c>
      <c r="B6381" s="2" t="s">
        <v>13678</v>
      </c>
      <c r="C6381" s="2" t="s">
        <v>7596</v>
      </c>
    </row>
    <row r="6382">
      <c r="A6382" s="2" t="s">
        <v>13679</v>
      </c>
      <c r="B6382" s="2" t="s">
        <v>13680</v>
      </c>
      <c r="C6382" s="2" t="s">
        <v>7596</v>
      </c>
    </row>
    <row r="6383">
      <c r="A6383" s="2" t="s">
        <v>13681</v>
      </c>
      <c r="B6383" s="2" t="s">
        <v>13680</v>
      </c>
      <c r="C6383" s="2" t="s">
        <v>7596</v>
      </c>
    </row>
    <row r="6384">
      <c r="A6384" s="2" t="s">
        <v>13682</v>
      </c>
      <c r="B6384" s="2" t="s">
        <v>13680</v>
      </c>
      <c r="C6384" s="2" t="s">
        <v>7596</v>
      </c>
    </row>
    <row r="6385">
      <c r="A6385" s="2" t="s">
        <v>13683</v>
      </c>
      <c r="B6385" s="2" t="s">
        <v>13680</v>
      </c>
      <c r="C6385" s="2" t="s">
        <v>7596</v>
      </c>
    </row>
    <row r="6386">
      <c r="A6386" s="2" t="s">
        <v>13684</v>
      </c>
      <c r="B6386" s="2" t="s">
        <v>13680</v>
      </c>
      <c r="C6386" s="2" t="s">
        <v>7596</v>
      </c>
    </row>
    <row r="6387">
      <c r="A6387" s="2" t="s">
        <v>13685</v>
      </c>
      <c r="B6387" s="2" t="s">
        <v>13680</v>
      </c>
      <c r="C6387" s="2" t="s">
        <v>7596</v>
      </c>
    </row>
    <row r="6388">
      <c r="A6388" s="2" t="s">
        <v>13686</v>
      </c>
      <c r="B6388" s="2" t="s">
        <v>13680</v>
      </c>
      <c r="C6388" s="2" t="s">
        <v>7596</v>
      </c>
    </row>
    <row r="6389">
      <c r="A6389" s="2" t="s">
        <v>13687</v>
      </c>
      <c r="B6389" s="2" t="s">
        <v>13680</v>
      </c>
      <c r="C6389" s="2" t="s">
        <v>7596</v>
      </c>
    </row>
    <row r="6390">
      <c r="A6390" s="2" t="s">
        <v>13688</v>
      </c>
      <c r="B6390" s="2" t="s">
        <v>13680</v>
      </c>
      <c r="C6390" s="2" t="s">
        <v>7596</v>
      </c>
    </row>
    <row r="6391">
      <c r="A6391" s="2" t="s">
        <v>13689</v>
      </c>
      <c r="B6391" s="2" t="s">
        <v>13680</v>
      </c>
      <c r="C6391" s="2" t="s">
        <v>7596</v>
      </c>
    </row>
    <row r="6392">
      <c r="A6392" s="2" t="s">
        <v>13690</v>
      </c>
      <c r="B6392" s="2" t="s">
        <v>13691</v>
      </c>
      <c r="C6392" s="2" t="s">
        <v>7596</v>
      </c>
    </row>
    <row r="6393">
      <c r="A6393" s="2" t="s">
        <v>13692</v>
      </c>
      <c r="B6393" s="2" t="s">
        <v>13693</v>
      </c>
      <c r="C6393" s="2" t="s">
        <v>7596</v>
      </c>
    </row>
    <row r="6394">
      <c r="A6394" s="2" t="s">
        <v>13694</v>
      </c>
      <c r="B6394" s="2" t="s">
        <v>13695</v>
      </c>
      <c r="C6394" s="2" t="s">
        <v>7596</v>
      </c>
    </row>
    <row r="6395">
      <c r="A6395" s="2" t="s">
        <v>13696</v>
      </c>
      <c r="B6395" s="2" t="s">
        <v>13697</v>
      </c>
      <c r="C6395" s="2" t="s">
        <v>7596</v>
      </c>
    </row>
    <row r="6396">
      <c r="A6396" s="2" t="s">
        <v>13698</v>
      </c>
      <c r="B6396" s="2" t="s">
        <v>13699</v>
      </c>
      <c r="C6396" s="2" t="s">
        <v>7596</v>
      </c>
    </row>
    <row r="6397">
      <c r="A6397" s="2" t="s">
        <v>13700</v>
      </c>
      <c r="B6397" s="2" t="s">
        <v>13701</v>
      </c>
      <c r="C6397" s="2" t="s">
        <v>7596</v>
      </c>
    </row>
    <row r="6398">
      <c r="A6398" s="2" t="s">
        <v>13702</v>
      </c>
      <c r="B6398" s="2" t="s">
        <v>13703</v>
      </c>
      <c r="C6398" s="2" t="s">
        <v>7596</v>
      </c>
    </row>
    <row r="6399">
      <c r="A6399" s="2" t="s">
        <v>13704</v>
      </c>
      <c r="B6399" s="2" t="s">
        <v>13705</v>
      </c>
      <c r="C6399" s="2" t="s">
        <v>7596</v>
      </c>
    </row>
    <row r="6400">
      <c r="A6400" s="2" t="s">
        <v>13706</v>
      </c>
      <c r="B6400" s="2" t="s">
        <v>13707</v>
      </c>
      <c r="C6400" s="2" t="s">
        <v>7596</v>
      </c>
    </row>
    <row r="6401">
      <c r="A6401" s="2" t="s">
        <v>13708</v>
      </c>
      <c r="B6401" s="2" t="s">
        <v>13709</v>
      </c>
      <c r="C6401" s="2" t="s">
        <v>7596</v>
      </c>
    </row>
    <row r="6402">
      <c r="A6402" s="2" t="s">
        <v>13710</v>
      </c>
      <c r="B6402" s="2" t="s">
        <v>13711</v>
      </c>
      <c r="C6402" s="2" t="s">
        <v>7596</v>
      </c>
    </row>
    <row r="6403">
      <c r="A6403" s="2" t="s">
        <v>13712</v>
      </c>
      <c r="B6403" s="2" t="s">
        <v>13713</v>
      </c>
      <c r="C6403" s="2" t="s">
        <v>7596</v>
      </c>
    </row>
    <row r="6404">
      <c r="A6404" s="2" t="s">
        <v>13714</v>
      </c>
      <c r="B6404" s="2" t="s">
        <v>13713</v>
      </c>
      <c r="C6404" s="2" t="s">
        <v>7596</v>
      </c>
    </row>
    <row r="6405">
      <c r="A6405" s="2" t="s">
        <v>13715</v>
      </c>
      <c r="B6405" s="2" t="s">
        <v>13716</v>
      </c>
      <c r="C6405" s="2" t="s">
        <v>7596</v>
      </c>
    </row>
    <row r="6406">
      <c r="A6406" s="2" t="s">
        <v>13717</v>
      </c>
      <c r="B6406" s="2" t="s">
        <v>13718</v>
      </c>
      <c r="C6406" s="2" t="s">
        <v>7596</v>
      </c>
    </row>
    <row r="6407">
      <c r="A6407" s="2" t="s">
        <v>13719</v>
      </c>
      <c r="B6407" s="2" t="s">
        <v>13718</v>
      </c>
      <c r="C6407" s="2" t="s">
        <v>7596</v>
      </c>
    </row>
    <row r="6408">
      <c r="A6408" s="2" t="s">
        <v>13720</v>
      </c>
      <c r="B6408" s="2" t="s">
        <v>13721</v>
      </c>
      <c r="C6408" s="2" t="s">
        <v>7596</v>
      </c>
    </row>
    <row r="6409">
      <c r="A6409" s="2" t="s">
        <v>13722</v>
      </c>
      <c r="B6409" s="2" t="s">
        <v>13723</v>
      </c>
      <c r="C6409" s="2" t="s">
        <v>7596</v>
      </c>
    </row>
    <row r="6410">
      <c r="A6410" s="2" t="s">
        <v>13724</v>
      </c>
      <c r="B6410" s="2" t="s">
        <v>13725</v>
      </c>
      <c r="C6410" s="2" t="s">
        <v>7596</v>
      </c>
    </row>
    <row r="6411">
      <c r="A6411" s="2" t="s">
        <v>13726</v>
      </c>
      <c r="B6411" s="2" t="s">
        <v>13727</v>
      </c>
      <c r="C6411" s="2" t="s">
        <v>7596</v>
      </c>
    </row>
    <row r="6412">
      <c r="A6412" s="2" t="s">
        <v>13728</v>
      </c>
      <c r="B6412" s="2" t="s">
        <v>13729</v>
      </c>
      <c r="C6412" s="2" t="s">
        <v>7596</v>
      </c>
    </row>
    <row r="6413">
      <c r="A6413" s="2" t="s">
        <v>13730</v>
      </c>
      <c r="B6413" s="2" t="s">
        <v>13731</v>
      </c>
      <c r="C6413" s="2" t="s">
        <v>7596</v>
      </c>
    </row>
    <row r="6414">
      <c r="A6414" s="2" t="s">
        <v>13732</v>
      </c>
      <c r="B6414" s="2" t="s">
        <v>13733</v>
      </c>
      <c r="C6414" s="2" t="s">
        <v>7596</v>
      </c>
    </row>
    <row r="6415">
      <c r="A6415" s="2" t="s">
        <v>13734</v>
      </c>
      <c r="B6415" s="2" t="s">
        <v>13735</v>
      </c>
      <c r="C6415" s="2" t="s">
        <v>7596</v>
      </c>
    </row>
    <row r="6416">
      <c r="A6416" s="2" t="s">
        <v>13736</v>
      </c>
      <c r="B6416" s="2" t="s">
        <v>13737</v>
      </c>
      <c r="C6416" s="2" t="s">
        <v>7596</v>
      </c>
    </row>
    <row r="6417">
      <c r="A6417" s="2" t="s">
        <v>13738</v>
      </c>
      <c r="B6417" s="2" t="s">
        <v>13739</v>
      </c>
      <c r="C6417" s="2" t="s">
        <v>7596</v>
      </c>
    </row>
    <row r="6418">
      <c r="A6418" s="2" t="s">
        <v>13740</v>
      </c>
      <c r="B6418" s="2" t="s">
        <v>13739</v>
      </c>
      <c r="C6418" s="2" t="s">
        <v>7596</v>
      </c>
    </row>
    <row r="6419">
      <c r="A6419" s="2" t="s">
        <v>13741</v>
      </c>
      <c r="B6419" s="2" t="s">
        <v>13742</v>
      </c>
      <c r="C6419" s="2" t="s">
        <v>7596</v>
      </c>
    </row>
    <row r="6420">
      <c r="A6420" s="2" t="s">
        <v>13743</v>
      </c>
      <c r="B6420" s="2" t="s">
        <v>13744</v>
      </c>
      <c r="C6420" s="2" t="s">
        <v>7596</v>
      </c>
    </row>
    <row r="6421">
      <c r="A6421" s="2" t="s">
        <v>13745</v>
      </c>
      <c r="B6421" s="2" t="s">
        <v>13746</v>
      </c>
      <c r="C6421" s="2" t="s">
        <v>7596</v>
      </c>
    </row>
    <row r="6422">
      <c r="A6422" s="2" t="s">
        <v>13747</v>
      </c>
      <c r="B6422" s="2" t="s">
        <v>13748</v>
      </c>
      <c r="C6422" s="2" t="s">
        <v>7596</v>
      </c>
    </row>
    <row r="6423">
      <c r="A6423" s="2" t="s">
        <v>13749</v>
      </c>
      <c r="B6423" s="2" t="s">
        <v>13750</v>
      </c>
      <c r="C6423" s="2" t="s">
        <v>7596</v>
      </c>
    </row>
    <row r="6424">
      <c r="A6424" s="2" t="s">
        <v>13751</v>
      </c>
      <c r="B6424" s="2" t="s">
        <v>13752</v>
      </c>
      <c r="C6424" s="2" t="s">
        <v>7596</v>
      </c>
    </row>
    <row r="6425">
      <c r="A6425" s="2" t="s">
        <v>13753</v>
      </c>
      <c r="B6425" s="2" t="s">
        <v>13754</v>
      </c>
      <c r="C6425" s="2" t="s">
        <v>7596</v>
      </c>
    </row>
    <row r="6426">
      <c r="A6426" s="2" t="s">
        <v>13755</v>
      </c>
      <c r="B6426" s="2" t="s">
        <v>13756</v>
      </c>
      <c r="C6426" s="2" t="s">
        <v>7596</v>
      </c>
    </row>
    <row r="6427">
      <c r="A6427" s="2" t="s">
        <v>13757</v>
      </c>
      <c r="B6427" s="2" t="s">
        <v>13758</v>
      </c>
      <c r="C6427" s="2" t="s">
        <v>7596</v>
      </c>
    </row>
    <row r="6428">
      <c r="A6428" s="2" t="s">
        <v>13759</v>
      </c>
      <c r="B6428" s="2" t="s">
        <v>13760</v>
      </c>
      <c r="C6428" s="2" t="s">
        <v>7596</v>
      </c>
    </row>
    <row r="6429">
      <c r="A6429" s="2" t="s">
        <v>13761</v>
      </c>
      <c r="B6429" s="2" t="s">
        <v>13762</v>
      </c>
      <c r="C6429" s="2" t="s">
        <v>7596</v>
      </c>
    </row>
    <row r="6430">
      <c r="A6430" s="2" t="s">
        <v>13763</v>
      </c>
      <c r="B6430" s="2" t="s">
        <v>13764</v>
      </c>
      <c r="C6430" s="2" t="s">
        <v>7596</v>
      </c>
    </row>
    <row r="6431">
      <c r="A6431" s="2" t="s">
        <v>13765</v>
      </c>
      <c r="B6431" s="2" t="s">
        <v>13766</v>
      </c>
      <c r="C6431" s="2" t="s">
        <v>7596</v>
      </c>
    </row>
    <row r="6432">
      <c r="A6432" s="2" t="s">
        <v>13767</v>
      </c>
      <c r="B6432" s="2" t="s">
        <v>13768</v>
      </c>
      <c r="C6432" s="2" t="s">
        <v>7596</v>
      </c>
    </row>
    <row r="6433">
      <c r="A6433" s="2" t="s">
        <v>13769</v>
      </c>
      <c r="B6433" s="2" t="s">
        <v>13770</v>
      </c>
      <c r="C6433" s="2" t="s">
        <v>7596</v>
      </c>
    </row>
    <row r="6434">
      <c r="A6434" s="2" t="s">
        <v>13771</v>
      </c>
      <c r="B6434" s="2" t="s">
        <v>13772</v>
      </c>
      <c r="C6434" s="2" t="s">
        <v>7596</v>
      </c>
    </row>
    <row r="6435">
      <c r="A6435" s="2" t="s">
        <v>13773</v>
      </c>
      <c r="B6435" s="2" t="s">
        <v>13774</v>
      </c>
      <c r="C6435" s="2" t="s">
        <v>7596</v>
      </c>
    </row>
    <row r="6436">
      <c r="A6436" s="2" t="s">
        <v>13775</v>
      </c>
      <c r="B6436" s="2" t="s">
        <v>13774</v>
      </c>
      <c r="C6436" s="2" t="s">
        <v>7596</v>
      </c>
    </row>
    <row r="6437">
      <c r="A6437" s="2" t="s">
        <v>13776</v>
      </c>
      <c r="B6437" s="2" t="s">
        <v>13777</v>
      </c>
      <c r="C6437" s="2" t="s">
        <v>7596</v>
      </c>
    </row>
    <row r="6438">
      <c r="A6438" s="2" t="s">
        <v>13778</v>
      </c>
      <c r="B6438" s="2" t="s">
        <v>13777</v>
      </c>
      <c r="C6438" s="2" t="s">
        <v>7596</v>
      </c>
    </row>
    <row r="6439">
      <c r="A6439" s="2" t="s">
        <v>13779</v>
      </c>
      <c r="B6439" s="2" t="s">
        <v>13780</v>
      </c>
      <c r="C6439" s="2" t="s">
        <v>7596</v>
      </c>
    </row>
    <row r="6440">
      <c r="A6440" s="2" t="s">
        <v>13781</v>
      </c>
      <c r="B6440" s="2" t="s">
        <v>13780</v>
      </c>
      <c r="C6440" s="2" t="s">
        <v>7596</v>
      </c>
    </row>
    <row r="6441">
      <c r="A6441" s="2" t="s">
        <v>13782</v>
      </c>
      <c r="B6441" s="2" t="s">
        <v>13783</v>
      </c>
      <c r="C6441" s="2" t="s">
        <v>7596</v>
      </c>
    </row>
    <row r="6442">
      <c r="A6442" s="2" t="s">
        <v>13784</v>
      </c>
      <c r="B6442" s="2" t="s">
        <v>13783</v>
      </c>
      <c r="C6442" s="2" t="s">
        <v>7596</v>
      </c>
    </row>
    <row r="6443">
      <c r="A6443" s="2" t="s">
        <v>13785</v>
      </c>
      <c r="B6443" s="2" t="s">
        <v>13786</v>
      </c>
      <c r="C6443" s="2" t="s">
        <v>7596</v>
      </c>
    </row>
    <row r="6444">
      <c r="A6444" s="2" t="s">
        <v>13787</v>
      </c>
      <c r="B6444" s="2" t="s">
        <v>13788</v>
      </c>
      <c r="C6444" s="2" t="s">
        <v>7596</v>
      </c>
    </row>
    <row r="6445">
      <c r="A6445" s="2" t="s">
        <v>13789</v>
      </c>
      <c r="B6445" s="2" t="s">
        <v>13790</v>
      </c>
      <c r="C6445" s="2" t="s">
        <v>7596</v>
      </c>
    </row>
    <row r="6446">
      <c r="A6446" s="2" t="s">
        <v>13791</v>
      </c>
      <c r="B6446" s="2" t="s">
        <v>13792</v>
      </c>
      <c r="C6446" s="2" t="s">
        <v>7596</v>
      </c>
    </row>
    <row r="6447">
      <c r="A6447" s="2" t="s">
        <v>13793</v>
      </c>
      <c r="B6447" s="2" t="s">
        <v>13794</v>
      </c>
      <c r="C6447" s="2" t="s">
        <v>7596</v>
      </c>
    </row>
    <row r="6448">
      <c r="A6448" s="2" t="s">
        <v>13795</v>
      </c>
      <c r="B6448" s="2" t="s">
        <v>13796</v>
      </c>
      <c r="C6448" s="2" t="s">
        <v>7596</v>
      </c>
    </row>
    <row r="6449">
      <c r="A6449" s="2" t="s">
        <v>13797</v>
      </c>
      <c r="B6449" s="2" t="s">
        <v>13798</v>
      </c>
      <c r="C6449" s="2" t="s">
        <v>7596</v>
      </c>
    </row>
    <row r="6450">
      <c r="A6450" s="2" t="s">
        <v>13799</v>
      </c>
      <c r="B6450" s="2" t="s">
        <v>13800</v>
      </c>
      <c r="C6450" s="2" t="s">
        <v>7596</v>
      </c>
    </row>
    <row r="6451">
      <c r="A6451" s="2" t="s">
        <v>13801</v>
      </c>
      <c r="B6451" s="2" t="s">
        <v>13802</v>
      </c>
      <c r="C6451" s="2" t="s">
        <v>7596</v>
      </c>
    </row>
    <row r="6452">
      <c r="A6452" s="2" t="s">
        <v>13803</v>
      </c>
      <c r="B6452" s="2" t="s">
        <v>13804</v>
      </c>
      <c r="C6452" s="2" t="s">
        <v>7596</v>
      </c>
    </row>
    <row r="6453">
      <c r="A6453" s="2" t="s">
        <v>13805</v>
      </c>
      <c r="B6453" s="2" t="s">
        <v>13804</v>
      </c>
      <c r="C6453" s="2" t="s">
        <v>7596</v>
      </c>
    </row>
    <row r="6454">
      <c r="A6454" s="2" t="s">
        <v>13806</v>
      </c>
      <c r="B6454" s="2" t="s">
        <v>13807</v>
      </c>
      <c r="C6454" s="2" t="s">
        <v>7596</v>
      </c>
    </row>
    <row r="6455">
      <c r="A6455" s="2" t="s">
        <v>13808</v>
      </c>
      <c r="B6455" s="2" t="s">
        <v>13809</v>
      </c>
      <c r="C6455" s="2" t="s">
        <v>7596</v>
      </c>
    </row>
    <row r="6456">
      <c r="A6456" s="2" t="s">
        <v>13810</v>
      </c>
      <c r="B6456" s="2" t="s">
        <v>13809</v>
      </c>
      <c r="C6456" s="2" t="s">
        <v>7596</v>
      </c>
    </row>
    <row r="6457">
      <c r="A6457" s="2" t="s">
        <v>13811</v>
      </c>
      <c r="B6457" s="2" t="s">
        <v>13812</v>
      </c>
      <c r="C6457" s="2" t="s">
        <v>7596</v>
      </c>
    </row>
    <row r="6458">
      <c r="A6458" s="2" t="s">
        <v>13813</v>
      </c>
      <c r="B6458" s="2" t="s">
        <v>13814</v>
      </c>
      <c r="C6458" s="2" t="s">
        <v>7596</v>
      </c>
    </row>
    <row r="6459">
      <c r="A6459" s="2" t="s">
        <v>13815</v>
      </c>
      <c r="B6459" s="2" t="s">
        <v>13816</v>
      </c>
      <c r="C6459" s="2" t="s">
        <v>7596</v>
      </c>
    </row>
    <row r="6460">
      <c r="A6460" s="2" t="s">
        <v>13817</v>
      </c>
      <c r="B6460" s="2" t="s">
        <v>13818</v>
      </c>
      <c r="C6460" s="2" t="s">
        <v>7596</v>
      </c>
    </row>
    <row r="6461">
      <c r="A6461" s="2" t="s">
        <v>13819</v>
      </c>
      <c r="B6461" s="2" t="s">
        <v>13820</v>
      </c>
      <c r="C6461" s="2" t="s">
        <v>7596</v>
      </c>
    </row>
    <row r="6462">
      <c r="A6462" s="2" t="s">
        <v>13821</v>
      </c>
      <c r="B6462" s="2" t="s">
        <v>13822</v>
      </c>
      <c r="C6462" s="2" t="s">
        <v>7596</v>
      </c>
    </row>
    <row r="6463">
      <c r="A6463" s="2" t="s">
        <v>13823</v>
      </c>
      <c r="B6463" s="2" t="s">
        <v>13824</v>
      </c>
      <c r="C6463" s="2" t="s">
        <v>7596</v>
      </c>
    </row>
    <row r="6464">
      <c r="A6464" s="2" t="s">
        <v>13825</v>
      </c>
      <c r="B6464" s="2" t="s">
        <v>13826</v>
      </c>
      <c r="C6464" s="2" t="s">
        <v>7596</v>
      </c>
    </row>
    <row r="6465">
      <c r="A6465" s="2" t="s">
        <v>13827</v>
      </c>
      <c r="B6465" s="2" t="s">
        <v>13828</v>
      </c>
      <c r="C6465" s="2" t="s">
        <v>7596</v>
      </c>
    </row>
    <row r="6466">
      <c r="A6466" s="2" t="s">
        <v>13829</v>
      </c>
      <c r="B6466" s="2" t="s">
        <v>13830</v>
      </c>
      <c r="C6466" s="2" t="s">
        <v>7596</v>
      </c>
    </row>
    <row r="6467">
      <c r="A6467" s="2" t="s">
        <v>13831</v>
      </c>
      <c r="B6467" s="2" t="s">
        <v>13832</v>
      </c>
      <c r="C6467" s="2" t="s">
        <v>7596</v>
      </c>
    </row>
    <row r="6468">
      <c r="A6468" s="2" t="s">
        <v>13833</v>
      </c>
      <c r="B6468" s="2" t="s">
        <v>13834</v>
      </c>
      <c r="C6468" s="2" t="s">
        <v>7596</v>
      </c>
    </row>
    <row r="6469">
      <c r="A6469" s="2" t="s">
        <v>13835</v>
      </c>
      <c r="B6469" s="2" t="s">
        <v>13834</v>
      </c>
      <c r="C6469" s="2" t="s">
        <v>7596</v>
      </c>
    </row>
    <row r="6470">
      <c r="A6470" s="2" t="s">
        <v>13836</v>
      </c>
      <c r="B6470" s="2" t="s">
        <v>13834</v>
      </c>
      <c r="C6470" s="2" t="s">
        <v>7596</v>
      </c>
    </row>
    <row r="6471">
      <c r="A6471" s="2" t="s">
        <v>13837</v>
      </c>
      <c r="B6471" s="2" t="s">
        <v>13838</v>
      </c>
      <c r="C6471" s="2" t="s">
        <v>7596</v>
      </c>
    </row>
    <row r="6472">
      <c r="A6472" s="2" t="s">
        <v>13839</v>
      </c>
      <c r="B6472" s="2" t="s">
        <v>13838</v>
      </c>
      <c r="C6472" s="2" t="s">
        <v>7596</v>
      </c>
    </row>
    <row r="6473">
      <c r="A6473" s="2" t="s">
        <v>13840</v>
      </c>
      <c r="B6473" s="2" t="s">
        <v>13838</v>
      </c>
      <c r="C6473" s="2" t="s">
        <v>7596</v>
      </c>
    </row>
    <row r="6474">
      <c r="A6474" s="2" t="s">
        <v>13841</v>
      </c>
      <c r="B6474" s="2" t="s">
        <v>13838</v>
      </c>
      <c r="C6474" s="2" t="s">
        <v>7596</v>
      </c>
    </row>
    <row r="6475">
      <c r="A6475" s="2" t="s">
        <v>13842</v>
      </c>
      <c r="B6475" s="2" t="s">
        <v>13843</v>
      </c>
      <c r="C6475" s="2" t="s">
        <v>7596</v>
      </c>
    </row>
    <row r="6476">
      <c r="A6476" s="2" t="s">
        <v>13844</v>
      </c>
      <c r="B6476" s="2" t="s">
        <v>13843</v>
      </c>
      <c r="C6476" s="2" t="s">
        <v>7596</v>
      </c>
    </row>
    <row r="6477">
      <c r="A6477" s="2" t="s">
        <v>13845</v>
      </c>
      <c r="B6477" s="2" t="s">
        <v>13843</v>
      </c>
      <c r="C6477" s="2" t="s">
        <v>7596</v>
      </c>
    </row>
    <row r="6478">
      <c r="A6478" s="2" t="s">
        <v>13846</v>
      </c>
      <c r="B6478" s="2" t="s">
        <v>13843</v>
      </c>
      <c r="C6478" s="2" t="s">
        <v>7596</v>
      </c>
    </row>
    <row r="6479">
      <c r="A6479" s="2" t="s">
        <v>13847</v>
      </c>
      <c r="B6479" s="2" t="s">
        <v>13843</v>
      </c>
      <c r="C6479" s="2" t="s">
        <v>7596</v>
      </c>
    </row>
    <row r="6480">
      <c r="A6480" s="2" t="s">
        <v>13848</v>
      </c>
      <c r="B6480" s="2" t="s">
        <v>13843</v>
      </c>
      <c r="C6480" s="2" t="s">
        <v>7596</v>
      </c>
    </row>
    <row r="6481">
      <c r="A6481" s="2" t="s">
        <v>13849</v>
      </c>
      <c r="B6481" s="2" t="s">
        <v>13843</v>
      </c>
      <c r="C6481" s="2" t="s">
        <v>7596</v>
      </c>
    </row>
    <row r="6482">
      <c r="A6482" s="2" t="s">
        <v>13850</v>
      </c>
      <c r="B6482" s="2" t="s">
        <v>13843</v>
      </c>
      <c r="C6482" s="2" t="s">
        <v>7596</v>
      </c>
    </row>
    <row r="6483">
      <c r="A6483" s="2" t="s">
        <v>13851</v>
      </c>
      <c r="B6483" s="2" t="s">
        <v>13843</v>
      </c>
      <c r="C6483" s="2" t="s">
        <v>7596</v>
      </c>
    </row>
    <row r="6484">
      <c r="A6484" s="2" t="s">
        <v>13852</v>
      </c>
      <c r="B6484" s="2" t="s">
        <v>13853</v>
      </c>
      <c r="C6484" s="2" t="s">
        <v>7596</v>
      </c>
    </row>
    <row r="6485">
      <c r="A6485" s="2" t="s">
        <v>13854</v>
      </c>
      <c r="B6485" s="2" t="s">
        <v>13853</v>
      </c>
      <c r="C6485" s="2" t="s">
        <v>7596</v>
      </c>
    </row>
    <row r="6486">
      <c r="A6486" s="2" t="s">
        <v>13855</v>
      </c>
      <c r="B6486" s="2" t="s">
        <v>13853</v>
      </c>
      <c r="C6486" s="2" t="s">
        <v>7596</v>
      </c>
    </row>
    <row r="6487">
      <c r="A6487" s="2" t="s">
        <v>13856</v>
      </c>
      <c r="B6487" s="2" t="s">
        <v>13853</v>
      </c>
      <c r="C6487" s="2" t="s">
        <v>7596</v>
      </c>
    </row>
    <row r="6488">
      <c r="A6488" s="2" t="s">
        <v>13857</v>
      </c>
      <c r="B6488" s="2" t="s">
        <v>13858</v>
      </c>
      <c r="C6488" s="2" t="s">
        <v>7596</v>
      </c>
    </row>
    <row r="6489">
      <c r="A6489" s="2" t="s">
        <v>13859</v>
      </c>
      <c r="B6489" s="2" t="s">
        <v>13860</v>
      </c>
      <c r="C6489" s="2" t="s">
        <v>7596</v>
      </c>
    </row>
    <row r="6490">
      <c r="A6490" s="2" t="s">
        <v>13861</v>
      </c>
      <c r="B6490" s="2" t="s">
        <v>13862</v>
      </c>
      <c r="C6490" s="2" t="s">
        <v>7596</v>
      </c>
    </row>
    <row r="6491">
      <c r="A6491" s="2" t="s">
        <v>13863</v>
      </c>
      <c r="B6491" s="2" t="s">
        <v>13864</v>
      </c>
      <c r="C6491" s="2" t="s">
        <v>7596</v>
      </c>
    </row>
    <row r="6492">
      <c r="A6492" s="2" t="s">
        <v>13865</v>
      </c>
      <c r="B6492" s="2" t="s">
        <v>13866</v>
      </c>
      <c r="C6492" s="2" t="s">
        <v>7596</v>
      </c>
    </row>
    <row r="6493">
      <c r="A6493" s="2" t="s">
        <v>13867</v>
      </c>
      <c r="B6493" s="2" t="s">
        <v>13868</v>
      </c>
      <c r="C6493" s="2" t="s">
        <v>7596</v>
      </c>
    </row>
    <row r="6494">
      <c r="A6494" s="2" t="s">
        <v>13869</v>
      </c>
      <c r="B6494" s="2" t="s">
        <v>13870</v>
      </c>
      <c r="C6494" s="2" t="s">
        <v>7596</v>
      </c>
    </row>
    <row r="6495">
      <c r="A6495" s="2" t="s">
        <v>13871</v>
      </c>
      <c r="B6495" s="2" t="s">
        <v>13872</v>
      </c>
      <c r="C6495" s="2" t="s">
        <v>7596</v>
      </c>
    </row>
    <row r="6496">
      <c r="A6496" s="2" t="s">
        <v>13873</v>
      </c>
      <c r="B6496" s="2" t="s">
        <v>13874</v>
      </c>
      <c r="C6496" s="2" t="s">
        <v>7596</v>
      </c>
    </row>
    <row r="6497">
      <c r="A6497" s="2" t="s">
        <v>13875</v>
      </c>
      <c r="B6497" s="2" t="s">
        <v>13876</v>
      </c>
      <c r="C6497" s="2" t="s">
        <v>7596</v>
      </c>
    </row>
    <row r="6498">
      <c r="A6498" s="2" t="s">
        <v>13877</v>
      </c>
      <c r="B6498" s="2" t="s">
        <v>13878</v>
      </c>
      <c r="C6498" s="2" t="s">
        <v>7596</v>
      </c>
    </row>
    <row r="6499">
      <c r="A6499" s="2" t="s">
        <v>13879</v>
      </c>
      <c r="B6499" s="2" t="s">
        <v>13880</v>
      </c>
      <c r="C6499" s="2" t="s">
        <v>7596</v>
      </c>
    </row>
    <row r="6500">
      <c r="A6500" s="2" t="s">
        <v>13881</v>
      </c>
      <c r="B6500" s="2" t="s">
        <v>13882</v>
      </c>
      <c r="C6500" s="2" t="s">
        <v>7596</v>
      </c>
    </row>
    <row r="6501">
      <c r="A6501" s="2" t="s">
        <v>13883</v>
      </c>
      <c r="B6501" s="2" t="s">
        <v>13884</v>
      </c>
      <c r="C6501" s="2" t="s">
        <v>7596</v>
      </c>
    </row>
    <row r="6502">
      <c r="A6502" s="2" t="s">
        <v>13885</v>
      </c>
      <c r="B6502" s="2" t="s">
        <v>13886</v>
      </c>
      <c r="C6502" s="2" t="s">
        <v>7596</v>
      </c>
    </row>
    <row r="6503">
      <c r="A6503" s="2" t="s">
        <v>13887</v>
      </c>
      <c r="B6503" s="2" t="s">
        <v>13888</v>
      </c>
      <c r="C6503" s="2" t="s">
        <v>7596</v>
      </c>
    </row>
    <row r="6504">
      <c r="A6504" s="2" t="s">
        <v>13889</v>
      </c>
      <c r="B6504" s="2" t="s">
        <v>13890</v>
      </c>
      <c r="C6504" s="2" t="s">
        <v>7596</v>
      </c>
    </row>
    <row r="6505">
      <c r="A6505" s="2" t="s">
        <v>13891</v>
      </c>
      <c r="B6505" s="2" t="s">
        <v>13892</v>
      </c>
      <c r="C6505" s="2" t="s">
        <v>7596</v>
      </c>
    </row>
    <row r="6506">
      <c r="A6506" s="2" t="s">
        <v>13893</v>
      </c>
      <c r="B6506" s="2" t="s">
        <v>13894</v>
      </c>
      <c r="C6506" s="2" t="s">
        <v>7596</v>
      </c>
    </row>
    <row r="6507">
      <c r="A6507" s="2" t="s">
        <v>13895</v>
      </c>
      <c r="B6507" s="2" t="s">
        <v>13896</v>
      </c>
      <c r="C6507" s="2" t="s">
        <v>7596</v>
      </c>
    </row>
    <row r="6508">
      <c r="A6508" s="2" t="s">
        <v>13897</v>
      </c>
      <c r="B6508" s="2" t="s">
        <v>13898</v>
      </c>
      <c r="C6508" s="2" t="s">
        <v>7596</v>
      </c>
    </row>
    <row r="6509">
      <c r="A6509" s="2" t="s">
        <v>13899</v>
      </c>
      <c r="B6509" s="2" t="s">
        <v>13898</v>
      </c>
      <c r="C6509" s="2" t="s">
        <v>7596</v>
      </c>
    </row>
    <row r="6510">
      <c r="A6510" s="2" t="s">
        <v>13900</v>
      </c>
      <c r="B6510" s="2" t="s">
        <v>13898</v>
      </c>
      <c r="C6510" s="2" t="s">
        <v>7596</v>
      </c>
    </row>
    <row r="6511">
      <c r="A6511" s="2" t="s">
        <v>13901</v>
      </c>
      <c r="B6511" s="2" t="s">
        <v>13898</v>
      </c>
      <c r="C6511" s="2" t="s">
        <v>7596</v>
      </c>
    </row>
    <row r="6512">
      <c r="A6512" s="2" t="s">
        <v>13902</v>
      </c>
      <c r="B6512" s="2" t="s">
        <v>13898</v>
      </c>
      <c r="C6512" s="2" t="s">
        <v>7596</v>
      </c>
    </row>
    <row r="6513">
      <c r="A6513" s="2" t="s">
        <v>13903</v>
      </c>
      <c r="B6513" s="2" t="s">
        <v>13898</v>
      </c>
      <c r="C6513" s="2" t="s">
        <v>7596</v>
      </c>
    </row>
    <row r="6514">
      <c r="A6514" s="2" t="s">
        <v>13904</v>
      </c>
      <c r="B6514" s="2" t="s">
        <v>13898</v>
      </c>
      <c r="C6514" s="2" t="s">
        <v>7596</v>
      </c>
    </row>
    <row r="6515">
      <c r="A6515" s="2" t="s">
        <v>13905</v>
      </c>
      <c r="B6515" s="2" t="s">
        <v>13906</v>
      </c>
      <c r="C6515" s="2" t="s">
        <v>7596</v>
      </c>
    </row>
    <row r="6516">
      <c r="A6516" s="2" t="s">
        <v>13907</v>
      </c>
      <c r="B6516" s="2" t="s">
        <v>13908</v>
      </c>
      <c r="C6516" s="2" t="s">
        <v>7596</v>
      </c>
    </row>
    <row r="6517">
      <c r="A6517" s="2" t="s">
        <v>13909</v>
      </c>
      <c r="B6517" s="2" t="s">
        <v>13908</v>
      </c>
      <c r="C6517" s="2" t="s">
        <v>7596</v>
      </c>
    </row>
    <row r="6518">
      <c r="A6518" s="2" t="s">
        <v>13910</v>
      </c>
      <c r="B6518" s="2" t="s">
        <v>13908</v>
      </c>
      <c r="C6518" s="2" t="s">
        <v>7596</v>
      </c>
    </row>
    <row r="6519">
      <c r="A6519" s="2" t="s">
        <v>13911</v>
      </c>
      <c r="B6519" s="2" t="s">
        <v>13908</v>
      </c>
      <c r="C6519" s="2" t="s">
        <v>7596</v>
      </c>
    </row>
    <row r="6520">
      <c r="A6520" s="2" t="s">
        <v>13912</v>
      </c>
      <c r="B6520" s="2" t="s">
        <v>13908</v>
      </c>
      <c r="C6520" s="2" t="s">
        <v>7596</v>
      </c>
    </row>
    <row r="6521">
      <c r="A6521" s="2" t="s">
        <v>13913</v>
      </c>
      <c r="B6521" s="2" t="s">
        <v>13908</v>
      </c>
      <c r="C6521" s="2" t="s">
        <v>7596</v>
      </c>
    </row>
    <row r="6522">
      <c r="A6522" s="2" t="s">
        <v>13914</v>
      </c>
      <c r="B6522" s="2" t="s">
        <v>13908</v>
      </c>
      <c r="C6522" s="2" t="s">
        <v>7596</v>
      </c>
    </row>
    <row r="6523">
      <c r="A6523" s="2" t="s">
        <v>13915</v>
      </c>
      <c r="B6523" s="2" t="s">
        <v>13908</v>
      </c>
      <c r="C6523" s="2" t="s">
        <v>7596</v>
      </c>
    </row>
    <row r="6524">
      <c r="A6524" s="2" t="s">
        <v>13916</v>
      </c>
      <c r="B6524" s="2" t="s">
        <v>13908</v>
      </c>
      <c r="C6524" s="2" t="s">
        <v>7596</v>
      </c>
    </row>
    <row r="6525">
      <c r="A6525" s="2" t="s">
        <v>13917</v>
      </c>
      <c r="B6525" s="2" t="s">
        <v>13908</v>
      </c>
      <c r="C6525" s="2" t="s">
        <v>7596</v>
      </c>
    </row>
    <row r="6526">
      <c r="A6526" s="2" t="s">
        <v>13918</v>
      </c>
      <c r="B6526" s="2" t="s">
        <v>13919</v>
      </c>
      <c r="C6526" s="2" t="s">
        <v>7596</v>
      </c>
    </row>
    <row r="6527">
      <c r="A6527" s="2" t="s">
        <v>13920</v>
      </c>
      <c r="B6527" s="2" t="s">
        <v>13919</v>
      </c>
      <c r="C6527" s="2" t="s">
        <v>7596</v>
      </c>
    </row>
    <row r="6528">
      <c r="A6528" s="2" t="s">
        <v>13921</v>
      </c>
      <c r="B6528" s="2" t="s">
        <v>13922</v>
      </c>
      <c r="C6528" s="2" t="s">
        <v>7596</v>
      </c>
    </row>
    <row r="6529">
      <c r="A6529" s="2" t="s">
        <v>13923</v>
      </c>
      <c r="B6529" s="2" t="s">
        <v>13922</v>
      </c>
      <c r="C6529" s="2" t="s">
        <v>7596</v>
      </c>
    </row>
    <row r="6530">
      <c r="A6530" s="2" t="s">
        <v>13924</v>
      </c>
      <c r="B6530" s="2" t="s">
        <v>13925</v>
      </c>
      <c r="C6530" s="2" t="s">
        <v>7596</v>
      </c>
    </row>
    <row r="6531">
      <c r="A6531" s="2" t="s">
        <v>13926</v>
      </c>
      <c r="B6531" s="2" t="s">
        <v>13925</v>
      </c>
      <c r="C6531" s="2" t="s">
        <v>7596</v>
      </c>
    </row>
    <row r="6532">
      <c r="A6532" s="2" t="s">
        <v>13927</v>
      </c>
      <c r="B6532" s="2" t="s">
        <v>13928</v>
      </c>
      <c r="C6532" s="2" t="s">
        <v>7596</v>
      </c>
    </row>
    <row r="6533">
      <c r="A6533" s="2" t="s">
        <v>13929</v>
      </c>
      <c r="B6533" s="2" t="s">
        <v>13928</v>
      </c>
      <c r="C6533" s="2" t="s">
        <v>7596</v>
      </c>
    </row>
    <row r="6534">
      <c r="A6534" s="2" t="s">
        <v>13930</v>
      </c>
      <c r="B6534" s="2" t="s">
        <v>13931</v>
      </c>
      <c r="C6534" s="2" t="s">
        <v>7596</v>
      </c>
    </row>
    <row r="6535">
      <c r="A6535" s="2" t="s">
        <v>13932</v>
      </c>
      <c r="B6535" s="2" t="s">
        <v>13931</v>
      </c>
      <c r="C6535" s="2" t="s">
        <v>7596</v>
      </c>
    </row>
    <row r="6536">
      <c r="A6536" s="2" t="s">
        <v>13933</v>
      </c>
      <c r="B6536" s="2" t="s">
        <v>13934</v>
      </c>
      <c r="C6536" s="2" t="s">
        <v>7596</v>
      </c>
    </row>
    <row r="6537">
      <c r="A6537" s="2" t="s">
        <v>13935</v>
      </c>
      <c r="B6537" s="2" t="s">
        <v>13934</v>
      </c>
      <c r="C6537" s="2" t="s">
        <v>7596</v>
      </c>
    </row>
    <row r="6538">
      <c r="A6538" s="2" t="s">
        <v>13936</v>
      </c>
      <c r="B6538" s="2" t="s">
        <v>13934</v>
      </c>
      <c r="C6538" s="2" t="s">
        <v>7596</v>
      </c>
    </row>
    <row r="6539">
      <c r="A6539" s="2" t="s">
        <v>13937</v>
      </c>
      <c r="B6539" s="2" t="s">
        <v>13934</v>
      </c>
      <c r="C6539" s="2" t="s">
        <v>7596</v>
      </c>
    </row>
    <row r="6540">
      <c r="A6540" s="2" t="s">
        <v>13938</v>
      </c>
      <c r="B6540" s="2" t="s">
        <v>13939</v>
      </c>
      <c r="C6540" s="2" t="s">
        <v>7596</v>
      </c>
    </row>
    <row r="6541">
      <c r="A6541" s="2" t="s">
        <v>13940</v>
      </c>
      <c r="B6541" s="2" t="s">
        <v>13939</v>
      </c>
      <c r="C6541" s="2" t="s">
        <v>7596</v>
      </c>
    </row>
    <row r="6542">
      <c r="A6542" s="2" t="s">
        <v>13941</v>
      </c>
      <c r="B6542" s="2" t="s">
        <v>13939</v>
      </c>
      <c r="C6542" s="2" t="s">
        <v>7596</v>
      </c>
    </row>
    <row r="6543">
      <c r="A6543" s="2" t="s">
        <v>13942</v>
      </c>
      <c r="B6543" s="2" t="s">
        <v>13939</v>
      </c>
      <c r="C6543" s="2" t="s">
        <v>7596</v>
      </c>
    </row>
    <row r="6544">
      <c r="A6544" s="2" t="s">
        <v>13943</v>
      </c>
      <c r="B6544" s="2" t="s">
        <v>13944</v>
      </c>
      <c r="C6544" s="2" t="s">
        <v>7596</v>
      </c>
    </row>
    <row r="6545">
      <c r="A6545" s="2" t="s">
        <v>13945</v>
      </c>
      <c r="B6545" s="2" t="s">
        <v>13944</v>
      </c>
      <c r="C6545" s="2" t="s">
        <v>7596</v>
      </c>
    </row>
    <row r="6546">
      <c r="A6546" s="2" t="s">
        <v>13946</v>
      </c>
      <c r="B6546" s="2" t="s">
        <v>13944</v>
      </c>
      <c r="C6546" s="2" t="s">
        <v>7596</v>
      </c>
    </row>
    <row r="6547">
      <c r="A6547" s="2" t="s">
        <v>13947</v>
      </c>
      <c r="B6547" s="2" t="s">
        <v>13944</v>
      </c>
      <c r="C6547" s="2" t="s">
        <v>7596</v>
      </c>
    </row>
    <row r="6548">
      <c r="A6548" s="2" t="s">
        <v>13948</v>
      </c>
      <c r="B6548" s="2" t="s">
        <v>13949</v>
      </c>
      <c r="C6548" s="2" t="s">
        <v>7596</v>
      </c>
    </row>
    <row r="6549">
      <c r="A6549" s="2" t="s">
        <v>13950</v>
      </c>
      <c r="B6549" s="2" t="s">
        <v>13949</v>
      </c>
      <c r="C6549" s="2" t="s">
        <v>7596</v>
      </c>
    </row>
    <row r="6550">
      <c r="A6550" s="2" t="s">
        <v>13951</v>
      </c>
      <c r="B6550" s="2" t="s">
        <v>13949</v>
      </c>
      <c r="C6550" s="2" t="s">
        <v>7596</v>
      </c>
    </row>
    <row r="6551">
      <c r="A6551" s="2" t="s">
        <v>13952</v>
      </c>
      <c r="B6551" s="2" t="s">
        <v>13949</v>
      </c>
      <c r="C6551" s="2" t="s">
        <v>7596</v>
      </c>
    </row>
    <row r="6552">
      <c r="A6552" s="2" t="s">
        <v>13953</v>
      </c>
      <c r="B6552" s="2" t="s">
        <v>13954</v>
      </c>
      <c r="C6552" s="2" t="s">
        <v>7596</v>
      </c>
    </row>
    <row r="6553">
      <c r="A6553" s="2" t="s">
        <v>13955</v>
      </c>
      <c r="B6553" s="2" t="s">
        <v>13954</v>
      </c>
      <c r="C6553" s="2" t="s">
        <v>7596</v>
      </c>
    </row>
    <row r="6554">
      <c r="A6554" s="2" t="s">
        <v>13956</v>
      </c>
      <c r="B6554" s="2" t="s">
        <v>13954</v>
      </c>
      <c r="C6554" s="2" t="s">
        <v>7596</v>
      </c>
    </row>
    <row r="6555">
      <c r="A6555" s="2" t="s">
        <v>13957</v>
      </c>
      <c r="B6555" s="2" t="s">
        <v>13954</v>
      </c>
      <c r="C6555" s="2" t="s">
        <v>7596</v>
      </c>
    </row>
    <row r="6556">
      <c r="A6556" s="2" t="s">
        <v>13958</v>
      </c>
      <c r="B6556" s="2" t="s">
        <v>13959</v>
      </c>
      <c r="C6556" s="2" t="s">
        <v>7596</v>
      </c>
    </row>
    <row r="6557">
      <c r="A6557" s="2" t="s">
        <v>13960</v>
      </c>
      <c r="B6557" s="2" t="s">
        <v>13959</v>
      </c>
      <c r="C6557" s="2" t="s">
        <v>7596</v>
      </c>
    </row>
    <row r="6558">
      <c r="A6558" s="2" t="s">
        <v>13961</v>
      </c>
      <c r="B6558" s="2" t="s">
        <v>13962</v>
      </c>
      <c r="C6558" s="2" t="s">
        <v>7596</v>
      </c>
    </row>
    <row r="6559">
      <c r="A6559" s="2" t="s">
        <v>13963</v>
      </c>
      <c r="B6559" s="2" t="s">
        <v>13962</v>
      </c>
      <c r="C6559" s="2" t="s">
        <v>7596</v>
      </c>
    </row>
    <row r="6560">
      <c r="A6560" s="2" t="s">
        <v>13964</v>
      </c>
      <c r="B6560" s="2" t="s">
        <v>13965</v>
      </c>
      <c r="C6560" s="2" t="s">
        <v>7596</v>
      </c>
    </row>
    <row r="6561">
      <c r="A6561" s="2" t="s">
        <v>13966</v>
      </c>
      <c r="B6561" s="2" t="s">
        <v>13965</v>
      </c>
      <c r="C6561" s="2" t="s">
        <v>7596</v>
      </c>
    </row>
    <row r="6562">
      <c r="A6562" s="2" t="s">
        <v>13967</v>
      </c>
      <c r="B6562" s="2" t="s">
        <v>13968</v>
      </c>
      <c r="C6562" s="2" t="s">
        <v>7596</v>
      </c>
    </row>
    <row r="6563">
      <c r="A6563" s="2" t="s">
        <v>13969</v>
      </c>
      <c r="B6563" s="2" t="s">
        <v>13968</v>
      </c>
      <c r="C6563" s="2" t="s">
        <v>7596</v>
      </c>
    </row>
    <row r="6564">
      <c r="A6564" s="2" t="s">
        <v>13970</v>
      </c>
      <c r="B6564" s="2" t="s">
        <v>13971</v>
      </c>
      <c r="C6564" s="2" t="s">
        <v>7596</v>
      </c>
    </row>
    <row r="6565">
      <c r="A6565" s="2" t="s">
        <v>13972</v>
      </c>
      <c r="B6565" s="2" t="s">
        <v>13971</v>
      </c>
      <c r="C6565" s="2" t="s">
        <v>7596</v>
      </c>
    </row>
    <row r="6566">
      <c r="A6566" s="2" t="s">
        <v>13973</v>
      </c>
      <c r="B6566" s="2" t="s">
        <v>13974</v>
      </c>
      <c r="C6566" s="2" t="s">
        <v>7596</v>
      </c>
    </row>
    <row r="6567">
      <c r="A6567" s="2" t="s">
        <v>13975</v>
      </c>
      <c r="B6567" s="2" t="s">
        <v>13974</v>
      </c>
      <c r="C6567" s="2" t="s">
        <v>7596</v>
      </c>
    </row>
    <row r="6568">
      <c r="A6568" s="2" t="s">
        <v>13976</v>
      </c>
      <c r="B6568" s="2" t="s">
        <v>13977</v>
      </c>
      <c r="C6568" s="2" t="s">
        <v>7596</v>
      </c>
    </row>
    <row r="6569">
      <c r="A6569" s="2" t="s">
        <v>13978</v>
      </c>
      <c r="B6569" s="2" t="s">
        <v>13977</v>
      </c>
      <c r="C6569" s="2" t="s">
        <v>7596</v>
      </c>
    </row>
    <row r="6570">
      <c r="A6570" s="2" t="s">
        <v>13979</v>
      </c>
      <c r="B6570" s="2" t="s">
        <v>13980</v>
      </c>
      <c r="C6570" s="2" t="s">
        <v>7596</v>
      </c>
    </row>
    <row r="6571">
      <c r="A6571" s="2" t="s">
        <v>13981</v>
      </c>
      <c r="B6571" s="2" t="s">
        <v>13980</v>
      </c>
      <c r="C6571" s="2" t="s">
        <v>7596</v>
      </c>
    </row>
    <row r="6572">
      <c r="A6572" s="2" t="s">
        <v>13982</v>
      </c>
      <c r="B6572" s="2" t="s">
        <v>13983</v>
      </c>
      <c r="C6572" s="2" t="s">
        <v>7596</v>
      </c>
    </row>
    <row r="6573">
      <c r="A6573" s="2" t="s">
        <v>13984</v>
      </c>
      <c r="B6573" s="2" t="s">
        <v>13983</v>
      </c>
      <c r="C6573" s="2" t="s">
        <v>7596</v>
      </c>
    </row>
    <row r="6574">
      <c r="A6574" s="2" t="s">
        <v>13985</v>
      </c>
      <c r="B6574" s="2" t="s">
        <v>13986</v>
      </c>
      <c r="C6574" s="2" t="s">
        <v>7596</v>
      </c>
    </row>
    <row r="6575">
      <c r="A6575" s="2" t="s">
        <v>13987</v>
      </c>
      <c r="B6575" s="2" t="s">
        <v>13986</v>
      </c>
      <c r="C6575" s="2" t="s">
        <v>7596</v>
      </c>
    </row>
    <row r="6576">
      <c r="A6576" s="2" t="s">
        <v>13988</v>
      </c>
      <c r="B6576" s="2" t="s">
        <v>13989</v>
      </c>
      <c r="C6576" s="2" t="s">
        <v>7596</v>
      </c>
    </row>
    <row r="6577">
      <c r="A6577" s="2" t="s">
        <v>13990</v>
      </c>
      <c r="B6577" s="2" t="s">
        <v>13989</v>
      </c>
      <c r="C6577" s="2" t="s">
        <v>7596</v>
      </c>
    </row>
    <row r="6578">
      <c r="A6578" s="2" t="s">
        <v>13991</v>
      </c>
      <c r="B6578" s="2" t="s">
        <v>13992</v>
      </c>
      <c r="C6578" s="2" t="s">
        <v>7596</v>
      </c>
    </row>
    <row r="6579">
      <c r="A6579" s="2" t="s">
        <v>13993</v>
      </c>
      <c r="B6579" s="2" t="s">
        <v>13992</v>
      </c>
      <c r="C6579" s="2" t="s">
        <v>7596</v>
      </c>
    </row>
    <row r="6580">
      <c r="A6580" s="2" t="s">
        <v>13994</v>
      </c>
      <c r="B6580" s="2" t="s">
        <v>13995</v>
      </c>
      <c r="C6580" s="2" t="s">
        <v>7596</v>
      </c>
    </row>
    <row r="6581">
      <c r="A6581" s="2" t="s">
        <v>13996</v>
      </c>
      <c r="B6581" s="2" t="s">
        <v>13995</v>
      </c>
      <c r="C6581" s="2" t="s">
        <v>7596</v>
      </c>
    </row>
    <row r="6582">
      <c r="A6582" s="2" t="s">
        <v>13997</v>
      </c>
      <c r="B6582" s="2" t="s">
        <v>13998</v>
      </c>
      <c r="C6582" s="2" t="s">
        <v>7596</v>
      </c>
    </row>
    <row r="6583">
      <c r="A6583" s="2" t="s">
        <v>13999</v>
      </c>
      <c r="B6583" s="2" t="s">
        <v>13998</v>
      </c>
      <c r="C6583" s="2" t="s">
        <v>7596</v>
      </c>
    </row>
    <row r="6584">
      <c r="A6584" s="2" t="s">
        <v>14000</v>
      </c>
      <c r="B6584" s="2" t="s">
        <v>14001</v>
      </c>
      <c r="C6584" s="2" t="s">
        <v>7596</v>
      </c>
    </row>
    <row r="6585">
      <c r="A6585" s="2" t="s">
        <v>14002</v>
      </c>
      <c r="B6585" s="2" t="s">
        <v>14001</v>
      </c>
      <c r="C6585" s="2" t="s">
        <v>7596</v>
      </c>
    </row>
    <row r="6586">
      <c r="A6586" s="2" t="s">
        <v>14003</v>
      </c>
      <c r="B6586" s="2" t="s">
        <v>14004</v>
      </c>
      <c r="C6586" s="2" t="s">
        <v>7596</v>
      </c>
    </row>
    <row r="6587">
      <c r="A6587" s="2" t="s">
        <v>14005</v>
      </c>
      <c r="B6587" s="2" t="s">
        <v>14004</v>
      </c>
      <c r="C6587" s="2" t="s">
        <v>7596</v>
      </c>
    </row>
    <row r="6588">
      <c r="A6588" s="2" t="s">
        <v>14006</v>
      </c>
      <c r="B6588" s="2" t="s">
        <v>14007</v>
      </c>
      <c r="C6588" s="2" t="s">
        <v>7596</v>
      </c>
    </row>
    <row r="6589">
      <c r="A6589" s="2" t="s">
        <v>14008</v>
      </c>
      <c r="B6589" s="2" t="s">
        <v>14007</v>
      </c>
      <c r="C6589" s="2" t="s">
        <v>7596</v>
      </c>
    </row>
    <row r="6590">
      <c r="A6590" s="2" t="s">
        <v>14009</v>
      </c>
      <c r="B6590" s="2" t="s">
        <v>14010</v>
      </c>
      <c r="C6590" s="2" t="s">
        <v>7596</v>
      </c>
    </row>
    <row r="6591">
      <c r="A6591" s="2" t="s">
        <v>14011</v>
      </c>
      <c r="B6591" s="2" t="s">
        <v>14010</v>
      </c>
      <c r="C6591" s="2" t="s">
        <v>7596</v>
      </c>
    </row>
    <row r="6592">
      <c r="A6592" s="2" t="s">
        <v>14012</v>
      </c>
      <c r="B6592" s="2" t="s">
        <v>14013</v>
      </c>
      <c r="C6592" s="2" t="s">
        <v>7596</v>
      </c>
    </row>
    <row r="6593">
      <c r="A6593" s="2" t="s">
        <v>14014</v>
      </c>
      <c r="B6593" s="2" t="s">
        <v>14013</v>
      </c>
      <c r="C6593" s="2" t="s">
        <v>7596</v>
      </c>
    </row>
    <row r="6594">
      <c r="A6594" s="2" t="s">
        <v>14015</v>
      </c>
      <c r="B6594" s="2" t="s">
        <v>14016</v>
      </c>
      <c r="C6594" s="2" t="s">
        <v>7596</v>
      </c>
    </row>
    <row r="6595">
      <c r="A6595" s="2" t="s">
        <v>14017</v>
      </c>
      <c r="B6595" s="2" t="s">
        <v>14016</v>
      </c>
      <c r="C6595" s="2" t="s">
        <v>7596</v>
      </c>
    </row>
    <row r="6596">
      <c r="A6596" s="2" t="s">
        <v>14018</v>
      </c>
      <c r="B6596" s="2" t="s">
        <v>14019</v>
      </c>
      <c r="C6596" s="2" t="s">
        <v>7596</v>
      </c>
    </row>
    <row r="6597">
      <c r="A6597" s="2" t="s">
        <v>14020</v>
      </c>
      <c r="B6597" s="2" t="s">
        <v>14019</v>
      </c>
      <c r="C6597" s="2" t="s">
        <v>7596</v>
      </c>
    </row>
    <row r="6598">
      <c r="A6598" s="2" t="s">
        <v>14021</v>
      </c>
      <c r="B6598" s="2" t="s">
        <v>14022</v>
      </c>
      <c r="C6598" s="2" t="s">
        <v>7596</v>
      </c>
    </row>
    <row r="6599">
      <c r="A6599" s="2" t="s">
        <v>14023</v>
      </c>
      <c r="B6599" s="2" t="s">
        <v>14022</v>
      </c>
      <c r="C6599" s="2" t="s">
        <v>7596</v>
      </c>
    </row>
    <row r="6600">
      <c r="A6600" s="2" t="s">
        <v>14024</v>
      </c>
      <c r="B6600" s="2" t="s">
        <v>14025</v>
      </c>
      <c r="C6600" s="2" t="s">
        <v>7596</v>
      </c>
    </row>
    <row r="6601">
      <c r="A6601" s="2" t="s">
        <v>14026</v>
      </c>
      <c r="B6601" s="2" t="s">
        <v>14027</v>
      </c>
      <c r="C6601" s="2" t="s">
        <v>7596</v>
      </c>
    </row>
    <row r="6602">
      <c r="A6602" s="2" t="s">
        <v>14028</v>
      </c>
      <c r="B6602" s="2" t="s">
        <v>14029</v>
      </c>
      <c r="C6602" s="2" t="s">
        <v>7596</v>
      </c>
    </row>
    <row r="6603">
      <c r="A6603" s="2" t="s">
        <v>14030</v>
      </c>
      <c r="B6603" s="2" t="s">
        <v>14031</v>
      </c>
      <c r="C6603" s="2" t="s">
        <v>7596</v>
      </c>
    </row>
    <row r="6604">
      <c r="A6604" s="2" t="s">
        <v>14032</v>
      </c>
      <c r="B6604" s="2" t="s">
        <v>14033</v>
      </c>
      <c r="C6604" s="2" t="s">
        <v>7596</v>
      </c>
    </row>
    <row r="6605">
      <c r="A6605" s="2" t="s">
        <v>14034</v>
      </c>
      <c r="B6605" s="2" t="s">
        <v>14035</v>
      </c>
      <c r="C6605" s="2" t="s">
        <v>7596</v>
      </c>
    </row>
    <row r="6606">
      <c r="A6606" s="2" t="s">
        <v>14036</v>
      </c>
      <c r="B6606" s="2" t="s">
        <v>14035</v>
      </c>
      <c r="C6606" s="2" t="s">
        <v>7596</v>
      </c>
    </row>
    <row r="6607">
      <c r="A6607" s="2" t="s">
        <v>14037</v>
      </c>
      <c r="B6607" s="2" t="s">
        <v>14038</v>
      </c>
      <c r="C6607" s="2" t="s">
        <v>7596</v>
      </c>
    </row>
    <row r="6608">
      <c r="A6608" s="2" t="s">
        <v>14039</v>
      </c>
      <c r="B6608" s="2" t="s">
        <v>14040</v>
      </c>
      <c r="C6608" s="2" t="s">
        <v>7596</v>
      </c>
    </row>
    <row r="6609">
      <c r="A6609" s="2" t="s">
        <v>14041</v>
      </c>
      <c r="B6609" s="2" t="s">
        <v>14042</v>
      </c>
      <c r="C6609" s="2" t="s">
        <v>7596</v>
      </c>
    </row>
    <row r="6610">
      <c r="A6610" s="2" t="s">
        <v>14043</v>
      </c>
      <c r="B6610" s="2" t="s">
        <v>14044</v>
      </c>
      <c r="C6610" s="2" t="s">
        <v>7596</v>
      </c>
    </row>
    <row r="6611">
      <c r="A6611" s="2" t="s">
        <v>14045</v>
      </c>
      <c r="B6611" s="2" t="s">
        <v>14046</v>
      </c>
      <c r="C6611" s="2" t="s">
        <v>7596</v>
      </c>
    </row>
    <row r="6612">
      <c r="A6612" s="2" t="s">
        <v>14047</v>
      </c>
      <c r="B6612" s="2" t="s">
        <v>14048</v>
      </c>
      <c r="C6612" s="2" t="s">
        <v>7596</v>
      </c>
    </row>
    <row r="6613">
      <c r="A6613" s="2" t="s">
        <v>14049</v>
      </c>
      <c r="B6613" s="2" t="s">
        <v>14050</v>
      </c>
      <c r="C6613" s="2" t="s">
        <v>7596</v>
      </c>
    </row>
    <row r="6614">
      <c r="A6614" s="2" t="s">
        <v>14051</v>
      </c>
      <c r="B6614" s="2" t="s">
        <v>14052</v>
      </c>
      <c r="C6614" s="2" t="s">
        <v>7596</v>
      </c>
    </row>
    <row r="6615">
      <c r="A6615" s="2" t="s">
        <v>14053</v>
      </c>
      <c r="B6615" s="2" t="s">
        <v>14054</v>
      </c>
      <c r="C6615" s="2" t="s">
        <v>7596</v>
      </c>
    </row>
    <row r="6616">
      <c r="A6616" s="2" t="s">
        <v>14055</v>
      </c>
      <c r="B6616" s="2" t="s">
        <v>14056</v>
      </c>
      <c r="C6616" s="2" t="s">
        <v>7596</v>
      </c>
    </row>
    <row r="6617">
      <c r="A6617" s="2" t="s">
        <v>14057</v>
      </c>
      <c r="B6617" s="2" t="s">
        <v>14058</v>
      </c>
      <c r="C6617" s="2" t="s">
        <v>7596</v>
      </c>
    </row>
    <row r="6618">
      <c r="A6618" s="2" t="s">
        <v>14059</v>
      </c>
      <c r="B6618" s="2" t="s">
        <v>14060</v>
      </c>
      <c r="C6618" s="2" t="s">
        <v>7596</v>
      </c>
    </row>
    <row r="6619">
      <c r="A6619" s="2" t="s">
        <v>14061</v>
      </c>
      <c r="B6619" s="2" t="s">
        <v>14062</v>
      </c>
      <c r="C6619" s="2" t="s">
        <v>7596</v>
      </c>
    </row>
    <row r="6620">
      <c r="A6620" s="2" t="s">
        <v>14063</v>
      </c>
      <c r="B6620" s="2" t="s">
        <v>14062</v>
      </c>
      <c r="C6620" s="2" t="s">
        <v>7596</v>
      </c>
    </row>
    <row r="6621">
      <c r="A6621" s="2" t="s">
        <v>14064</v>
      </c>
      <c r="B6621" s="2" t="s">
        <v>14065</v>
      </c>
      <c r="C6621" s="2" t="s">
        <v>7596</v>
      </c>
    </row>
    <row r="6622">
      <c r="A6622" s="2" t="s">
        <v>14066</v>
      </c>
      <c r="B6622" s="2" t="s">
        <v>14067</v>
      </c>
      <c r="C6622" s="2" t="s">
        <v>7596</v>
      </c>
    </row>
    <row r="6623">
      <c r="A6623" s="2" t="s">
        <v>14068</v>
      </c>
      <c r="B6623" s="2" t="s">
        <v>14069</v>
      </c>
      <c r="C6623" s="2" t="s">
        <v>7596</v>
      </c>
    </row>
    <row r="6624">
      <c r="A6624" s="2" t="s">
        <v>14070</v>
      </c>
      <c r="B6624" s="2" t="s">
        <v>14069</v>
      </c>
      <c r="C6624" s="2" t="s">
        <v>7596</v>
      </c>
    </row>
    <row r="6625">
      <c r="A6625" s="2" t="s">
        <v>14071</v>
      </c>
      <c r="B6625" s="2" t="s">
        <v>14069</v>
      </c>
      <c r="C6625" s="2" t="s">
        <v>7596</v>
      </c>
    </row>
    <row r="6626">
      <c r="A6626" s="2" t="s">
        <v>14072</v>
      </c>
      <c r="B6626" s="2" t="s">
        <v>14073</v>
      </c>
      <c r="C6626" s="2" t="s">
        <v>7596</v>
      </c>
    </row>
    <row r="6627">
      <c r="A6627" s="2" t="s">
        <v>14074</v>
      </c>
      <c r="B6627" s="2" t="s">
        <v>14073</v>
      </c>
      <c r="C6627" s="2" t="s">
        <v>7596</v>
      </c>
    </row>
    <row r="6628">
      <c r="A6628" s="2" t="s">
        <v>14075</v>
      </c>
      <c r="B6628" s="2" t="s">
        <v>14073</v>
      </c>
      <c r="C6628" s="2" t="s">
        <v>7596</v>
      </c>
    </row>
    <row r="6629">
      <c r="A6629" s="2" t="s">
        <v>14076</v>
      </c>
      <c r="B6629" s="2" t="s">
        <v>14077</v>
      </c>
      <c r="C6629" s="2" t="s">
        <v>7596</v>
      </c>
    </row>
    <row r="6630">
      <c r="A6630" s="2" t="s">
        <v>14078</v>
      </c>
      <c r="B6630" s="2" t="s">
        <v>14077</v>
      </c>
      <c r="C6630" s="2" t="s">
        <v>7596</v>
      </c>
    </row>
    <row r="6631">
      <c r="A6631" s="2" t="s">
        <v>14079</v>
      </c>
      <c r="B6631" s="2" t="s">
        <v>14077</v>
      </c>
      <c r="C6631" s="2" t="s">
        <v>7596</v>
      </c>
    </row>
    <row r="6632">
      <c r="A6632" s="2" t="s">
        <v>14080</v>
      </c>
      <c r="B6632" s="2" t="s">
        <v>14081</v>
      </c>
      <c r="C6632" s="2" t="s">
        <v>7596</v>
      </c>
    </row>
    <row r="6633">
      <c r="A6633" s="2" t="s">
        <v>14082</v>
      </c>
      <c r="B6633" s="2" t="s">
        <v>14083</v>
      </c>
      <c r="C6633" s="2" t="s">
        <v>7596</v>
      </c>
    </row>
    <row r="6634">
      <c r="A6634" s="2" t="s">
        <v>14084</v>
      </c>
      <c r="B6634" s="2" t="s">
        <v>14085</v>
      </c>
      <c r="C6634" s="2" t="s">
        <v>7596</v>
      </c>
    </row>
    <row r="6635">
      <c r="A6635" s="2" t="s">
        <v>14086</v>
      </c>
      <c r="B6635" s="2" t="s">
        <v>14085</v>
      </c>
      <c r="C6635" s="2" t="s">
        <v>7596</v>
      </c>
    </row>
    <row r="6636">
      <c r="A6636" s="2" t="s">
        <v>14087</v>
      </c>
      <c r="B6636" s="2" t="s">
        <v>14085</v>
      </c>
      <c r="C6636" s="2" t="s">
        <v>7596</v>
      </c>
    </row>
    <row r="6637">
      <c r="A6637" s="2" t="s">
        <v>14088</v>
      </c>
      <c r="B6637" s="2" t="s">
        <v>14089</v>
      </c>
      <c r="C6637" s="2" t="s">
        <v>7596</v>
      </c>
    </row>
    <row r="6638">
      <c r="A6638" s="2" t="s">
        <v>14090</v>
      </c>
      <c r="B6638" s="2" t="s">
        <v>14091</v>
      </c>
      <c r="C6638" s="2" t="s">
        <v>7596</v>
      </c>
    </row>
    <row r="6639">
      <c r="A6639" s="2" t="s">
        <v>14092</v>
      </c>
      <c r="B6639" s="2" t="s">
        <v>14091</v>
      </c>
      <c r="C6639" s="2" t="s">
        <v>7596</v>
      </c>
    </row>
    <row r="6640">
      <c r="A6640" s="2" t="s">
        <v>14093</v>
      </c>
      <c r="B6640" s="2" t="s">
        <v>14091</v>
      </c>
      <c r="C6640" s="2" t="s">
        <v>7596</v>
      </c>
    </row>
    <row r="6641">
      <c r="A6641" s="2" t="s">
        <v>14094</v>
      </c>
      <c r="B6641" s="2" t="s">
        <v>14095</v>
      </c>
      <c r="C6641" s="2" t="s">
        <v>7596</v>
      </c>
    </row>
    <row r="6642">
      <c r="A6642" s="2" t="s">
        <v>14096</v>
      </c>
      <c r="B6642" s="2" t="s">
        <v>14097</v>
      </c>
      <c r="C6642" s="2" t="s">
        <v>7596</v>
      </c>
    </row>
    <row r="6643">
      <c r="A6643" s="2" t="s">
        <v>14098</v>
      </c>
      <c r="B6643" s="2" t="s">
        <v>14099</v>
      </c>
      <c r="C6643" s="2" t="s">
        <v>7596</v>
      </c>
    </row>
    <row r="6644">
      <c r="A6644" s="2" t="s">
        <v>14100</v>
      </c>
      <c r="B6644" s="2" t="s">
        <v>14101</v>
      </c>
      <c r="C6644" s="2" t="s">
        <v>7596</v>
      </c>
    </row>
    <row r="6645">
      <c r="A6645" s="2" t="s">
        <v>14102</v>
      </c>
      <c r="B6645" s="2" t="s">
        <v>14103</v>
      </c>
      <c r="C6645" s="2" t="s">
        <v>7596</v>
      </c>
    </row>
    <row r="6646">
      <c r="A6646" s="2" t="s">
        <v>14104</v>
      </c>
      <c r="B6646" s="2" t="s">
        <v>14105</v>
      </c>
      <c r="C6646" s="2" t="s">
        <v>7596</v>
      </c>
    </row>
    <row r="6647">
      <c r="A6647" s="2" t="s">
        <v>14106</v>
      </c>
      <c r="B6647" s="2" t="s">
        <v>14107</v>
      </c>
      <c r="C6647" s="2" t="s">
        <v>7596</v>
      </c>
    </row>
    <row r="6648">
      <c r="A6648" s="2" t="s">
        <v>14108</v>
      </c>
      <c r="B6648" s="2" t="s">
        <v>14109</v>
      </c>
      <c r="C6648" s="2" t="s">
        <v>7596</v>
      </c>
    </row>
    <row r="6649">
      <c r="A6649" s="2" t="s">
        <v>14110</v>
      </c>
      <c r="B6649" s="2" t="s">
        <v>14111</v>
      </c>
      <c r="C6649" s="2" t="s">
        <v>7596</v>
      </c>
    </row>
    <row r="6650">
      <c r="A6650" s="2" t="s">
        <v>14112</v>
      </c>
      <c r="B6650" s="2" t="s">
        <v>14113</v>
      </c>
      <c r="C6650" s="2" t="s">
        <v>7596</v>
      </c>
    </row>
    <row r="6651">
      <c r="A6651" s="2" t="s">
        <v>14114</v>
      </c>
      <c r="B6651" s="2" t="s">
        <v>14115</v>
      </c>
      <c r="C6651" s="2" t="s">
        <v>7596</v>
      </c>
    </row>
    <row r="6652">
      <c r="A6652" s="2" t="s">
        <v>14116</v>
      </c>
      <c r="B6652" s="2" t="s">
        <v>14117</v>
      </c>
      <c r="C6652" s="2" t="s">
        <v>7596</v>
      </c>
    </row>
    <row r="6653">
      <c r="A6653" s="2" t="s">
        <v>14118</v>
      </c>
      <c r="B6653" s="2" t="s">
        <v>14119</v>
      </c>
      <c r="C6653" s="2" t="s">
        <v>7596</v>
      </c>
    </row>
    <row r="6654">
      <c r="A6654" s="2" t="s">
        <v>14120</v>
      </c>
      <c r="B6654" s="2" t="s">
        <v>14121</v>
      </c>
      <c r="C6654" s="2" t="s">
        <v>7596</v>
      </c>
    </row>
    <row r="6655">
      <c r="A6655" s="2" t="s">
        <v>14122</v>
      </c>
      <c r="B6655" s="2" t="s">
        <v>14123</v>
      </c>
      <c r="C6655" s="2" t="s">
        <v>7596</v>
      </c>
    </row>
    <row r="6656">
      <c r="A6656" s="2" t="s">
        <v>14124</v>
      </c>
      <c r="B6656" s="2" t="s">
        <v>14125</v>
      </c>
      <c r="C6656" s="2" t="s">
        <v>7596</v>
      </c>
    </row>
    <row r="6657">
      <c r="A6657" s="2" t="s">
        <v>14126</v>
      </c>
      <c r="B6657" s="2" t="s">
        <v>14127</v>
      </c>
      <c r="C6657" s="2" t="s">
        <v>7596</v>
      </c>
    </row>
    <row r="6658">
      <c r="A6658" s="2" t="s">
        <v>14128</v>
      </c>
      <c r="B6658" s="2" t="s">
        <v>14129</v>
      </c>
      <c r="C6658" s="2" t="s">
        <v>7596</v>
      </c>
    </row>
    <row r="6659">
      <c r="A6659" s="2" t="s">
        <v>14130</v>
      </c>
      <c r="B6659" s="2" t="s">
        <v>14131</v>
      </c>
      <c r="C6659" s="2" t="s">
        <v>7596</v>
      </c>
    </row>
    <row r="6660">
      <c r="A6660" s="2" t="s">
        <v>14132</v>
      </c>
      <c r="B6660" s="2" t="s">
        <v>14133</v>
      </c>
      <c r="C6660" s="2" t="s">
        <v>7596</v>
      </c>
    </row>
    <row r="6661">
      <c r="A6661" s="2" t="s">
        <v>14134</v>
      </c>
      <c r="B6661" s="2" t="s">
        <v>14135</v>
      </c>
      <c r="C6661" s="2" t="s">
        <v>7596</v>
      </c>
    </row>
    <row r="6662">
      <c r="A6662" s="2" t="s">
        <v>14136</v>
      </c>
      <c r="B6662" s="2" t="s">
        <v>14137</v>
      </c>
      <c r="C6662" s="2" t="s">
        <v>7596</v>
      </c>
    </row>
    <row r="6663">
      <c r="A6663" s="2" t="s">
        <v>14138</v>
      </c>
      <c r="B6663" s="2" t="s">
        <v>14137</v>
      </c>
      <c r="C6663" s="2" t="s">
        <v>7596</v>
      </c>
    </row>
    <row r="6664">
      <c r="A6664" s="2" t="s">
        <v>14139</v>
      </c>
      <c r="B6664" s="2" t="s">
        <v>14140</v>
      </c>
      <c r="C6664" s="2" t="s">
        <v>7596</v>
      </c>
    </row>
    <row r="6665">
      <c r="A6665" s="2" t="s">
        <v>14141</v>
      </c>
      <c r="B6665" s="2" t="s">
        <v>14142</v>
      </c>
      <c r="C6665" s="2" t="s">
        <v>7596</v>
      </c>
    </row>
    <row r="6666">
      <c r="A6666" s="2" t="s">
        <v>14143</v>
      </c>
      <c r="B6666" s="2" t="s">
        <v>14144</v>
      </c>
      <c r="C6666" s="2" t="s">
        <v>7596</v>
      </c>
    </row>
    <row r="6667">
      <c r="A6667" s="2" t="s">
        <v>14145</v>
      </c>
      <c r="B6667" s="2" t="s">
        <v>14146</v>
      </c>
      <c r="C6667" s="2" t="s">
        <v>7596</v>
      </c>
    </row>
    <row r="6668">
      <c r="A6668" s="2" t="s">
        <v>14147</v>
      </c>
      <c r="B6668" s="2" t="s">
        <v>14148</v>
      </c>
      <c r="C6668" s="2" t="s">
        <v>7596</v>
      </c>
    </row>
    <row r="6669">
      <c r="A6669" s="2" t="s">
        <v>14149</v>
      </c>
      <c r="B6669" s="2" t="s">
        <v>14150</v>
      </c>
      <c r="C6669" s="2" t="s">
        <v>7596</v>
      </c>
    </row>
    <row r="6670">
      <c r="A6670" s="2" t="s">
        <v>14151</v>
      </c>
      <c r="B6670" s="2" t="s">
        <v>14152</v>
      </c>
      <c r="C6670" s="2" t="s">
        <v>7596</v>
      </c>
    </row>
    <row r="6671">
      <c r="A6671" s="2" t="s">
        <v>14153</v>
      </c>
      <c r="B6671" s="2" t="s">
        <v>14154</v>
      </c>
      <c r="C6671" s="2" t="s">
        <v>7596</v>
      </c>
    </row>
    <row r="6672">
      <c r="A6672" s="2" t="s">
        <v>14155</v>
      </c>
      <c r="B6672" s="2" t="s">
        <v>14156</v>
      </c>
      <c r="C6672" s="2" t="s">
        <v>7596</v>
      </c>
    </row>
    <row r="6673">
      <c r="A6673" s="2" t="s">
        <v>14157</v>
      </c>
      <c r="B6673" s="2" t="s">
        <v>14158</v>
      </c>
      <c r="C6673" s="2" t="s">
        <v>7596</v>
      </c>
    </row>
    <row r="6674">
      <c r="A6674" s="2" t="s">
        <v>14159</v>
      </c>
      <c r="B6674" s="2" t="s">
        <v>14160</v>
      </c>
      <c r="C6674" s="2" t="s">
        <v>7596</v>
      </c>
    </row>
    <row r="6675">
      <c r="A6675" s="2" t="s">
        <v>14161</v>
      </c>
      <c r="B6675" s="2" t="s">
        <v>14162</v>
      </c>
      <c r="C6675" s="2" t="s">
        <v>7596</v>
      </c>
    </row>
    <row r="6676">
      <c r="A6676" s="2" t="s">
        <v>14163</v>
      </c>
      <c r="B6676" s="2" t="s">
        <v>14164</v>
      </c>
      <c r="C6676" s="2" t="s">
        <v>7596</v>
      </c>
    </row>
    <row r="6677">
      <c r="A6677" s="2" t="s">
        <v>14165</v>
      </c>
      <c r="B6677" s="2" t="s">
        <v>14166</v>
      </c>
      <c r="C6677" s="2" t="s">
        <v>7596</v>
      </c>
    </row>
    <row r="6678">
      <c r="A6678" s="2" t="s">
        <v>14167</v>
      </c>
      <c r="B6678" s="2" t="s">
        <v>14168</v>
      </c>
      <c r="C6678" s="2" t="s">
        <v>7596</v>
      </c>
    </row>
    <row r="6679">
      <c r="A6679" s="2" t="s">
        <v>14169</v>
      </c>
      <c r="B6679" s="2" t="s">
        <v>14170</v>
      </c>
      <c r="C6679" s="2" t="s">
        <v>7596</v>
      </c>
    </row>
    <row r="6680">
      <c r="A6680" s="2" t="s">
        <v>14171</v>
      </c>
      <c r="B6680" s="2" t="s">
        <v>14172</v>
      </c>
      <c r="C6680" s="2" t="s">
        <v>7596</v>
      </c>
    </row>
    <row r="6681">
      <c r="A6681" s="2" t="s">
        <v>14173</v>
      </c>
      <c r="B6681" s="2" t="s">
        <v>14174</v>
      </c>
      <c r="C6681" s="2" t="s">
        <v>7596</v>
      </c>
    </row>
    <row r="6682">
      <c r="A6682" s="2" t="s">
        <v>14175</v>
      </c>
      <c r="B6682" s="2" t="s">
        <v>14176</v>
      </c>
      <c r="C6682" s="2" t="s">
        <v>7596</v>
      </c>
    </row>
    <row r="6683">
      <c r="A6683" s="2" t="s">
        <v>14177</v>
      </c>
      <c r="B6683" s="2" t="s">
        <v>14178</v>
      </c>
      <c r="C6683" s="2" t="s">
        <v>7596</v>
      </c>
    </row>
    <row r="6684">
      <c r="A6684" s="2" t="s">
        <v>14179</v>
      </c>
      <c r="B6684" s="2" t="s">
        <v>14180</v>
      </c>
      <c r="C6684" s="2" t="s">
        <v>7596</v>
      </c>
    </row>
    <row r="6685">
      <c r="A6685" s="2" t="s">
        <v>14181</v>
      </c>
      <c r="B6685" s="2" t="s">
        <v>14182</v>
      </c>
      <c r="C6685" s="2" t="s">
        <v>7596</v>
      </c>
    </row>
    <row r="6686">
      <c r="A6686" s="2" t="s">
        <v>14183</v>
      </c>
      <c r="B6686" s="2" t="s">
        <v>14184</v>
      </c>
      <c r="C6686" s="2" t="s">
        <v>7596</v>
      </c>
    </row>
    <row r="6687">
      <c r="A6687" s="2" t="s">
        <v>14185</v>
      </c>
      <c r="B6687" s="2" t="s">
        <v>14186</v>
      </c>
      <c r="C6687" s="2" t="s">
        <v>7596</v>
      </c>
    </row>
    <row r="6688">
      <c r="A6688" s="2" t="s">
        <v>14187</v>
      </c>
      <c r="B6688" s="2" t="s">
        <v>14188</v>
      </c>
      <c r="C6688" s="2" t="s">
        <v>7596</v>
      </c>
    </row>
    <row r="6689">
      <c r="A6689" s="2" t="s">
        <v>14189</v>
      </c>
      <c r="B6689" s="2" t="s">
        <v>14190</v>
      </c>
      <c r="C6689" s="2" t="s">
        <v>7596</v>
      </c>
    </row>
    <row r="6690">
      <c r="A6690" s="2" t="s">
        <v>14191</v>
      </c>
      <c r="B6690" s="2" t="s">
        <v>14192</v>
      </c>
      <c r="C6690" s="2" t="s">
        <v>7596</v>
      </c>
    </row>
    <row r="6691">
      <c r="A6691" s="2" t="s">
        <v>14193</v>
      </c>
      <c r="B6691" s="2" t="s">
        <v>14192</v>
      </c>
      <c r="C6691" s="2" t="s">
        <v>7596</v>
      </c>
    </row>
    <row r="6692">
      <c r="A6692" s="2" t="s">
        <v>14194</v>
      </c>
      <c r="B6692" s="2" t="s">
        <v>14195</v>
      </c>
      <c r="C6692" s="2" t="s">
        <v>7596</v>
      </c>
    </row>
    <row r="6693">
      <c r="A6693" s="2" t="s">
        <v>14196</v>
      </c>
      <c r="B6693" s="2" t="s">
        <v>14197</v>
      </c>
      <c r="C6693" s="2" t="s">
        <v>7596</v>
      </c>
    </row>
    <row r="6694">
      <c r="A6694" s="2" t="s">
        <v>14198</v>
      </c>
      <c r="B6694" s="2" t="s">
        <v>14199</v>
      </c>
      <c r="C6694" s="2" t="s">
        <v>7596</v>
      </c>
    </row>
    <row r="6695">
      <c r="A6695" s="2" t="s">
        <v>14200</v>
      </c>
      <c r="B6695" s="2" t="s">
        <v>14201</v>
      </c>
      <c r="C6695" s="2" t="s">
        <v>7596</v>
      </c>
    </row>
    <row r="6696">
      <c r="A6696" s="2" t="s">
        <v>14202</v>
      </c>
      <c r="B6696" s="2" t="s">
        <v>14203</v>
      </c>
      <c r="C6696" s="2" t="s">
        <v>7596</v>
      </c>
    </row>
    <row r="6697">
      <c r="A6697" s="2" t="s">
        <v>14204</v>
      </c>
      <c r="B6697" s="2" t="s">
        <v>14205</v>
      </c>
      <c r="C6697" s="2" t="s">
        <v>7596</v>
      </c>
    </row>
    <row r="6698">
      <c r="A6698" s="2" t="s">
        <v>14206</v>
      </c>
      <c r="B6698" s="2" t="s">
        <v>14207</v>
      </c>
      <c r="C6698" s="2" t="s">
        <v>7596</v>
      </c>
    </row>
    <row r="6699">
      <c r="A6699" s="2" t="s">
        <v>14208</v>
      </c>
      <c r="B6699" s="2" t="s">
        <v>14207</v>
      </c>
      <c r="C6699" s="2" t="s">
        <v>7596</v>
      </c>
    </row>
    <row r="6700">
      <c r="A6700" s="2" t="s">
        <v>14209</v>
      </c>
      <c r="B6700" s="2" t="s">
        <v>14210</v>
      </c>
      <c r="C6700" s="2" t="s">
        <v>7596</v>
      </c>
    </row>
    <row r="6701">
      <c r="A6701" s="2" t="s">
        <v>14211</v>
      </c>
      <c r="B6701" s="2" t="s">
        <v>14212</v>
      </c>
      <c r="C6701" s="2" t="s">
        <v>7596</v>
      </c>
    </row>
    <row r="6702">
      <c r="A6702" s="2" t="s">
        <v>14213</v>
      </c>
      <c r="B6702" s="2" t="s">
        <v>14212</v>
      </c>
      <c r="C6702" s="2" t="s">
        <v>7596</v>
      </c>
    </row>
    <row r="6703">
      <c r="A6703" s="2" t="s">
        <v>14214</v>
      </c>
      <c r="B6703" s="2" t="s">
        <v>14215</v>
      </c>
      <c r="C6703" s="2" t="s">
        <v>7596</v>
      </c>
    </row>
    <row r="6704">
      <c r="A6704" s="2" t="s">
        <v>14216</v>
      </c>
      <c r="B6704" s="2" t="s">
        <v>14217</v>
      </c>
      <c r="C6704" s="2" t="s">
        <v>7596</v>
      </c>
    </row>
    <row r="6705">
      <c r="A6705" s="2" t="s">
        <v>14218</v>
      </c>
      <c r="B6705" s="2" t="s">
        <v>14217</v>
      </c>
      <c r="C6705" s="2" t="s">
        <v>7596</v>
      </c>
    </row>
    <row r="6706">
      <c r="A6706" s="2" t="s">
        <v>14219</v>
      </c>
      <c r="B6706" s="2" t="s">
        <v>14220</v>
      </c>
      <c r="C6706" s="2" t="s">
        <v>7596</v>
      </c>
    </row>
    <row r="6707">
      <c r="A6707" s="2" t="s">
        <v>14221</v>
      </c>
      <c r="B6707" s="2" t="s">
        <v>14222</v>
      </c>
      <c r="C6707" s="2" t="s">
        <v>7596</v>
      </c>
    </row>
    <row r="6708">
      <c r="A6708" s="2" t="s">
        <v>14223</v>
      </c>
      <c r="B6708" s="2" t="s">
        <v>14224</v>
      </c>
      <c r="C6708" s="2" t="s">
        <v>7596</v>
      </c>
    </row>
    <row r="6709">
      <c r="A6709" s="2" t="s">
        <v>14225</v>
      </c>
      <c r="B6709" s="2" t="s">
        <v>14226</v>
      </c>
      <c r="C6709" s="2" t="s">
        <v>7596</v>
      </c>
    </row>
    <row r="6710">
      <c r="A6710" s="2" t="s">
        <v>14227</v>
      </c>
      <c r="B6710" s="2" t="s">
        <v>14228</v>
      </c>
      <c r="C6710" s="2" t="s">
        <v>7596</v>
      </c>
    </row>
    <row r="6711">
      <c r="A6711" s="2" t="s">
        <v>14229</v>
      </c>
      <c r="B6711" s="2" t="s">
        <v>14230</v>
      </c>
      <c r="C6711" s="2" t="s">
        <v>7596</v>
      </c>
    </row>
    <row r="6712">
      <c r="A6712" s="2" t="s">
        <v>14231</v>
      </c>
      <c r="B6712" s="2" t="s">
        <v>14232</v>
      </c>
      <c r="C6712" s="2" t="s">
        <v>7596</v>
      </c>
    </row>
    <row r="6713">
      <c r="A6713" s="2" t="s">
        <v>14233</v>
      </c>
      <c r="B6713" s="2" t="s">
        <v>14234</v>
      </c>
      <c r="C6713" s="2" t="s">
        <v>7596</v>
      </c>
    </row>
    <row r="6714">
      <c r="A6714" s="2" t="s">
        <v>14235</v>
      </c>
      <c r="B6714" s="2" t="s">
        <v>14236</v>
      </c>
      <c r="C6714" s="2" t="s">
        <v>7596</v>
      </c>
    </row>
    <row r="6715">
      <c r="A6715" s="2" t="s">
        <v>14237</v>
      </c>
      <c r="B6715" s="2" t="s">
        <v>14238</v>
      </c>
      <c r="C6715" s="2" t="s">
        <v>7596</v>
      </c>
    </row>
    <row r="6716">
      <c r="A6716" s="2" t="s">
        <v>14239</v>
      </c>
      <c r="B6716" s="2" t="s">
        <v>14240</v>
      </c>
      <c r="C6716" s="2" t="s">
        <v>7596</v>
      </c>
    </row>
    <row r="6717">
      <c r="A6717" s="2" t="s">
        <v>53</v>
      </c>
      <c r="B6717" s="2" t="s">
        <v>54</v>
      </c>
      <c r="C6717" s="2" t="s">
        <v>7596</v>
      </c>
    </row>
    <row r="6718">
      <c r="A6718" s="2" t="s">
        <v>14241</v>
      </c>
      <c r="B6718" s="2" t="s">
        <v>14242</v>
      </c>
      <c r="C6718" s="2" t="s">
        <v>7596</v>
      </c>
    </row>
    <row r="6719">
      <c r="A6719" s="2" t="s">
        <v>14243</v>
      </c>
      <c r="B6719" s="2" t="s">
        <v>14244</v>
      </c>
      <c r="C6719" s="2" t="s">
        <v>7596</v>
      </c>
    </row>
    <row r="6720">
      <c r="A6720" s="2" t="s">
        <v>14245</v>
      </c>
      <c r="B6720" s="2" t="s">
        <v>14246</v>
      </c>
      <c r="C6720" s="2" t="s">
        <v>7596</v>
      </c>
    </row>
    <row r="6721">
      <c r="A6721" s="2" t="s">
        <v>14247</v>
      </c>
      <c r="B6721" s="2" t="s">
        <v>14248</v>
      </c>
      <c r="C6721" s="2" t="s">
        <v>7596</v>
      </c>
    </row>
    <row r="6722">
      <c r="A6722" s="2" t="s">
        <v>59</v>
      </c>
      <c r="B6722" s="2" t="s">
        <v>60</v>
      </c>
      <c r="C6722" s="2" t="s">
        <v>7596</v>
      </c>
    </row>
    <row r="6723">
      <c r="A6723" s="2" t="s">
        <v>14249</v>
      </c>
      <c r="B6723" s="2" t="s">
        <v>14250</v>
      </c>
      <c r="C6723" s="2" t="s">
        <v>7596</v>
      </c>
    </row>
    <row r="6724">
      <c r="A6724" s="2" t="s">
        <v>14251</v>
      </c>
      <c r="B6724" s="2" t="s">
        <v>14252</v>
      </c>
      <c r="C6724" s="2" t="s">
        <v>7596</v>
      </c>
    </row>
    <row r="6725">
      <c r="A6725" s="2" t="s">
        <v>14253</v>
      </c>
      <c r="B6725" s="2" t="s">
        <v>14254</v>
      </c>
      <c r="C6725" s="2" t="s">
        <v>7596</v>
      </c>
    </row>
    <row r="6726">
      <c r="A6726" s="2" t="s">
        <v>14255</v>
      </c>
      <c r="B6726" s="2" t="s">
        <v>14256</v>
      </c>
      <c r="C6726" s="2" t="s">
        <v>7596</v>
      </c>
    </row>
    <row r="6727">
      <c r="A6727" s="2" t="s">
        <v>14257</v>
      </c>
      <c r="B6727" s="2" t="s">
        <v>14258</v>
      </c>
      <c r="C6727" s="2" t="s">
        <v>7596</v>
      </c>
    </row>
    <row r="6728">
      <c r="A6728" s="2" t="s">
        <v>14259</v>
      </c>
      <c r="B6728" s="2" t="s">
        <v>14260</v>
      </c>
      <c r="C6728" s="2" t="s">
        <v>7596</v>
      </c>
    </row>
    <row r="6729">
      <c r="A6729" s="2" t="s">
        <v>14261</v>
      </c>
      <c r="B6729" s="2" t="s">
        <v>14262</v>
      </c>
      <c r="C6729" s="2" t="s">
        <v>7596</v>
      </c>
    </row>
    <row r="6730">
      <c r="A6730" s="2" t="s">
        <v>14263</v>
      </c>
      <c r="B6730" s="2" t="s">
        <v>14264</v>
      </c>
      <c r="C6730" s="2" t="s">
        <v>7596</v>
      </c>
    </row>
    <row r="6731">
      <c r="A6731" s="2" t="s">
        <v>14265</v>
      </c>
      <c r="B6731" s="2" t="s">
        <v>14264</v>
      </c>
      <c r="C6731" s="2" t="s">
        <v>7596</v>
      </c>
    </row>
    <row r="6732">
      <c r="A6732" s="2" t="s">
        <v>14266</v>
      </c>
      <c r="B6732" s="2" t="s">
        <v>14267</v>
      </c>
      <c r="C6732" s="2" t="s">
        <v>7596</v>
      </c>
    </row>
    <row r="6733">
      <c r="A6733" s="2" t="s">
        <v>14268</v>
      </c>
      <c r="B6733" s="2" t="s">
        <v>14269</v>
      </c>
      <c r="C6733" s="2" t="s">
        <v>7596</v>
      </c>
    </row>
    <row r="6734">
      <c r="A6734" s="2" t="s">
        <v>14270</v>
      </c>
      <c r="B6734" s="2" t="s">
        <v>14271</v>
      </c>
      <c r="C6734" s="2" t="s">
        <v>7596</v>
      </c>
    </row>
    <row r="6735">
      <c r="A6735" s="2" t="s">
        <v>14272</v>
      </c>
      <c r="B6735" s="2" t="s">
        <v>14273</v>
      </c>
      <c r="C6735" s="2" t="s">
        <v>7596</v>
      </c>
    </row>
    <row r="6736">
      <c r="A6736" s="2" t="s">
        <v>14274</v>
      </c>
      <c r="B6736" s="2" t="s">
        <v>14275</v>
      </c>
      <c r="C6736" s="2" t="s">
        <v>7596</v>
      </c>
    </row>
    <row r="6737">
      <c r="A6737" s="2" t="s">
        <v>14276</v>
      </c>
      <c r="B6737" s="2" t="s">
        <v>14277</v>
      </c>
      <c r="C6737" s="2" t="s">
        <v>7596</v>
      </c>
    </row>
    <row r="6738">
      <c r="A6738" s="2" t="s">
        <v>14278</v>
      </c>
      <c r="B6738" s="2" t="s">
        <v>14279</v>
      </c>
      <c r="C6738" s="2" t="s">
        <v>7596</v>
      </c>
    </row>
    <row r="6739">
      <c r="A6739" s="2" t="s">
        <v>14280</v>
      </c>
      <c r="B6739" s="2" t="s">
        <v>14281</v>
      </c>
      <c r="C6739" s="2" t="s">
        <v>7596</v>
      </c>
    </row>
    <row r="6740">
      <c r="A6740" s="2" t="s">
        <v>14282</v>
      </c>
      <c r="B6740" s="2" t="s">
        <v>14283</v>
      </c>
      <c r="C6740" s="2" t="s">
        <v>7596</v>
      </c>
    </row>
    <row r="6741">
      <c r="A6741" s="2" t="s">
        <v>14284</v>
      </c>
      <c r="B6741" s="2" t="s">
        <v>14285</v>
      </c>
      <c r="C6741" s="2" t="s">
        <v>7596</v>
      </c>
    </row>
    <row r="6742">
      <c r="A6742" s="2" t="s">
        <v>14286</v>
      </c>
      <c r="B6742" s="2" t="s">
        <v>14287</v>
      </c>
      <c r="C6742" s="2" t="s">
        <v>7596</v>
      </c>
    </row>
    <row r="6743">
      <c r="A6743" s="2" t="s">
        <v>14288</v>
      </c>
      <c r="B6743" s="2" t="s">
        <v>14289</v>
      </c>
      <c r="C6743" s="2" t="s">
        <v>7596</v>
      </c>
    </row>
    <row r="6744">
      <c r="A6744" s="2" t="s">
        <v>14290</v>
      </c>
      <c r="B6744" s="2" t="s">
        <v>14291</v>
      </c>
      <c r="C6744" s="2" t="s">
        <v>7596</v>
      </c>
    </row>
    <row r="6745">
      <c r="A6745" s="2" t="s">
        <v>14292</v>
      </c>
      <c r="B6745" s="2" t="s">
        <v>14293</v>
      </c>
      <c r="C6745" s="2" t="s">
        <v>7596</v>
      </c>
    </row>
    <row r="6746">
      <c r="A6746" s="2" t="s">
        <v>14294</v>
      </c>
      <c r="B6746" s="2" t="s">
        <v>14295</v>
      </c>
      <c r="C6746" s="2" t="s">
        <v>7596</v>
      </c>
    </row>
    <row r="6747">
      <c r="A6747" s="2" t="s">
        <v>14296</v>
      </c>
      <c r="B6747" s="2" t="s">
        <v>14295</v>
      </c>
      <c r="C6747" s="2" t="s">
        <v>7596</v>
      </c>
    </row>
    <row r="6748">
      <c r="A6748" s="2" t="s">
        <v>14297</v>
      </c>
      <c r="B6748" s="2" t="s">
        <v>14295</v>
      </c>
      <c r="C6748" s="2" t="s">
        <v>7596</v>
      </c>
    </row>
    <row r="6749">
      <c r="A6749" s="2" t="s">
        <v>14298</v>
      </c>
      <c r="B6749" s="2" t="s">
        <v>14295</v>
      </c>
      <c r="C6749" s="2" t="s">
        <v>7596</v>
      </c>
    </row>
    <row r="6750">
      <c r="A6750" s="2" t="s">
        <v>14299</v>
      </c>
      <c r="B6750" s="2" t="s">
        <v>14300</v>
      </c>
      <c r="C6750" s="2" t="s">
        <v>7596</v>
      </c>
    </row>
    <row r="6751">
      <c r="A6751" s="2" t="s">
        <v>14301</v>
      </c>
      <c r="B6751" s="2" t="s">
        <v>14300</v>
      </c>
      <c r="C6751" s="2" t="s">
        <v>7596</v>
      </c>
    </row>
    <row r="6752">
      <c r="A6752" s="2" t="s">
        <v>14302</v>
      </c>
      <c r="B6752" s="2" t="s">
        <v>14300</v>
      </c>
      <c r="C6752" s="2" t="s">
        <v>7596</v>
      </c>
    </row>
    <row r="6753">
      <c r="A6753" s="2" t="s">
        <v>14303</v>
      </c>
      <c r="B6753" s="2" t="s">
        <v>14300</v>
      </c>
      <c r="C6753" s="2" t="s">
        <v>7596</v>
      </c>
    </row>
    <row r="6754">
      <c r="A6754" s="2" t="s">
        <v>64</v>
      </c>
      <c r="B6754" s="2" t="s">
        <v>65</v>
      </c>
      <c r="C6754" s="2" t="s">
        <v>7596</v>
      </c>
    </row>
    <row r="6755">
      <c r="A6755" s="2" t="s">
        <v>14304</v>
      </c>
      <c r="B6755" s="2" t="s">
        <v>65</v>
      </c>
      <c r="C6755" s="2" t="s">
        <v>7596</v>
      </c>
    </row>
    <row r="6756">
      <c r="A6756" s="2" t="s">
        <v>14305</v>
      </c>
      <c r="B6756" s="2" t="s">
        <v>65</v>
      </c>
      <c r="C6756" s="2" t="s">
        <v>7596</v>
      </c>
    </row>
    <row r="6757">
      <c r="A6757" s="2" t="s">
        <v>14306</v>
      </c>
      <c r="B6757" s="2" t="s">
        <v>14307</v>
      </c>
      <c r="C6757" s="2" t="s">
        <v>7596</v>
      </c>
    </row>
    <row r="6758">
      <c r="A6758" s="2" t="s">
        <v>14308</v>
      </c>
      <c r="B6758" s="2" t="s">
        <v>14307</v>
      </c>
      <c r="C6758" s="2" t="s">
        <v>7596</v>
      </c>
    </row>
    <row r="6759">
      <c r="A6759" s="2" t="s">
        <v>14309</v>
      </c>
      <c r="B6759" s="2" t="s">
        <v>14310</v>
      </c>
      <c r="C6759" s="2" t="s">
        <v>7596</v>
      </c>
    </row>
    <row r="6760">
      <c r="A6760" s="2" t="s">
        <v>14311</v>
      </c>
      <c r="B6760" s="2" t="s">
        <v>14312</v>
      </c>
      <c r="C6760" s="2" t="s">
        <v>7596</v>
      </c>
    </row>
    <row r="6761">
      <c r="A6761" s="2" t="s">
        <v>14313</v>
      </c>
      <c r="B6761" s="2" t="s">
        <v>14314</v>
      </c>
      <c r="C6761" s="2" t="s">
        <v>7596</v>
      </c>
    </row>
    <row r="6762">
      <c r="A6762" s="2" t="s">
        <v>14315</v>
      </c>
      <c r="B6762" s="2" t="s">
        <v>14316</v>
      </c>
      <c r="C6762" s="2" t="s">
        <v>7596</v>
      </c>
    </row>
    <row r="6763">
      <c r="A6763" s="2" t="s">
        <v>14317</v>
      </c>
      <c r="B6763" s="2" t="s">
        <v>14318</v>
      </c>
      <c r="C6763" s="2" t="s">
        <v>7596</v>
      </c>
    </row>
    <row r="6764">
      <c r="A6764" s="2" t="s">
        <v>14319</v>
      </c>
      <c r="B6764" s="2" t="s">
        <v>14320</v>
      </c>
      <c r="C6764" s="2" t="s">
        <v>7596</v>
      </c>
    </row>
    <row r="6765">
      <c r="A6765" s="2" t="s">
        <v>14321</v>
      </c>
      <c r="B6765" s="2" t="s">
        <v>14322</v>
      </c>
      <c r="C6765" s="2" t="s">
        <v>7596</v>
      </c>
    </row>
    <row r="6766">
      <c r="A6766" s="2" t="s">
        <v>14323</v>
      </c>
      <c r="B6766" s="2" t="s">
        <v>14324</v>
      </c>
      <c r="C6766" s="2" t="s">
        <v>7596</v>
      </c>
    </row>
    <row r="6767">
      <c r="A6767" s="2" t="s">
        <v>14325</v>
      </c>
      <c r="B6767" s="2" t="s">
        <v>14326</v>
      </c>
      <c r="C6767" s="2" t="s">
        <v>7596</v>
      </c>
    </row>
    <row r="6768">
      <c r="A6768" s="2" t="s">
        <v>14327</v>
      </c>
      <c r="B6768" s="2" t="s">
        <v>14328</v>
      </c>
      <c r="C6768" s="2" t="s">
        <v>7596</v>
      </c>
    </row>
    <row r="6769">
      <c r="A6769" s="2" t="s">
        <v>14329</v>
      </c>
      <c r="B6769" s="2" t="s">
        <v>14330</v>
      </c>
      <c r="C6769" s="2" t="s">
        <v>7596</v>
      </c>
    </row>
    <row r="6770">
      <c r="A6770" s="2" t="s">
        <v>14331</v>
      </c>
      <c r="B6770" s="2" t="s">
        <v>14332</v>
      </c>
      <c r="C6770" s="2" t="s">
        <v>7596</v>
      </c>
    </row>
    <row r="6771">
      <c r="A6771" s="2" t="s">
        <v>14333</v>
      </c>
      <c r="B6771" s="2" t="s">
        <v>14334</v>
      </c>
      <c r="C6771" s="2" t="s">
        <v>7596</v>
      </c>
    </row>
    <row r="6772">
      <c r="A6772" s="2" t="s">
        <v>14335</v>
      </c>
      <c r="B6772" s="2" t="s">
        <v>14336</v>
      </c>
      <c r="C6772" s="2" t="s">
        <v>7596</v>
      </c>
    </row>
    <row r="6773">
      <c r="A6773" s="2" t="s">
        <v>14337</v>
      </c>
      <c r="B6773" s="2" t="s">
        <v>14336</v>
      </c>
      <c r="C6773" s="2" t="s">
        <v>7596</v>
      </c>
    </row>
    <row r="6774">
      <c r="A6774" s="2" t="s">
        <v>14338</v>
      </c>
      <c r="B6774" s="2" t="s">
        <v>14339</v>
      </c>
      <c r="C6774" s="2" t="s">
        <v>7596</v>
      </c>
    </row>
    <row r="6775">
      <c r="A6775" s="2" t="s">
        <v>14340</v>
      </c>
      <c r="B6775" s="2" t="s">
        <v>14341</v>
      </c>
      <c r="C6775" s="2" t="s">
        <v>7596</v>
      </c>
    </row>
    <row r="6776">
      <c r="A6776" s="2" t="s">
        <v>14342</v>
      </c>
      <c r="B6776" s="2" t="s">
        <v>14343</v>
      </c>
      <c r="C6776" s="2" t="s">
        <v>7596</v>
      </c>
    </row>
    <row r="6777">
      <c r="A6777" s="2" t="s">
        <v>14344</v>
      </c>
      <c r="B6777" s="2" t="s">
        <v>14345</v>
      </c>
      <c r="C6777" s="2" t="s">
        <v>7596</v>
      </c>
    </row>
    <row r="6778">
      <c r="A6778" s="2" t="s">
        <v>14346</v>
      </c>
      <c r="B6778" s="2" t="s">
        <v>14347</v>
      </c>
      <c r="C6778" s="2" t="s">
        <v>7596</v>
      </c>
    </row>
    <row r="6779">
      <c r="A6779" s="2" t="s">
        <v>14348</v>
      </c>
      <c r="B6779" s="2" t="s">
        <v>14349</v>
      </c>
      <c r="C6779" s="2" t="s">
        <v>7596</v>
      </c>
    </row>
    <row r="6780">
      <c r="A6780" s="2" t="s">
        <v>14350</v>
      </c>
      <c r="B6780" s="2" t="s">
        <v>14349</v>
      </c>
      <c r="C6780" s="2" t="s">
        <v>7596</v>
      </c>
    </row>
    <row r="6781">
      <c r="A6781" s="2" t="s">
        <v>14351</v>
      </c>
      <c r="B6781" s="2" t="s">
        <v>14349</v>
      </c>
      <c r="C6781" s="2" t="s">
        <v>7596</v>
      </c>
    </row>
    <row r="6782">
      <c r="A6782" s="2" t="s">
        <v>14352</v>
      </c>
      <c r="B6782" s="2" t="s">
        <v>14353</v>
      </c>
      <c r="C6782" s="2" t="s">
        <v>7596</v>
      </c>
    </row>
    <row r="6783">
      <c r="A6783" s="2" t="s">
        <v>14354</v>
      </c>
      <c r="B6783" s="2" t="s">
        <v>14353</v>
      </c>
      <c r="C6783" s="2" t="s">
        <v>7596</v>
      </c>
    </row>
    <row r="6784">
      <c r="A6784" s="2" t="s">
        <v>14355</v>
      </c>
      <c r="B6784" s="2" t="s">
        <v>14356</v>
      </c>
      <c r="C6784" s="2" t="s">
        <v>7596</v>
      </c>
    </row>
    <row r="6785">
      <c r="A6785" s="2" t="s">
        <v>14357</v>
      </c>
      <c r="B6785" s="2" t="s">
        <v>14356</v>
      </c>
      <c r="C6785" s="2" t="s">
        <v>7596</v>
      </c>
    </row>
    <row r="6786">
      <c r="A6786" s="2" t="s">
        <v>14358</v>
      </c>
      <c r="B6786" s="2" t="s">
        <v>14356</v>
      </c>
      <c r="C6786" s="2" t="s">
        <v>7596</v>
      </c>
    </row>
    <row r="6787">
      <c r="A6787" s="2" t="s">
        <v>14359</v>
      </c>
      <c r="B6787" s="2" t="s">
        <v>14356</v>
      </c>
      <c r="C6787" s="2" t="s">
        <v>7596</v>
      </c>
    </row>
    <row r="6788">
      <c r="A6788" s="2" t="s">
        <v>14360</v>
      </c>
      <c r="B6788" s="2" t="s">
        <v>14361</v>
      </c>
      <c r="C6788" s="2" t="s">
        <v>7596</v>
      </c>
    </row>
    <row r="6789">
      <c r="A6789" s="2" t="s">
        <v>14362</v>
      </c>
      <c r="B6789" s="2" t="s">
        <v>14361</v>
      </c>
      <c r="C6789" s="2" t="s">
        <v>7596</v>
      </c>
    </row>
    <row r="6790">
      <c r="A6790" s="2" t="s">
        <v>14363</v>
      </c>
      <c r="B6790" s="2" t="s">
        <v>14361</v>
      </c>
      <c r="C6790" s="2" t="s">
        <v>7596</v>
      </c>
    </row>
    <row r="6791">
      <c r="A6791" s="2" t="s">
        <v>14364</v>
      </c>
      <c r="B6791" s="2" t="s">
        <v>14361</v>
      </c>
      <c r="C6791" s="2" t="s">
        <v>7596</v>
      </c>
    </row>
    <row r="6792">
      <c r="A6792" s="2" t="s">
        <v>14365</v>
      </c>
      <c r="B6792" s="2" t="s">
        <v>14366</v>
      </c>
      <c r="C6792" s="2" t="s">
        <v>7596</v>
      </c>
    </row>
    <row r="6793">
      <c r="A6793" s="2" t="s">
        <v>14367</v>
      </c>
      <c r="B6793" s="2" t="s">
        <v>14366</v>
      </c>
      <c r="C6793" s="2" t="s">
        <v>7596</v>
      </c>
    </row>
    <row r="6794">
      <c r="A6794" s="2" t="s">
        <v>14368</v>
      </c>
      <c r="B6794" s="2" t="s">
        <v>14366</v>
      </c>
      <c r="C6794" s="2" t="s">
        <v>7596</v>
      </c>
    </row>
    <row r="6795">
      <c r="A6795" s="2" t="s">
        <v>14369</v>
      </c>
      <c r="B6795" s="2" t="s">
        <v>14366</v>
      </c>
      <c r="C6795" s="2" t="s">
        <v>7596</v>
      </c>
    </row>
    <row r="6796">
      <c r="A6796" s="2" t="s">
        <v>14370</v>
      </c>
      <c r="B6796" s="2" t="s">
        <v>14371</v>
      </c>
      <c r="C6796" s="2" t="s">
        <v>7596</v>
      </c>
    </row>
    <row r="6797">
      <c r="A6797" s="2" t="s">
        <v>14372</v>
      </c>
      <c r="B6797" s="2" t="s">
        <v>14371</v>
      </c>
      <c r="C6797" s="2" t="s">
        <v>7596</v>
      </c>
    </row>
    <row r="6798">
      <c r="A6798" s="2" t="s">
        <v>14373</v>
      </c>
      <c r="B6798" s="2" t="s">
        <v>14371</v>
      </c>
      <c r="C6798" s="2" t="s">
        <v>7596</v>
      </c>
    </row>
    <row r="6799">
      <c r="A6799" s="2" t="s">
        <v>14374</v>
      </c>
      <c r="B6799" s="2" t="s">
        <v>14371</v>
      </c>
      <c r="C6799" s="2" t="s">
        <v>7596</v>
      </c>
    </row>
    <row r="6800">
      <c r="A6800" s="2" t="s">
        <v>14375</v>
      </c>
      <c r="B6800" s="2" t="s">
        <v>14376</v>
      </c>
      <c r="C6800" s="2" t="s">
        <v>7596</v>
      </c>
    </row>
    <row r="6801">
      <c r="A6801" s="2" t="s">
        <v>14377</v>
      </c>
      <c r="B6801" s="2" t="s">
        <v>14376</v>
      </c>
      <c r="C6801" s="2" t="s">
        <v>7596</v>
      </c>
    </row>
    <row r="6802">
      <c r="A6802" s="2" t="s">
        <v>14378</v>
      </c>
      <c r="B6802" s="2" t="s">
        <v>14376</v>
      </c>
      <c r="C6802" s="2" t="s">
        <v>7596</v>
      </c>
    </row>
    <row r="6803">
      <c r="A6803" s="2" t="s">
        <v>14379</v>
      </c>
      <c r="B6803" s="2" t="s">
        <v>14376</v>
      </c>
      <c r="C6803" s="2" t="s">
        <v>7596</v>
      </c>
    </row>
    <row r="6804">
      <c r="A6804" s="2" t="s">
        <v>14380</v>
      </c>
      <c r="B6804" s="2" t="s">
        <v>14381</v>
      </c>
      <c r="C6804" s="2" t="s">
        <v>7596</v>
      </c>
    </row>
    <row r="6805">
      <c r="A6805" s="2" t="s">
        <v>14382</v>
      </c>
      <c r="B6805" s="2" t="s">
        <v>14381</v>
      </c>
      <c r="C6805" s="2" t="s">
        <v>7596</v>
      </c>
    </row>
    <row r="6806">
      <c r="A6806" s="2" t="s">
        <v>14383</v>
      </c>
      <c r="B6806" s="2" t="s">
        <v>14381</v>
      </c>
      <c r="C6806" s="2" t="s">
        <v>7596</v>
      </c>
    </row>
    <row r="6807">
      <c r="A6807" s="2" t="s">
        <v>14384</v>
      </c>
      <c r="B6807" s="2" t="s">
        <v>14381</v>
      </c>
      <c r="C6807" s="2" t="s">
        <v>7596</v>
      </c>
    </row>
    <row r="6808">
      <c r="A6808" s="2" t="s">
        <v>14385</v>
      </c>
      <c r="B6808" s="2" t="s">
        <v>14386</v>
      </c>
      <c r="C6808" s="2" t="s">
        <v>7596</v>
      </c>
    </row>
    <row r="6809">
      <c r="A6809" s="2" t="s">
        <v>14387</v>
      </c>
      <c r="B6809" s="2" t="s">
        <v>14388</v>
      </c>
      <c r="C6809" s="2" t="s">
        <v>7596</v>
      </c>
    </row>
    <row r="6810">
      <c r="A6810" s="2" t="s">
        <v>14389</v>
      </c>
      <c r="B6810" s="2" t="s">
        <v>14388</v>
      </c>
      <c r="C6810" s="2" t="s">
        <v>7596</v>
      </c>
    </row>
    <row r="6811">
      <c r="A6811" s="2" t="s">
        <v>14390</v>
      </c>
      <c r="B6811" s="2" t="s">
        <v>14391</v>
      </c>
      <c r="C6811" s="2" t="s">
        <v>7596</v>
      </c>
    </row>
    <row r="6812">
      <c r="A6812" s="2" t="s">
        <v>14392</v>
      </c>
      <c r="B6812" s="2" t="s">
        <v>14391</v>
      </c>
      <c r="C6812" s="2" t="s">
        <v>7596</v>
      </c>
    </row>
    <row r="6813">
      <c r="A6813" s="2" t="s">
        <v>14393</v>
      </c>
      <c r="B6813" s="2" t="s">
        <v>14394</v>
      </c>
      <c r="C6813" s="2" t="s">
        <v>7596</v>
      </c>
    </row>
    <row r="6814">
      <c r="A6814" s="2" t="s">
        <v>14395</v>
      </c>
      <c r="B6814" s="2" t="s">
        <v>14394</v>
      </c>
      <c r="C6814" s="2" t="s">
        <v>7596</v>
      </c>
    </row>
    <row r="6815">
      <c r="A6815" s="2" t="s">
        <v>14396</v>
      </c>
      <c r="B6815" s="2" t="s">
        <v>14394</v>
      </c>
      <c r="C6815" s="2" t="s">
        <v>7596</v>
      </c>
    </row>
    <row r="6816">
      <c r="A6816" s="2" t="s">
        <v>14397</v>
      </c>
      <c r="B6816" s="2" t="s">
        <v>14394</v>
      </c>
      <c r="C6816" s="2" t="s">
        <v>7596</v>
      </c>
    </row>
    <row r="6817">
      <c r="A6817" s="2" t="s">
        <v>14398</v>
      </c>
      <c r="B6817" s="2" t="s">
        <v>14399</v>
      </c>
      <c r="C6817" s="2" t="s">
        <v>7596</v>
      </c>
    </row>
    <row r="6818">
      <c r="A6818" s="2" t="s">
        <v>14400</v>
      </c>
      <c r="B6818" s="2" t="s">
        <v>14399</v>
      </c>
      <c r="C6818" s="2" t="s">
        <v>7596</v>
      </c>
    </row>
    <row r="6819">
      <c r="A6819" s="2" t="s">
        <v>14401</v>
      </c>
      <c r="B6819" s="2" t="s">
        <v>14402</v>
      </c>
      <c r="C6819" s="2" t="s">
        <v>7596</v>
      </c>
    </row>
    <row r="6820">
      <c r="A6820" s="2" t="s">
        <v>14403</v>
      </c>
      <c r="B6820" s="2" t="s">
        <v>14404</v>
      </c>
      <c r="C6820" s="2" t="s">
        <v>7596</v>
      </c>
    </row>
    <row r="6821">
      <c r="A6821" s="2" t="s">
        <v>14405</v>
      </c>
      <c r="B6821" s="2" t="s">
        <v>14406</v>
      </c>
      <c r="C6821" s="2" t="s">
        <v>7596</v>
      </c>
    </row>
    <row r="6822">
      <c r="A6822" s="2" t="s">
        <v>14407</v>
      </c>
      <c r="B6822" s="2" t="s">
        <v>14408</v>
      </c>
      <c r="C6822" s="2" t="s">
        <v>7596</v>
      </c>
    </row>
    <row r="6823">
      <c r="A6823" s="2" t="s">
        <v>14409</v>
      </c>
      <c r="B6823" s="2" t="s">
        <v>14410</v>
      </c>
      <c r="C6823" s="2" t="s">
        <v>7596</v>
      </c>
    </row>
    <row r="6824">
      <c r="A6824" s="2" t="s">
        <v>14411</v>
      </c>
      <c r="B6824" s="2" t="s">
        <v>14412</v>
      </c>
      <c r="C6824" s="2" t="s">
        <v>7596</v>
      </c>
    </row>
    <row r="6825">
      <c r="A6825" s="2" t="s">
        <v>14413</v>
      </c>
      <c r="B6825" s="2" t="s">
        <v>14412</v>
      </c>
      <c r="C6825" s="2" t="s">
        <v>7596</v>
      </c>
    </row>
    <row r="6826">
      <c r="A6826" s="2" t="s">
        <v>14414</v>
      </c>
      <c r="B6826" s="2" t="s">
        <v>14412</v>
      </c>
      <c r="C6826" s="2" t="s">
        <v>7596</v>
      </c>
    </row>
    <row r="6827">
      <c r="A6827" s="2" t="s">
        <v>14415</v>
      </c>
      <c r="B6827" s="2" t="s">
        <v>14412</v>
      </c>
      <c r="C6827" s="2" t="s">
        <v>7596</v>
      </c>
    </row>
    <row r="6828">
      <c r="A6828" s="2" t="s">
        <v>14416</v>
      </c>
      <c r="B6828" s="2" t="s">
        <v>14417</v>
      </c>
      <c r="C6828" s="2" t="s">
        <v>7596</v>
      </c>
    </row>
    <row r="6829">
      <c r="A6829" s="2" t="s">
        <v>14418</v>
      </c>
      <c r="B6829" s="2" t="s">
        <v>14417</v>
      </c>
      <c r="C6829" s="2" t="s">
        <v>7596</v>
      </c>
    </row>
    <row r="6830">
      <c r="A6830" s="2" t="s">
        <v>14419</v>
      </c>
      <c r="B6830" s="2" t="s">
        <v>14417</v>
      </c>
      <c r="C6830" s="2" t="s">
        <v>7596</v>
      </c>
    </row>
    <row r="6831">
      <c r="A6831" s="2" t="s">
        <v>14420</v>
      </c>
      <c r="B6831" s="2" t="s">
        <v>14417</v>
      </c>
      <c r="C6831" s="2" t="s">
        <v>7596</v>
      </c>
    </row>
    <row r="6832">
      <c r="A6832" s="2" t="s">
        <v>14421</v>
      </c>
      <c r="B6832" s="2" t="s">
        <v>14422</v>
      </c>
      <c r="C6832" s="2" t="s">
        <v>7596</v>
      </c>
    </row>
    <row r="6833">
      <c r="A6833" s="2" t="s">
        <v>14423</v>
      </c>
      <c r="B6833" s="2" t="s">
        <v>14422</v>
      </c>
      <c r="C6833" s="2" t="s">
        <v>7596</v>
      </c>
    </row>
    <row r="6834">
      <c r="A6834" s="2" t="s">
        <v>14424</v>
      </c>
      <c r="B6834" s="2" t="s">
        <v>14422</v>
      </c>
      <c r="C6834" s="2" t="s">
        <v>7596</v>
      </c>
    </row>
    <row r="6835">
      <c r="A6835" s="2" t="s">
        <v>14425</v>
      </c>
      <c r="B6835" s="2" t="s">
        <v>14422</v>
      </c>
      <c r="C6835" s="2" t="s">
        <v>7596</v>
      </c>
    </row>
    <row r="6836">
      <c r="A6836" s="2" t="s">
        <v>14426</v>
      </c>
      <c r="B6836" s="2" t="s">
        <v>14427</v>
      </c>
      <c r="C6836" s="2" t="s">
        <v>7596</v>
      </c>
    </row>
    <row r="6837">
      <c r="A6837" s="2" t="s">
        <v>14428</v>
      </c>
      <c r="B6837" s="2" t="s">
        <v>14427</v>
      </c>
      <c r="C6837" s="2" t="s">
        <v>7596</v>
      </c>
    </row>
    <row r="6838">
      <c r="A6838" s="2" t="s">
        <v>14429</v>
      </c>
      <c r="B6838" s="2" t="s">
        <v>14427</v>
      </c>
      <c r="C6838" s="2" t="s">
        <v>7596</v>
      </c>
    </row>
    <row r="6839">
      <c r="A6839" s="2" t="s">
        <v>14430</v>
      </c>
      <c r="B6839" s="2" t="s">
        <v>14427</v>
      </c>
      <c r="C6839" s="2" t="s">
        <v>7596</v>
      </c>
    </row>
    <row r="6840">
      <c r="A6840" s="2" t="s">
        <v>14431</v>
      </c>
      <c r="B6840" s="2" t="s">
        <v>14432</v>
      </c>
      <c r="C6840" s="2" t="s">
        <v>7596</v>
      </c>
    </row>
    <row r="6841">
      <c r="A6841" s="2" t="s">
        <v>14433</v>
      </c>
      <c r="B6841" s="2" t="s">
        <v>14432</v>
      </c>
      <c r="C6841" s="2" t="s">
        <v>7596</v>
      </c>
    </row>
    <row r="6842">
      <c r="A6842" s="2" t="s">
        <v>14434</v>
      </c>
      <c r="B6842" s="2" t="s">
        <v>14432</v>
      </c>
      <c r="C6842" s="2" t="s">
        <v>7596</v>
      </c>
    </row>
    <row r="6843">
      <c r="A6843" s="2" t="s">
        <v>14435</v>
      </c>
      <c r="B6843" s="2" t="s">
        <v>14432</v>
      </c>
      <c r="C6843" s="2" t="s">
        <v>7596</v>
      </c>
    </row>
    <row r="6844">
      <c r="A6844" s="2" t="s">
        <v>14436</v>
      </c>
      <c r="B6844" s="2" t="s">
        <v>14437</v>
      </c>
      <c r="C6844" s="2" t="s">
        <v>7596</v>
      </c>
    </row>
    <row r="6845">
      <c r="A6845" s="2" t="s">
        <v>14438</v>
      </c>
      <c r="B6845" s="2" t="s">
        <v>14437</v>
      </c>
      <c r="C6845" s="2" t="s">
        <v>7596</v>
      </c>
    </row>
    <row r="6846">
      <c r="A6846" s="2" t="s">
        <v>14439</v>
      </c>
      <c r="B6846" s="2" t="s">
        <v>14437</v>
      </c>
      <c r="C6846" s="2" t="s">
        <v>7596</v>
      </c>
    </row>
    <row r="6847">
      <c r="A6847" s="2" t="s">
        <v>14440</v>
      </c>
      <c r="B6847" s="2" t="s">
        <v>14437</v>
      </c>
      <c r="C6847" s="2" t="s">
        <v>7596</v>
      </c>
    </row>
    <row r="6848">
      <c r="A6848" s="2" t="s">
        <v>14441</v>
      </c>
      <c r="B6848" s="2" t="s">
        <v>14442</v>
      </c>
      <c r="C6848" s="2" t="s">
        <v>7596</v>
      </c>
    </row>
    <row r="6849">
      <c r="A6849" s="2" t="s">
        <v>14443</v>
      </c>
      <c r="B6849" s="2" t="s">
        <v>14444</v>
      </c>
      <c r="C6849" s="2" t="s">
        <v>7596</v>
      </c>
    </row>
    <row r="6850">
      <c r="A6850" s="2" t="s">
        <v>14445</v>
      </c>
      <c r="B6850" s="2" t="s">
        <v>14444</v>
      </c>
      <c r="C6850" s="2" t="s">
        <v>7596</v>
      </c>
    </row>
    <row r="6851">
      <c r="A6851" s="2" t="s">
        <v>14446</v>
      </c>
      <c r="B6851" s="2" t="s">
        <v>14444</v>
      </c>
      <c r="C6851" s="2" t="s">
        <v>7596</v>
      </c>
    </row>
    <row r="6852">
      <c r="A6852" s="2" t="s">
        <v>14447</v>
      </c>
      <c r="B6852" s="2" t="s">
        <v>14444</v>
      </c>
      <c r="C6852" s="2" t="s">
        <v>7596</v>
      </c>
    </row>
    <row r="6853">
      <c r="A6853" s="2" t="s">
        <v>14448</v>
      </c>
      <c r="B6853" s="2" t="s">
        <v>14444</v>
      </c>
      <c r="C6853" s="2" t="s">
        <v>7596</v>
      </c>
    </row>
    <row r="6854">
      <c r="A6854" s="2" t="s">
        <v>14449</v>
      </c>
      <c r="B6854" s="2" t="s">
        <v>14450</v>
      </c>
      <c r="C6854" s="2" t="s">
        <v>7596</v>
      </c>
    </row>
    <row r="6855">
      <c r="A6855" s="2" t="s">
        <v>14451</v>
      </c>
      <c r="B6855" s="2" t="s">
        <v>14450</v>
      </c>
      <c r="C6855" s="2" t="s">
        <v>7596</v>
      </c>
    </row>
    <row r="6856">
      <c r="A6856" s="2" t="s">
        <v>14452</v>
      </c>
      <c r="B6856" s="2" t="s">
        <v>14450</v>
      </c>
      <c r="C6856" s="2" t="s">
        <v>7596</v>
      </c>
    </row>
    <row r="6857">
      <c r="A6857" s="2" t="s">
        <v>14453</v>
      </c>
      <c r="B6857" s="2" t="s">
        <v>14450</v>
      </c>
      <c r="C6857" s="2" t="s">
        <v>7596</v>
      </c>
    </row>
    <row r="6858">
      <c r="A6858" s="2" t="s">
        <v>14454</v>
      </c>
      <c r="B6858" s="2" t="s">
        <v>14455</v>
      </c>
      <c r="C6858" s="2" t="s">
        <v>7596</v>
      </c>
    </row>
    <row r="6859">
      <c r="A6859" s="2" t="s">
        <v>14456</v>
      </c>
      <c r="B6859" s="2" t="s">
        <v>14455</v>
      </c>
      <c r="C6859" s="2" t="s">
        <v>7596</v>
      </c>
    </row>
    <row r="6860">
      <c r="A6860" s="2" t="s">
        <v>14457</v>
      </c>
      <c r="B6860" s="2" t="s">
        <v>14455</v>
      </c>
      <c r="C6860" s="2" t="s">
        <v>7596</v>
      </c>
    </row>
    <row r="6861">
      <c r="A6861" s="2" t="s">
        <v>14458</v>
      </c>
      <c r="B6861" s="2" t="s">
        <v>14455</v>
      </c>
      <c r="C6861" s="2" t="s">
        <v>7596</v>
      </c>
    </row>
    <row r="6862">
      <c r="A6862" s="2" t="s">
        <v>14459</v>
      </c>
      <c r="B6862" s="2" t="s">
        <v>14460</v>
      </c>
      <c r="C6862" s="2" t="s">
        <v>7596</v>
      </c>
    </row>
    <row r="6863">
      <c r="A6863" s="2" t="s">
        <v>14461</v>
      </c>
      <c r="B6863" s="2" t="s">
        <v>14460</v>
      </c>
      <c r="C6863" s="2" t="s">
        <v>7596</v>
      </c>
    </row>
    <row r="6864">
      <c r="A6864" s="2" t="s">
        <v>14462</v>
      </c>
      <c r="B6864" s="2" t="s">
        <v>14460</v>
      </c>
      <c r="C6864" s="2" t="s">
        <v>7596</v>
      </c>
    </row>
    <row r="6865">
      <c r="A6865" s="2" t="s">
        <v>14463</v>
      </c>
      <c r="B6865" s="2" t="s">
        <v>14460</v>
      </c>
      <c r="C6865" s="2" t="s">
        <v>7596</v>
      </c>
    </row>
    <row r="6866">
      <c r="A6866" s="2" t="s">
        <v>14464</v>
      </c>
      <c r="B6866" s="2" t="s">
        <v>14465</v>
      </c>
      <c r="C6866" s="2" t="s">
        <v>7596</v>
      </c>
    </row>
    <row r="6867">
      <c r="A6867" s="2" t="s">
        <v>14466</v>
      </c>
      <c r="B6867" s="2" t="s">
        <v>14465</v>
      </c>
      <c r="C6867" s="2" t="s">
        <v>7596</v>
      </c>
    </row>
    <row r="6868">
      <c r="A6868" s="2" t="s">
        <v>14467</v>
      </c>
      <c r="B6868" s="2" t="s">
        <v>14465</v>
      </c>
      <c r="C6868" s="2" t="s">
        <v>7596</v>
      </c>
    </row>
    <row r="6869">
      <c r="A6869" s="2" t="s">
        <v>14468</v>
      </c>
      <c r="B6869" s="2" t="s">
        <v>14465</v>
      </c>
      <c r="C6869" s="2" t="s">
        <v>7596</v>
      </c>
    </row>
    <row r="6870">
      <c r="A6870" s="2" t="s">
        <v>14469</v>
      </c>
      <c r="B6870" s="2" t="s">
        <v>14470</v>
      </c>
      <c r="C6870" s="2" t="s">
        <v>7596</v>
      </c>
    </row>
    <row r="6871">
      <c r="A6871" s="2" t="s">
        <v>14471</v>
      </c>
      <c r="B6871" s="2" t="s">
        <v>14470</v>
      </c>
      <c r="C6871" s="2" t="s">
        <v>7596</v>
      </c>
    </row>
    <row r="6872">
      <c r="A6872" s="2" t="s">
        <v>14472</v>
      </c>
      <c r="B6872" s="2" t="s">
        <v>14470</v>
      </c>
      <c r="C6872" s="2" t="s">
        <v>7596</v>
      </c>
    </row>
    <row r="6873">
      <c r="A6873" s="2" t="s">
        <v>14473</v>
      </c>
      <c r="B6873" s="2" t="s">
        <v>14474</v>
      </c>
      <c r="C6873" s="2" t="s">
        <v>7596</v>
      </c>
    </row>
    <row r="6874">
      <c r="A6874" s="2" t="s">
        <v>14475</v>
      </c>
      <c r="B6874" s="2" t="s">
        <v>14476</v>
      </c>
      <c r="C6874" s="2" t="s">
        <v>7596</v>
      </c>
    </row>
    <row r="6875">
      <c r="A6875" s="2" t="s">
        <v>14477</v>
      </c>
      <c r="B6875" s="2" t="s">
        <v>14478</v>
      </c>
      <c r="C6875" s="2" t="s">
        <v>7596</v>
      </c>
    </row>
    <row r="6876">
      <c r="A6876" s="2" t="s">
        <v>14479</v>
      </c>
      <c r="B6876" s="2" t="s">
        <v>14478</v>
      </c>
      <c r="C6876" s="2" t="s">
        <v>7596</v>
      </c>
    </row>
    <row r="6877">
      <c r="A6877" s="2" t="s">
        <v>14480</v>
      </c>
      <c r="B6877" s="2" t="s">
        <v>14478</v>
      </c>
      <c r="C6877" s="2" t="s">
        <v>7596</v>
      </c>
    </row>
    <row r="6878">
      <c r="A6878" s="2" t="s">
        <v>14481</v>
      </c>
      <c r="B6878" s="2" t="s">
        <v>14478</v>
      </c>
      <c r="C6878" s="2" t="s">
        <v>7596</v>
      </c>
    </row>
    <row r="6879">
      <c r="A6879" s="2" t="s">
        <v>14482</v>
      </c>
      <c r="B6879" s="2" t="s">
        <v>14483</v>
      </c>
      <c r="C6879" s="2" t="s">
        <v>7596</v>
      </c>
    </row>
    <row r="6880">
      <c r="A6880" s="2" t="s">
        <v>14484</v>
      </c>
      <c r="B6880" s="2" t="s">
        <v>14483</v>
      </c>
      <c r="C6880" s="2" t="s">
        <v>7596</v>
      </c>
    </row>
    <row r="6881">
      <c r="A6881" s="2" t="s">
        <v>14485</v>
      </c>
      <c r="B6881" s="2" t="s">
        <v>14483</v>
      </c>
      <c r="C6881" s="2" t="s">
        <v>7596</v>
      </c>
    </row>
    <row r="6882">
      <c r="A6882" s="2" t="s">
        <v>14486</v>
      </c>
      <c r="B6882" s="2" t="s">
        <v>14483</v>
      </c>
      <c r="C6882" s="2" t="s">
        <v>7596</v>
      </c>
    </row>
    <row r="6883">
      <c r="A6883" s="2" t="s">
        <v>14487</v>
      </c>
      <c r="B6883" s="2" t="s">
        <v>14488</v>
      </c>
      <c r="C6883" s="2" t="s">
        <v>7596</v>
      </c>
    </row>
    <row r="6884">
      <c r="A6884" s="2" t="s">
        <v>14489</v>
      </c>
      <c r="B6884" s="2" t="s">
        <v>14488</v>
      </c>
      <c r="C6884" s="2" t="s">
        <v>7596</v>
      </c>
    </row>
    <row r="6885">
      <c r="A6885" s="2" t="s">
        <v>14490</v>
      </c>
      <c r="B6885" s="2" t="s">
        <v>14488</v>
      </c>
      <c r="C6885" s="2" t="s">
        <v>7596</v>
      </c>
    </row>
    <row r="6886">
      <c r="A6886" s="2" t="s">
        <v>14491</v>
      </c>
      <c r="B6886" s="2" t="s">
        <v>14488</v>
      </c>
      <c r="C6886" s="2" t="s">
        <v>7596</v>
      </c>
    </row>
    <row r="6887">
      <c r="A6887" s="2" t="s">
        <v>14492</v>
      </c>
      <c r="B6887" s="2" t="s">
        <v>14493</v>
      </c>
      <c r="C6887" s="2" t="s">
        <v>7596</v>
      </c>
    </row>
    <row r="6888">
      <c r="A6888" s="2" t="s">
        <v>14494</v>
      </c>
      <c r="B6888" s="2" t="s">
        <v>14493</v>
      </c>
      <c r="C6888" s="2" t="s">
        <v>7596</v>
      </c>
    </row>
    <row r="6889">
      <c r="A6889" s="2" t="s">
        <v>14495</v>
      </c>
      <c r="B6889" s="2" t="s">
        <v>14493</v>
      </c>
      <c r="C6889" s="2" t="s">
        <v>7596</v>
      </c>
    </row>
    <row r="6890">
      <c r="A6890" s="2" t="s">
        <v>14496</v>
      </c>
      <c r="B6890" s="2" t="s">
        <v>14493</v>
      </c>
      <c r="C6890" s="2" t="s">
        <v>7596</v>
      </c>
    </row>
    <row r="6891">
      <c r="A6891" s="2" t="s">
        <v>14497</v>
      </c>
      <c r="B6891" s="2" t="s">
        <v>14498</v>
      </c>
      <c r="C6891" s="2" t="s">
        <v>7596</v>
      </c>
    </row>
    <row r="6892">
      <c r="A6892" s="2" t="s">
        <v>14499</v>
      </c>
      <c r="B6892" s="2" t="s">
        <v>14498</v>
      </c>
      <c r="C6892" s="2" t="s">
        <v>7596</v>
      </c>
    </row>
    <row r="6893">
      <c r="A6893" s="2" t="s">
        <v>14500</v>
      </c>
      <c r="B6893" s="2" t="s">
        <v>14498</v>
      </c>
      <c r="C6893" s="2" t="s">
        <v>7596</v>
      </c>
    </row>
    <row r="6894">
      <c r="A6894" s="2" t="s">
        <v>14501</v>
      </c>
      <c r="B6894" s="2" t="s">
        <v>14498</v>
      </c>
      <c r="C6894" s="2" t="s">
        <v>7596</v>
      </c>
    </row>
    <row r="6895">
      <c r="A6895" s="2" t="s">
        <v>14502</v>
      </c>
      <c r="B6895" s="2" t="s">
        <v>14503</v>
      </c>
      <c r="C6895" s="2" t="s">
        <v>7596</v>
      </c>
    </row>
    <row r="6896">
      <c r="A6896" s="2" t="s">
        <v>14504</v>
      </c>
      <c r="B6896" s="2" t="s">
        <v>14503</v>
      </c>
      <c r="C6896" s="2" t="s">
        <v>7596</v>
      </c>
    </row>
    <row r="6897">
      <c r="A6897" s="2" t="s">
        <v>14505</v>
      </c>
      <c r="B6897" s="2" t="s">
        <v>14503</v>
      </c>
      <c r="C6897" s="2" t="s">
        <v>7596</v>
      </c>
    </row>
    <row r="6898">
      <c r="A6898" s="2" t="s">
        <v>14506</v>
      </c>
      <c r="B6898" s="2" t="s">
        <v>14503</v>
      </c>
      <c r="C6898" s="2" t="s">
        <v>7596</v>
      </c>
    </row>
    <row r="6899">
      <c r="A6899" s="2" t="s">
        <v>14507</v>
      </c>
      <c r="B6899" s="2" t="s">
        <v>14508</v>
      </c>
      <c r="C6899" s="2" t="s">
        <v>7596</v>
      </c>
    </row>
    <row r="6900">
      <c r="A6900" s="2" t="s">
        <v>14509</v>
      </c>
      <c r="B6900" s="2" t="s">
        <v>14510</v>
      </c>
      <c r="C6900" s="2" t="s">
        <v>7596</v>
      </c>
    </row>
    <row r="6901">
      <c r="A6901" s="2" t="s">
        <v>14511</v>
      </c>
      <c r="B6901" s="2" t="s">
        <v>14510</v>
      </c>
      <c r="C6901" s="2" t="s">
        <v>7596</v>
      </c>
    </row>
    <row r="6902">
      <c r="A6902" s="2" t="s">
        <v>14512</v>
      </c>
      <c r="B6902" s="2" t="s">
        <v>14510</v>
      </c>
      <c r="C6902" s="2" t="s">
        <v>7596</v>
      </c>
    </row>
    <row r="6903">
      <c r="A6903" s="2" t="s">
        <v>14513</v>
      </c>
      <c r="B6903" s="2" t="s">
        <v>14510</v>
      </c>
      <c r="C6903" s="2" t="s">
        <v>7596</v>
      </c>
    </row>
    <row r="6904">
      <c r="A6904" s="2" t="s">
        <v>14514</v>
      </c>
      <c r="B6904" s="2" t="s">
        <v>14515</v>
      </c>
      <c r="C6904" s="2" t="s">
        <v>7596</v>
      </c>
    </row>
    <row r="6905">
      <c r="A6905" s="2" t="s">
        <v>14516</v>
      </c>
      <c r="B6905" s="2" t="s">
        <v>14515</v>
      </c>
      <c r="C6905" s="2" t="s">
        <v>7596</v>
      </c>
    </row>
    <row r="6906">
      <c r="A6906" s="2" t="s">
        <v>14517</v>
      </c>
      <c r="B6906" s="2" t="s">
        <v>14515</v>
      </c>
      <c r="C6906" s="2" t="s">
        <v>7596</v>
      </c>
    </row>
    <row r="6907">
      <c r="A6907" s="2" t="s">
        <v>14518</v>
      </c>
      <c r="B6907" s="2" t="s">
        <v>14515</v>
      </c>
      <c r="C6907" s="2" t="s">
        <v>7596</v>
      </c>
    </row>
    <row r="6908">
      <c r="A6908" s="2" t="s">
        <v>14519</v>
      </c>
      <c r="B6908" s="2" t="s">
        <v>14520</v>
      </c>
      <c r="C6908" s="2" t="s">
        <v>7596</v>
      </c>
    </row>
    <row r="6909">
      <c r="A6909" s="2" t="s">
        <v>14521</v>
      </c>
      <c r="B6909" s="2" t="s">
        <v>14520</v>
      </c>
      <c r="C6909" s="2" t="s">
        <v>7596</v>
      </c>
    </row>
    <row r="6910">
      <c r="A6910" s="2" t="s">
        <v>14522</v>
      </c>
      <c r="B6910" s="2" t="s">
        <v>14520</v>
      </c>
      <c r="C6910" s="2" t="s">
        <v>7596</v>
      </c>
    </row>
    <row r="6911">
      <c r="A6911" s="2" t="s">
        <v>14523</v>
      </c>
      <c r="B6911" s="2" t="s">
        <v>14520</v>
      </c>
      <c r="C6911" s="2" t="s">
        <v>7596</v>
      </c>
    </row>
    <row r="6912">
      <c r="A6912" s="2" t="s">
        <v>14524</v>
      </c>
      <c r="B6912" s="2" t="s">
        <v>14525</v>
      </c>
      <c r="C6912" s="2" t="s">
        <v>7596</v>
      </c>
    </row>
    <row r="6913">
      <c r="A6913" s="2" t="s">
        <v>14526</v>
      </c>
      <c r="B6913" s="2" t="s">
        <v>14525</v>
      </c>
      <c r="C6913" s="2" t="s">
        <v>7596</v>
      </c>
    </row>
    <row r="6914">
      <c r="A6914" s="2" t="s">
        <v>14527</v>
      </c>
      <c r="B6914" s="2" t="s">
        <v>14525</v>
      </c>
      <c r="C6914" s="2" t="s">
        <v>7596</v>
      </c>
    </row>
    <row r="6915">
      <c r="A6915" s="2" t="s">
        <v>14528</v>
      </c>
      <c r="B6915" s="2" t="s">
        <v>14525</v>
      </c>
      <c r="C6915" s="2" t="s">
        <v>7596</v>
      </c>
    </row>
    <row r="6916">
      <c r="A6916" s="2" t="s">
        <v>14529</v>
      </c>
      <c r="B6916" s="2" t="s">
        <v>14530</v>
      </c>
      <c r="C6916" s="2" t="s">
        <v>7596</v>
      </c>
    </row>
    <row r="6917">
      <c r="A6917" s="2" t="s">
        <v>14531</v>
      </c>
      <c r="B6917" s="2" t="s">
        <v>14530</v>
      </c>
      <c r="C6917" s="2" t="s">
        <v>7596</v>
      </c>
    </row>
    <row r="6918">
      <c r="A6918" s="2" t="s">
        <v>14532</v>
      </c>
      <c r="B6918" s="2" t="s">
        <v>14530</v>
      </c>
      <c r="C6918" s="2" t="s">
        <v>7596</v>
      </c>
    </row>
    <row r="6919">
      <c r="A6919" s="2" t="s">
        <v>14533</v>
      </c>
      <c r="B6919" s="2" t="s">
        <v>14530</v>
      </c>
      <c r="C6919" s="2" t="s">
        <v>7596</v>
      </c>
    </row>
    <row r="6920">
      <c r="A6920" s="2" t="s">
        <v>14534</v>
      </c>
      <c r="B6920" s="2" t="s">
        <v>14535</v>
      </c>
      <c r="C6920" s="2" t="s">
        <v>7596</v>
      </c>
    </row>
    <row r="6921">
      <c r="A6921" s="2" t="s">
        <v>14536</v>
      </c>
      <c r="B6921" s="2" t="s">
        <v>14535</v>
      </c>
      <c r="C6921" s="2" t="s">
        <v>7596</v>
      </c>
    </row>
    <row r="6922">
      <c r="A6922" s="2" t="s">
        <v>14537</v>
      </c>
      <c r="B6922" s="2" t="s">
        <v>14535</v>
      </c>
      <c r="C6922" s="2" t="s">
        <v>7596</v>
      </c>
    </row>
    <row r="6923">
      <c r="A6923" s="2" t="s">
        <v>14538</v>
      </c>
      <c r="B6923" s="2" t="s">
        <v>14535</v>
      </c>
      <c r="C6923" s="2" t="s">
        <v>7596</v>
      </c>
    </row>
    <row r="6924">
      <c r="A6924" s="2" t="s">
        <v>14539</v>
      </c>
      <c r="B6924" s="2" t="s">
        <v>14540</v>
      </c>
      <c r="C6924" s="2" t="s">
        <v>7596</v>
      </c>
    </row>
    <row r="6925">
      <c r="A6925" s="2" t="s">
        <v>14541</v>
      </c>
      <c r="B6925" s="2" t="s">
        <v>14542</v>
      </c>
      <c r="C6925" s="2" t="s">
        <v>7596</v>
      </c>
    </row>
    <row r="6926">
      <c r="A6926" s="2" t="s">
        <v>14543</v>
      </c>
      <c r="B6926" s="2" t="s">
        <v>14542</v>
      </c>
      <c r="C6926" s="2" t="s">
        <v>7596</v>
      </c>
    </row>
    <row r="6927">
      <c r="A6927" s="2" t="s">
        <v>14544</v>
      </c>
      <c r="B6927" s="2" t="s">
        <v>14545</v>
      </c>
      <c r="C6927" s="2" t="s">
        <v>7596</v>
      </c>
    </row>
    <row r="6928">
      <c r="A6928" s="2" t="s">
        <v>14546</v>
      </c>
      <c r="B6928" s="2" t="s">
        <v>14547</v>
      </c>
      <c r="C6928" s="2" t="s">
        <v>7596</v>
      </c>
    </row>
    <row r="6929">
      <c r="A6929" s="2" t="s">
        <v>14548</v>
      </c>
      <c r="B6929" s="2" t="s">
        <v>14549</v>
      </c>
      <c r="C6929" s="2" t="s">
        <v>7596</v>
      </c>
    </row>
    <row r="6930">
      <c r="A6930" s="2" t="s">
        <v>14550</v>
      </c>
      <c r="B6930" s="2" t="s">
        <v>14549</v>
      </c>
      <c r="C6930" s="2" t="s">
        <v>7596</v>
      </c>
    </row>
    <row r="6931">
      <c r="A6931" s="2" t="s">
        <v>14551</v>
      </c>
      <c r="B6931" s="2" t="s">
        <v>14552</v>
      </c>
      <c r="C6931" s="2" t="s">
        <v>7596</v>
      </c>
    </row>
    <row r="6932">
      <c r="A6932" s="2" t="s">
        <v>14553</v>
      </c>
      <c r="B6932" s="2" t="s">
        <v>14554</v>
      </c>
      <c r="C6932" s="2" t="s">
        <v>7596</v>
      </c>
    </row>
    <row r="6933">
      <c r="A6933" s="2" t="s">
        <v>14555</v>
      </c>
      <c r="B6933" s="2" t="s">
        <v>14556</v>
      </c>
      <c r="C6933" s="2" t="s">
        <v>7596</v>
      </c>
    </row>
    <row r="6934">
      <c r="A6934" s="2" t="s">
        <v>14557</v>
      </c>
      <c r="B6934" s="2" t="s">
        <v>14556</v>
      </c>
      <c r="C6934" s="2" t="s">
        <v>7596</v>
      </c>
    </row>
    <row r="6935">
      <c r="A6935" s="2" t="s">
        <v>14558</v>
      </c>
      <c r="B6935" s="2" t="s">
        <v>14559</v>
      </c>
      <c r="C6935" s="2" t="s">
        <v>7596</v>
      </c>
    </row>
    <row r="6936">
      <c r="A6936" s="2" t="s">
        <v>14560</v>
      </c>
      <c r="B6936" s="2" t="s">
        <v>14561</v>
      </c>
      <c r="C6936" s="2" t="s">
        <v>7596</v>
      </c>
    </row>
    <row r="6937">
      <c r="A6937" s="2" t="s">
        <v>14562</v>
      </c>
      <c r="B6937" s="2" t="s">
        <v>14563</v>
      </c>
      <c r="C6937" s="2" t="s">
        <v>7596</v>
      </c>
    </row>
    <row r="6938">
      <c r="A6938" s="2" t="s">
        <v>14564</v>
      </c>
      <c r="B6938" s="2" t="s">
        <v>14565</v>
      </c>
      <c r="C6938" s="2" t="s">
        <v>7596</v>
      </c>
    </row>
    <row r="6939">
      <c r="A6939" s="2" t="s">
        <v>14566</v>
      </c>
      <c r="B6939" s="2" t="s">
        <v>14567</v>
      </c>
      <c r="C6939" s="2" t="s">
        <v>7596</v>
      </c>
    </row>
    <row r="6940">
      <c r="A6940" s="2" t="s">
        <v>14568</v>
      </c>
      <c r="B6940" s="2" t="s">
        <v>14569</v>
      </c>
      <c r="C6940" s="2" t="s">
        <v>7596</v>
      </c>
    </row>
    <row r="6941">
      <c r="A6941" s="2" t="s">
        <v>14570</v>
      </c>
      <c r="B6941" s="2" t="s">
        <v>14571</v>
      </c>
      <c r="C6941" s="2" t="s">
        <v>7596</v>
      </c>
    </row>
    <row r="6942">
      <c r="A6942" s="2" t="s">
        <v>14572</v>
      </c>
      <c r="B6942" s="2" t="s">
        <v>14571</v>
      </c>
      <c r="C6942" s="2" t="s">
        <v>7596</v>
      </c>
    </row>
    <row r="6943">
      <c r="A6943" s="2" t="s">
        <v>14573</v>
      </c>
      <c r="B6943" s="2" t="s">
        <v>14571</v>
      </c>
      <c r="C6943" s="2" t="s">
        <v>7596</v>
      </c>
    </row>
    <row r="6944">
      <c r="A6944" s="2" t="s">
        <v>14574</v>
      </c>
      <c r="B6944" s="2" t="s">
        <v>14571</v>
      </c>
      <c r="C6944" s="2" t="s">
        <v>7596</v>
      </c>
    </row>
    <row r="6945">
      <c r="A6945" s="2" t="s">
        <v>14575</v>
      </c>
      <c r="B6945" s="2" t="s">
        <v>14571</v>
      </c>
      <c r="C6945" s="2" t="s">
        <v>7596</v>
      </c>
    </row>
    <row r="6946">
      <c r="A6946" s="2" t="s">
        <v>14576</v>
      </c>
      <c r="B6946" s="2" t="s">
        <v>14571</v>
      </c>
      <c r="C6946" s="2" t="s">
        <v>7596</v>
      </c>
    </row>
    <row r="6947">
      <c r="A6947" s="2" t="s">
        <v>14577</v>
      </c>
      <c r="B6947" s="2" t="s">
        <v>14578</v>
      </c>
      <c r="C6947" s="2" t="s">
        <v>7596</v>
      </c>
    </row>
    <row r="6948">
      <c r="A6948" s="2" t="s">
        <v>14579</v>
      </c>
      <c r="B6948" s="2" t="s">
        <v>14580</v>
      </c>
      <c r="C6948" s="2" t="s">
        <v>7596</v>
      </c>
    </row>
    <row r="6949">
      <c r="A6949" s="2" t="s">
        <v>14581</v>
      </c>
      <c r="B6949" s="2" t="s">
        <v>14582</v>
      </c>
      <c r="C6949" s="2" t="s">
        <v>7596</v>
      </c>
    </row>
    <row r="6950">
      <c r="A6950" s="2" t="s">
        <v>14583</v>
      </c>
      <c r="B6950" s="2" t="s">
        <v>14582</v>
      </c>
      <c r="C6950" s="2" t="s">
        <v>7596</v>
      </c>
    </row>
    <row r="6951">
      <c r="A6951" s="2" t="s">
        <v>14584</v>
      </c>
      <c r="B6951" s="2" t="s">
        <v>14582</v>
      </c>
      <c r="C6951" s="2" t="s">
        <v>7596</v>
      </c>
    </row>
    <row r="6952">
      <c r="A6952" s="2" t="s">
        <v>14585</v>
      </c>
      <c r="B6952" s="2" t="s">
        <v>14586</v>
      </c>
      <c r="C6952" s="2" t="s">
        <v>7596</v>
      </c>
    </row>
    <row r="6953">
      <c r="A6953" s="2" t="s">
        <v>14587</v>
      </c>
      <c r="B6953" s="2" t="s">
        <v>14588</v>
      </c>
      <c r="C6953" s="2" t="s">
        <v>7596</v>
      </c>
    </row>
    <row r="6954">
      <c r="A6954" s="2" t="s">
        <v>14589</v>
      </c>
      <c r="B6954" s="2" t="s">
        <v>14590</v>
      </c>
      <c r="C6954" s="2" t="s">
        <v>7596</v>
      </c>
    </row>
    <row r="6955">
      <c r="A6955" s="2" t="s">
        <v>14591</v>
      </c>
      <c r="B6955" s="2" t="s">
        <v>14592</v>
      </c>
      <c r="C6955" s="2" t="s">
        <v>7596</v>
      </c>
    </row>
    <row r="6956">
      <c r="A6956" s="2" t="s">
        <v>14593</v>
      </c>
      <c r="B6956" s="2" t="s">
        <v>14594</v>
      </c>
      <c r="C6956" s="2" t="s">
        <v>7596</v>
      </c>
    </row>
    <row r="6957">
      <c r="A6957" s="2" t="s">
        <v>14595</v>
      </c>
      <c r="B6957" s="2" t="s">
        <v>14596</v>
      </c>
      <c r="C6957" s="2" t="s">
        <v>7596</v>
      </c>
    </row>
    <row r="6958">
      <c r="A6958" s="2" t="s">
        <v>14597</v>
      </c>
      <c r="B6958" s="2" t="s">
        <v>14598</v>
      </c>
      <c r="C6958" s="2" t="s">
        <v>7596</v>
      </c>
    </row>
    <row r="6959">
      <c r="A6959" s="2" t="s">
        <v>14599</v>
      </c>
      <c r="B6959" s="2" t="s">
        <v>14598</v>
      </c>
      <c r="C6959" s="2" t="s">
        <v>7596</v>
      </c>
    </row>
    <row r="6960">
      <c r="A6960" s="2" t="s">
        <v>14600</v>
      </c>
      <c r="B6960" s="2" t="s">
        <v>14598</v>
      </c>
      <c r="C6960" s="2" t="s">
        <v>7596</v>
      </c>
    </row>
    <row r="6961">
      <c r="A6961" s="2" t="s">
        <v>14601</v>
      </c>
      <c r="B6961" s="2" t="s">
        <v>14598</v>
      </c>
      <c r="C6961" s="2" t="s">
        <v>7596</v>
      </c>
    </row>
    <row r="6962">
      <c r="A6962" s="2" t="s">
        <v>14602</v>
      </c>
      <c r="B6962" s="2" t="s">
        <v>14603</v>
      </c>
      <c r="C6962" s="2" t="s">
        <v>7596</v>
      </c>
    </row>
    <row r="6963">
      <c r="A6963" s="2" t="s">
        <v>14604</v>
      </c>
      <c r="B6963" s="2" t="s">
        <v>14603</v>
      </c>
      <c r="C6963" s="2" t="s">
        <v>7596</v>
      </c>
    </row>
    <row r="6964">
      <c r="A6964" s="2" t="s">
        <v>14605</v>
      </c>
      <c r="B6964" s="2" t="s">
        <v>14603</v>
      </c>
      <c r="C6964" s="2" t="s">
        <v>7596</v>
      </c>
    </row>
    <row r="6965">
      <c r="A6965" s="2" t="s">
        <v>14606</v>
      </c>
      <c r="B6965" s="2" t="s">
        <v>14603</v>
      </c>
      <c r="C6965" s="2" t="s">
        <v>7596</v>
      </c>
    </row>
    <row r="6966">
      <c r="A6966" s="2" t="s">
        <v>14607</v>
      </c>
      <c r="B6966" s="2" t="s">
        <v>14608</v>
      </c>
      <c r="C6966" s="2" t="s">
        <v>7596</v>
      </c>
    </row>
    <row r="6967">
      <c r="A6967" s="2" t="s">
        <v>14609</v>
      </c>
      <c r="B6967" s="2" t="s">
        <v>14608</v>
      </c>
      <c r="C6967" s="2" t="s">
        <v>7596</v>
      </c>
    </row>
    <row r="6968">
      <c r="A6968" s="2" t="s">
        <v>14610</v>
      </c>
      <c r="B6968" s="2" t="s">
        <v>14608</v>
      </c>
      <c r="C6968" s="2" t="s">
        <v>7596</v>
      </c>
    </row>
    <row r="6969">
      <c r="A6969" s="2" t="s">
        <v>14611</v>
      </c>
      <c r="B6969" s="2" t="s">
        <v>14608</v>
      </c>
      <c r="C6969" s="2" t="s">
        <v>7596</v>
      </c>
    </row>
    <row r="6970">
      <c r="A6970" s="2" t="s">
        <v>14612</v>
      </c>
      <c r="B6970" s="2" t="s">
        <v>14613</v>
      </c>
      <c r="C6970" s="2" t="s">
        <v>7596</v>
      </c>
    </row>
    <row r="6971">
      <c r="A6971" s="2" t="s">
        <v>14614</v>
      </c>
      <c r="B6971" s="2" t="s">
        <v>14613</v>
      </c>
      <c r="C6971" s="2" t="s">
        <v>7596</v>
      </c>
    </row>
    <row r="6972">
      <c r="A6972" s="2" t="s">
        <v>14615</v>
      </c>
      <c r="B6972" s="2" t="s">
        <v>14616</v>
      </c>
      <c r="C6972" s="2" t="s">
        <v>7596</v>
      </c>
    </row>
    <row r="6973">
      <c r="A6973" s="2" t="s">
        <v>14617</v>
      </c>
      <c r="B6973" s="2" t="s">
        <v>14618</v>
      </c>
      <c r="C6973" s="2" t="s">
        <v>7596</v>
      </c>
    </row>
    <row r="6974">
      <c r="A6974" s="2" t="s">
        <v>14619</v>
      </c>
      <c r="B6974" s="2" t="s">
        <v>14620</v>
      </c>
      <c r="C6974" s="2" t="s">
        <v>7596</v>
      </c>
    </row>
    <row r="6975">
      <c r="A6975" s="2" t="s">
        <v>14621</v>
      </c>
      <c r="B6975" s="2" t="s">
        <v>14622</v>
      </c>
      <c r="C6975" s="2" t="s">
        <v>7596</v>
      </c>
    </row>
    <row r="6976">
      <c r="A6976" s="2" t="s">
        <v>14623</v>
      </c>
      <c r="B6976" s="2" t="s">
        <v>14624</v>
      </c>
      <c r="C6976" s="2" t="s">
        <v>7596</v>
      </c>
    </row>
    <row r="6977">
      <c r="A6977" s="2" t="s">
        <v>14625</v>
      </c>
      <c r="B6977" s="2" t="s">
        <v>14626</v>
      </c>
      <c r="C6977" s="2" t="s">
        <v>7596</v>
      </c>
    </row>
    <row r="6978">
      <c r="A6978" s="2" t="s">
        <v>14627</v>
      </c>
      <c r="B6978" s="2" t="s">
        <v>14628</v>
      </c>
      <c r="C6978" s="2" t="s">
        <v>7596</v>
      </c>
    </row>
    <row r="6979">
      <c r="A6979" s="2" t="s">
        <v>14629</v>
      </c>
      <c r="B6979" s="2" t="s">
        <v>14630</v>
      </c>
      <c r="C6979" s="2" t="s">
        <v>7596</v>
      </c>
    </row>
    <row r="6980">
      <c r="A6980" s="2" t="s">
        <v>14631</v>
      </c>
      <c r="B6980" s="2" t="s">
        <v>14632</v>
      </c>
      <c r="C6980" s="2" t="s">
        <v>7596</v>
      </c>
    </row>
    <row r="6981">
      <c r="A6981" s="2" t="s">
        <v>14633</v>
      </c>
      <c r="B6981" s="2" t="s">
        <v>14634</v>
      </c>
      <c r="C6981" s="2" t="s">
        <v>7596</v>
      </c>
    </row>
    <row r="6982">
      <c r="A6982" s="2" t="s">
        <v>14635</v>
      </c>
      <c r="B6982" s="2" t="s">
        <v>14636</v>
      </c>
      <c r="C6982" s="2" t="s">
        <v>7596</v>
      </c>
    </row>
    <row r="6983">
      <c r="A6983" s="2" t="s">
        <v>14637</v>
      </c>
      <c r="B6983" s="2" t="s">
        <v>14636</v>
      </c>
      <c r="C6983" s="2" t="s">
        <v>7596</v>
      </c>
    </row>
    <row r="6984">
      <c r="A6984" s="2" t="s">
        <v>14638</v>
      </c>
      <c r="B6984" s="2" t="s">
        <v>14639</v>
      </c>
      <c r="C6984" s="2" t="s">
        <v>7596</v>
      </c>
    </row>
    <row r="6985">
      <c r="A6985" s="2" t="s">
        <v>14640</v>
      </c>
      <c r="B6985" s="2" t="s">
        <v>14641</v>
      </c>
      <c r="C6985" s="2" t="s">
        <v>7596</v>
      </c>
    </row>
    <row r="6986">
      <c r="A6986" s="2" t="s">
        <v>14642</v>
      </c>
      <c r="B6986" s="2" t="s">
        <v>14643</v>
      </c>
      <c r="C6986" s="2" t="s">
        <v>7596</v>
      </c>
    </row>
    <row r="6987">
      <c r="A6987" s="2" t="s">
        <v>14644</v>
      </c>
      <c r="B6987" s="2" t="s">
        <v>14645</v>
      </c>
      <c r="C6987" s="2" t="s">
        <v>7596</v>
      </c>
    </row>
    <row r="6988">
      <c r="A6988" s="2" t="s">
        <v>14646</v>
      </c>
      <c r="B6988" s="2" t="s">
        <v>14647</v>
      </c>
      <c r="C6988" s="2" t="s">
        <v>7596</v>
      </c>
    </row>
    <row r="6989">
      <c r="A6989" s="2" t="s">
        <v>14648</v>
      </c>
      <c r="B6989" s="2" t="s">
        <v>14649</v>
      </c>
      <c r="C6989" s="2" t="s">
        <v>7596</v>
      </c>
    </row>
    <row r="6990">
      <c r="A6990" s="2" t="s">
        <v>14650</v>
      </c>
      <c r="B6990" s="2" t="s">
        <v>14651</v>
      </c>
      <c r="C6990" s="2" t="s">
        <v>7596</v>
      </c>
    </row>
    <row r="6991">
      <c r="A6991" s="2" t="s">
        <v>14652</v>
      </c>
      <c r="B6991" s="2" t="s">
        <v>14653</v>
      </c>
      <c r="C6991" s="2" t="s">
        <v>7596</v>
      </c>
    </row>
    <row r="6992">
      <c r="A6992" s="2" t="s">
        <v>14654</v>
      </c>
      <c r="B6992" s="2" t="s">
        <v>14655</v>
      </c>
      <c r="C6992" s="2" t="s">
        <v>7596</v>
      </c>
    </row>
    <row r="6993">
      <c r="A6993" s="2" t="s">
        <v>14656</v>
      </c>
      <c r="B6993" s="2" t="s">
        <v>14657</v>
      </c>
      <c r="C6993" s="2" t="s">
        <v>7596</v>
      </c>
    </row>
    <row r="6994">
      <c r="A6994" s="2" t="s">
        <v>14658</v>
      </c>
      <c r="B6994" s="2" t="s">
        <v>14659</v>
      </c>
      <c r="C6994" s="2" t="s">
        <v>7596</v>
      </c>
    </row>
    <row r="6995">
      <c r="A6995" s="2" t="s">
        <v>14660</v>
      </c>
      <c r="B6995" s="2" t="s">
        <v>14661</v>
      </c>
      <c r="C6995" s="2" t="s">
        <v>7596</v>
      </c>
    </row>
    <row r="6996">
      <c r="A6996" s="2" t="s">
        <v>14662</v>
      </c>
      <c r="B6996" s="2" t="s">
        <v>14663</v>
      </c>
      <c r="C6996" s="2" t="s">
        <v>7596</v>
      </c>
    </row>
    <row r="6997">
      <c r="A6997" s="2" t="s">
        <v>14664</v>
      </c>
      <c r="B6997" s="2" t="s">
        <v>14665</v>
      </c>
      <c r="C6997" s="2" t="s">
        <v>7596</v>
      </c>
    </row>
    <row r="6998">
      <c r="A6998" s="2" t="s">
        <v>14666</v>
      </c>
      <c r="B6998" s="2" t="s">
        <v>14665</v>
      </c>
      <c r="C6998" s="2" t="s">
        <v>7596</v>
      </c>
    </row>
    <row r="6999">
      <c r="A6999" s="2" t="s">
        <v>14667</v>
      </c>
      <c r="B6999" s="2" t="s">
        <v>14668</v>
      </c>
      <c r="C6999" s="2" t="s">
        <v>7596</v>
      </c>
    </row>
    <row r="7000">
      <c r="A7000" s="2" t="s">
        <v>14669</v>
      </c>
      <c r="B7000" s="2" t="s">
        <v>14670</v>
      </c>
      <c r="C7000" s="2" t="s">
        <v>7596</v>
      </c>
    </row>
    <row r="7001">
      <c r="A7001" s="2" t="s">
        <v>14671</v>
      </c>
      <c r="B7001" s="2" t="s">
        <v>14672</v>
      </c>
      <c r="C7001" s="2" t="s">
        <v>7596</v>
      </c>
    </row>
    <row r="7002">
      <c r="A7002" s="2" t="s">
        <v>14673</v>
      </c>
      <c r="B7002" s="2" t="s">
        <v>14674</v>
      </c>
      <c r="C7002" s="2" t="s">
        <v>7596</v>
      </c>
    </row>
    <row r="7003">
      <c r="A7003" s="2" t="s">
        <v>14675</v>
      </c>
      <c r="B7003" s="2" t="s">
        <v>14676</v>
      </c>
      <c r="C7003" s="2" t="s">
        <v>7596</v>
      </c>
    </row>
    <row r="7004">
      <c r="A7004" s="2" t="s">
        <v>14677</v>
      </c>
      <c r="B7004" s="2" t="s">
        <v>14678</v>
      </c>
      <c r="C7004" s="2" t="s">
        <v>7596</v>
      </c>
    </row>
    <row r="7005">
      <c r="A7005" s="2" t="s">
        <v>14679</v>
      </c>
      <c r="B7005" s="2" t="s">
        <v>14680</v>
      </c>
      <c r="C7005" s="2" t="s">
        <v>7596</v>
      </c>
    </row>
    <row r="7006">
      <c r="A7006" s="2" t="s">
        <v>14681</v>
      </c>
      <c r="B7006" s="2" t="s">
        <v>14680</v>
      </c>
      <c r="C7006" s="2" t="s">
        <v>7596</v>
      </c>
    </row>
    <row r="7007">
      <c r="A7007" s="2" t="s">
        <v>14682</v>
      </c>
      <c r="B7007" s="2" t="s">
        <v>14680</v>
      </c>
      <c r="C7007" s="2" t="s">
        <v>7596</v>
      </c>
    </row>
    <row r="7008">
      <c r="A7008" s="2" t="s">
        <v>14683</v>
      </c>
      <c r="B7008" s="2" t="s">
        <v>14680</v>
      </c>
      <c r="C7008" s="2" t="s">
        <v>7596</v>
      </c>
    </row>
    <row r="7009">
      <c r="A7009" s="2" t="s">
        <v>14684</v>
      </c>
      <c r="B7009" s="2" t="s">
        <v>14680</v>
      </c>
      <c r="C7009" s="2" t="s">
        <v>7596</v>
      </c>
    </row>
    <row r="7010">
      <c r="A7010" s="2" t="s">
        <v>14685</v>
      </c>
      <c r="B7010" s="2" t="s">
        <v>14686</v>
      </c>
      <c r="C7010" s="2" t="s">
        <v>7596</v>
      </c>
    </row>
    <row r="7011">
      <c r="A7011" s="2" t="s">
        <v>14687</v>
      </c>
      <c r="B7011" s="2" t="s">
        <v>14688</v>
      </c>
      <c r="C7011" s="2" t="s">
        <v>7596</v>
      </c>
    </row>
    <row r="7012">
      <c r="A7012" s="2" t="s">
        <v>14689</v>
      </c>
      <c r="B7012" s="2" t="s">
        <v>14690</v>
      </c>
      <c r="C7012" s="2" t="s">
        <v>7596</v>
      </c>
    </row>
    <row r="7013">
      <c r="A7013" s="2" t="s">
        <v>14691</v>
      </c>
      <c r="B7013" s="2" t="s">
        <v>14692</v>
      </c>
      <c r="C7013" s="2" t="s">
        <v>7596</v>
      </c>
    </row>
    <row r="7014">
      <c r="A7014" s="2" t="s">
        <v>14693</v>
      </c>
      <c r="B7014" s="2" t="s">
        <v>14694</v>
      </c>
      <c r="C7014" s="2" t="s">
        <v>7596</v>
      </c>
    </row>
    <row r="7015">
      <c r="A7015" s="2" t="s">
        <v>14695</v>
      </c>
      <c r="B7015" s="2" t="s">
        <v>14696</v>
      </c>
      <c r="C7015" s="2" t="s">
        <v>7596</v>
      </c>
    </row>
    <row r="7016">
      <c r="A7016" s="2" t="s">
        <v>14697</v>
      </c>
      <c r="B7016" s="2" t="s">
        <v>14698</v>
      </c>
      <c r="C7016" s="2" t="s">
        <v>7596</v>
      </c>
    </row>
    <row r="7017">
      <c r="A7017" s="2" t="s">
        <v>14699</v>
      </c>
      <c r="B7017" s="2" t="s">
        <v>14700</v>
      </c>
      <c r="C7017" s="2" t="s">
        <v>7596</v>
      </c>
    </row>
    <row r="7018">
      <c r="A7018" s="2" t="s">
        <v>14701</v>
      </c>
      <c r="B7018" s="2" t="s">
        <v>14702</v>
      </c>
      <c r="C7018" s="2" t="s">
        <v>7596</v>
      </c>
    </row>
    <row r="7019">
      <c r="A7019" s="2" t="s">
        <v>14703</v>
      </c>
      <c r="B7019" s="2" t="s">
        <v>14704</v>
      </c>
      <c r="C7019" s="2" t="s">
        <v>7596</v>
      </c>
    </row>
    <row r="7020">
      <c r="A7020" s="2" t="s">
        <v>14705</v>
      </c>
      <c r="B7020" s="2" t="s">
        <v>14706</v>
      </c>
      <c r="C7020" s="2" t="s">
        <v>7596</v>
      </c>
    </row>
    <row r="7021">
      <c r="A7021" s="2" t="s">
        <v>14707</v>
      </c>
      <c r="B7021" s="2" t="s">
        <v>14706</v>
      </c>
      <c r="C7021" s="2" t="s">
        <v>7596</v>
      </c>
    </row>
    <row r="7022">
      <c r="A7022" s="2" t="s">
        <v>14708</v>
      </c>
      <c r="B7022" s="2" t="s">
        <v>14706</v>
      </c>
      <c r="C7022" s="2" t="s">
        <v>7596</v>
      </c>
    </row>
    <row r="7023">
      <c r="A7023" s="2" t="s">
        <v>14709</v>
      </c>
      <c r="B7023" s="2" t="s">
        <v>14706</v>
      </c>
      <c r="C7023" s="2" t="s">
        <v>7596</v>
      </c>
    </row>
    <row r="7024">
      <c r="A7024" s="2" t="s">
        <v>14710</v>
      </c>
      <c r="B7024" s="2" t="s">
        <v>14706</v>
      </c>
      <c r="C7024" s="2" t="s">
        <v>7596</v>
      </c>
    </row>
    <row r="7025">
      <c r="A7025" s="2" t="s">
        <v>14711</v>
      </c>
      <c r="B7025" s="2" t="s">
        <v>14712</v>
      </c>
      <c r="C7025" s="2" t="s">
        <v>7596</v>
      </c>
    </row>
    <row r="7026">
      <c r="A7026" s="2" t="s">
        <v>14713</v>
      </c>
      <c r="B7026" s="2" t="s">
        <v>14714</v>
      </c>
      <c r="C7026" s="2" t="s">
        <v>7596</v>
      </c>
    </row>
    <row r="7027">
      <c r="A7027" s="2" t="s">
        <v>14715</v>
      </c>
      <c r="B7027" s="2" t="s">
        <v>14716</v>
      </c>
      <c r="C7027" s="2" t="s">
        <v>7596</v>
      </c>
    </row>
    <row r="7028">
      <c r="A7028" s="2" t="s">
        <v>14717</v>
      </c>
      <c r="B7028" s="2" t="s">
        <v>14718</v>
      </c>
      <c r="C7028" s="2" t="s">
        <v>7596</v>
      </c>
    </row>
    <row r="7029">
      <c r="A7029" s="2" t="s">
        <v>14719</v>
      </c>
      <c r="B7029" s="2" t="s">
        <v>14720</v>
      </c>
      <c r="C7029" s="2" t="s">
        <v>7596</v>
      </c>
    </row>
    <row r="7030">
      <c r="A7030" s="2" t="s">
        <v>14721</v>
      </c>
      <c r="B7030" s="2" t="s">
        <v>14722</v>
      </c>
      <c r="C7030" s="2" t="s">
        <v>7596</v>
      </c>
    </row>
    <row r="7031">
      <c r="A7031" s="2" t="s">
        <v>14723</v>
      </c>
      <c r="B7031" s="2" t="s">
        <v>14724</v>
      </c>
      <c r="C7031" s="2" t="s">
        <v>7596</v>
      </c>
    </row>
    <row r="7032">
      <c r="A7032" s="2" t="s">
        <v>14725</v>
      </c>
      <c r="B7032" s="2" t="s">
        <v>14726</v>
      </c>
      <c r="C7032" s="2" t="s">
        <v>7596</v>
      </c>
    </row>
    <row r="7033">
      <c r="A7033" s="2" t="s">
        <v>14727</v>
      </c>
      <c r="B7033" s="2" t="s">
        <v>14728</v>
      </c>
      <c r="C7033" s="2" t="s">
        <v>7596</v>
      </c>
    </row>
    <row r="7034">
      <c r="A7034" s="2" t="s">
        <v>14729</v>
      </c>
      <c r="B7034" s="2" t="s">
        <v>14730</v>
      </c>
      <c r="C7034" s="2" t="s">
        <v>7596</v>
      </c>
    </row>
    <row r="7035">
      <c r="A7035" s="2" t="s">
        <v>14731</v>
      </c>
      <c r="B7035" s="2" t="s">
        <v>14732</v>
      </c>
      <c r="C7035" s="2" t="s">
        <v>7596</v>
      </c>
    </row>
    <row r="7036">
      <c r="A7036" s="2" t="s">
        <v>14733</v>
      </c>
      <c r="B7036" s="2" t="s">
        <v>14734</v>
      </c>
      <c r="C7036" s="2" t="s">
        <v>7596</v>
      </c>
    </row>
    <row r="7037">
      <c r="A7037" s="2" t="s">
        <v>14735</v>
      </c>
      <c r="B7037" s="2" t="s">
        <v>14736</v>
      </c>
      <c r="C7037" s="2" t="s">
        <v>7596</v>
      </c>
    </row>
    <row r="7038">
      <c r="A7038" s="2" t="s">
        <v>14737</v>
      </c>
      <c r="B7038" s="2" t="s">
        <v>14738</v>
      </c>
      <c r="C7038" s="2" t="s">
        <v>7596</v>
      </c>
    </row>
    <row r="7039">
      <c r="A7039" s="2" t="s">
        <v>14739</v>
      </c>
      <c r="B7039" s="2" t="s">
        <v>14740</v>
      </c>
      <c r="C7039" s="2" t="s">
        <v>7596</v>
      </c>
    </row>
    <row r="7040">
      <c r="A7040" s="2" t="s">
        <v>14741</v>
      </c>
      <c r="B7040" s="2" t="s">
        <v>14742</v>
      </c>
      <c r="C7040" s="2" t="s">
        <v>7596</v>
      </c>
    </row>
    <row r="7041">
      <c r="A7041" s="2" t="s">
        <v>14743</v>
      </c>
      <c r="B7041" s="2" t="s">
        <v>14744</v>
      </c>
      <c r="C7041" s="2" t="s">
        <v>7596</v>
      </c>
    </row>
    <row r="7042">
      <c r="A7042" s="2" t="s">
        <v>14745</v>
      </c>
      <c r="B7042" s="2" t="s">
        <v>14746</v>
      </c>
      <c r="C7042" s="2" t="s">
        <v>7596</v>
      </c>
    </row>
    <row r="7043">
      <c r="A7043" s="2" t="s">
        <v>14747</v>
      </c>
      <c r="B7043" s="2" t="s">
        <v>14748</v>
      </c>
      <c r="C7043" s="2" t="s">
        <v>7596</v>
      </c>
    </row>
    <row r="7044">
      <c r="A7044" s="2" t="s">
        <v>14749</v>
      </c>
      <c r="B7044" s="2" t="s">
        <v>14750</v>
      </c>
      <c r="C7044" s="2" t="s">
        <v>7596</v>
      </c>
    </row>
    <row r="7045">
      <c r="A7045" s="2" t="s">
        <v>14751</v>
      </c>
      <c r="B7045" s="2" t="s">
        <v>14752</v>
      </c>
      <c r="C7045" s="2" t="s">
        <v>7596</v>
      </c>
    </row>
    <row r="7046">
      <c r="A7046" s="2" t="s">
        <v>14753</v>
      </c>
      <c r="B7046" s="2" t="s">
        <v>14754</v>
      </c>
      <c r="C7046" s="2" t="s">
        <v>7596</v>
      </c>
    </row>
    <row r="7047">
      <c r="A7047" s="2" t="s">
        <v>14755</v>
      </c>
      <c r="B7047" s="2" t="s">
        <v>14756</v>
      </c>
      <c r="C7047" s="2" t="s">
        <v>7596</v>
      </c>
    </row>
    <row r="7048">
      <c r="A7048" s="2" t="s">
        <v>14757</v>
      </c>
      <c r="B7048" s="2" t="s">
        <v>14758</v>
      </c>
      <c r="C7048" s="2" t="s">
        <v>7596</v>
      </c>
    </row>
    <row r="7049">
      <c r="A7049" s="2" t="s">
        <v>14759</v>
      </c>
      <c r="B7049" s="2" t="s">
        <v>14760</v>
      </c>
      <c r="C7049" s="2" t="s">
        <v>7596</v>
      </c>
    </row>
    <row r="7050">
      <c r="A7050" s="2" t="s">
        <v>14761</v>
      </c>
      <c r="B7050" s="2" t="s">
        <v>14762</v>
      </c>
      <c r="C7050" s="2" t="s">
        <v>7596</v>
      </c>
    </row>
    <row r="7051">
      <c r="A7051" s="2" t="s">
        <v>14763</v>
      </c>
      <c r="B7051" s="2" t="s">
        <v>14764</v>
      </c>
      <c r="C7051" s="2" t="s">
        <v>7596</v>
      </c>
    </row>
    <row r="7052">
      <c r="A7052" s="2" t="s">
        <v>14765</v>
      </c>
      <c r="B7052" s="2" t="s">
        <v>14764</v>
      </c>
      <c r="C7052" s="2" t="s">
        <v>7596</v>
      </c>
    </row>
    <row r="7053">
      <c r="A7053" s="2" t="s">
        <v>14766</v>
      </c>
      <c r="B7053" s="2" t="s">
        <v>14764</v>
      </c>
      <c r="C7053" s="2" t="s">
        <v>7596</v>
      </c>
    </row>
    <row r="7054">
      <c r="A7054" s="2" t="s">
        <v>14767</v>
      </c>
      <c r="B7054" s="2" t="s">
        <v>14764</v>
      </c>
      <c r="C7054" s="2" t="s">
        <v>7596</v>
      </c>
    </row>
    <row r="7055">
      <c r="A7055" s="2" t="s">
        <v>14768</v>
      </c>
      <c r="B7055" s="2" t="s">
        <v>14769</v>
      </c>
      <c r="C7055" s="2" t="s">
        <v>7596</v>
      </c>
    </row>
    <row r="7056">
      <c r="A7056" s="2" t="s">
        <v>14770</v>
      </c>
      <c r="B7056" s="2" t="s">
        <v>14769</v>
      </c>
      <c r="C7056" s="2" t="s">
        <v>7596</v>
      </c>
    </row>
    <row r="7057">
      <c r="A7057" s="2" t="s">
        <v>14771</v>
      </c>
      <c r="B7057" s="2" t="s">
        <v>14769</v>
      </c>
      <c r="C7057" s="2" t="s">
        <v>7596</v>
      </c>
    </row>
    <row r="7058">
      <c r="A7058" s="2" t="s">
        <v>14772</v>
      </c>
      <c r="B7058" s="2" t="s">
        <v>14773</v>
      </c>
      <c r="C7058" s="2" t="s">
        <v>7596</v>
      </c>
    </row>
    <row r="7059">
      <c r="A7059" s="2" t="s">
        <v>14774</v>
      </c>
      <c r="B7059" s="2" t="s">
        <v>14775</v>
      </c>
      <c r="C7059" s="2" t="s">
        <v>7596</v>
      </c>
    </row>
    <row r="7060">
      <c r="A7060" s="2" t="s">
        <v>14776</v>
      </c>
      <c r="B7060" s="2" t="s">
        <v>14777</v>
      </c>
      <c r="C7060" s="2" t="s">
        <v>7596</v>
      </c>
    </row>
    <row r="7061">
      <c r="A7061" s="2" t="s">
        <v>14778</v>
      </c>
      <c r="B7061" s="2" t="s">
        <v>14779</v>
      </c>
      <c r="C7061" s="2" t="s">
        <v>7596</v>
      </c>
    </row>
    <row r="7062">
      <c r="A7062" s="2" t="s">
        <v>14780</v>
      </c>
      <c r="B7062" s="2" t="s">
        <v>14781</v>
      </c>
      <c r="C7062" s="2" t="s">
        <v>7596</v>
      </c>
    </row>
    <row r="7063">
      <c r="A7063" s="2" t="s">
        <v>14782</v>
      </c>
      <c r="B7063" s="2" t="s">
        <v>14781</v>
      </c>
      <c r="C7063" s="2" t="s">
        <v>7596</v>
      </c>
    </row>
    <row r="7064">
      <c r="A7064" s="2" t="s">
        <v>14783</v>
      </c>
      <c r="B7064" s="2" t="s">
        <v>14784</v>
      </c>
      <c r="C7064" s="2" t="s">
        <v>7596</v>
      </c>
    </row>
    <row r="7065">
      <c r="A7065" s="2" t="s">
        <v>14785</v>
      </c>
      <c r="B7065" s="2" t="s">
        <v>14784</v>
      </c>
      <c r="C7065" s="2" t="s">
        <v>7596</v>
      </c>
    </row>
    <row r="7066">
      <c r="A7066" s="2" t="s">
        <v>14786</v>
      </c>
      <c r="B7066" s="2" t="s">
        <v>14787</v>
      </c>
      <c r="C7066" s="2" t="s">
        <v>7596</v>
      </c>
    </row>
    <row r="7067">
      <c r="A7067" s="2" t="s">
        <v>14788</v>
      </c>
      <c r="B7067" s="2" t="s">
        <v>14787</v>
      </c>
      <c r="C7067" s="2" t="s">
        <v>7596</v>
      </c>
    </row>
    <row r="7068">
      <c r="A7068" s="2" t="s">
        <v>14789</v>
      </c>
      <c r="B7068" s="2" t="s">
        <v>14790</v>
      </c>
      <c r="C7068" s="2" t="s">
        <v>7596</v>
      </c>
    </row>
    <row r="7069">
      <c r="A7069" s="2" t="s">
        <v>14791</v>
      </c>
      <c r="B7069" s="2" t="s">
        <v>14790</v>
      </c>
      <c r="C7069" s="2" t="s">
        <v>7596</v>
      </c>
    </row>
    <row r="7070">
      <c r="A7070" s="2" t="s">
        <v>14792</v>
      </c>
      <c r="B7070" s="2" t="s">
        <v>14793</v>
      </c>
      <c r="C7070" s="2" t="s">
        <v>7596</v>
      </c>
    </row>
    <row r="7071">
      <c r="A7071" s="2" t="s">
        <v>14794</v>
      </c>
      <c r="B7071" s="2" t="s">
        <v>14793</v>
      </c>
      <c r="C7071" s="2" t="s">
        <v>7596</v>
      </c>
    </row>
    <row r="7072">
      <c r="A7072" s="2" t="s">
        <v>14795</v>
      </c>
      <c r="B7072" s="2" t="s">
        <v>14796</v>
      </c>
      <c r="C7072" s="2" t="s">
        <v>7596</v>
      </c>
    </row>
    <row r="7073">
      <c r="A7073" s="2" t="s">
        <v>14797</v>
      </c>
      <c r="B7073" s="2" t="s">
        <v>14798</v>
      </c>
      <c r="C7073" s="2" t="s">
        <v>7596</v>
      </c>
    </row>
    <row r="7074">
      <c r="A7074" s="2" t="s">
        <v>14799</v>
      </c>
      <c r="B7074" s="2" t="s">
        <v>14800</v>
      </c>
      <c r="C7074" s="2" t="s">
        <v>7596</v>
      </c>
    </row>
    <row r="7075">
      <c r="A7075" s="2" t="s">
        <v>14801</v>
      </c>
      <c r="B7075" s="2" t="s">
        <v>14802</v>
      </c>
      <c r="C7075" s="2" t="s">
        <v>7596</v>
      </c>
    </row>
    <row r="7076">
      <c r="A7076" s="2" t="s">
        <v>14803</v>
      </c>
      <c r="B7076" s="2" t="s">
        <v>14804</v>
      </c>
      <c r="C7076" s="2" t="s">
        <v>7596</v>
      </c>
    </row>
    <row r="7077">
      <c r="A7077" s="2" t="s">
        <v>14805</v>
      </c>
      <c r="B7077" s="2" t="s">
        <v>14806</v>
      </c>
      <c r="C7077" s="2" t="s">
        <v>7596</v>
      </c>
    </row>
    <row r="7078">
      <c r="A7078" s="2" t="s">
        <v>14807</v>
      </c>
      <c r="B7078" s="2" t="s">
        <v>14808</v>
      </c>
      <c r="C7078" s="2" t="s">
        <v>7596</v>
      </c>
    </row>
    <row r="7079">
      <c r="A7079" s="2" t="s">
        <v>14809</v>
      </c>
      <c r="B7079" s="2" t="s">
        <v>14810</v>
      </c>
      <c r="C7079" s="2" t="s">
        <v>7596</v>
      </c>
    </row>
    <row r="7080">
      <c r="A7080" s="2" t="s">
        <v>14811</v>
      </c>
      <c r="B7080" s="2" t="s">
        <v>14812</v>
      </c>
      <c r="C7080" s="2" t="s">
        <v>7596</v>
      </c>
    </row>
    <row r="7081">
      <c r="A7081" s="2" t="s">
        <v>14813</v>
      </c>
      <c r="B7081" s="2" t="s">
        <v>14814</v>
      </c>
      <c r="C7081" s="2" t="s">
        <v>7596</v>
      </c>
    </row>
    <row r="7082">
      <c r="A7082" s="2" t="s">
        <v>14815</v>
      </c>
      <c r="B7082" s="2" t="s">
        <v>14816</v>
      </c>
      <c r="C7082" s="2" t="s">
        <v>7596</v>
      </c>
    </row>
    <row r="7083">
      <c r="A7083" s="2" t="s">
        <v>14817</v>
      </c>
      <c r="B7083" s="2" t="s">
        <v>14818</v>
      </c>
      <c r="C7083" s="2" t="s">
        <v>7596</v>
      </c>
    </row>
    <row r="7084">
      <c r="A7084" s="2" t="s">
        <v>14819</v>
      </c>
      <c r="B7084" s="2" t="s">
        <v>14820</v>
      </c>
      <c r="C7084" s="2" t="s">
        <v>7596</v>
      </c>
    </row>
    <row r="7085">
      <c r="A7085" s="2" t="s">
        <v>14821</v>
      </c>
      <c r="B7085" s="2" t="s">
        <v>14822</v>
      </c>
      <c r="C7085" s="2" t="s">
        <v>7596</v>
      </c>
    </row>
    <row r="7086">
      <c r="A7086" s="2" t="s">
        <v>14823</v>
      </c>
      <c r="B7086" s="2" t="s">
        <v>14824</v>
      </c>
      <c r="C7086" s="2" t="s">
        <v>7596</v>
      </c>
    </row>
    <row r="7087">
      <c r="A7087" s="2" t="s">
        <v>14825</v>
      </c>
      <c r="B7087" s="2" t="s">
        <v>14826</v>
      </c>
      <c r="C7087" s="2" t="s">
        <v>7596</v>
      </c>
    </row>
    <row r="7088">
      <c r="A7088" s="2" t="s">
        <v>14827</v>
      </c>
      <c r="B7088" s="2" t="s">
        <v>14828</v>
      </c>
      <c r="C7088" s="2" t="s">
        <v>7596</v>
      </c>
    </row>
    <row r="7089">
      <c r="A7089" s="2" t="s">
        <v>14829</v>
      </c>
      <c r="B7089" s="2" t="s">
        <v>14830</v>
      </c>
      <c r="C7089" s="2" t="s">
        <v>7596</v>
      </c>
    </row>
    <row r="7090">
      <c r="A7090" s="2" t="s">
        <v>14831</v>
      </c>
      <c r="B7090" s="2" t="s">
        <v>14832</v>
      </c>
      <c r="C7090" s="2" t="s">
        <v>7596</v>
      </c>
    </row>
    <row r="7091">
      <c r="A7091" s="2" t="s">
        <v>14833</v>
      </c>
      <c r="B7091" s="2" t="s">
        <v>14834</v>
      </c>
      <c r="C7091" s="2" t="s">
        <v>7596</v>
      </c>
    </row>
    <row r="7092">
      <c r="A7092" s="2" t="s">
        <v>14835</v>
      </c>
      <c r="B7092" s="2" t="s">
        <v>14836</v>
      </c>
      <c r="C7092" s="2" t="s">
        <v>7596</v>
      </c>
    </row>
    <row r="7093">
      <c r="A7093" s="2" t="s">
        <v>14837</v>
      </c>
      <c r="B7093" s="2" t="s">
        <v>14838</v>
      </c>
      <c r="C7093" s="2" t="s">
        <v>7596</v>
      </c>
    </row>
    <row r="7094">
      <c r="A7094" s="2" t="s">
        <v>14839</v>
      </c>
      <c r="B7094" s="2" t="s">
        <v>14840</v>
      </c>
      <c r="C7094" s="2" t="s">
        <v>7596</v>
      </c>
    </row>
    <row r="7095">
      <c r="A7095" s="2" t="s">
        <v>14841</v>
      </c>
      <c r="B7095" s="2" t="s">
        <v>14842</v>
      </c>
      <c r="C7095" s="2" t="s">
        <v>7596</v>
      </c>
    </row>
    <row r="7096">
      <c r="A7096" s="2" t="s">
        <v>14843</v>
      </c>
      <c r="B7096" s="2" t="s">
        <v>14844</v>
      </c>
      <c r="C7096" s="2" t="s">
        <v>7596</v>
      </c>
    </row>
    <row r="7097">
      <c r="A7097" s="2" t="s">
        <v>14845</v>
      </c>
      <c r="B7097" s="2" t="s">
        <v>14846</v>
      </c>
      <c r="C7097" s="2" t="s">
        <v>7596</v>
      </c>
    </row>
    <row r="7098">
      <c r="A7098" s="2" t="s">
        <v>14847</v>
      </c>
      <c r="B7098" s="2" t="s">
        <v>14848</v>
      </c>
      <c r="C7098" s="2" t="s">
        <v>7596</v>
      </c>
    </row>
    <row r="7099">
      <c r="A7099" s="2" t="s">
        <v>14849</v>
      </c>
      <c r="B7099" s="2" t="s">
        <v>14850</v>
      </c>
      <c r="C7099" s="2" t="s">
        <v>7596</v>
      </c>
    </row>
    <row r="7100">
      <c r="A7100" s="2" t="s">
        <v>14851</v>
      </c>
      <c r="B7100" s="2" t="s">
        <v>14852</v>
      </c>
      <c r="C7100" s="2" t="s">
        <v>7596</v>
      </c>
    </row>
    <row r="7101">
      <c r="A7101" s="2" t="s">
        <v>14853</v>
      </c>
      <c r="B7101" s="2" t="s">
        <v>14854</v>
      </c>
      <c r="C7101" s="2" t="s">
        <v>7596</v>
      </c>
    </row>
    <row r="7102">
      <c r="A7102" s="2" t="s">
        <v>14855</v>
      </c>
      <c r="B7102" s="2" t="s">
        <v>14854</v>
      </c>
      <c r="C7102" s="2" t="s">
        <v>7596</v>
      </c>
    </row>
    <row r="7103">
      <c r="A7103" s="2" t="s">
        <v>14856</v>
      </c>
      <c r="B7103" s="2" t="s">
        <v>14857</v>
      </c>
      <c r="C7103" s="2" t="s">
        <v>7596</v>
      </c>
    </row>
    <row r="7104">
      <c r="A7104" s="2" t="s">
        <v>14858</v>
      </c>
      <c r="B7104" s="2" t="s">
        <v>14859</v>
      </c>
      <c r="C7104" s="2" t="s">
        <v>7596</v>
      </c>
    </row>
    <row r="7105">
      <c r="A7105" s="2" t="s">
        <v>14860</v>
      </c>
      <c r="B7105" s="2" t="s">
        <v>14861</v>
      </c>
      <c r="C7105" s="2" t="s">
        <v>7596</v>
      </c>
    </row>
    <row r="7106">
      <c r="A7106" s="2" t="s">
        <v>14862</v>
      </c>
      <c r="B7106" s="2" t="s">
        <v>14863</v>
      </c>
      <c r="C7106" s="2" t="s">
        <v>7596</v>
      </c>
    </row>
    <row r="7107">
      <c r="A7107" s="2" t="s">
        <v>14864</v>
      </c>
      <c r="B7107" s="2" t="s">
        <v>14865</v>
      </c>
      <c r="C7107" s="2" t="s">
        <v>7596</v>
      </c>
    </row>
    <row r="7108">
      <c r="A7108" s="2" t="s">
        <v>14866</v>
      </c>
      <c r="B7108" s="2" t="s">
        <v>14867</v>
      </c>
      <c r="C7108" s="2" t="s">
        <v>7596</v>
      </c>
    </row>
    <row r="7109">
      <c r="A7109" s="2" t="s">
        <v>14868</v>
      </c>
      <c r="B7109" s="2" t="s">
        <v>14869</v>
      </c>
      <c r="C7109" s="2" t="s">
        <v>7596</v>
      </c>
    </row>
    <row r="7110">
      <c r="A7110" s="2" t="s">
        <v>14870</v>
      </c>
      <c r="B7110" s="2" t="s">
        <v>14871</v>
      </c>
      <c r="C7110" s="2" t="s">
        <v>7596</v>
      </c>
    </row>
    <row r="7111">
      <c r="A7111" s="2" t="s">
        <v>14872</v>
      </c>
      <c r="B7111" s="2" t="s">
        <v>14873</v>
      </c>
      <c r="C7111" s="2" t="s">
        <v>7596</v>
      </c>
    </row>
    <row r="7112">
      <c r="A7112" s="2" t="s">
        <v>14874</v>
      </c>
      <c r="B7112" s="2" t="s">
        <v>14875</v>
      </c>
      <c r="C7112" s="2" t="s">
        <v>7596</v>
      </c>
    </row>
    <row r="7113">
      <c r="A7113" s="2" t="s">
        <v>14876</v>
      </c>
      <c r="B7113" s="2" t="s">
        <v>14875</v>
      </c>
      <c r="C7113" s="2" t="s">
        <v>7596</v>
      </c>
    </row>
    <row r="7114">
      <c r="A7114" s="2" t="s">
        <v>14877</v>
      </c>
      <c r="B7114" s="2" t="s">
        <v>14878</v>
      </c>
      <c r="C7114" s="2" t="s">
        <v>7596</v>
      </c>
    </row>
    <row r="7115">
      <c r="A7115" s="2" t="s">
        <v>14879</v>
      </c>
      <c r="B7115" s="2" t="s">
        <v>14880</v>
      </c>
      <c r="C7115" s="2" t="s">
        <v>7596</v>
      </c>
    </row>
    <row r="7116">
      <c r="A7116" s="2" t="s">
        <v>14881</v>
      </c>
      <c r="B7116" s="2" t="s">
        <v>14882</v>
      </c>
      <c r="C7116" s="2" t="s">
        <v>7596</v>
      </c>
    </row>
    <row r="7117">
      <c r="A7117" s="2" t="s">
        <v>14883</v>
      </c>
      <c r="B7117" s="2" t="s">
        <v>14884</v>
      </c>
      <c r="C7117" s="2" t="s">
        <v>7596</v>
      </c>
    </row>
    <row r="7118">
      <c r="A7118" s="2" t="s">
        <v>14885</v>
      </c>
      <c r="B7118" s="2" t="s">
        <v>14886</v>
      </c>
      <c r="C7118" s="2" t="s">
        <v>7596</v>
      </c>
    </row>
    <row r="7119">
      <c r="A7119" s="2" t="s">
        <v>14887</v>
      </c>
      <c r="B7119" s="2" t="s">
        <v>14888</v>
      </c>
      <c r="C7119" s="2" t="s">
        <v>7596</v>
      </c>
    </row>
    <row r="7120">
      <c r="A7120" s="2" t="s">
        <v>14889</v>
      </c>
      <c r="B7120" s="2" t="s">
        <v>14890</v>
      </c>
      <c r="C7120" s="2" t="s">
        <v>7596</v>
      </c>
    </row>
    <row r="7121">
      <c r="A7121" s="2" t="s">
        <v>14891</v>
      </c>
      <c r="B7121" s="2" t="s">
        <v>14892</v>
      </c>
      <c r="C7121" s="2" t="s">
        <v>7596</v>
      </c>
    </row>
    <row r="7122">
      <c r="A7122" s="2" t="s">
        <v>14893</v>
      </c>
      <c r="B7122" s="2" t="s">
        <v>14894</v>
      </c>
      <c r="C7122" s="2" t="s">
        <v>7596</v>
      </c>
    </row>
    <row r="7123">
      <c r="A7123" s="2" t="s">
        <v>14895</v>
      </c>
      <c r="B7123" s="2" t="s">
        <v>14896</v>
      </c>
      <c r="C7123" s="2" t="s">
        <v>7596</v>
      </c>
    </row>
    <row r="7124">
      <c r="A7124" s="2" t="s">
        <v>14897</v>
      </c>
      <c r="B7124" s="2" t="s">
        <v>14898</v>
      </c>
      <c r="C7124" s="2" t="s">
        <v>7596</v>
      </c>
    </row>
    <row r="7125">
      <c r="A7125" s="2" t="s">
        <v>14899</v>
      </c>
      <c r="B7125" s="2" t="s">
        <v>14900</v>
      </c>
      <c r="C7125" s="2" t="s">
        <v>7596</v>
      </c>
    </row>
    <row r="7126">
      <c r="A7126" s="2" t="s">
        <v>14901</v>
      </c>
      <c r="B7126" s="2" t="s">
        <v>14902</v>
      </c>
      <c r="C7126" s="2" t="s">
        <v>7596</v>
      </c>
    </row>
    <row r="7127">
      <c r="A7127" s="2" t="s">
        <v>14903</v>
      </c>
      <c r="B7127" s="2" t="s">
        <v>14904</v>
      </c>
      <c r="C7127" s="2" t="s">
        <v>7596</v>
      </c>
    </row>
    <row r="7128">
      <c r="A7128" s="2" t="s">
        <v>14905</v>
      </c>
      <c r="B7128" s="2" t="s">
        <v>14906</v>
      </c>
      <c r="C7128" s="2" t="s">
        <v>7596</v>
      </c>
    </row>
    <row r="7129">
      <c r="A7129" s="2" t="s">
        <v>14907</v>
      </c>
      <c r="B7129" s="2" t="s">
        <v>14908</v>
      </c>
      <c r="C7129" s="2" t="s">
        <v>7596</v>
      </c>
    </row>
    <row r="7130">
      <c r="A7130" s="2" t="s">
        <v>14909</v>
      </c>
      <c r="B7130" s="2" t="s">
        <v>14910</v>
      </c>
      <c r="C7130" s="2" t="s">
        <v>7596</v>
      </c>
    </row>
    <row r="7131">
      <c r="A7131" s="2" t="s">
        <v>14911</v>
      </c>
      <c r="B7131" s="2" t="s">
        <v>14912</v>
      </c>
      <c r="C7131" s="2" t="s">
        <v>7596</v>
      </c>
    </row>
    <row r="7132">
      <c r="A7132" s="2" t="s">
        <v>14913</v>
      </c>
      <c r="B7132" s="2" t="s">
        <v>14914</v>
      </c>
      <c r="C7132" s="2" t="s">
        <v>7596</v>
      </c>
    </row>
    <row r="7133">
      <c r="A7133" s="2" t="s">
        <v>14915</v>
      </c>
      <c r="B7133" s="2" t="s">
        <v>14916</v>
      </c>
      <c r="C7133" s="2" t="s">
        <v>7596</v>
      </c>
    </row>
    <row r="7134">
      <c r="A7134" s="2" t="s">
        <v>14917</v>
      </c>
      <c r="B7134" s="2" t="s">
        <v>14918</v>
      </c>
      <c r="C7134" s="2" t="s">
        <v>7596</v>
      </c>
    </row>
    <row r="7135">
      <c r="A7135" s="2" t="s">
        <v>14919</v>
      </c>
      <c r="B7135" s="2" t="s">
        <v>14920</v>
      </c>
      <c r="C7135" s="2" t="s">
        <v>7596</v>
      </c>
    </row>
    <row r="7136">
      <c r="A7136" s="2" t="s">
        <v>14921</v>
      </c>
      <c r="B7136" s="2" t="s">
        <v>14922</v>
      </c>
      <c r="C7136" s="2" t="s">
        <v>7596</v>
      </c>
    </row>
    <row r="7137">
      <c r="A7137" s="2" t="s">
        <v>14923</v>
      </c>
      <c r="B7137" s="2" t="s">
        <v>14924</v>
      </c>
      <c r="C7137" s="2" t="s">
        <v>7596</v>
      </c>
    </row>
    <row r="7138">
      <c r="A7138" s="2" t="s">
        <v>14925</v>
      </c>
      <c r="B7138" s="2" t="s">
        <v>14926</v>
      </c>
      <c r="C7138" s="2" t="s">
        <v>7596</v>
      </c>
    </row>
    <row r="7139">
      <c r="A7139" s="2" t="s">
        <v>14927</v>
      </c>
      <c r="B7139" s="2" t="s">
        <v>14928</v>
      </c>
      <c r="C7139" s="2" t="s">
        <v>7596</v>
      </c>
    </row>
    <row r="7140">
      <c r="A7140" s="2" t="s">
        <v>14929</v>
      </c>
      <c r="B7140" s="2" t="s">
        <v>14930</v>
      </c>
      <c r="C7140" s="2" t="s">
        <v>7596</v>
      </c>
    </row>
    <row r="7141">
      <c r="A7141" s="2" t="s">
        <v>14931</v>
      </c>
      <c r="B7141" s="2" t="s">
        <v>14932</v>
      </c>
      <c r="C7141" s="2" t="s">
        <v>7596</v>
      </c>
    </row>
    <row r="7142">
      <c r="A7142" s="2" t="s">
        <v>14933</v>
      </c>
      <c r="B7142" s="2" t="s">
        <v>14934</v>
      </c>
      <c r="C7142" s="2" t="s">
        <v>7596</v>
      </c>
    </row>
    <row r="7143">
      <c r="A7143" s="2" t="s">
        <v>14935</v>
      </c>
      <c r="B7143" s="2" t="s">
        <v>14936</v>
      </c>
      <c r="C7143" s="2" t="s">
        <v>7596</v>
      </c>
    </row>
    <row r="7144">
      <c r="A7144" s="2" t="s">
        <v>14937</v>
      </c>
      <c r="B7144" s="2" t="s">
        <v>14938</v>
      </c>
      <c r="C7144" s="2" t="s">
        <v>7596</v>
      </c>
    </row>
    <row r="7145">
      <c r="A7145" s="2" t="s">
        <v>14939</v>
      </c>
      <c r="B7145" s="2" t="s">
        <v>14940</v>
      </c>
      <c r="C7145" s="2" t="s">
        <v>7596</v>
      </c>
    </row>
    <row r="7146">
      <c r="A7146" s="2" t="s">
        <v>14941</v>
      </c>
      <c r="B7146" s="2" t="s">
        <v>14942</v>
      </c>
      <c r="C7146" s="2" t="s">
        <v>7596</v>
      </c>
    </row>
    <row r="7147">
      <c r="A7147" s="2" t="s">
        <v>14943</v>
      </c>
      <c r="B7147" s="2" t="s">
        <v>14942</v>
      </c>
      <c r="C7147" s="2" t="s">
        <v>7596</v>
      </c>
    </row>
    <row r="7148">
      <c r="A7148" s="2" t="s">
        <v>14944</v>
      </c>
      <c r="B7148" s="2" t="s">
        <v>14945</v>
      </c>
      <c r="C7148" s="2" t="s">
        <v>7596</v>
      </c>
    </row>
    <row r="7149">
      <c r="A7149" s="2" t="s">
        <v>14946</v>
      </c>
      <c r="B7149" s="2" t="s">
        <v>14945</v>
      </c>
      <c r="C7149" s="2" t="s">
        <v>7596</v>
      </c>
    </row>
    <row r="7150">
      <c r="A7150" s="2" t="s">
        <v>14947</v>
      </c>
      <c r="B7150" s="2" t="s">
        <v>14948</v>
      </c>
      <c r="C7150" s="2" t="s">
        <v>7596</v>
      </c>
    </row>
    <row r="7151">
      <c r="A7151" s="2" t="s">
        <v>14949</v>
      </c>
      <c r="B7151" s="2" t="s">
        <v>14950</v>
      </c>
      <c r="C7151" s="2" t="s">
        <v>7596</v>
      </c>
    </row>
    <row r="7152">
      <c r="A7152" s="2" t="s">
        <v>14951</v>
      </c>
      <c r="B7152" s="2" t="s">
        <v>14950</v>
      </c>
      <c r="C7152" s="2" t="s">
        <v>7596</v>
      </c>
    </row>
    <row r="7153">
      <c r="A7153" s="2" t="s">
        <v>14952</v>
      </c>
      <c r="B7153" s="2" t="s">
        <v>14953</v>
      </c>
      <c r="C7153" s="2" t="s">
        <v>7596</v>
      </c>
    </row>
    <row r="7154">
      <c r="A7154" s="2" t="s">
        <v>14954</v>
      </c>
      <c r="B7154" s="2" t="s">
        <v>14955</v>
      </c>
      <c r="C7154" s="2" t="s">
        <v>7596</v>
      </c>
    </row>
    <row r="7155">
      <c r="A7155" s="2" t="s">
        <v>14956</v>
      </c>
      <c r="B7155" s="2" t="s">
        <v>14957</v>
      </c>
      <c r="C7155" s="2" t="s">
        <v>7596</v>
      </c>
    </row>
    <row r="7156">
      <c r="A7156" s="2" t="s">
        <v>14958</v>
      </c>
      <c r="B7156" s="2" t="s">
        <v>14959</v>
      </c>
      <c r="C7156" s="2" t="s">
        <v>7596</v>
      </c>
    </row>
    <row r="7157">
      <c r="A7157" s="2" t="s">
        <v>14960</v>
      </c>
      <c r="B7157" s="2" t="s">
        <v>14959</v>
      </c>
      <c r="C7157" s="2" t="s">
        <v>7596</v>
      </c>
    </row>
    <row r="7158">
      <c r="A7158" s="2" t="s">
        <v>14961</v>
      </c>
      <c r="B7158" s="2" t="s">
        <v>14962</v>
      </c>
      <c r="C7158" s="2" t="s">
        <v>7596</v>
      </c>
    </row>
    <row r="7159">
      <c r="A7159" s="2" t="s">
        <v>14963</v>
      </c>
      <c r="B7159" s="2" t="s">
        <v>14964</v>
      </c>
      <c r="C7159" s="2" t="s">
        <v>7596</v>
      </c>
    </row>
    <row r="7160">
      <c r="A7160" s="2" t="s">
        <v>14965</v>
      </c>
      <c r="B7160" s="2" t="s">
        <v>14966</v>
      </c>
      <c r="C7160" s="2" t="s">
        <v>7596</v>
      </c>
    </row>
    <row r="7161">
      <c r="A7161" s="2" t="s">
        <v>14967</v>
      </c>
      <c r="B7161" s="2" t="s">
        <v>14968</v>
      </c>
      <c r="C7161" s="2" t="s">
        <v>7596</v>
      </c>
    </row>
    <row r="7162">
      <c r="A7162" s="2" t="s">
        <v>14969</v>
      </c>
      <c r="B7162" s="2" t="s">
        <v>14970</v>
      </c>
      <c r="C7162" s="2" t="s">
        <v>7596</v>
      </c>
    </row>
    <row r="7163">
      <c r="A7163" s="2" t="s">
        <v>14971</v>
      </c>
      <c r="B7163" s="2" t="s">
        <v>14970</v>
      </c>
      <c r="C7163" s="2" t="s">
        <v>7596</v>
      </c>
    </row>
    <row r="7164">
      <c r="A7164" s="2" t="s">
        <v>14972</v>
      </c>
      <c r="B7164" s="2" t="s">
        <v>14970</v>
      </c>
      <c r="C7164" s="2" t="s">
        <v>7596</v>
      </c>
    </row>
    <row r="7165">
      <c r="A7165" s="2" t="s">
        <v>14973</v>
      </c>
      <c r="B7165" s="2" t="s">
        <v>14970</v>
      </c>
      <c r="C7165" s="2" t="s">
        <v>7596</v>
      </c>
    </row>
    <row r="7166">
      <c r="A7166" s="2" t="s">
        <v>14974</v>
      </c>
      <c r="B7166" s="2" t="s">
        <v>14970</v>
      </c>
      <c r="C7166" s="2" t="s">
        <v>7596</v>
      </c>
    </row>
    <row r="7167">
      <c r="A7167" s="2" t="s">
        <v>14975</v>
      </c>
      <c r="B7167" s="2" t="s">
        <v>14970</v>
      </c>
      <c r="C7167" s="2" t="s">
        <v>7596</v>
      </c>
    </row>
    <row r="7168">
      <c r="A7168" s="2" t="s">
        <v>14976</v>
      </c>
      <c r="B7168" s="2" t="s">
        <v>14977</v>
      </c>
      <c r="C7168" s="2" t="s">
        <v>7596</v>
      </c>
    </row>
    <row r="7169">
      <c r="A7169" s="2" t="s">
        <v>14978</v>
      </c>
      <c r="B7169" s="2" t="s">
        <v>14979</v>
      </c>
      <c r="C7169" s="2" t="s">
        <v>7596</v>
      </c>
    </row>
    <row r="7170">
      <c r="A7170" s="2" t="s">
        <v>14980</v>
      </c>
      <c r="B7170" s="2" t="s">
        <v>14981</v>
      </c>
      <c r="C7170" s="2" t="s">
        <v>7596</v>
      </c>
    </row>
    <row r="7171">
      <c r="A7171" s="2" t="s">
        <v>14982</v>
      </c>
      <c r="B7171" s="2" t="s">
        <v>14983</v>
      </c>
      <c r="C7171" s="2" t="s">
        <v>7596</v>
      </c>
    </row>
    <row r="7172">
      <c r="A7172" s="2" t="s">
        <v>14984</v>
      </c>
      <c r="B7172" s="2" t="s">
        <v>14985</v>
      </c>
      <c r="C7172" s="2" t="s">
        <v>7596</v>
      </c>
    </row>
    <row r="7173">
      <c r="A7173" s="2" t="s">
        <v>14986</v>
      </c>
      <c r="B7173" s="2" t="s">
        <v>14987</v>
      </c>
      <c r="C7173" s="2" t="s">
        <v>7596</v>
      </c>
    </row>
    <row r="7174">
      <c r="A7174" s="2" t="s">
        <v>14988</v>
      </c>
      <c r="B7174" s="2" t="s">
        <v>14989</v>
      </c>
      <c r="C7174" s="2" t="s">
        <v>7596</v>
      </c>
    </row>
    <row r="7175">
      <c r="A7175" s="2" t="s">
        <v>14990</v>
      </c>
      <c r="B7175" s="2" t="s">
        <v>14991</v>
      </c>
      <c r="C7175" s="2" t="s">
        <v>7596</v>
      </c>
    </row>
    <row r="7176">
      <c r="A7176" s="2" t="s">
        <v>14992</v>
      </c>
      <c r="B7176" s="2" t="s">
        <v>14993</v>
      </c>
      <c r="C7176" s="2" t="s">
        <v>7596</v>
      </c>
    </row>
    <row r="7177">
      <c r="A7177" s="2" t="s">
        <v>14994</v>
      </c>
      <c r="B7177" s="2" t="s">
        <v>14995</v>
      </c>
      <c r="C7177" s="2" t="s">
        <v>7596</v>
      </c>
    </row>
    <row r="7178">
      <c r="A7178" s="2" t="s">
        <v>14996</v>
      </c>
      <c r="B7178" s="2" t="s">
        <v>14997</v>
      </c>
      <c r="C7178" s="2" t="s">
        <v>7596</v>
      </c>
    </row>
    <row r="7179">
      <c r="A7179" s="2" t="s">
        <v>14998</v>
      </c>
      <c r="B7179" s="2" t="s">
        <v>14999</v>
      </c>
      <c r="C7179" s="2" t="s">
        <v>7596</v>
      </c>
    </row>
    <row r="7180">
      <c r="A7180" s="2" t="s">
        <v>15000</v>
      </c>
      <c r="B7180" s="2" t="s">
        <v>15001</v>
      </c>
      <c r="C7180" s="2" t="s">
        <v>7596</v>
      </c>
    </row>
    <row r="7181">
      <c r="A7181" s="2" t="s">
        <v>15002</v>
      </c>
      <c r="B7181" s="2" t="s">
        <v>15003</v>
      </c>
      <c r="C7181" s="2" t="s">
        <v>7596</v>
      </c>
    </row>
    <row r="7182">
      <c r="A7182" s="2" t="s">
        <v>15004</v>
      </c>
      <c r="B7182" s="2" t="s">
        <v>15005</v>
      </c>
      <c r="C7182" s="2" t="s">
        <v>7596</v>
      </c>
    </row>
    <row r="7183">
      <c r="A7183" s="2" t="s">
        <v>15006</v>
      </c>
      <c r="B7183" s="2" t="s">
        <v>15007</v>
      </c>
      <c r="C7183" s="2" t="s">
        <v>7596</v>
      </c>
    </row>
    <row r="7184">
      <c r="A7184" s="2" t="s">
        <v>15008</v>
      </c>
      <c r="B7184" s="2" t="s">
        <v>15009</v>
      </c>
      <c r="C7184" s="2" t="s">
        <v>7596</v>
      </c>
    </row>
    <row r="7185">
      <c r="A7185" s="2" t="s">
        <v>15010</v>
      </c>
      <c r="B7185" s="2" t="s">
        <v>15011</v>
      </c>
      <c r="C7185" s="2" t="s">
        <v>7596</v>
      </c>
    </row>
    <row r="7186">
      <c r="A7186" s="2" t="s">
        <v>15012</v>
      </c>
      <c r="B7186" s="2" t="s">
        <v>15013</v>
      </c>
      <c r="C7186" s="2" t="s">
        <v>7596</v>
      </c>
    </row>
    <row r="7187">
      <c r="A7187" s="2" t="s">
        <v>15014</v>
      </c>
      <c r="B7187" s="2" t="s">
        <v>15015</v>
      </c>
      <c r="C7187" s="2" t="s">
        <v>7596</v>
      </c>
    </row>
    <row r="7188">
      <c r="A7188" s="2" t="s">
        <v>15016</v>
      </c>
      <c r="B7188" s="2" t="s">
        <v>15017</v>
      </c>
      <c r="C7188" s="2" t="s">
        <v>7596</v>
      </c>
    </row>
    <row r="7189">
      <c r="A7189" s="2" t="s">
        <v>15018</v>
      </c>
      <c r="B7189" s="2" t="s">
        <v>15019</v>
      </c>
      <c r="C7189" s="2" t="s">
        <v>7596</v>
      </c>
    </row>
    <row r="7190">
      <c r="A7190" s="2" t="s">
        <v>15020</v>
      </c>
      <c r="B7190" s="2" t="s">
        <v>15021</v>
      </c>
      <c r="C7190" s="2" t="s">
        <v>7596</v>
      </c>
    </row>
    <row r="7191">
      <c r="A7191" s="2" t="s">
        <v>15022</v>
      </c>
      <c r="B7191" s="2" t="s">
        <v>15023</v>
      </c>
      <c r="C7191" s="2" t="s">
        <v>7596</v>
      </c>
    </row>
    <row r="7192">
      <c r="A7192" s="2" t="s">
        <v>15024</v>
      </c>
      <c r="B7192" s="2" t="s">
        <v>15025</v>
      </c>
      <c r="C7192" s="2" t="s">
        <v>7596</v>
      </c>
    </row>
    <row r="7193">
      <c r="A7193" s="2" t="s">
        <v>15026</v>
      </c>
      <c r="B7193" s="2" t="s">
        <v>15027</v>
      </c>
      <c r="C7193" s="2" t="s">
        <v>7596</v>
      </c>
    </row>
    <row r="7194">
      <c r="A7194" s="2" t="s">
        <v>15028</v>
      </c>
      <c r="B7194" s="2" t="s">
        <v>15029</v>
      </c>
      <c r="C7194" s="2" t="s">
        <v>7596</v>
      </c>
    </row>
    <row r="7195">
      <c r="A7195" s="2" t="s">
        <v>15030</v>
      </c>
      <c r="B7195" s="2" t="s">
        <v>15029</v>
      </c>
      <c r="C7195" s="2" t="s">
        <v>7596</v>
      </c>
    </row>
    <row r="7196">
      <c r="A7196" s="2" t="s">
        <v>15031</v>
      </c>
      <c r="B7196" s="2" t="s">
        <v>15032</v>
      </c>
      <c r="C7196" s="2" t="s">
        <v>7596</v>
      </c>
    </row>
    <row r="7197">
      <c r="A7197" s="2" t="s">
        <v>15033</v>
      </c>
      <c r="B7197" s="2" t="s">
        <v>15034</v>
      </c>
      <c r="C7197" s="2" t="s">
        <v>7596</v>
      </c>
    </row>
    <row r="7198">
      <c r="A7198" s="2" t="s">
        <v>15035</v>
      </c>
      <c r="B7198" s="2" t="s">
        <v>15034</v>
      </c>
      <c r="C7198" s="2" t="s">
        <v>7596</v>
      </c>
    </row>
    <row r="7199">
      <c r="A7199" s="2" t="s">
        <v>15036</v>
      </c>
      <c r="B7199" s="2" t="s">
        <v>15034</v>
      </c>
      <c r="C7199" s="2" t="s">
        <v>7596</v>
      </c>
    </row>
    <row r="7200">
      <c r="A7200" s="2" t="s">
        <v>15037</v>
      </c>
      <c r="B7200" s="2" t="s">
        <v>15038</v>
      </c>
      <c r="C7200" s="2" t="s">
        <v>7596</v>
      </c>
    </row>
    <row r="7201">
      <c r="A7201" s="2" t="s">
        <v>15039</v>
      </c>
      <c r="B7201" s="2" t="s">
        <v>15038</v>
      </c>
      <c r="C7201" s="2" t="s">
        <v>7596</v>
      </c>
    </row>
    <row r="7202">
      <c r="A7202" s="2" t="s">
        <v>15040</v>
      </c>
      <c r="B7202" s="2" t="s">
        <v>15038</v>
      </c>
      <c r="C7202" s="2" t="s">
        <v>7596</v>
      </c>
    </row>
    <row r="7203">
      <c r="A7203" s="2" t="s">
        <v>15041</v>
      </c>
      <c r="B7203" s="2" t="s">
        <v>15042</v>
      </c>
      <c r="C7203" s="2" t="s">
        <v>7596</v>
      </c>
    </row>
    <row r="7204">
      <c r="A7204" s="2" t="s">
        <v>15043</v>
      </c>
      <c r="B7204" s="2" t="s">
        <v>15044</v>
      </c>
      <c r="C7204" s="2" t="s">
        <v>7596</v>
      </c>
    </row>
    <row r="7205">
      <c r="A7205" s="2" t="s">
        <v>15045</v>
      </c>
      <c r="B7205" s="2" t="s">
        <v>15046</v>
      </c>
      <c r="C7205" s="2" t="s">
        <v>7596</v>
      </c>
    </row>
    <row r="7206">
      <c r="A7206" s="2" t="s">
        <v>15047</v>
      </c>
      <c r="B7206" s="2" t="s">
        <v>15048</v>
      </c>
      <c r="C7206" s="2" t="s">
        <v>7596</v>
      </c>
    </row>
    <row r="7207">
      <c r="A7207" s="2" t="s">
        <v>15049</v>
      </c>
      <c r="B7207" s="2" t="s">
        <v>15050</v>
      </c>
      <c r="C7207" s="2" t="s">
        <v>7596</v>
      </c>
    </row>
    <row r="7208">
      <c r="A7208" s="2" t="s">
        <v>15051</v>
      </c>
      <c r="B7208" s="2" t="s">
        <v>15052</v>
      </c>
      <c r="C7208" s="2" t="s">
        <v>7596</v>
      </c>
    </row>
    <row r="7209">
      <c r="A7209" s="2" t="s">
        <v>15053</v>
      </c>
      <c r="B7209" s="2" t="s">
        <v>15054</v>
      </c>
      <c r="C7209" s="2" t="s">
        <v>7596</v>
      </c>
    </row>
    <row r="7210">
      <c r="A7210" s="2" t="s">
        <v>15055</v>
      </c>
      <c r="B7210" s="2" t="s">
        <v>15056</v>
      </c>
      <c r="C7210" s="2" t="s">
        <v>7596</v>
      </c>
    </row>
    <row r="7211">
      <c r="A7211" s="2" t="s">
        <v>15057</v>
      </c>
      <c r="B7211" s="2" t="s">
        <v>15058</v>
      </c>
      <c r="C7211" s="2" t="s">
        <v>7596</v>
      </c>
    </row>
    <row r="7212">
      <c r="A7212" s="2" t="s">
        <v>15059</v>
      </c>
      <c r="B7212" s="2" t="s">
        <v>15060</v>
      </c>
      <c r="C7212" s="2" t="s">
        <v>7596</v>
      </c>
    </row>
    <row r="7213">
      <c r="A7213" s="2" t="s">
        <v>15061</v>
      </c>
      <c r="B7213" s="2" t="s">
        <v>15062</v>
      </c>
      <c r="C7213" s="2" t="s">
        <v>7596</v>
      </c>
    </row>
    <row r="7214">
      <c r="A7214" s="2" t="s">
        <v>15063</v>
      </c>
      <c r="B7214" s="2" t="s">
        <v>15064</v>
      </c>
      <c r="C7214" s="2" t="s">
        <v>7596</v>
      </c>
    </row>
    <row r="7215">
      <c r="A7215" s="2" t="s">
        <v>15065</v>
      </c>
      <c r="B7215" s="2" t="s">
        <v>15066</v>
      </c>
      <c r="C7215" s="2" t="s">
        <v>7596</v>
      </c>
    </row>
    <row r="7216">
      <c r="A7216" s="2" t="s">
        <v>15067</v>
      </c>
      <c r="B7216" s="2" t="s">
        <v>15068</v>
      </c>
      <c r="C7216" s="2" t="s">
        <v>7596</v>
      </c>
    </row>
    <row r="7217">
      <c r="A7217" s="2" t="s">
        <v>15069</v>
      </c>
      <c r="B7217" s="2" t="s">
        <v>15070</v>
      </c>
      <c r="C7217" s="2" t="s">
        <v>7596</v>
      </c>
    </row>
    <row r="7218">
      <c r="A7218" s="2" t="s">
        <v>15071</v>
      </c>
      <c r="B7218" s="2" t="s">
        <v>15072</v>
      </c>
      <c r="C7218" s="2" t="s">
        <v>7596</v>
      </c>
    </row>
    <row r="7219">
      <c r="A7219" s="2" t="s">
        <v>15073</v>
      </c>
      <c r="B7219" s="2" t="s">
        <v>15074</v>
      </c>
      <c r="C7219" s="2" t="s">
        <v>7596</v>
      </c>
    </row>
    <row r="7220">
      <c r="A7220" s="2" t="s">
        <v>15075</v>
      </c>
      <c r="B7220" s="2" t="s">
        <v>15076</v>
      </c>
      <c r="C7220" s="2" t="s">
        <v>7596</v>
      </c>
    </row>
    <row r="7221">
      <c r="A7221" s="2" t="s">
        <v>15077</v>
      </c>
      <c r="B7221" s="2" t="s">
        <v>15078</v>
      </c>
      <c r="C7221" s="2" t="s">
        <v>7596</v>
      </c>
    </row>
    <row r="7222">
      <c r="A7222" s="2" t="s">
        <v>15079</v>
      </c>
      <c r="B7222" s="2" t="s">
        <v>15078</v>
      </c>
      <c r="C7222" s="2" t="s">
        <v>7596</v>
      </c>
    </row>
    <row r="7223">
      <c r="A7223" s="2" t="s">
        <v>15080</v>
      </c>
      <c r="B7223" s="2" t="s">
        <v>15078</v>
      </c>
      <c r="C7223" s="2" t="s">
        <v>7596</v>
      </c>
    </row>
    <row r="7224">
      <c r="A7224" s="2" t="s">
        <v>15081</v>
      </c>
      <c r="B7224" s="2" t="s">
        <v>15082</v>
      </c>
      <c r="C7224" s="2" t="s">
        <v>7596</v>
      </c>
    </row>
    <row r="7225">
      <c r="A7225" s="2" t="s">
        <v>15083</v>
      </c>
      <c r="B7225" s="2" t="s">
        <v>15082</v>
      </c>
      <c r="C7225" s="2" t="s">
        <v>7596</v>
      </c>
    </row>
    <row r="7226">
      <c r="A7226" s="2" t="s">
        <v>15084</v>
      </c>
      <c r="B7226" s="2" t="s">
        <v>15082</v>
      </c>
      <c r="C7226" s="2" t="s">
        <v>7596</v>
      </c>
    </row>
    <row r="7227">
      <c r="A7227" s="2" t="s">
        <v>15085</v>
      </c>
      <c r="B7227" s="2" t="s">
        <v>15086</v>
      </c>
      <c r="C7227" s="2" t="s">
        <v>7596</v>
      </c>
    </row>
    <row r="7228">
      <c r="A7228" s="2" t="s">
        <v>15087</v>
      </c>
      <c r="B7228" s="2" t="s">
        <v>15088</v>
      </c>
      <c r="C7228" s="2" t="s">
        <v>7596</v>
      </c>
    </row>
    <row r="7229">
      <c r="A7229" s="2" t="s">
        <v>15089</v>
      </c>
      <c r="B7229" s="2" t="s">
        <v>15090</v>
      </c>
      <c r="C7229" s="2" t="s">
        <v>7596</v>
      </c>
    </row>
    <row r="7230">
      <c r="A7230" s="2" t="s">
        <v>15091</v>
      </c>
      <c r="B7230" s="2" t="s">
        <v>15092</v>
      </c>
      <c r="C7230" s="2" t="s">
        <v>7596</v>
      </c>
    </row>
    <row r="7231">
      <c r="A7231" s="2" t="s">
        <v>15093</v>
      </c>
      <c r="B7231" s="2" t="s">
        <v>15094</v>
      </c>
      <c r="C7231" s="2" t="s">
        <v>7596</v>
      </c>
    </row>
    <row r="7232">
      <c r="A7232" s="2" t="s">
        <v>15095</v>
      </c>
      <c r="B7232" s="2" t="s">
        <v>15096</v>
      </c>
      <c r="C7232" s="2" t="s">
        <v>7596</v>
      </c>
    </row>
    <row r="7233">
      <c r="A7233" s="2" t="s">
        <v>15097</v>
      </c>
      <c r="B7233" s="2" t="s">
        <v>15098</v>
      </c>
      <c r="C7233" s="2" t="s">
        <v>7596</v>
      </c>
    </row>
    <row r="7234">
      <c r="A7234" s="2" t="s">
        <v>15099</v>
      </c>
      <c r="B7234" s="2" t="s">
        <v>15098</v>
      </c>
      <c r="C7234" s="2" t="s">
        <v>7596</v>
      </c>
    </row>
    <row r="7235">
      <c r="A7235" s="2" t="s">
        <v>15100</v>
      </c>
      <c r="B7235" s="2" t="s">
        <v>15098</v>
      </c>
      <c r="C7235" s="2" t="s">
        <v>7596</v>
      </c>
    </row>
    <row r="7236">
      <c r="A7236" s="2" t="s">
        <v>15101</v>
      </c>
      <c r="B7236" s="2" t="s">
        <v>15098</v>
      </c>
      <c r="C7236" s="2" t="s">
        <v>7596</v>
      </c>
    </row>
    <row r="7237">
      <c r="A7237" s="2" t="s">
        <v>15102</v>
      </c>
      <c r="B7237" s="2" t="s">
        <v>15098</v>
      </c>
      <c r="C7237" s="2" t="s">
        <v>7596</v>
      </c>
    </row>
    <row r="7238">
      <c r="A7238" s="2" t="s">
        <v>15103</v>
      </c>
      <c r="B7238" s="2" t="s">
        <v>15098</v>
      </c>
      <c r="C7238" s="2" t="s">
        <v>7596</v>
      </c>
    </row>
    <row r="7239">
      <c r="A7239" s="2" t="s">
        <v>15104</v>
      </c>
      <c r="B7239" s="2" t="s">
        <v>15098</v>
      </c>
      <c r="C7239" s="2" t="s">
        <v>7596</v>
      </c>
    </row>
    <row r="7240">
      <c r="A7240" s="2" t="s">
        <v>15105</v>
      </c>
      <c r="B7240" s="2" t="s">
        <v>15098</v>
      </c>
      <c r="C7240" s="2" t="s">
        <v>7596</v>
      </c>
    </row>
    <row r="7241">
      <c r="A7241" s="2" t="s">
        <v>15106</v>
      </c>
      <c r="B7241" s="2" t="s">
        <v>15098</v>
      </c>
      <c r="C7241" s="2" t="s">
        <v>7596</v>
      </c>
    </row>
    <row r="7242">
      <c r="A7242" s="2" t="s">
        <v>15107</v>
      </c>
      <c r="B7242" s="2" t="s">
        <v>15098</v>
      </c>
      <c r="C7242" s="2" t="s">
        <v>7596</v>
      </c>
    </row>
    <row r="7243">
      <c r="A7243" s="2" t="s">
        <v>15108</v>
      </c>
      <c r="B7243" s="2" t="s">
        <v>15098</v>
      </c>
      <c r="C7243" s="2" t="s">
        <v>7596</v>
      </c>
    </row>
    <row r="7244">
      <c r="A7244" s="2" t="s">
        <v>15109</v>
      </c>
      <c r="B7244" s="2" t="s">
        <v>15098</v>
      </c>
      <c r="C7244" s="2" t="s">
        <v>7596</v>
      </c>
    </row>
    <row r="7245">
      <c r="A7245" s="2" t="s">
        <v>15110</v>
      </c>
      <c r="B7245" s="2" t="s">
        <v>15111</v>
      </c>
      <c r="C7245" s="2" t="s">
        <v>7596</v>
      </c>
    </row>
    <row r="7246">
      <c r="A7246" s="2" t="s">
        <v>15112</v>
      </c>
      <c r="B7246" s="2" t="s">
        <v>15113</v>
      </c>
      <c r="C7246" s="2" t="s">
        <v>7596</v>
      </c>
    </row>
    <row r="7247">
      <c r="A7247" s="2" t="s">
        <v>15114</v>
      </c>
      <c r="B7247" s="2" t="s">
        <v>15115</v>
      </c>
      <c r="C7247" s="2" t="s">
        <v>7596</v>
      </c>
    </row>
    <row r="7248">
      <c r="A7248" s="2" t="s">
        <v>15116</v>
      </c>
      <c r="B7248" s="2" t="s">
        <v>15117</v>
      </c>
      <c r="C7248" s="2" t="s">
        <v>7596</v>
      </c>
    </row>
    <row r="7249">
      <c r="A7249" s="2" t="s">
        <v>15118</v>
      </c>
      <c r="B7249" s="2" t="s">
        <v>15119</v>
      </c>
      <c r="C7249" s="2" t="s">
        <v>7596</v>
      </c>
    </row>
    <row r="7250">
      <c r="A7250" s="2" t="s">
        <v>15120</v>
      </c>
      <c r="B7250" s="2" t="s">
        <v>15119</v>
      </c>
      <c r="C7250" s="2" t="s">
        <v>7596</v>
      </c>
    </row>
    <row r="7251">
      <c r="A7251" s="2" t="s">
        <v>15121</v>
      </c>
      <c r="B7251" s="2" t="s">
        <v>15122</v>
      </c>
      <c r="C7251" s="2" t="s">
        <v>7596</v>
      </c>
    </row>
    <row r="7252">
      <c r="A7252" s="2" t="s">
        <v>15123</v>
      </c>
      <c r="B7252" s="2" t="s">
        <v>15124</v>
      </c>
      <c r="C7252" s="2" t="s">
        <v>7596</v>
      </c>
    </row>
    <row r="7253">
      <c r="A7253" s="2" t="s">
        <v>15125</v>
      </c>
      <c r="B7253" s="2" t="s">
        <v>15124</v>
      </c>
      <c r="C7253" s="2" t="s">
        <v>7596</v>
      </c>
    </row>
    <row r="7254">
      <c r="A7254" s="2" t="s">
        <v>15126</v>
      </c>
      <c r="B7254" s="2" t="s">
        <v>15124</v>
      </c>
      <c r="C7254" s="2" t="s">
        <v>7596</v>
      </c>
    </row>
    <row r="7255">
      <c r="A7255" s="2" t="s">
        <v>15127</v>
      </c>
      <c r="B7255" s="2" t="s">
        <v>15124</v>
      </c>
      <c r="C7255" s="2" t="s">
        <v>7596</v>
      </c>
    </row>
    <row r="7256">
      <c r="A7256" s="2" t="s">
        <v>15128</v>
      </c>
      <c r="B7256" s="2" t="s">
        <v>15129</v>
      </c>
      <c r="C7256" s="2" t="s">
        <v>7596</v>
      </c>
    </row>
    <row r="7257">
      <c r="A7257" s="2" t="s">
        <v>15130</v>
      </c>
      <c r="B7257" s="2" t="s">
        <v>15131</v>
      </c>
      <c r="C7257" s="2" t="s">
        <v>7596</v>
      </c>
    </row>
    <row r="7258">
      <c r="A7258" s="2" t="s">
        <v>15132</v>
      </c>
      <c r="B7258" s="2" t="s">
        <v>15133</v>
      </c>
      <c r="C7258" s="2" t="s">
        <v>7596</v>
      </c>
    </row>
    <row r="7259">
      <c r="A7259" s="2" t="s">
        <v>15134</v>
      </c>
      <c r="B7259" s="2" t="s">
        <v>15135</v>
      </c>
      <c r="C7259" s="2" t="s">
        <v>7596</v>
      </c>
    </row>
    <row r="7260">
      <c r="A7260" s="2" t="s">
        <v>15136</v>
      </c>
      <c r="B7260" s="2" t="s">
        <v>15137</v>
      </c>
      <c r="C7260" s="2" t="s">
        <v>7596</v>
      </c>
    </row>
    <row r="7261">
      <c r="A7261" s="2" t="s">
        <v>15138</v>
      </c>
      <c r="B7261" s="2" t="s">
        <v>15139</v>
      </c>
      <c r="C7261" s="2" t="s">
        <v>7596</v>
      </c>
    </row>
    <row r="7262">
      <c r="A7262" s="2" t="s">
        <v>15140</v>
      </c>
      <c r="B7262" s="2" t="s">
        <v>15141</v>
      </c>
      <c r="C7262" s="2" t="s">
        <v>7596</v>
      </c>
    </row>
    <row r="7263">
      <c r="A7263" s="2" t="s">
        <v>15142</v>
      </c>
      <c r="B7263" s="2" t="s">
        <v>15143</v>
      </c>
      <c r="C7263" s="2" t="s">
        <v>7596</v>
      </c>
    </row>
    <row r="7264">
      <c r="A7264" s="2" t="s">
        <v>15144</v>
      </c>
      <c r="B7264" s="2" t="s">
        <v>15145</v>
      </c>
      <c r="C7264" s="2" t="s">
        <v>7596</v>
      </c>
    </row>
    <row r="7265">
      <c r="A7265" s="2" t="s">
        <v>15146</v>
      </c>
      <c r="B7265" s="2" t="s">
        <v>15147</v>
      </c>
      <c r="C7265" s="2" t="s">
        <v>7596</v>
      </c>
    </row>
    <row r="7266">
      <c r="A7266" s="2" t="s">
        <v>15148</v>
      </c>
      <c r="B7266" s="2" t="s">
        <v>15149</v>
      </c>
      <c r="C7266" s="2" t="s">
        <v>7596</v>
      </c>
    </row>
    <row r="7267">
      <c r="A7267" s="2" t="s">
        <v>15150</v>
      </c>
      <c r="B7267" s="2" t="s">
        <v>15151</v>
      </c>
      <c r="C7267" s="2" t="s">
        <v>7596</v>
      </c>
    </row>
    <row r="7268">
      <c r="A7268" s="2" t="s">
        <v>15152</v>
      </c>
      <c r="B7268" s="2" t="s">
        <v>15153</v>
      </c>
      <c r="C7268" s="2" t="s">
        <v>7596</v>
      </c>
    </row>
    <row r="7269">
      <c r="A7269" s="2" t="s">
        <v>15154</v>
      </c>
      <c r="B7269" s="2" t="s">
        <v>15155</v>
      </c>
      <c r="C7269" s="2" t="s">
        <v>7596</v>
      </c>
    </row>
    <row r="7270">
      <c r="A7270" s="2" t="s">
        <v>15156</v>
      </c>
      <c r="B7270" s="2" t="s">
        <v>15157</v>
      </c>
      <c r="C7270" s="2" t="s">
        <v>7596</v>
      </c>
    </row>
    <row r="7271">
      <c r="A7271" s="2" t="s">
        <v>15158</v>
      </c>
      <c r="B7271" s="2" t="s">
        <v>15159</v>
      </c>
      <c r="C7271" s="2" t="s">
        <v>7596</v>
      </c>
    </row>
    <row r="7272">
      <c r="A7272" s="2" t="s">
        <v>15160</v>
      </c>
      <c r="B7272" s="2" t="s">
        <v>15161</v>
      </c>
      <c r="C7272" s="2" t="s">
        <v>7596</v>
      </c>
    </row>
    <row r="7273">
      <c r="A7273" s="2" t="s">
        <v>15162</v>
      </c>
      <c r="B7273" s="2" t="s">
        <v>15163</v>
      </c>
      <c r="C7273" s="2" t="s">
        <v>7596</v>
      </c>
    </row>
    <row r="7274">
      <c r="A7274" s="2" t="s">
        <v>15164</v>
      </c>
      <c r="B7274" s="2" t="s">
        <v>15165</v>
      </c>
      <c r="C7274" s="2" t="s">
        <v>7596</v>
      </c>
    </row>
    <row r="7275">
      <c r="A7275" s="2" t="s">
        <v>15166</v>
      </c>
      <c r="B7275" s="2" t="s">
        <v>15167</v>
      </c>
      <c r="C7275" s="2" t="s">
        <v>7596</v>
      </c>
    </row>
    <row r="7276">
      <c r="A7276" s="2" t="s">
        <v>15168</v>
      </c>
      <c r="B7276" s="2" t="s">
        <v>15169</v>
      </c>
      <c r="C7276" s="2" t="s">
        <v>7596</v>
      </c>
    </row>
    <row r="7277">
      <c r="A7277" s="2" t="s">
        <v>15170</v>
      </c>
      <c r="B7277" s="2" t="s">
        <v>15171</v>
      </c>
      <c r="C7277" s="2" t="s">
        <v>7596</v>
      </c>
    </row>
    <row r="7278">
      <c r="A7278" s="2" t="s">
        <v>15172</v>
      </c>
      <c r="B7278" s="2" t="s">
        <v>15173</v>
      </c>
      <c r="C7278" s="2" t="s">
        <v>7596</v>
      </c>
    </row>
    <row r="7279">
      <c r="A7279" s="2" t="s">
        <v>68</v>
      </c>
      <c r="B7279" s="2" t="s">
        <v>70</v>
      </c>
      <c r="C7279" s="2" t="s">
        <v>7596</v>
      </c>
    </row>
    <row r="7280">
      <c r="A7280" s="2" t="s">
        <v>72</v>
      </c>
      <c r="B7280" s="2" t="s">
        <v>74</v>
      </c>
      <c r="C7280" s="2" t="s">
        <v>7596</v>
      </c>
    </row>
    <row r="7281">
      <c r="A7281" s="2" t="s">
        <v>15174</v>
      </c>
      <c r="B7281" s="2" t="s">
        <v>15175</v>
      </c>
      <c r="C7281" s="2" t="s">
        <v>7596</v>
      </c>
    </row>
    <row r="7282">
      <c r="A7282" s="2" t="s">
        <v>13</v>
      </c>
      <c r="B7282" s="2" t="s">
        <v>15</v>
      </c>
      <c r="C7282" s="2" t="s">
        <v>7596</v>
      </c>
    </row>
    <row r="7283">
      <c r="A7283" s="2" t="s">
        <v>15176</v>
      </c>
      <c r="B7283" s="2" t="s">
        <v>15</v>
      </c>
      <c r="C7283" s="2" t="s">
        <v>7596</v>
      </c>
    </row>
    <row r="7284">
      <c r="A7284" s="2" t="s">
        <v>15177</v>
      </c>
      <c r="B7284" s="2" t="s">
        <v>15178</v>
      </c>
      <c r="C7284" s="2" t="s">
        <v>7596</v>
      </c>
    </row>
    <row r="7285">
      <c r="A7285" s="2" t="s">
        <v>23</v>
      </c>
      <c r="B7285" s="2" t="s">
        <v>24</v>
      </c>
      <c r="C7285" s="2" t="s">
        <v>7596</v>
      </c>
    </row>
    <row r="7286">
      <c r="A7286" s="2" t="s">
        <v>15179</v>
      </c>
      <c r="B7286" s="2" t="s">
        <v>15180</v>
      </c>
      <c r="C7286" s="2" t="s">
        <v>7596</v>
      </c>
    </row>
    <row r="7287">
      <c r="A7287" s="2" t="s">
        <v>19</v>
      </c>
      <c r="B7287" s="2" t="s">
        <v>20</v>
      </c>
      <c r="C7287" s="2" t="s">
        <v>7596</v>
      </c>
    </row>
    <row r="7288">
      <c r="A7288" s="2" t="s">
        <v>27</v>
      </c>
      <c r="B7288" s="2" t="s">
        <v>29</v>
      </c>
      <c r="C7288" s="2" t="s">
        <v>7596</v>
      </c>
    </row>
    <row r="7289">
      <c r="A7289" s="2" t="s">
        <v>7</v>
      </c>
      <c r="B7289" s="2" t="s">
        <v>8</v>
      </c>
      <c r="C7289" s="2" t="s">
        <v>7596</v>
      </c>
    </row>
    <row r="7290">
      <c r="A7290" s="2" t="s">
        <v>15181</v>
      </c>
      <c r="B7290" s="2" t="s">
        <v>8</v>
      </c>
      <c r="C7290" s="2" t="s">
        <v>7596</v>
      </c>
    </row>
    <row r="7291">
      <c r="A7291" s="2" t="s">
        <v>15182</v>
      </c>
      <c r="B7291" s="2" t="s">
        <v>15183</v>
      </c>
      <c r="C7291" s="2" t="s">
        <v>7596</v>
      </c>
    </row>
    <row r="7292">
      <c r="A7292" s="2" t="s">
        <v>32</v>
      </c>
      <c r="B7292" s="2" t="s">
        <v>34</v>
      </c>
      <c r="C7292" s="2" t="s">
        <v>7596</v>
      </c>
    </row>
    <row r="7293">
      <c r="A7293" s="2" t="s">
        <v>39</v>
      </c>
      <c r="B7293" s="2" t="s">
        <v>41</v>
      </c>
      <c r="C7293" s="2" t="s">
        <v>7596</v>
      </c>
    </row>
    <row r="7294">
      <c r="A7294" s="2" t="s">
        <v>15184</v>
      </c>
      <c r="B7294" s="2" t="s">
        <v>15185</v>
      </c>
      <c r="C7294" s="2" t="s">
        <v>7596</v>
      </c>
    </row>
    <row r="7295">
      <c r="A7295" s="2" t="s">
        <v>15186</v>
      </c>
      <c r="B7295" s="2" t="s">
        <v>15187</v>
      </c>
      <c r="C7295" s="2" t="s">
        <v>7596</v>
      </c>
    </row>
    <row r="7296">
      <c r="A7296" s="2" t="s">
        <v>15188</v>
      </c>
      <c r="B7296" s="2" t="s">
        <v>15189</v>
      </c>
      <c r="C7296" s="2" t="s">
        <v>7596</v>
      </c>
    </row>
    <row r="7297">
      <c r="A7297" s="2" t="s">
        <v>15190</v>
      </c>
      <c r="B7297" s="2" t="s">
        <v>15191</v>
      </c>
      <c r="C7297" s="2" t="s">
        <v>7596</v>
      </c>
    </row>
    <row r="7298">
      <c r="A7298" s="2" t="s">
        <v>15192</v>
      </c>
      <c r="B7298" s="2" t="s">
        <v>15193</v>
      </c>
      <c r="C7298" s="2" t="s">
        <v>7596</v>
      </c>
    </row>
    <row r="7299">
      <c r="A7299" s="2" t="s">
        <v>15194</v>
      </c>
      <c r="B7299" s="2" t="s">
        <v>15195</v>
      </c>
      <c r="C7299" s="2" t="s">
        <v>7596</v>
      </c>
    </row>
    <row r="7300">
      <c r="A7300" s="2" t="s">
        <v>15196</v>
      </c>
      <c r="B7300" s="2" t="s">
        <v>15197</v>
      </c>
      <c r="C7300" s="2" t="s">
        <v>7596</v>
      </c>
    </row>
    <row r="7301">
      <c r="A7301" s="2" t="s">
        <v>15198</v>
      </c>
      <c r="B7301" s="2" t="s">
        <v>15199</v>
      </c>
      <c r="C7301" s="2" t="s">
        <v>7596</v>
      </c>
    </row>
    <row r="7302">
      <c r="A7302" s="2" t="s">
        <v>15200</v>
      </c>
      <c r="B7302" s="2" t="s">
        <v>15201</v>
      </c>
      <c r="C7302" s="2" t="s">
        <v>7596</v>
      </c>
    </row>
    <row r="7303">
      <c r="A7303" s="2" t="s">
        <v>15202</v>
      </c>
      <c r="B7303" s="2" t="s">
        <v>15203</v>
      </c>
      <c r="C7303" s="2" t="s">
        <v>7596</v>
      </c>
    </row>
    <row r="7304">
      <c r="A7304" s="2" t="s">
        <v>15204</v>
      </c>
      <c r="B7304" s="2" t="s">
        <v>15205</v>
      </c>
      <c r="C7304" s="2" t="s">
        <v>7596</v>
      </c>
    </row>
    <row r="7305">
      <c r="A7305" s="2" t="s">
        <v>15206</v>
      </c>
      <c r="B7305" s="2" t="s">
        <v>15207</v>
      </c>
      <c r="C7305" s="2" t="s">
        <v>7596</v>
      </c>
    </row>
    <row r="7306">
      <c r="A7306" s="2" t="s">
        <v>15208</v>
      </c>
      <c r="B7306" s="2" t="s">
        <v>15209</v>
      </c>
      <c r="C7306" s="2" t="s">
        <v>7596</v>
      </c>
    </row>
    <row r="7307">
      <c r="A7307" s="2" t="s">
        <v>15210</v>
      </c>
      <c r="B7307" s="2" t="s">
        <v>15209</v>
      </c>
      <c r="C7307" s="2" t="s">
        <v>7596</v>
      </c>
    </row>
    <row r="7308">
      <c r="A7308" s="2" t="s">
        <v>15211</v>
      </c>
      <c r="B7308" s="2" t="s">
        <v>15212</v>
      </c>
      <c r="C7308" s="2" t="s">
        <v>7596</v>
      </c>
    </row>
    <row r="7309">
      <c r="A7309" s="2" t="s">
        <v>15213</v>
      </c>
      <c r="B7309" s="2" t="s">
        <v>15212</v>
      </c>
      <c r="C7309" s="2" t="s">
        <v>7596</v>
      </c>
    </row>
    <row r="7310">
      <c r="A7310" s="2" t="s">
        <v>15214</v>
      </c>
      <c r="B7310" s="2" t="s">
        <v>15215</v>
      </c>
      <c r="C7310" s="2" t="s">
        <v>7596</v>
      </c>
    </row>
    <row r="7311">
      <c r="A7311" s="2" t="s">
        <v>15216</v>
      </c>
      <c r="B7311" s="2" t="s">
        <v>15217</v>
      </c>
      <c r="C7311" s="2" t="s">
        <v>7596</v>
      </c>
    </row>
    <row r="7312">
      <c r="A7312" s="2" t="s">
        <v>15218</v>
      </c>
      <c r="B7312" s="2" t="s">
        <v>15219</v>
      </c>
      <c r="C7312" s="2" t="s">
        <v>7596</v>
      </c>
    </row>
    <row r="7313">
      <c r="A7313" s="2" t="s">
        <v>15220</v>
      </c>
      <c r="B7313" s="2" t="s">
        <v>15219</v>
      </c>
      <c r="C7313" s="2" t="s">
        <v>7596</v>
      </c>
    </row>
    <row r="7314">
      <c r="A7314" s="2" t="s">
        <v>15221</v>
      </c>
      <c r="B7314" s="2" t="s">
        <v>15222</v>
      </c>
      <c r="C7314" s="2" t="s">
        <v>7596</v>
      </c>
    </row>
    <row r="7315">
      <c r="A7315" s="2" t="s">
        <v>15223</v>
      </c>
      <c r="B7315" s="2" t="s">
        <v>15222</v>
      </c>
      <c r="C7315" s="2" t="s">
        <v>7596</v>
      </c>
    </row>
    <row r="7316">
      <c r="A7316" s="2" t="s">
        <v>15224</v>
      </c>
      <c r="B7316" s="2" t="s">
        <v>15225</v>
      </c>
      <c r="C7316" s="2" t="s">
        <v>7596</v>
      </c>
    </row>
    <row r="7317">
      <c r="A7317" s="2" t="s">
        <v>15226</v>
      </c>
      <c r="B7317" s="2" t="s">
        <v>15225</v>
      </c>
      <c r="C7317" s="2" t="s">
        <v>7596</v>
      </c>
    </row>
    <row r="7318">
      <c r="A7318" s="2" t="s">
        <v>15227</v>
      </c>
      <c r="B7318" s="2" t="s">
        <v>15228</v>
      </c>
      <c r="C7318" s="2" t="s">
        <v>7596</v>
      </c>
    </row>
    <row r="7319">
      <c r="A7319" s="2" t="s">
        <v>15229</v>
      </c>
      <c r="B7319" s="2" t="s">
        <v>15230</v>
      </c>
      <c r="C7319" s="2" t="s">
        <v>7596</v>
      </c>
    </row>
    <row r="7320">
      <c r="A7320" s="2" t="s">
        <v>15231</v>
      </c>
      <c r="B7320" s="2" t="s">
        <v>15232</v>
      </c>
      <c r="C7320" s="2" t="s">
        <v>7596</v>
      </c>
    </row>
    <row r="7321">
      <c r="A7321" s="2" t="s">
        <v>15233</v>
      </c>
      <c r="B7321" s="2" t="s">
        <v>15234</v>
      </c>
      <c r="C7321" s="2" t="s">
        <v>7596</v>
      </c>
    </row>
    <row r="7322">
      <c r="A7322" s="2" t="s">
        <v>15235</v>
      </c>
      <c r="B7322" s="2" t="s">
        <v>15236</v>
      </c>
      <c r="C7322" s="2" t="s">
        <v>7596</v>
      </c>
    </row>
    <row r="7323">
      <c r="A7323" s="2" t="s">
        <v>15237</v>
      </c>
      <c r="B7323" s="2" t="s">
        <v>15238</v>
      </c>
      <c r="C7323" s="2" t="s">
        <v>7596</v>
      </c>
    </row>
    <row r="7324">
      <c r="A7324" s="2" t="s">
        <v>15239</v>
      </c>
      <c r="B7324" s="2" t="s">
        <v>15240</v>
      </c>
      <c r="C7324" s="2" t="s">
        <v>7596</v>
      </c>
    </row>
    <row r="7325">
      <c r="A7325" s="2" t="s">
        <v>15241</v>
      </c>
      <c r="B7325" s="2" t="s">
        <v>15242</v>
      </c>
      <c r="C7325" s="2" t="s">
        <v>7596</v>
      </c>
    </row>
    <row r="7326">
      <c r="A7326" s="2" t="s">
        <v>15243</v>
      </c>
      <c r="B7326" s="2" t="s">
        <v>15244</v>
      </c>
      <c r="C7326" s="2" t="s">
        <v>15245</v>
      </c>
    </row>
    <row r="7327">
      <c r="A7327" s="2" t="s">
        <v>15246</v>
      </c>
      <c r="B7327" s="2" t="s">
        <v>15247</v>
      </c>
      <c r="C7327" s="2" t="s">
        <v>15245</v>
      </c>
    </row>
    <row r="7328">
      <c r="A7328" s="2" t="s">
        <v>15248</v>
      </c>
      <c r="B7328" s="2" t="s">
        <v>15249</v>
      </c>
      <c r="C7328" s="2" t="s">
        <v>15245</v>
      </c>
    </row>
    <row r="7329">
      <c r="A7329" s="2" t="s">
        <v>15250</v>
      </c>
      <c r="B7329" s="2" t="s">
        <v>15251</v>
      </c>
      <c r="C7329" s="2" t="s">
        <v>15245</v>
      </c>
    </row>
    <row r="7330">
      <c r="A7330" s="2" t="s">
        <v>15252</v>
      </c>
      <c r="B7330" s="2" t="s">
        <v>15253</v>
      </c>
      <c r="C7330" s="2" t="s">
        <v>15245</v>
      </c>
    </row>
    <row r="7331">
      <c r="A7331" s="2" t="s">
        <v>15254</v>
      </c>
      <c r="B7331" s="2" t="s">
        <v>15255</v>
      </c>
      <c r="C7331" s="2" t="s">
        <v>15245</v>
      </c>
    </row>
    <row r="7332">
      <c r="A7332" s="2" t="s">
        <v>15256</v>
      </c>
      <c r="B7332" s="2" t="s">
        <v>15257</v>
      </c>
      <c r="C7332" s="2" t="s">
        <v>15245</v>
      </c>
    </row>
    <row r="7333">
      <c r="A7333" s="2" t="s">
        <v>15258</v>
      </c>
      <c r="B7333" s="2" t="s">
        <v>15259</v>
      </c>
      <c r="C7333" s="2" t="s">
        <v>15245</v>
      </c>
    </row>
    <row r="7334">
      <c r="A7334" s="2" t="s">
        <v>15260</v>
      </c>
      <c r="B7334" s="2" t="s">
        <v>15261</v>
      </c>
      <c r="C7334" s="2" t="s">
        <v>15245</v>
      </c>
    </row>
    <row r="7335">
      <c r="A7335" s="2" t="s">
        <v>15262</v>
      </c>
      <c r="B7335" s="2" t="s">
        <v>15263</v>
      </c>
      <c r="C7335" s="2" t="s">
        <v>15245</v>
      </c>
    </row>
    <row r="7336">
      <c r="A7336" s="2" t="s">
        <v>15264</v>
      </c>
      <c r="B7336" s="2" t="s">
        <v>15265</v>
      </c>
      <c r="C7336" s="2" t="s">
        <v>15245</v>
      </c>
    </row>
    <row r="7337">
      <c r="A7337" s="2" t="s">
        <v>15266</v>
      </c>
      <c r="B7337" s="2" t="s">
        <v>15267</v>
      </c>
      <c r="C7337" s="2" t="s">
        <v>15245</v>
      </c>
    </row>
    <row r="7338">
      <c r="A7338" s="2" t="s">
        <v>15268</v>
      </c>
      <c r="B7338" s="2" t="s">
        <v>15269</v>
      </c>
      <c r="C7338" s="2" t="s">
        <v>15245</v>
      </c>
    </row>
    <row r="7339">
      <c r="A7339" s="2" t="s">
        <v>15270</v>
      </c>
      <c r="B7339" s="2" t="s">
        <v>15271</v>
      </c>
      <c r="C7339" s="2" t="s">
        <v>15245</v>
      </c>
    </row>
    <row r="7340">
      <c r="A7340" s="2" t="s">
        <v>15272</v>
      </c>
      <c r="B7340" s="2" t="s">
        <v>15273</v>
      </c>
      <c r="C7340" s="2" t="s">
        <v>15245</v>
      </c>
    </row>
    <row r="7341">
      <c r="A7341" s="2" t="s">
        <v>15274</v>
      </c>
      <c r="B7341" s="2" t="s">
        <v>15275</v>
      </c>
      <c r="C7341" s="2" t="s">
        <v>15245</v>
      </c>
    </row>
    <row r="7342">
      <c r="A7342" s="2" t="s">
        <v>15276</v>
      </c>
      <c r="B7342" s="2" t="s">
        <v>15277</v>
      </c>
      <c r="C7342" s="2" t="s">
        <v>15245</v>
      </c>
    </row>
    <row r="7343">
      <c r="A7343" s="2" t="s">
        <v>15278</v>
      </c>
      <c r="B7343" s="2" t="s">
        <v>15279</v>
      </c>
      <c r="C7343" s="2" t="s">
        <v>15245</v>
      </c>
    </row>
    <row r="7344">
      <c r="A7344" s="2" t="s">
        <v>15280</v>
      </c>
      <c r="B7344" s="2" t="s">
        <v>15281</v>
      </c>
      <c r="C7344" s="2" t="s">
        <v>15245</v>
      </c>
    </row>
    <row r="7345">
      <c r="A7345" s="2" t="s">
        <v>15282</v>
      </c>
      <c r="B7345" s="2" t="s">
        <v>15283</v>
      </c>
      <c r="C7345" s="2" t="s">
        <v>15245</v>
      </c>
    </row>
    <row r="7346">
      <c r="A7346" s="2" t="s">
        <v>15284</v>
      </c>
      <c r="B7346" s="2" t="s">
        <v>15285</v>
      </c>
      <c r="C7346" s="2" t="s">
        <v>15245</v>
      </c>
    </row>
    <row r="7347">
      <c r="A7347" s="2" t="s">
        <v>15286</v>
      </c>
      <c r="B7347" s="2" t="s">
        <v>15287</v>
      </c>
      <c r="C7347" s="2" t="s">
        <v>15245</v>
      </c>
    </row>
    <row r="7348">
      <c r="A7348" s="2" t="s">
        <v>15288</v>
      </c>
      <c r="B7348" s="2" t="s">
        <v>15289</v>
      </c>
      <c r="C7348" s="2" t="s">
        <v>15245</v>
      </c>
    </row>
    <row r="7349">
      <c r="A7349" s="2" t="s">
        <v>15290</v>
      </c>
      <c r="B7349" s="2" t="s">
        <v>15291</v>
      </c>
      <c r="C7349" s="2" t="s">
        <v>15245</v>
      </c>
    </row>
    <row r="7350">
      <c r="A7350" s="2" t="s">
        <v>15292</v>
      </c>
      <c r="B7350" s="2" t="s">
        <v>15293</v>
      </c>
      <c r="C7350" s="2" t="s">
        <v>15245</v>
      </c>
    </row>
    <row r="7351">
      <c r="A7351" s="2" t="s">
        <v>15294</v>
      </c>
      <c r="B7351" s="2" t="s">
        <v>15295</v>
      </c>
      <c r="C7351" s="2" t="s">
        <v>15245</v>
      </c>
    </row>
    <row r="7352">
      <c r="A7352" s="2" t="s">
        <v>15296</v>
      </c>
      <c r="B7352" s="2" t="s">
        <v>15297</v>
      </c>
      <c r="C7352" s="2" t="s">
        <v>15245</v>
      </c>
    </row>
    <row r="7353">
      <c r="A7353" s="2" t="s">
        <v>15298</v>
      </c>
      <c r="B7353" s="2" t="s">
        <v>15299</v>
      </c>
      <c r="C7353" s="2" t="s">
        <v>15245</v>
      </c>
    </row>
    <row r="7354">
      <c r="A7354" s="2" t="s">
        <v>15300</v>
      </c>
      <c r="B7354" s="2" t="s">
        <v>15299</v>
      </c>
      <c r="C7354" s="2" t="s">
        <v>15245</v>
      </c>
    </row>
    <row r="7355">
      <c r="A7355" s="2" t="s">
        <v>15301</v>
      </c>
      <c r="B7355" s="2" t="s">
        <v>15302</v>
      </c>
      <c r="C7355" s="2" t="s">
        <v>15245</v>
      </c>
    </row>
    <row r="7356">
      <c r="A7356" s="2" t="s">
        <v>15303</v>
      </c>
      <c r="B7356" s="2" t="s">
        <v>15304</v>
      </c>
      <c r="C7356" s="2" t="s">
        <v>15245</v>
      </c>
    </row>
    <row r="7357">
      <c r="A7357" s="2" t="s">
        <v>15305</v>
      </c>
      <c r="B7357" s="2" t="s">
        <v>15306</v>
      </c>
      <c r="C7357" s="2" t="s">
        <v>15245</v>
      </c>
    </row>
    <row r="7358">
      <c r="A7358" s="2" t="s">
        <v>15307</v>
      </c>
      <c r="B7358" s="2" t="s">
        <v>15308</v>
      </c>
      <c r="C7358" s="2" t="s">
        <v>15245</v>
      </c>
    </row>
    <row r="7359">
      <c r="A7359" s="2" t="s">
        <v>15309</v>
      </c>
      <c r="B7359" s="2" t="s">
        <v>15310</v>
      </c>
      <c r="C7359" s="2" t="s">
        <v>15245</v>
      </c>
    </row>
    <row r="7360">
      <c r="A7360" s="2" t="s">
        <v>15311</v>
      </c>
      <c r="B7360" s="2" t="s">
        <v>15312</v>
      </c>
      <c r="C7360" s="2" t="s">
        <v>15245</v>
      </c>
    </row>
    <row r="7361">
      <c r="A7361" s="2" t="s">
        <v>15313</v>
      </c>
      <c r="B7361" s="2" t="s">
        <v>15314</v>
      </c>
      <c r="C7361" s="2" t="s">
        <v>15245</v>
      </c>
    </row>
    <row r="7362">
      <c r="A7362" s="2" t="s">
        <v>15315</v>
      </c>
      <c r="B7362" s="2" t="s">
        <v>15316</v>
      </c>
      <c r="C7362" s="2" t="s">
        <v>15245</v>
      </c>
    </row>
    <row r="7363">
      <c r="A7363" s="2" t="s">
        <v>15317</v>
      </c>
      <c r="B7363" s="2" t="s">
        <v>15318</v>
      </c>
      <c r="C7363" s="2" t="s">
        <v>15245</v>
      </c>
    </row>
    <row r="7364">
      <c r="A7364" s="2" t="s">
        <v>15319</v>
      </c>
      <c r="B7364" s="2" t="s">
        <v>15320</v>
      </c>
      <c r="C7364" s="2" t="s">
        <v>15245</v>
      </c>
    </row>
    <row r="7365">
      <c r="A7365" s="2" t="s">
        <v>15321</v>
      </c>
      <c r="B7365" s="2" t="s">
        <v>15322</v>
      </c>
      <c r="C7365" s="2" t="s">
        <v>15245</v>
      </c>
    </row>
    <row r="7366">
      <c r="A7366" s="2" t="s">
        <v>15323</v>
      </c>
      <c r="B7366" s="2" t="s">
        <v>15324</v>
      </c>
      <c r="C7366" s="2" t="s">
        <v>15245</v>
      </c>
    </row>
    <row r="7367">
      <c r="A7367" s="2" t="s">
        <v>15325</v>
      </c>
      <c r="B7367" s="2" t="s">
        <v>15326</v>
      </c>
      <c r="C7367" s="2" t="s">
        <v>15245</v>
      </c>
    </row>
    <row r="7368">
      <c r="A7368" s="2" t="s">
        <v>15327</v>
      </c>
      <c r="B7368" s="2" t="s">
        <v>15328</v>
      </c>
      <c r="C7368" s="2" t="s">
        <v>15245</v>
      </c>
    </row>
    <row r="7369">
      <c r="A7369" s="2" t="s">
        <v>15329</v>
      </c>
      <c r="B7369" s="2" t="s">
        <v>15330</v>
      </c>
      <c r="C7369" s="2" t="s">
        <v>15245</v>
      </c>
    </row>
    <row r="7370">
      <c r="A7370" s="2" t="s">
        <v>15331</v>
      </c>
      <c r="B7370" s="2" t="s">
        <v>15332</v>
      </c>
      <c r="C7370" s="2" t="s">
        <v>15245</v>
      </c>
    </row>
    <row r="7371">
      <c r="A7371" s="2" t="s">
        <v>15333</v>
      </c>
      <c r="B7371" s="2" t="s">
        <v>15334</v>
      </c>
      <c r="C7371" s="2" t="s">
        <v>15245</v>
      </c>
    </row>
    <row r="7372">
      <c r="A7372" s="2" t="s">
        <v>15335</v>
      </c>
      <c r="B7372" s="2" t="s">
        <v>15336</v>
      </c>
      <c r="C7372" s="2" t="s">
        <v>15245</v>
      </c>
    </row>
    <row r="7373">
      <c r="A7373" s="2" t="s">
        <v>15337</v>
      </c>
      <c r="B7373" s="2" t="s">
        <v>15338</v>
      </c>
      <c r="C7373" s="2" t="s">
        <v>15245</v>
      </c>
    </row>
    <row r="7374">
      <c r="A7374" s="2" t="s">
        <v>15339</v>
      </c>
      <c r="B7374" s="2" t="s">
        <v>15340</v>
      </c>
      <c r="C7374" s="2" t="s">
        <v>15245</v>
      </c>
    </row>
    <row r="7375">
      <c r="A7375" s="2" t="s">
        <v>15341</v>
      </c>
      <c r="B7375" s="2" t="s">
        <v>15342</v>
      </c>
      <c r="C7375" s="2" t="s">
        <v>15245</v>
      </c>
    </row>
    <row r="7376">
      <c r="A7376" s="2" t="s">
        <v>15343</v>
      </c>
      <c r="B7376" s="2" t="s">
        <v>15344</v>
      </c>
      <c r="C7376" s="2" t="s">
        <v>15245</v>
      </c>
    </row>
    <row r="7377">
      <c r="A7377" s="2" t="s">
        <v>15345</v>
      </c>
      <c r="B7377" s="2" t="s">
        <v>15346</v>
      </c>
      <c r="C7377" s="2" t="s">
        <v>15245</v>
      </c>
    </row>
    <row r="7378">
      <c r="A7378" s="2" t="s">
        <v>15347</v>
      </c>
      <c r="B7378" s="2" t="s">
        <v>15348</v>
      </c>
      <c r="C7378" s="2" t="s">
        <v>15245</v>
      </c>
    </row>
    <row r="7379">
      <c r="A7379" s="2" t="s">
        <v>15349</v>
      </c>
      <c r="B7379" s="2" t="s">
        <v>15350</v>
      </c>
      <c r="C7379" s="2" t="s">
        <v>15245</v>
      </c>
    </row>
    <row r="7380">
      <c r="A7380" s="2" t="s">
        <v>15351</v>
      </c>
      <c r="B7380" s="2" t="s">
        <v>15350</v>
      </c>
      <c r="C7380" s="2" t="s">
        <v>15245</v>
      </c>
    </row>
    <row r="7381">
      <c r="A7381" s="2" t="s">
        <v>15352</v>
      </c>
      <c r="B7381" s="2" t="s">
        <v>15353</v>
      </c>
      <c r="C7381" s="2" t="s">
        <v>15245</v>
      </c>
    </row>
    <row r="7382">
      <c r="A7382" s="2" t="s">
        <v>15354</v>
      </c>
      <c r="B7382" s="2" t="s">
        <v>15355</v>
      </c>
      <c r="C7382" s="2" t="s">
        <v>15245</v>
      </c>
    </row>
    <row r="7383">
      <c r="A7383" s="2" t="s">
        <v>15356</v>
      </c>
      <c r="B7383" s="2" t="s">
        <v>15357</v>
      </c>
      <c r="C7383" s="2" t="s">
        <v>15245</v>
      </c>
    </row>
    <row r="7384">
      <c r="A7384" s="2" t="s">
        <v>15358</v>
      </c>
      <c r="B7384" s="2" t="s">
        <v>15359</v>
      </c>
      <c r="C7384" s="2" t="s">
        <v>15245</v>
      </c>
    </row>
    <row r="7385">
      <c r="A7385" s="2" t="s">
        <v>15360</v>
      </c>
      <c r="B7385" s="2" t="s">
        <v>15361</v>
      </c>
      <c r="C7385" s="2" t="s">
        <v>15245</v>
      </c>
    </row>
    <row r="7386">
      <c r="A7386" s="2" t="s">
        <v>15362</v>
      </c>
      <c r="B7386" s="2" t="s">
        <v>15363</v>
      </c>
      <c r="C7386" s="2" t="s">
        <v>15245</v>
      </c>
    </row>
    <row r="7387">
      <c r="A7387" s="2" t="s">
        <v>15364</v>
      </c>
      <c r="B7387" s="2" t="s">
        <v>15365</v>
      </c>
      <c r="C7387" s="2" t="s">
        <v>15245</v>
      </c>
    </row>
    <row r="7388">
      <c r="A7388" s="2" t="s">
        <v>15366</v>
      </c>
      <c r="B7388" s="2" t="s">
        <v>15367</v>
      </c>
      <c r="C7388" s="2" t="s">
        <v>15245</v>
      </c>
    </row>
    <row r="7389">
      <c r="A7389" s="2" t="s">
        <v>15368</v>
      </c>
      <c r="B7389" s="2" t="s">
        <v>15369</v>
      </c>
      <c r="C7389" s="2" t="s">
        <v>15245</v>
      </c>
    </row>
    <row r="7390">
      <c r="A7390" s="2" t="s">
        <v>15370</v>
      </c>
      <c r="B7390" s="2" t="s">
        <v>15371</v>
      </c>
      <c r="C7390" s="2" t="s">
        <v>15245</v>
      </c>
    </row>
    <row r="7391">
      <c r="A7391" s="2" t="s">
        <v>15372</v>
      </c>
      <c r="B7391" s="2" t="s">
        <v>15373</v>
      </c>
      <c r="C7391" s="2" t="s">
        <v>15245</v>
      </c>
    </row>
    <row r="7392">
      <c r="A7392" s="2" t="s">
        <v>15374</v>
      </c>
      <c r="B7392" s="2" t="s">
        <v>15375</v>
      </c>
      <c r="C7392" s="2" t="s">
        <v>15245</v>
      </c>
    </row>
    <row r="7393">
      <c r="A7393" s="2" t="s">
        <v>15376</v>
      </c>
      <c r="B7393" s="2" t="s">
        <v>15377</v>
      </c>
      <c r="C7393" s="2" t="s">
        <v>15245</v>
      </c>
    </row>
    <row r="7394">
      <c r="A7394" s="2" t="s">
        <v>15378</v>
      </c>
      <c r="B7394" s="2" t="s">
        <v>15379</v>
      </c>
      <c r="C7394" s="2" t="s">
        <v>15245</v>
      </c>
    </row>
    <row r="7395">
      <c r="A7395" s="2" t="s">
        <v>15380</v>
      </c>
      <c r="B7395" s="2" t="s">
        <v>15381</v>
      </c>
      <c r="C7395" s="2" t="s">
        <v>15245</v>
      </c>
    </row>
    <row r="7396">
      <c r="A7396" s="2" t="s">
        <v>15382</v>
      </c>
      <c r="B7396" s="2" t="s">
        <v>15383</v>
      </c>
      <c r="C7396" s="2" t="s">
        <v>15245</v>
      </c>
    </row>
    <row r="7397">
      <c r="A7397" s="2" t="s">
        <v>15384</v>
      </c>
      <c r="B7397" s="2" t="s">
        <v>15385</v>
      </c>
      <c r="C7397" s="2" t="s">
        <v>15245</v>
      </c>
    </row>
    <row r="7398">
      <c r="A7398" s="2" t="s">
        <v>15386</v>
      </c>
      <c r="B7398" s="2" t="s">
        <v>15387</v>
      </c>
      <c r="C7398" s="2" t="s">
        <v>15245</v>
      </c>
    </row>
    <row r="7399">
      <c r="A7399" s="2" t="s">
        <v>15388</v>
      </c>
      <c r="B7399" s="2" t="s">
        <v>15389</v>
      </c>
      <c r="C7399" s="2" t="s">
        <v>15245</v>
      </c>
    </row>
    <row r="7400">
      <c r="A7400" s="2" t="s">
        <v>15390</v>
      </c>
      <c r="B7400" s="2" t="s">
        <v>15391</v>
      </c>
      <c r="C7400" s="2" t="s">
        <v>15245</v>
      </c>
    </row>
    <row r="7401">
      <c r="A7401" s="2" t="s">
        <v>15392</v>
      </c>
      <c r="B7401" s="2" t="s">
        <v>15393</v>
      </c>
      <c r="C7401" s="2" t="s">
        <v>15245</v>
      </c>
    </row>
    <row r="7402">
      <c r="A7402" s="2" t="s">
        <v>15394</v>
      </c>
      <c r="B7402" s="2" t="s">
        <v>15395</v>
      </c>
      <c r="C7402" s="2" t="s">
        <v>15245</v>
      </c>
    </row>
    <row r="7403">
      <c r="A7403" s="2" t="s">
        <v>15396</v>
      </c>
      <c r="B7403" s="2" t="s">
        <v>15397</v>
      </c>
      <c r="C7403" s="2" t="s">
        <v>15245</v>
      </c>
    </row>
    <row r="7404">
      <c r="A7404" s="2" t="s">
        <v>15398</v>
      </c>
      <c r="B7404" s="2" t="s">
        <v>15399</v>
      </c>
      <c r="C7404" s="2" t="s">
        <v>15245</v>
      </c>
    </row>
    <row r="7405">
      <c r="A7405" s="2" t="s">
        <v>15400</v>
      </c>
      <c r="B7405" s="2" t="s">
        <v>15401</v>
      </c>
      <c r="C7405" s="2" t="s">
        <v>15245</v>
      </c>
    </row>
    <row r="7406">
      <c r="A7406" s="2" t="s">
        <v>15402</v>
      </c>
      <c r="B7406" s="2" t="s">
        <v>15403</v>
      </c>
      <c r="C7406" s="2" t="s">
        <v>15245</v>
      </c>
    </row>
    <row r="7407">
      <c r="A7407" s="2" t="s">
        <v>15404</v>
      </c>
      <c r="B7407" s="2" t="s">
        <v>15405</v>
      </c>
      <c r="C7407" s="2" t="s">
        <v>15245</v>
      </c>
    </row>
    <row r="7408">
      <c r="A7408" s="2" t="s">
        <v>15406</v>
      </c>
      <c r="B7408" s="2" t="s">
        <v>15407</v>
      </c>
      <c r="C7408" s="2" t="s">
        <v>15245</v>
      </c>
    </row>
    <row r="7409">
      <c r="A7409" s="2" t="s">
        <v>15408</v>
      </c>
      <c r="B7409" s="2" t="s">
        <v>15409</v>
      </c>
      <c r="C7409" s="2" t="s">
        <v>15245</v>
      </c>
    </row>
    <row r="7410">
      <c r="A7410" s="2" t="s">
        <v>15410</v>
      </c>
      <c r="B7410" s="2" t="s">
        <v>15411</v>
      </c>
      <c r="C7410" s="2" t="s">
        <v>15245</v>
      </c>
    </row>
    <row r="7411">
      <c r="A7411" s="2" t="s">
        <v>15412</v>
      </c>
      <c r="B7411" s="2" t="s">
        <v>15413</v>
      </c>
      <c r="C7411" s="2" t="s">
        <v>15245</v>
      </c>
    </row>
    <row r="7412">
      <c r="A7412" s="2" t="s">
        <v>15414</v>
      </c>
      <c r="B7412" s="2" t="s">
        <v>15415</v>
      </c>
      <c r="C7412" s="2" t="s">
        <v>15245</v>
      </c>
    </row>
    <row r="7413">
      <c r="A7413" s="2" t="s">
        <v>15416</v>
      </c>
      <c r="B7413" s="2" t="s">
        <v>15415</v>
      </c>
      <c r="C7413" s="2" t="s">
        <v>15245</v>
      </c>
    </row>
    <row r="7414">
      <c r="A7414" s="2" t="s">
        <v>15417</v>
      </c>
      <c r="B7414" s="2" t="s">
        <v>15418</v>
      </c>
      <c r="C7414" s="2" t="s">
        <v>15245</v>
      </c>
    </row>
    <row r="7415">
      <c r="A7415" s="2" t="s">
        <v>15419</v>
      </c>
      <c r="B7415" s="2" t="s">
        <v>15420</v>
      </c>
      <c r="C7415" s="2" t="s">
        <v>15245</v>
      </c>
    </row>
    <row r="7416">
      <c r="A7416" s="2" t="s">
        <v>15421</v>
      </c>
      <c r="B7416" s="2" t="s">
        <v>15422</v>
      </c>
      <c r="C7416" s="2" t="s">
        <v>15245</v>
      </c>
    </row>
    <row r="7417">
      <c r="A7417" s="2" t="s">
        <v>15423</v>
      </c>
      <c r="B7417" s="2" t="s">
        <v>15424</v>
      </c>
      <c r="C7417" s="2" t="s">
        <v>15245</v>
      </c>
    </row>
    <row r="7418">
      <c r="A7418" s="2" t="s">
        <v>15425</v>
      </c>
      <c r="B7418" s="2" t="s">
        <v>15426</v>
      </c>
      <c r="C7418" s="2" t="s">
        <v>15245</v>
      </c>
    </row>
    <row r="7419">
      <c r="A7419" s="2" t="s">
        <v>15427</v>
      </c>
      <c r="B7419" s="2" t="s">
        <v>15428</v>
      </c>
      <c r="C7419" s="2" t="s">
        <v>15245</v>
      </c>
    </row>
    <row r="7420">
      <c r="A7420" s="2" t="s">
        <v>15429</v>
      </c>
      <c r="B7420" s="2" t="s">
        <v>15430</v>
      </c>
      <c r="C7420" s="2" t="s">
        <v>15245</v>
      </c>
    </row>
    <row r="7421">
      <c r="A7421" s="2" t="s">
        <v>15431</v>
      </c>
      <c r="B7421" s="2" t="s">
        <v>15432</v>
      </c>
      <c r="C7421" s="2" t="s">
        <v>15245</v>
      </c>
    </row>
    <row r="7422">
      <c r="A7422" s="2" t="s">
        <v>15433</v>
      </c>
      <c r="B7422" s="2" t="s">
        <v>15434</v>
      </c>
      <c r="C7422" s="2" t="s">
        <v>15245</v>
      </c>
    </row>
    <row r="7423">
      <c r="A7423" s="2" t="s">
        <v>15435</v>
      </c>
      <c r="B7423" s="2" t="s">
        <v>15436</v>
      </c>
      <c r="C7423" s="2" t="s">
        <v>15245</v>
      </c>
    </row>
    <row r="7424">
      <c r="A7424" s="2" t="s">
        <v>15437</v>
      </c>
      <c r="B7424" s="2" t="s">
        <v>15438</v>
      </c>
      <c r="C7424" s="2" t="s">
        <v>15245</v>
      </c>
    </row>
    <row r="7425">
      <c r="A7425" s="2" t="s">
        <v>15439</v>
      </c>
      <c r="B7425" s="2" t="s">
        <v>15440</v>
      </c>
      <c r="C7425" s="2" t="s">
        <v>15245</v>
      </c>
    </row>
    <row r="7426">
      <c r="A7426" s="2" t="s">
        <v>15441</v>
      </c>
      <c r="B7426" s="2" t="s">
        <v>15442</v>
      </c>
      <c r="C7426" s="2" t="s">
        <v>15245</v>
      </c>
    </row>
    <row r="7427">
      <c r="A7427" s="2" t="s">
        <v>15443</v>
      </c>
      <c r="B7427" s="2" t="s">
        <v>15444</v>
      </c>
      <c r="C7427" s="2" t="s">
        <v>15245</v>
      </c>
    </row>
    <row r="7428">
      <c r="A7428" s="2" t="s">
        <v>15445</v>
      </c>
      <c r="B7428" s="2" t="s">
        <v>15446</v>
      </c>
      <c r="C7428" s="2" t="s">
        <v>15245</v>
      </c>
    </row>
    <row r="7429">
      <c r="A7429" s="2" t="s">
        <v>15447</v>
      </c>
      <c r="B7429" s="2" t="s">
        <v>15448</v>
      </c>
      <c r="C7429" s="2" t="s">
        <v>15245</v>
      </c>
    </row>
    <row r="7430">
      <c r="A7430" s="2" t="s">
        <v>15449</v>
      </c>
      <c r="B7430" s="2" t="s">
        <v>15450</v>
      </c>
      <c r="C7430" s="2" t="s">
        <v>15245</v>
      </c>
    </row>
    <row r="7431">
      <c r="A7431" s="2" t="s">
        <v>15451</v>
      </c>
      <c r="B7431" s="2" t="s">
        <v>15452</v>
      </c>
      <c r="C7431" s="2" t="s">
        <v>15245</v>
      </c>
    </row>
    <row r="7432">
      <c r="A7432" s="2" t="s">
        <v>15453</v>
      </c>
      <c r="B7432" s="2" t="s">
        <v>15454</v>
      </c>
      <c r="C7432" s="2" t="s">
        <v>15245</v>
      </c>
    </row>
    <row r="7433">
      <c r="A7433" s="2" t="s">
        <v>15455</v>
      </c>
      <c r="B7433" s="2" t="s">
        <v>15454</v>
      </c>
      <c r="C7433" s="2" t="s">
        <v>15245</v>
      </c>
    </row>
    <row r="7434">
      <c r="A7434" s="2" t="s">
        <v>15456</v>
      </c>
      <c r="B7434" s="2" t="s">
        <v>15457</v>
      </c>
      <c r="C7434" s="2" t="s">
        <v>15245</v>
      </c>
    </row>
    <row r="7435">
      <c r="A7435" s="2" t="s">
        <v>15458</v>
      </c>
      <c r="B7435" s="2" t="s">
        <v>15459</v>
      </c>
      <c r="C7435" s="2" t="s">
        <v>15245</v>
      </c>
    </row>
    <row r="7436">
      <c r="A7436" s="2" t="s">
        <v>15460</v>
      </c>
      <c r="B7436" s="2" t="s">
        <v>15461</v>
      </c>
      <c r="C7436" s="2" t="s">
        <v>15245</v>
      </c>
    </row>
    <row r="7437">
      <c r="A7437" s="2" t="s">
        <v>15462</v>
      </c>
      <c r="B7437" s="2" t="s">
        <v>15463</v>
      </c>
      <c r="C7437" s="2" t="s">
        <v>15245</v>
      </c>
    </row>
    <row r="7438">
      <c r="A7438" s="2" t="s">
        <v>15464</v>
      </c>
      <c r="B7438" s="2" t="s">
        <v>15465</v>
      </c>
      <c r="C7438" s="2" t="s">
        <v>15245</v>
      </c>
    </row>
    <row r="7439">
      <c r="A7439" s="2" t="s">
        <v>15466</v>
      </c>
      <c r="B7439" s="2" t="s">
        <v>15467</v>
      </c>
      <c r="C7439" s="2" t="s">
        <v>15245</v>
      </c>
    </row>
    <row r="7440">
      <c r="A7440" s="2" t="s">
        <v>15468</v>
      </c>
      <c r="B7440" s="2" t="s">
        <v>15469</v>
      </c>
      <c r="C7440" s="2" t="s">
        <v>15245</v>
      </c>
    </row>
    <row r="7441">
      <c r="A7441" s="2" t="s">
        <v>15470</v>
      </c>
      <c r="B7441" s="2" t="s">
        <v>15471</v>
      </c>
      <c r="C7441" s="2" t="s">
        <v>15245</v>
      </c>
    </row>
    <row r="7442">
      <c r="A7442" s="2" t="s">
        <v>15472</v>
      </c>
      <c r="B7442" s="2" t="s">
        <v>15473</v>
      </c>
      <c r="C7442" s="2" t="s">
        <v>15245</v>
      </c>
    </row>
    <row r="7443">
      <c r="A7443" s="2" t="s">
        <v>15474</v>
      </c>
      <c r="B7443" s="2" t="s">
        <v>15475</v>
      </c>
      <c r="C7443" s="2" t="s">
        <v>15245</v>
      </c>
    </row>
    <row r="7444">
      <c r="A7444" s="2" t="s">
        <v>15476</v>
      </c>
      <c r="B7444" s="2" t="s">
        <v>15477</v>
      </c>
      <c r="C7444" s="2" t="s">
        <v>15245</v>
      </c>
    </row>
    <row r="7445">
      <c r="A7445" s="2" t="s">
        <v>15478</v>
      </c>
      <c r="B7445" s="2" t="s">
        <v>15479</v>
      </c>
      <c r="C7445" s="2" t="s">
        <v>15245</v>
      </c>
    </row>
    <row r="7446">
      <c r="A7446" s="2" t="s">
        <v>15480</v>
      </c>
      <c r="B7446" s="2" t="s">
        <v>15481</v>
      </c>
      <c r="C7446" s="2" t="s">
        <v>15245</v>
      </c>
    </row>
    <row r="7447">
      <c r="A7447" s="2" t="s">
        <v>15482</v>
      </c>
      <c r="B7447" s="2" t="s">
        <v>15483</v>
      </c>
      <c r="C7447" s="2" t="s">
        <v>15245</v>
      </c>
    </row>
    <row r="7448">
      <c r="A7448" s="2" t="s">
        <v>15484</v>
      </c>
      <c r="B7448" s="2" t="s">
        <v>15485</v>
      </c>
      <c r="C7448" s="2" t="s">
        <v>15245</v>
      </c>
    </row>
    <row r="7449">
      <c r="A7449" s="2" t="s">
        <v>15486</v>
      </c>
      <c r="B7449" s="2" t="s">
        <v>15487</v>
      </c>
      <c r="C7449" s="2" t="s">
        <v>15245</v>
      </c>
    </row>
    <row r="7450">
      <c r="A7450" s="2" t="s">
        <v>15488</v>
      </c>
      <c r="B7450" s="2" t="s">
        <v>15489</v>
      </c>
      <c r="C7450" s="2" t="s">
        <v>15245</v>
      </c>
    </row>
    <row r="7451">
      <c r="A7451" s="2" t="s">
        <v>15490</v>
      </c>
      <c r="B7451" s="2" t="s">
        <v>15491</v>
      </c>
      <c r="C7451" s="2" t="s">
        <v>15245</v>
      </c>
    </row>
    <row r="7452">
      <c r="A7452" s="2" t="s">
        <v>15492</v>
      </c>
      <c r="B7452" s="2" t="s">
        <v>15493</v>
      </c>
      <c r="C7452" s="2" t="s">
        <v>15245</v>
      </c>
    </row>
    <row r="7453">
      <c r="A7453" s="2" t="s">
        <v>15494</v>
      </c>
      <c r="B7453" s="2" t="s">
        <v>15495</v>
      </c>
      <c r="C7453" s="2" t="s">
        <v>15245</v>
      </c>
    </row>
    <row r="7454">
      <c r="A7454" s="2" t="s">
        <v>15496</v>
      </c>
      <c r="B7454" s="2" t="s">
        <v>15497</v>
      </c>
      <c r="C7454" s="2" t="s">
        <v>15245</v>
      </c>
    </row>
    <row r="7455">
      <c r="A7455" s="2" t="s">
        <v>15498</v>
      </c>
      <c r="B7455" s="2" t="s">
        <v>15499</v>
      </c>
      <c r="C7455" s="2" t="s">
        <v>15245</v>
      </c>
    </row>
    <row r="7456">
      <c r="A7456" s="2" t="s">
        <v>15500</v>
      </c>
      <c r="B7456" s="2" t="s">
        <v>15501</v>
      </c>
      <c r="C7456" s="2" t="s">
        <v>15245</v>
      </c>
    </row>
    <row r="7457">
      <c r="A7457" s="2" t="s">
        <v>15502</v>
      </c>
      <c r="B7457" s="2" t="s">
        <v>15503</v>
      </c>
      <c r="C7457" s="2" t="s">
        <v>15245</v>
      </c>
    </row>
    <row r="7458">
      <c r="A7458" s="2" t="s">
        <v>15504</v>
      </c>
      <c r="B7458" s="2" t="s">
        <v>15505</v>
      </c>
      <c r="C7458" s="2" t="s">
        <v>15245</v>
      </c>
    </row>
    <row r="7459">
      <c r="A7459" s="2" t="s">
        <v>15506</v>
      </c>
      <c r="B7459" s="2" t="s">
        <v>15507</v>
      </c>
      <c r="C7459" s="2" t="s">
        <v>15245</v>
      </c>
    </row>
    <row r="7460">
      <c r="A7460" s="2" t="s">
        <v>15508</v>
      </c>
      <c r="B7460" s="2" t="s">
        <v>15509</v>
      </c>
      <c r="C7460" s="2" t="s">
        <v>15245</v>
      </c>
    </row>
    <row r="7461">
      <c r="A7461" s="2" t="s">
        <v>15510</v>
      </c>
      <c r="B7461" s="2" t="s">
        <v>15511</v>
      </c>
      <c r="C7461" s="2" t="s">
        <v>15245</v>
      </c>
    </row>
    <row r="7462">
      <c r="A7462" s="2" t="s">
        <v>15512</v>
      </c>
      <c r="B7462" s="2" t="s">
        <v>15513</v>
      </c>
      <c r="C7462" s="2" t="s">
        <v>15245</v>
      </c>
    </row>
    <row r="7463">
      <c r="A7463" s="2" t="s">
        <v>15514</v>
      </c>
      <c r="B7463" s="2" t="s">
        <v>15515</v>
      </c>
      <c r="C7463" s="2" t="s">
        <v>15245</v>
      </c>
    </row>
    <row r="7464">
      <c r="A7464" s="2" t="s">
        <v>15516</v>
      </c>
      <c r="B7464" s="2" t="s">
        <v>15517</v>
      </c>
      <c r="C7464" s="2" t="s">
        <v>15245</v>
      </c>
    </row>
    <row r="7465">
      <c r="A7465" s="2" t="s">
        <v>15518</v>
      </c>
      <c r="B7465" s="2" t="s">
        <v>15519</v>
      </c>
      <c r="C7465" s="2" t="s">
        <v>15245</v>
      </c>
    </row>
    <row r="7466">
      <c r="A7466" s="2" t="s">
        <v>15520</v>
      </c>
      <c r="B7466" s="2" t="s">
        <v>15521</v>
      </c>
      <c r="C7466" s="2" t="s">
        <v>15245</v>
      </c>
    </row>
    <row r="7467">
      <c r="A7467" s="2" t="s">
        <v>15522</v>
      </c>
      <c r="B7467" s="2" t="s">
        <v>15523</v>
      </c>
      <c r="C7467" s="2" t="s">
        <v>15245</v>
      </c>
    </row>
    <row r="7468">
      <c r="A7468" s="2" t="s">
        <v>15524</v>
      </c>
      <c r="B7468" s="2" t="s">
        <v>15525</v>
      </c>
      <c r="C7468" s="2" t="s">
        <v>15245</v>
      </c>
    </row>
    <row r="7469">
      <c r="A7469" s="2" t="s">
        <v>15526</v>
      </c>
      <c r="B7469" s="2" t="s">
        <v>15527</v>
      </c>
      <c r="C7469" s="2" t="s">
        <v>15245</v>
      </c>
    </row>
    <row r="7470">
      <c r="A7470" s="2" t="s">
        <v>15528</v>
      </c>
      <c r="B7470" s="2" t="s">
        <v>15529</v>
      </c>
      <c r="C7470" s="2" t="s">
        <v>15245</v>
      </c>
    </row>
    <row r="7471">
      <c r="A7471" s="2" t="s">
        <v>15530</v>
      </c>
      <c r="B7471" s="2" t="s">
        <v>15531</v>
      </c>
      <c r="C7471" s="2" t="s">
        <v>15245</v>
      </c>
    </row>
    <row r="7472">
      <c r="A7472" s="2" t="s">
        <v>15532</v>
      </c>
      <c r="B7472" s="2" t="s">
        <v>15533</v>
      </c>
      <c r="C7472" s="2" t="s">
        <v>15245</v>
      </c>
    </row>
    <row r="7473">
      <c r="A7473" s="2" t="s">
        <v>15534</v>
      </c>
      <c r="B7473" s="2" t="s">
        <v>15535</v>
      </c>
      <c r="C7473" s="2" t="s">
        <v>15245</v>
      </c>
    </row>
    <row r="7474">
      <c r="A7474" s="2" t="s">
        <v>15536</v>
      </c>
      <c r="B7474" s="2" t="s">
        <v>15537</v>
      </c>
      <c r="C7474" s="2" t="s">
        <v>15245</v>
      </c>
    </row>
    <row r="7475">
      <c r="A7475" s="2" t="s">
        <v>15538</v>
      </c>
      <c r="B7475" s="2" t="s">
        <v>15539</v>
      </c>
      <c r="C7475" s="2" t="s">
        <v>15245</v>
      </c>
    </row>
    <row r="7476">
      <c r="A7476" s="2" t="s">
        <v>15540</v>
      </c>
      <c r="B7476" s="2" t="s">
        <v>15541</v>
      </c>
      <c r="C7476" s="2" t="s">
        <v>15245</v>
      </c>
    </row>
    <row r="7477">
      <c r="A7477" s="2" t="s">
        <v>15542</v>
      </c>
      <c r="B7477" s="2" t="s">
        <v>15543</v>
      </c>
      <c r="C7477" s="2" t="s">
        <v>15245</v>
      </c>
    </row>
    <row r="7478">
      <c r="A7478" s="2" t="s">
        <v>15544</v>
      </c>
      <c r="B7478" s="2" t="s">
        <v>15545</v>
      </c>
      <c r="C7478" s="2" t="s">
        <v>15245</v>
      </c>
    </row>
    <row r="7479">
      <c r="A7479" s="2" t="s">
        <v>15546</v>
      </c>
      <c r="B7479" s="2" t="s">
        <v>15547</v>
      </c>
      <c r="C7479" s="2" t="s">
        <v>15245</v>
      </c>
    </row>
    <row r="7480">
      <c r="A7480" s="2" t="s">
        <v>15548</v>
      </c>
      <c r="B7480" s="2" t="s">
        <v>15549</v>
      </c>
      <c r="C7480" s="2" t="s">
        <v>15245</v>
      </c>
    </row>
    <row r="7481">
      <c r="A7481" s="2" t="s">
        <v>15550</v>
      </c>
      <c r="B7481" s="2" t="s">
        <v>15551</v>
      </c>
      <c r="C7481" s="2" t="s">
        <v>15245</v>
      </c>
    </row>
    <row r="7482">
      <c r="A7482" s="2" t="s">
        <v>15552</v>
      </c>
      <c r="B7482" s="2" t="s">
        <v>15553</v>
      </c>
      <c r="C7482" s="2" t="s">
        <v>15245</v>
      </c>
    </row>
    <row r="7483">
      <c r="A7483" s="2" t="s">
        <v>15554</v>
      </c>
      <c r="B7483" s="2" t="s">
        <v>15555</v>
      </c>
      <c r="C7483" s="2" t="s">
        <v>15245</v>
      </c>
    </row>
    <row r="7484">
      <c r="A7484" s="2" t="s">
        <v>15556</v>
      </c>
      <c r="B7484" s="2" t="s">
        <v>15555</v>
      </c>
      <c r="C7484" s="2" t="s">
        <v>15245</v>
      </c>
    </row>
    <row r="7485">
      <c r="A7485" s="2" t="s">
        <v>15557</v>
      </c>
      <c r="B7485" s="2" t="s">
        <v>15558</v>
      </c>
      <c r="C7485" s="2" t="s">
        <v>15245</v>
      </c>
    </row>
    <row r="7486">
      <c r="A7486" s="2" t="s">
        <v>15559</v>
      </c>
      <c r="B7486" s="2" t="s">
        <v>15560</v>
      </c>
      <c r="C7486" s="2" t="s">
        <v>15245</v>
      </c>
    </row>
    <row r="7487">
      <c r="A7487" s="2" t="s">
        <v>15561</v>
      </c>
      <c r="B7487" s="2" t="s">
        <v>15562</v>
      </c>
      <c r="C7487" s="2" t="s">
        <v>15245</v>
      </c>
    </row>
    <row r="7488">
      <c r="A7488" s="2" t="s">
        <v>15563</v>
      </c>
      <c r="B7488" s="2" t="s">
        <v>15564</v>
      </c>
      <c r="C7488" s="2" t="s">
        <v>15245</v>
      </c>
    </row>
    <row r="7489">
      <c r="A7489" s="2" t="s">
        <v>15565</v>
      </c>
      <c r="B7489" s="2" t="s">
        <v>15566</v>
      </c>
      <c r="C7489" s="2" t="s">
        <v>15245</v>
      </c>
    </row>
    <row r="7490">
      <c r="A7490" s="2" t="s">
        <v>15567</v>
      </c>
      <c r="B7490" s="2" t="s">
        <v>15568</v>
      </c>
      <c r="C7490" s="2" t="s">
        <v>15245</v>
      </c>
    </row>
    <row r="7491">
      <c r="A7491" s="2" t="s">
        <v>15569</v>
      </c>
      <c r="B7491" s="2" t="s">
        <v>15570</v>
      </c>
      <c r="C7491" s="2" t="s">
        <v>15245</v>
      </c>
    </row>
    <row r="7492">
      <c r="A7492" s="2" t="s">
        <v>15571</v>
      </c>
      <c r="B7492" s="2" t="s">
        <v>15572</v>
      </c>
      <c r="C7492" s="2" t="s">
        <v>15245</v>
      </c>
    </row>
    <row r="7493">
      <c r="A7493" s="2" t="s">
        <v>15573</v>
      </c>
      <c r="B7493" s="2" t="s">
        <v>15574</v>
      </c>
      <c r="C7493" s="2" t="s">
        <v>15245</v>
      </c>
    </row>
    <row r="7494">
      <c r="A7494" s="2" t="s">
        <v>15575</v>
      </c>
      <c r="B7494" s="2" t="s">
        <v>15576</v>
      </c>
      <c r="C7494" s="2" t="s">
        <v>15245</v>
      </c>
    </row>
    <row r="7495">
      <c r="A7495" s="2" t="s">
        <v>15577</v>
      </c>
      <c r="B7495" s="2" t="s">
        <v>15578</v>
      </c>
      <c r="C7495" s="2" t="s">
        <v>15245</v>
      </c>
    </row>
    <row r="7496">
      <c r="A7496" s="2" t="s">
        <v>15579</v>
      </c>
      <c r="B7496" s="2" t="s">
        <v>15580</v>
      </c>
      <c r="C7496" s="2" t="s">
        <v>15245</v>
      </c>
    </row>
    <row r="7497">
      <c r="A7497" s="2" t="s">
        <v>15581</v>
      </c>
      <c r="B7497" s="2" t="s">
        <v>15582</v>
      </c>
      <c r="C7497" s="2" t="s">
        <v>15245</v>
      </c>
    </row>
    <row r="7498">
      <c r="A7498" s="2" t="s">
        <v>15583</v>
      </c>
      <c r="B7498" s="2" t="s">
        <v>15584</v>
      </c>
      <c r="C7498" s="2" t="s">
        <v>15245</v>
      </c>
    </row>
    <row r="7499">
      <c r="A7499" s="2" t="s">
        <v>15585</v>
      </c>
      <c r="B7499" s="2" t="s">
        <v>15586</v>
      </c>
      <c r="C7499" s="2" t="s">
        <v>15245</v>
      </c>
    </row>
    <row r="7500">
      <c r="A7500" s="2" t="s">
        <v>15587</v>
      </c>
      <c r="B7500" s="2" t="s">
        <v>15588</v>
      </c>
      <c r="C7500" s="2" t="s">
        <v>15245</v>
      </c>
    </row>
    <row r="7501">
      <c r="A7501" s="2" t="s">
        <v>15589</v>
      </c>
      <c r="B7501" s="2" t="s">
        <v>15590</v>
      </c>
      <c r="C7501" s="2" t="s">
        <v>15245</v>
      </c>
    </row>
    <row r="7502">
      <c r="A7502" s="2" t="s">
        <v>15591</v>
      </c>
      <c r="B7502" s="2" t="s">
        <v>15592</v>
      </c>
      <c r="C7502" s="2" t="s">
        <v>15245</v>
      </c>
    </row>
    <row r="7503">
      <c r="A7503" s="2" t="s">
        <v>15593</v>
      </c>
      <c r="B7503" s="2" t="s">
        <v>15594</v>
      </c>
      <c r="C7503" s="2" t="s">
        <v>15245</v>
      </c>
    </row>
    <row r="7504">
      <c r="A7504" s="2" t="s">
        <v>15595</v>
      </c>
      <c r="B7504" s="2" t="s">
        <v>15596</v>
      </c>
      <c r="C7504" s="2" t="s">
        <v>15245</v>
      </c>
    </row>
    <row r="7505">
      <c r="A7505" s="2" t="s">
        <v>15597</v>
      </c>
      <c r="B7505" s="2" t="s">
        <v>15598</v>
      </c>
      <c r="C7505" s="2" t="s">
        <v>15245</v>
      </c>
    </row>
    <row r="7506">
      <c r="A7506" s="2" t="s">
        <v>15599</v>
      </c>
      <c r="B7506" s="2" t="s">
        <v>15598</v>
      </c>
      <c r="C7506" s="2" t="s">
        <v>15245</v>
      </c>
    </row>
    <row r="7507">
      <c r="A7507" s="2" t="s">
        <v>15600</v>
      </c>
      <c r="B7507" s="2" t="s">
        <v>15601</v>
      </c>
      <c r="C7507" s="2" t="s">
        <v>15245</v>
      </c>
    </row>
    <row r="7508">
      <c r="A7508" s="2" t="s">
        <v>15602</v>
      </c>
      <c r="B7508" s="2" t="s">
        <v>15603</v>
      </c>
      <c r="C7508" s="2" t="s">
        <v>15245</v>
      </c>
    </row>
    <row r="7509">
      <c r="A7509" s="2" t="s">
        <v>15604</v>
      </c>
      <c r="B7509" s="2" t="s">
        <v>15605</v>
      </c>
      <c r="C7509" s="2" t="s">
        <v>15245</v>
      </c>
    </row>
    <row r="7510">
      <c r="A7510" s="2" t="s">
        <v>15606</v>
      </c>
      <c r="B7510" s="2" t="s">
        <v>15607</v>
      </c>
      <c r="C7510" s="2" t="s">
        <v>15245</v>
      </c>
    </row>
    <row r="7511">
      <c r="A7511" s="2" t="s">
        <v>15608</v>
      </c>
      <c r="B7511" s="2" t="s">
        <v>15609</v>
      </c>
      <c r="C7511" s="2" t="s">
        <v>15245</v>
      </c>
    </row>
    <row r="7512">
      <c r="A7512" s="2" t="s">
        <v>15610</v>
      </c>
      <c r="B7512" s="2" t="s">
        <v>15611</v>
      </c>
      <c r="C7512" s="2" t="s">
        <v>15245</v>
      </c>
    </row>
    <row r="7513">
      <c r="A7513" s="2" t="s">
        <v>15612</v>
      </c>
      <c r="B7513" s="2" t="s">
        <v>15613</v>
      </c>
      <c r="C7513" s="2" t="s">
        <v>15245</v>
      </c>
    </row>
    <row r="7514">
      <c r="A7514" s="2" t="s">
        <v>15614</v>
      </c>
      <c r="B7514" s="2" t="s">
        <v>15615</v>
      </c>
      <c r="C7514" s="2" t="s">
        <v>15245</v>
      </c>
    </row>
    <row r="7515">
      <c r="A7515" s="2" t="s">
        <v>15616</v>
      </c>
      <c r="B7515" s="2" t="s">
        <v>15617</v>
      </c>
      <c r="C7515" s="2" t="s">
        <v>15245</v>
      </c>
    </row>
    <row r="7516">
      <c r="A7516" s="2" t="s">
        <v>15618</v>
      </c>
      <c r="B7516" s="2" t="s">
        <v>15619</v>
      </c>
      <c r="C7516" s="2" t="s">
        <v>15245</v>
      </c>
    </row>
    <row r="7517">
      <c r="A7517" s="2" t="s">
        <v>15620</v>
      </c>
      <c r="B7517" s="2" t="s">
        <v>15621</v>
      </c>
      <c r="C7517" s="2" t="s">
        <v>15245</v>
      </c>
    </row>
    <row r="7518">
      <c r="A7518" s="2" t="s">
        <v>15622</v>
      </c>
      <c r="B7518" s="2" t="s">
        <v>15623</v>
      </c>
      <c r="C7518" s="2" t="s">
        <v>15245</v>
      </c>
    </row>
    <row r="7519">
      <c r="A7519" s="2" t="s">
        <v>15624</v>
      </c>
      <c r="B7519" s="2" t="s">
        <v>15625</v>
      </c>
      <c r="C7519" s="2" t="s">
        <v>15245</v>
      </c>
    </row>
    <row r="7520">
      <c r="A7520" s="2" t="s">
        <v>15626</v>
      </c>
      <c r="B7520" s="2" t="s">
        <v>15627</v>
      </c>
      <c r="C7520" s="2" t="s">
        <v>15245</v>
      </c>
    </row>
    <row r="7521">
      <c r="A7521" s="2" t="s">
        <v>15628</v>
      </c>
      <c r="B7521" s="2" t="s">
        <v>15629</v>
      </c>
      <c r="C7521" s="2" t="s">
        <v>15245</v>
      </c>
    </row>
    <row r="7522">
      <c r="A7522" s="2" t="s">
        <v>15630</v>
      </c>
      <c r="B7522" s="2" t="s">
        <v>15631</v>
      </c>
      <c r="C7522" s="2" t="s">
        <v>15245</v>
      </c>
    </row>
    <row r="7523">
      <c r="A7523" s="2" t="s">
        <v>15632</v>
      </c>
      <c r="B7523" s="2" t="s">
        <v>15633</v>
      </c>
      <c r="C7523" s="2" t="s">
        <v>15245</v>
      </c>
    </row>
    <row r="7524">
      <c r="A7524" s="2" t="s">
        <v>15634</v>
      </c>
      <c r="B7524" s="2" t="s">
        <v>15635</v>
      </c>
      <c r="C7524" s="2" t="s">
        <v>15245</v>
      </c>
    </row>
    <row r="7525">
      <c r="A7525" s="2" t="s">
        <v>15636</v>
      </c>
      <c r="B7525" s="2" t="s">
        <v>15637</v>
      </c>
      <c r="C7525" s="2" t="s">
        <v>15245</v>
      </c>
    </row>
    <row r="7526">
      <c r="A7526" s="2" t="s">
        <v>15638</v>
      </c>
      <c r="B7526" s="2" t="s">
        <v>15639</v>
      </c>
      <c r="C7526" s="2" t="s">
        <v>15245</v>
      </c>
    </row>
    <row r="7527">
      <c r="A7527" s="2" t="s">
        <v>15640</v>
      </c>
      <c r="B7527" s="2" t="s">
        <v>15641</v>
      </c>
      <c r="C7527" s="2" t="s">
        <v>15245</v>
      </c>
    </row>
    <row r="7528">
      <c r="A7528" s="2" t="s">
        <v>15642</v>
      </c>
      <c r="B7528" s="2" t="s">
        <v>15643</v>
      </c>
      <c r="C7528" s="2" t="s">
        <v>15245</v>
      </c>
    </row>
    <row r="7529">
      <c r="A7529" s="2" t="s">
        <v>15644</v>
      </c>
      <c r="B7529" s="2" t="s">
        <v>15645</v>
      </c>
      <c r="C7529" s="2" t="s">
        <v>15245</v>
      </c>
    </row>
    <row r="7530">
      <c r="A7530" s="2" t="s">
        <v>15646</v>
      </c>
      <c r="B7530" s="2" t="s">
        <v>15647</v>
      </c>
      <c r="C7530" s="2" t="s">
        <v>15245</v>
      </c>
    </row>
    <row r="7531">
      <c r="A7531" s="2" t="s">
        <v>15648</v>
      </c>
      <c r="B7531" s="2" t="s">
        <v>15649</v>
      </c>
      <c r="C7531" s="2" t="s">
        <v>15245</v>
      </c>
    </row>
    <row r="7532">
      <c r="A7532" s="2" t="s">
        <v>15650</v>
      </c>
      <c r="B7532" s="2" t="s">
        <v>15651</v>
      </c>
      <c r="C7532" s="2" t="s">
        <v>15245</v>
      </c>
    </row>
    <row r="7533">
      <c r="A7533" s="2" t="s">
        <v>15652</v>
      </c>
      <c r="B7533" s="2" t="s">
        <v>15653</v>
      </c>
      <c r="C7533" s="2" t="s">
        <v>15245</v>
      </c>
    </row>
    <row r="7534">
      <c r="A7534" s="2" t="s">
        <v>15654</v>
      </c>
      <c r="B7534" s="2" t="s">
        <v>15655</v>
      </c>
      <c r="C7534" s="2" t="s">
        <v>15245</v>
      </c>
    </row>
    <row r="7535">
      <c r="A7535" s="2" t="s">
        <v>15656</v>
      </c>
      <c r="B7535" s="2" t="s">
        <v>15657</v>
      </c>
      <c r="C7535" s="2" t="s">
        <v>15245</v>
      </c>
    </row>
    <row r="7536">
      <c r="A7536" s="2" t="s">
        <v>15658</v>
      </c>
      <c r="B7536" s="2" t="s">
        <v>15659</v>
      </c>
      <c r="C7536" s="2" t="s">
        <v>15245</v>
      </c>
    </row>
    <row r="7537">
      <c r="A7537" s="2" t="s">
        <v>15660</v>
      </c>
      <c r="B7537" s="2" t="s">
        <v>15661</v>
      </c>
      <c r="C7537" s="2" t="s">
        <v>15245</v>
      </c>
    </row>
    <row r="7538">
      <c r="A7538" s="2" t="s">
        <v>15662</v>
      </c>
      <c r="B7538" s="2" t="s">
        <v>15663</v>
      </c>
      <c r="C7538" s="2" t="s">
        <v>15245</v>
      </c>
    </row>
    <row r="7539">
      <c r="A7539" s="2" t="s">
        <v>15664</v>
      </c>
      <c r="B7539" s="2" t="s">
        <v>15665</v>
      </c>
      <c r="C7539" s="2" t="s">
        <v>15245</v>
      </c>
    </row>
    <row r="7540">
      <c r="A7540" s="2" t="s">
        <v>15666</v>
      </c>
      <c r="B7540" s="2" t="s">
        <v>15667</v>
      </c>
      <c r="C7540" s="2" t="s">
        <v>15245</v>
      </c>
    </row>
    <row r="7541">
      <c r="A7541" s="2" t="s">
        <v>15668</v>
      </c>
      <c r="B7541" s="2" t="s">
        <v>15669</v>
      </c>
      <c r="C7541" s="2" t="s">
        <v>15245</v>
      </c>
    </row>
    <row r="7542">
      <c r="A7542" s="2" t="s">
        <v>15670</v>
      </c>
      <c r="B7542" s="2" t="s">
        <v>15671</v>
      </c>
      <c r="C7542" s="2" t="s">
        <v>15245</v>
      </c>
    </row>
    <row r="7543">
      <c r="A7543" s="2" t="s">
        <v>15672</v>
      </c>
      <c r="B7543" s="2" t="s">
        <v>15673</v>
      </c>
      <c r="C7543" s="2" t="s">
        <v>15245</v>
      </c>
    </row>
    <row r="7544">
      <c r="A7544" s="2" t="s">
        <v>15674</v>
      </c>
      <c r="B7544" s="2" t="s">
        <v>15675</v>
      </c>
      <c r="C7544" s="2" t="s">
        <v>15245</v>
      </c>
    </row>
    <row r="7545">
      <c r="A7545" s="2" t="s">
        <v>15676</v>
      </c>
      <c r="B7545" s="2" t="s">
        <v>15677</v>
      </c>
      <c r="C7545" s="2" t="s">
        <v>15245</v>
      </c>
    </row>
    <row r="7546">
      <c r="A7546" s="2" t="s">
        <v>15678</v>
      </c>
      <c r="B7546" s="2" t="s">
        <v>15679</v>
      </c>
      <c r="C7546" s="2" t="s">
        <v>15245</v>
      </c>
    </row>
    <row r="7547">
      <c r="A7547" s="2" t="s">
        <v>15680</v>
      </c>
      <c r="B7547" s="2" t="s">
        <v>15681</v>
      </c>
      <c r="C7547" s="2" t="s">
        <v>15245</v>
      </c>
    </row>
    <row r="7548">
      <c r="A7548" s="2" t="s">
        <v>15682</v>
      </c>
      <c r="B7548" s="2" t="s">
        <v>15683</v>
      </c>
      <c r="C7548" s="2" t="s">
        <v>15245</v>
      </c>
    </row>
    <row r="7549">
      <c r="A7549" s="2" t="s">
        <v>15684</v>
      </c>
      <c r="B7549" s="2" t="s">
        <v>15685</v>
      </c>
      <c r="C7549" s="2" t="s">
        <v>15245</v>
      </c>
    </row>
    <row r="7550">
      <c r="A7550" s="2" t="s">
        <v>15686</v>
      </c>
      <c r="B7550" s="2" t="s">
        <v>15687</v>
      </c>
      <c r="C7550" s="2" t="s">
        <v>15245</v>
      </c>
    </row>
    <row r="7551">
      <c r="A7551" s="2" t="s">
        <v>15688</v>
      </c>
      <c r="B7551" s="2" t="s">
        <v>15689</v>
      </c>
      <c r="C7551" s="2" t="s">
        <v>15245</v>
      </c>
    </row>
    <row r="7552">
      <c r="A7552" s="2" t="s">
        <v>15690</v>
      </c>
      <c r="B7552" s="2" t="s">
        <v>15689</v>
      </c>
      <c r="C7552" s="2" t="s">
        <v>15245</v>
      </c>
    </row>
    <row r="7553">
      <c r="A7553" s="2" t="s">
        <v>15691</v>
      </c>
      <c r="B7553" s="2" t="s">
        <v>15692</v>
      </c>
      <c r="C7553" s="2" t="s">
        <v>15245</v>
      </c>
    </row>
    <row r="7554">
      <c r="A7554" s="2" t="s">
        <v>15693</v>
      </c>
      <c r="B7554" s="2" t="s">
        <v>15694</v>
      </c>
      <c r="C7554" s="2" t="s">
        <v>15245</v>
      </c>
    </row>
    <row r="7555">
      <c r="A7555" s="2" t="s">
        <v>15695</v>
      </c>
      <c r="B7555" s="2" t="s">
        <v>15694</v>
      </c>
      <c r="C7555" s="2" t="s">
        <v>15245</v>
      </c>
    </row>
    <row r="7556">
      <c r="A7556" s="2" t="s">
        <v>15696</v>
      </c>
      <c r="B7556" s="2" t="s">
        <v>15697</v>
      </c>
      <c r="C7556" s="2" t="s">
        <v>15245</v>
      </c>
    </row>
    <row r="7557">
      <c r="A7557" s="2" t="s">
        <v>15698</v>
      </c>
      <c r="B7557" s="2" t="s">
        <v>15699</v>
      </c>
      <c r="C7557" s="2" t="s">
        <v>15245</v>
      </c>
    </row>
    <row r="7558">
      <c r="A7558" s="2" t="s">
        <v>15700</v>
      </c>
      <c r="B7558" s="2" t="s">
        <v>15701</v>
      </c>
      <c r="C7558" s="2" t="s">
        <v>15245</v>
      </c>
    </row>
    <row r="7559">
      <c r="A7559" s="2" t="s">
        <v>15702</v>
      </c>
      <c r="B7559" s="2" t="s">
        <v>15703</v>
      </c>
      <c r="C7559" s="2" t="s">
        <v>15245</v>
      </c>
    </row>
    <row r="7560">
      <c r="A7560" s="2" t="s">
        <v>15704</v>
      </c>
      <c r="B7560" s="2" t="s">
        <v>15705</v>
      </c>
      <c r="C7560" s="2" t="s">
        <v>15245</v>
      </c>
    </row>
    <row r="7561">
      <c r="A7561" s="2" t="s">
        <v>15706</v>
      </c>
      <c r="B7561" s="2" t="s">
        <v>15707</v>
      </c>
      <c r="C7561" s="2" t="s">
        <v>15245</v>
      </c>
    </row>
    <row r="7562">
      <c r="A7562" s="2" t="s">
        <v>15708</v>
      </c>
      <c r="B7562" s="2" t="s">
        <v>15709</v>
      </c>
      <c r="C7562" s="2" t="s">
        <v>15245</v>
      </c>
    </row>
    <row r="7563">
      <c r="A7563" s="2" t="s">
        <v>15710</v>
      </c>
      <c r="B7563" s="2" t="s">
        <v>15711</v>
      </c>
      <c r="C7563" s="2" t="s">
        <v>15245</v>
      </c>
    </row>
    <row r="7564">
      <c r="A7564" s="2" t="s">
        <v>15712</v>
      </c>
      <c r="B7564" s="2" t="s">
        <v>15713</v>
      </c>
      <c r="C7564" s="2" t="s">
        <v>15245</v>
      </c>
    </row>
    <row r="7565">
      <c r="A7565" s="2" t="s">
        <v>15714</v>
      </c>
      <c r="B7565" s="2" t="s">
        <v>15715</v>
      </c>
      <c r="C7565" s="2" t="s">
        <v>15245</v>
      </c>
    </row>
    <row r="7566">
      <c r="A7566" s="2" t="s">
        <v>15716</v>
      </c>
      <c r="B7566" s="2" t="s">
        <v>15717</v>
      </c>
      <c r="C7566" s="2" t="s">
        <v>15245</v>
      </c>
    </row>
    <row r="7567">
      <c r="A7567" s="2" t="s">
        <v>15718</v>
      </c>
      <c r="B7567" s="2" t="s">
        <v>15719</v>
      </c>
      <c r="C7567" s="2" t="s">
        <v>15245</v>
      </c>
    </row>
    <row r="7568">
      <c r="A7568" s="2" t="s">
        <v>15720</v>
      </c>
      <c r="B7568" s="2" t="s">
        <v>15721</v>
      </c>
      <c r="C7568" s="2" t="s">
        <v>15245</v>
      </c>
    </row>
    <row r="7569">
      <c r="A7569" s="2" t="s">
        <v>15722</v>
      </c>
      <c r="B7569" s="2" t="s">
        <v>15723</v>
      </c>
      <c r="C7569" s="2" t="s">
        <v>15245</v>
      </c>
    </row>
    <row r="7570">
      <c r="A7570" s="2" t="s">
        <v>15724</v>
      </c>
      <c r="B7570" s="2" t="s">
        <v>15725</v>
      </c>
      <c r="C7570" s="2" t="s">
        <v>15245</v>
      </c>
    </row>
    <row r="7571">
      <c r="A7571" s="2" t="s">
        <v>15726</v>
      </c>
      <c r="B7571" s="2" t="s">
        <v>15727</v>
      </c>
      <c r="C7571" s="2" t="s">
        <v>15245</v>
      </c>
    </row>
    <row r="7572">
      <c r="A7572" s="2" t="s">
        <v>15728</v>
      </c>
      <c r="B7572" s="2" t="s">
        <v>15729</v>
      </c>
      <c r="C7572" s="2" t="s">
        <v>15245</v>
      </c>
    </row>
    <row r="7573">
      <c r="A7573" s="2" t="s">
        <v>15730</v>
      </c>
      <c r="B7573" s="2" t="s">
        <v>15731</v>
      </c>
      <c r="C7573" s="2" t="s">
        <v>15245</v>
      </c>
    </row>
    <row r="7574">
      <c r="A7574" s="2" t="s">
        <v>15732</v>
      </c>
      <c r="B7574" s="2" t="s">
        <v>15733</v>
      </c>
      <c r="C7574" s="2" t="s">
        <v>15245</v>
      </c>
    </row>
    <row r="7575">
      <c r="A7575" s="2" t="s">
        <v>15734</v>
      </c>
      <c r="B7575" s="2" t="s">
        <v>15735</v>
      </c>
      <c r="C7575" s="2" t="s">
        <v>15245</v>
      </c>
    </row>
    <row r="7576">
      <c r="A7576" s="2" t="s">
        <v>15736</v>
      </c>
      <c r="B7576" s="2" t="s">
        <v>15737</v>
      </c>
      <c r="C7576" s="2" t="s">
        <v>15245</v>
      </c>
    </row>
    <row r="7577">
      <c r="A7577" s="2" t="s">
        <v>15738</v>
      </c>
      <c r="B7577" s="2" t="s">
        <v>15739</v>
      </c>
      <c r="C7577" s="2" t="s">
        <v>15245</v>
      </c>
    </row>
    <row r="7578">
      <c r="A7578" s="2" t="s">
        <v>15740</v>
      </c>
      <c r="B7578" s="2" t="s">
        <v>15741</v>
      </c>
      <c r="C7578" s="2" t="s">
        <v>15245</v>
      </c>
    </row>
    <row r="7579">
      <c r="A7579" s="2" t="s">
        <v>15742</v>
      </c>
      <c r="B7579" s="2" t="s">
        <v>15743</v>
      </c>
      <c r="C7579" s="2" t="s">
        <v>15245</v>
      </c>
    </row>
    <row r="7580">
      <c r="A7580" s="2" t="s">
        <v>15744</v>
      </c>
      <c r="B7580" s="2" t="s">
        <v>15745</v>
      </c>
      <c r="C7580" s="2" t="s">
        <v>15245</v>
      </c>
    </row>
    <row r="7581">
      <c r="A7581" s="2" t="s">
        <v>15746</v>
      </c>
      <c r="B7581" s="2" t="s">
        <v>15747</v>
      </c>
      <c r="C7581" s="2" t="s">
        <v>15245</v>
      </c>
    </row>
    <row r="7582">
      <c r="A7582" s="2" t="s">
        <v>15748</v>
      </c>
      <c r="B7582" s="2" t="s">
        <v>15749</v>
      </c>
      <c r="C7582" s="2" t="s">
        <v>15245</v>
      </c>
    </row>
    <row r="7583">
      <c r="A7583" s="2" t="s">
        <v>15750</v>
      </c>
      <c r="B7583" s="2" t="s">
        <v>15751</v>
      </c>
      <c r="C7583" s="2" t="s">
        <v>15245</v>
      </c>
    </row>
    <row r="7584">
      <c r="A7584" s="2" t="s">
        <v>15752</v>
      </c>
      <c r="B7584" s="2" t="s">
        <v>15753</v>
      </c>
      <c r="C7584" s="2" t="s">
        <v>15245</v>
      </c>
    </row>
    <row r="7585">
      <c r="A7585" s="2" t="s">
        <v>15754</v>
      </c>
      <c r="B7585" s="2" t="s">
        <v>15755</v>
      </c>
      <c r="C7585" s="2" t="s">
        <v>15245</v>
      </c>
    </row>
    <row r="7586">
      <c r="A7586" s="2" t="s">
        <v>15756</v>
      </c>
      <c r="B7586" s="2" t="s">
        <v>15757</v>
      </c>
      <c r="C7586" s="2" t="s">
        <v>15245</v>
      </c>
    </row>
    <row r="7587">
      <c r="A7587" s="2" t="s">
        <v>15758</v>
      </c>
      <c r="B7587" s="2" t="s">
        <v>15759</v>
      </c>
      <c r="C7587" s="2" t="s">
        <v>15245</v>
      </c>
    </row>
    <row r="7588">
      <c r="A7588" s="2" t="s">
        <v>15760</v>
      </c>
      <c r="B7588" s="2" t="s">
        <v>15761</v>
      </c>
      <c r="C7588" s="2" t="s">
        <v>15245</v>
      </c>
    </row>
    <row r="7589">
      <c r="A7589" s="2" t="s">
        <v>15762</v>
      </c>
      <c r="B7589" s="2" t="s">
        <v>15763</v>
      </c>
      <c r="C7589" s="2" t="s">
        <v>15245</v>
      </c>
    </row>
    <row r="7590">
      <c r="A7590" s="2" t="s">
        <v>15764</v>
      </c>
      <c r="B7590" s="2" t="s">
        <v>15765</v>
      </c>
      <c r="C7590" s="2" t="s">
        <v>15245</v>
      </c>
    </row>
    <row r="7591">
      <c r="A7591" s="2" t="s">
        <v>15766</v>
      </c>
      <c r="B7591" s="2" t="s">
        <v>15767</v>
      </c>
      <c r="C7591" s="2" t="s">
        <v>15245</v>
      </c>
    </row>
    <row r="7592">
      <c r="A7592" s="2" t="s">
        <v>15768</v>
      </c>
      <c r="B7592" s="2" t="s">
        <v>15769</v>
      </c>
      <c r="C7592" s="2" t="s">
        <v>15245</v>
      </c>
    </row>
    <row r="7593">
      <c r="A7593" s="2" t="s">
        <v>15770</v>
      </c>
      <c r="B7593" s="2" t="s">
        <v>15771</v>
      </c>
      <c r="C7593" s="2" t="s">
        <v>15245</v>
      </c>
    </row>
    <row r="7594">
      <c r="A7594" s="2" t="s">
        <v>15772</v>
      </c>
      <c r="B7594" s="2" t="s">
        <v>15773</v>
      </c>
      <c r="C7594" s="2" t="s">
        <v>15245</v>
      </c>
    </row>
    <row r="7595">
      <c r="A7595" s="2" t="s">
        <v>15774</v>
      </c>
      <c r="B7595" s="2" t="s">
        <v>15775</v>
      </c>
      <c r="C7595" s="2" t="s">
        <v>15245</v>
      </c>
    </row>
    <row r="7596">
      <c r="A7596" s="2" t="s">
        <v>15776</v>
      </c>
      <c r="B7596" s="2" t="s">
        <v>15777</v>
      </c>
      <c r="C7596" s="2" t="s">
        <v>15245</v>
      </c>
    </row>
    <row r="7597">
      <c r="A7597" s="2" t="s">
        <v>15778</v>
      </c>
      <c r="B7597" s="2" t="s">
        <v>15779</v>
      </c>
      <c r="C7597" s="2" t="s">
        <v>15245</v>
      </c>
    </row>
    <row r="7598">
      <c r="A7598" s="2" t="s">
        <v>15780</v>
      </c>
      <c r="B7598" s="2" t="s">
        <v>15781</v>
      </c>
      <c r="C7598" s="2" t="s">
        <v>15245</v>
      </c>
    </row>
    <row r="7599">
      <c r="A7599" s="2" t="s">
        <v>15782</v>
      </c>
      <c r="B7599" s="2" t="s">
        <v>15783</v>
      </c>
      <c r="C7599" s="2" t="s">
        <v>15245</v>
      </c>
    </row>
    <row r="7600">
      <c r="A7600" s="2" t="s">
        <v>15784</v>
      </c>
      <c r="B7600" s="2" t="s">
        <v>15785</v>
      </c>
      <c r="C7600" s="2" t="s">
        <v>15245</v>
      </c>
    </row>
    <row r="7601">
      <c r="A7601" s="2" t="s">
        <v>15786</v>
      </c>
      <c r="B7601" s="2" t="s">
        <v>15787</v>
      </c>
      <c r="C7601" s="2" t="s">
        <v>15245</v>
      </c>
    </row>
    <row r="7602">
      <c r="A7602" s="2" t="s">
        <v>15788</v>
      </c>
      <c r="B7602" s="2" t="s">
        <v>15789</v>
      </c>
      <c r="C7602" s="2" t="s">
        <v>15245</v>
      </c>
    </row>
    <row r="7603">
      <c r="A7603" s="2" t="s">
        <v>15790</v>
      </c>
      <c r="B7603" s="2" t="s">
        <v>15791</v>
      </c>
      <c r="C7603" s="2" t="s">
        <v>15245</v>
      </c>
    </row>
    <row r="7604">
      <c r="A7604" s="2" t="s">
        <v>15792</v>
      </c>
      <c r="B7604" s="2" t="s">
        <v>15793</v>
      </c>
      <c r="C7604" s="2" t="s">
        <v>15245</v>
      </c>
    </row>
    <row r="7605">
      <c r="A7605" s="2" t="s">
        <v>15794</v>
      </c>
      <c r="B7605" s="2" t="s">
        <v>15795</v>
      </c>
      <c r="C7605" s="2" t="s">
        <v>15245</v>
      </c>
    </row>
    <row r="7606">
      <c r="A7606" s="2" t="s">
        <v>15796</v>
      </c>
      <c r="B7606" s="2" t="s">
        <v>15797</v>
      </c>
      <c r="C7606" s="2" t="s">
        <v>15245</v>
      </c>
    </row>
    <row r="7607">
      <c r="A7607" s="2" t="s">
        <v>15798</v>
      </c>
      <c r="B7607" s="2" t="s">
        <v>15799</v>
      </c>
      <c r="C7607" s="2" t="s">
        <v>15245</v>
      </c>
    </row>
    <row r="7608">
      <c r="A7608" s="2" t="s">
        <v>15800</v>
      </c>
      <c r="B7608" s="2" t="s">
        <v>15801</v>
      </c>
      <c r="C7608" s="2" t="s">
        <v>15245</v>
      </c>
    </row>
    <row r="7609">
      <c r="A7609" s="2" t="s">
        <v>15802</v>
      </c>
      <c r="B7609" s="2" t="s">
        <v>15803</v>
      </c>
      <c r="C7609" s="2" t="s">
        <v>15245</v>
      </c>
    </row>
    <row r="7610">
      <c r="A7610" s="2" t="s">
        <v>15804</v>
      </c>
      <c r="B7610" s="2" t="s">
        <v>15805</v>
      </c>
      <c r="C7610" s="2" t="s">
        <v>15245</v>
      </c>
    </row>
    <row r="7611">
      <c r="A7611" s="2" t="s">
        <v>15806</v>
      </c>
      <c r="B7611" s="2" t="s">
        <v>15807</v>
      </c>
      <c r="C7611" s="2" t="s">
        <v>15245</v>
      </c>
    </row>
    <row r="7612">
      <c r="A7612" s="2" t="s">
        <v>15808</v>
      </c>
      <c r="B7612" s="2" t="s">
        <v>15809</v>
      </c>
      <c r="C7612" s="2" t="s">
        <v>15245</v>
      </c>
    </row>
    <row r="7613">
      <c r="A7613" s="2" t="s">
        <v>15810</v>
      </c>
      <c r="B7613" s="2" t="s">
        <v>15811</v>
      </c>
      <c r="C7613" s="2" t="s">
        <v>15245</v>
      </c>
    </row>
    <row r="7614">
      <c r="A7614" s="2" t="s">
        <v>15812</v>
      </c>
      <c r="B7614" s="2" t="s">
        <v>15813</v>
      </c>
      <c r="C7614" s="2" t="s">
        <v>15245</v>
      </c>
    </row>
    <row r="7615">
      <c r="A7615" s="2" t="s">
        <v>15814</v>
      </c>
      <c r="B7615" s="2" t="s">
        <v>15815</v>
      </c>
      <c r="C7615" s="2" t="s">
        <v>15245</v>
      </c>
    </row>
    <row r="7616">
      <c r="A7616" s="2" t="s">
        <v>15816</v>
      </c>
      <c r="B7616" s="2" t="s">
        <v>15817</v>
      </c>
      <c r="C7616" s="2" t="s">
        <v>15245</v>
      </c>
    </row>
    <row r="7617">
      <c r="A7617" s="2" t="s">
        <v>15818</v>
      </c>
      <c r="B7617" s="2" t="s">
        <v>15819</v>
      </c>
      <c r="C7617" s="2" t="s">
        <v>15245</v>
      </c>
    </row>
    <row r="7618">
      <c r="A7618" s="2" t="s">
        <v>15820</v>
      </c>
      <c r="B7618" s="2" t="s">
        <v>15821</v>
      </c>
      <c r="C7618" s="2" t="s">
        <v>15245</v>
      </c>
    </row>
    <row r="7619">
      <c r="A7619" s="2" t="s">
        <v>15822</v>
      </c>
      <c r="B7619" s="2" t="s">
        <v>15823</v>
      </c>
      <c r="C7619" s="2" t="s">
        <v>15245</v>
      </c>
    </row>
    <row r="7620">
      <c r="A7620" s="2" t="s">
        <v>15824</v>
      </c>
      <c r="B7620" s="2" t="s">
        <v>15825</v>
      </c>
      <c r="C7620" s="2" t="s">
        <v>15245</v>
      </c>
    </row>
    <row r="7621">
      <c r="A7621" s="2" t="s">
        <v>15826</v>
      </c>
      <c r="B7621" s="2" t="s">
        <v>15827</v>
      </c>
      <c r="C7621" s="2" t="s">
        <v>15245</v>
      </c>
    </row>
    <row r="7622">
      <c r="A7622" s="2" t="s">
        <v>15828</v>
      </c>
      <c r="B7622" s="2" t="s">
        <v>15829</v>
      </c>
      <c r="C7622" s="2" t="s">
        <v>15245</v>
      </c>
    </row>
    <row r="7623">
      <c r="A7623" s="2" t="s">
        <v>15830</v>
      </c>
      <c r="B7623" s="2" t="s">
        <v>15831</v>
      </c>
      <c r="C7623" s="2" t="s">
        <v>15245</v>
      </c>
    </row>
    <row r="7624">
      <c r="A7624" s="2" t="s">
        <v>15832</v>
      </c>
      <c r="B7624" s="2" t="s">
        <v>15833</v>
      </c>
      <c r="C7624" s="2" t="s">
        <v>15245</v>
      </c>
    </row>
    <row r="7625">
      <c r="A7625" s="2" t="s">
        <v>15834</v>
      </c>
      <c r="B7625" s="2" t="s">
        <v>15835</v>
      </c>
      <c r="C7625" s="2" t="s">
        <v>15245</v>
      </c>
    </row>
    <row r="7626">
      <c r="A7626" s="2" t="s">
        <v>15836</v>
      </c>
      <c r="B7626" s="2" t="s">
        <v>15837</v>
      </c>
      <c r="C7626" s="2" t="s">
        <v>15245</v>
      </c>
    </row>
    <row r="7627">
      <c r="A7627" s="2" t="s">
        <v>15838</v>
      </c>
      <c r="B7627" s="2" t="s">
        <v>15839</v>
      </c>
      <c r="C7627" s="2" t="s">
        <v>15245</v>
      </c>
    </row>
    <row r="7628">
      <c r="A7628" s="2" t="s">
        <v>15840</v>
      </c>
      <c r="B7628" s="2" t="s">
        <v>15841</v>
      </c>
      <c r="C7628" s="2" t="s">
        <v>15245</v>
      </c>
    </row>
    <row r="7629">
      <c r="A7629" s="2" t="s">
        <v>15842</v>
      </c>
      <c r="B7629" s="2" t="s">
        <v>15843</v>
      </c>
      <c r="C7629" s="2" t="s">
        <v>15245</v>
      </c>
    </row>
    <row r="7630">
      <c r="A7630" s="2" t="s">
        <v>15844</v>
      </c>
      <c r="B7630" s="2" t="s">
        <v>15845</v>
      </c>
      <c r="C7630" s="2" t="s">
        <v>15245</v>
      </c>
    </row>
    <row r="7631">
      <c r="A7631" s="2" t="s">
        <v>15846</v>
      </c>
      <c r="B7631" s="2" t="s">
        <v>15847</v>
      </c>
      <c r="C7631" s="2" t="s">
        <v>15245</v>
      </c>
    </row>
    <row r="7632">
      <c r="A7632" s="2" t="s">
        <v>15848</v>
      </c>
      <c r="B7632" s="2" t="s">
        <v>15849</v>
      </c>
      <c r="C7632" s="2" t="s">
        <v>15245</v>
      </c>
    </row>
    <row r="7633">
      <c r="A7633" s="2" t="s">
        <v>15850</v>
      </c>
      <c r="B7633" s="2" t="s">
        <v>15851</v>
      </c>
      <c r="C7633" s="2" t="s">
        <v>15245</v>
      </c>
    </row>
    <row r="7634">
      <c r="A7634" s="2" t="s">
        <v>15852</v>
      </c>
      <c r="B7634" s="2" t="s">
        <v>15853</v>
      </c>
      <c r="C7634" s="2" t="s">
        <v>15245</v>
      </c>
    </row>
    <row r="7635">
      <c r="A7635" s="2" t="s">
        <v>15854</v>
      </c>
      <c r="B7635" s="2" t="s">
        <v>15855</v>
      </c>
      <c r="C7635" s="2" t="s">
        <v>15245</v>
      </c>
    </row>
    <row r="7636">
      <c r="A7636" s="2" t="s">
        <v>15856</v>
      </c>
      <c r="B7636" s="2" t="s">
        <v>15855</v>
      </c>
      <c r="C7636" s="2" t="s">
        <v>15245</v>
      </c>
    </row>
    <row r="7637">
      <c r="A7637" s="2" t="s">
        <v>15857</v>
      </c>
      <c r="B7637" s="2" t="s">
        <v>15858</v>
      </c>
      <c r="C7637" s="2" t="s">
        <v>15245</v>
      </c>
    </row>
    <row r="7638">
      <c r="A7638" s="2" t="s">
        <v>15859</v>
      </c>
      <c r="B7638" s="2" t="s">
        <v>15860</v>
      </c>
      <c r="C7638" s="2" t="s">
        <v>15245</v>
      </c>
    </row>
    <row r="7639">
      <c r="A7639" s="2" t="s">
        <v>15861</v>
      </c>
      <c r="B7639" s="2" t="s">
        <v>15862</v>
      </c>
      <c r="C7639" s="2" t="s">
        <v>15245</v>
      </c>
    </row>
    <row r="7640">
      <c r="A7640" s="2" t="s">
        <v>15863</v>
      </c>
      <c r="B7640" s="2" t="s">
        <v>15864</v>
      </c>
      <c r="C7640" s="2" t="s">
        <v>15245</v>
      </c>
    </row>
    <row r="7641">
      <c r="A7641" s="2" t="s">
        <v>15865</v>
      </c>
      <c r="B7641" s="2" t="s">
        <v>15866</v>
      </c>
      <c r="C7641" s="2" t="s">
        <v>15245</v>
      </c>
    </row>
    <row r="7642">
      <c r="A7642" s="2" t="s">
        <v>15867</v>
      </c>
      <c r="B7642" s="2" t="s">
        <v>15868</v>
      </c>
      <c r="C7642" s="2" t="s">
        <v>15245</v>
      </c>
    </row>
    <row r="7643">
      <c r="A7643" s="2" t="s">
        <v>15869</v>
      </c>
      <c r="B7643" s="2" t="s">
        <v>15870</v>
      </c>
      <c r="C7643" s="2" t="s">
        <v>15245</v>
      </c>
    </row>
    <row r="7644">
      <c r="A7644" s="2" t="s">
        <v>15871</v>
      </c>
      <c r="B7644" s="2" t="s">
        <v>15872</v>
      </c>
      <c r="C7644" s="2" t="s">
        <v>15245</v>
      </c>
    </row>
    <row r="7645">
      <c r="A7645" s="2" t="s">
        <v>15873</v>
      </c>
      <c r="B7645" s="2" t="s">
        <v>15874</v>
      </c>
      <c r="C7645" s="2" t="s">
        <v>15245</v>
      </c>
    </row>
    <row r="7646">
      <c r="A7646" s="2" t="s">
        <v>15875</v>
      </c>
      <c r="B7646" s="2" t="s">
        <v>15876</v>
      </c>
      <c r="C7646" s="2" t="s">
        <v>15245</v>
      </c>
    </row>
    <row r="7647">
      <c r="A7647" s="2" t="s">
        <v>15877</v>
      </c>
      <c r="B7647" s="2" t="s">
        <v>15878</v>
      </c>
      <c r="C7647" s="2" t="s">
        <v>15245</v>
      </c>
    </row>
    <row r="7648">
      <c r="A7648" s="2" t="s">
        <v>15879</v>
      </c>
      <c r="B7648" s="2" t="s">
        <v>15880</v>
      </c>
      <c r="C7648" s="2" t="s">
        <v>15245</v>
      </c>
    </row>
    <row r="7649">
      <c r="A7649" s="2" t="s">
        <v>15881</v>
      </c>
      <c r="B7649" s="2" t="s">
        <v>15882</v>
      </c>
      <c r="C7649" s="2" t="s">
        <v>15245</v>
      </c>
    </row>
    <row r="7650">
      <c r="A7650" s="2" t="s">
        <v>15883</v>
      </c>
      <c r="B7650" s="2" t="s">
        <v>15884</v>
      </c>
      <c r="C7650" s="2" t="s">
        <v>15245</v>
      </c>
    </row>
    <row r="7651">
      <c r="A7651" s="2" t="s">
        <v>15885</v>
      </c>
      <c r="B7651" s="2" t="s">
        <v>15886</v>
      </c>
      <c r="C7651" s="2" t="s">
        <v>15245</v>
      </c>
    </row>
    <row r="7652">
      <c r="A7652" s="2" t="s">
        <v>15887</v>
      </c>
      <c r="B7652" s="2" t="s">
        <v>15888</v>
      </c>
      <c r="C7652" s="2" t="s">
        <v>15245</v>
      </c>
    </row>
    <row r="7653">
      <c r="A7653" s="2" t="s">
        <v>15889</v>
      </c>
      <c r="B7653" s="2" t="s">
        <v>15890</v>
      </c>
      <c r="C7653" s="2" t="s">
        <v>15245</v>
      </c>
    </row>
    <row r="7654">
      <c r="A7654" s="2" t="s">
        <v>15891</v>
      </c>
      <c r="B7654" s="2" t="s">
        <v>15892</v>
      </c>
      <c r="C7654" s="2" t="s">
        <v>15245</v>
      </c>
    </row>
    <row r="7655">
      <c r="A7655" s="2" t="s">
        <v>15893</v>
      </c>
      <c r="B7655" s="2" t="s">
        <v>15894</v>
      </c>
      <c r="C7655" s="2" t="s">
        <v>15245</v>
      </c>
    </row>
    <row r="7656">
      <c r="A7656" s="2" t="s">
        <v>15895</v>
      </c>
      <c r="B7656" s="2" t="s">
        <v>15896</v>
      </c>
      <c r="C7656" s="2" t="s">
        <v>15245</v>
      </c>
    </row>
    <row r="7657">
      <c r="A7657" s="2" t="s">
        <v>15897</v>
      </c>
      <c r="B7657" s="2" t="s">
        <v>15898</v>
      </c>
      <c r="C7657" s="2" t="s">
        <v>15245</v>
      </c>
    </row>
    <row r="7658">
      <c r="A7658" s="2" t="s">
        <v>15899</v>
      </c>
      <c r="B7658" s="2" t="s">
        <v>15900</v>
      </c>
      <c r="C7658" s="2" t="s">
        <v>15245</v>
      </c>
    </row>
    <row r="7659">
      <c r="A7659" s="2" t="s">
        <v>15901</v>
      </c>
      <c r="B7659" s="2" t="s">
        <v>15902</v>
      </c>
      <c r="C7659" s="2" t="s">
        <v>15245</v>
      </c>
    </row>
    <row r="7660">
      <c r="A7660" s="2" t="s">
        <v>15903</v>
      </c>
      <c r="B7660" s="2" t="s">
        <v>15904</v>
      </c>
      <c r="C7660" s="2" t="s">
        <v>15245</v>
      </c>
    </row>
    <row r="7661">
      <c r="A7661" s="2" t="s">
        <v>15905</v>
      </c>
      <c r="B7661" s="2" t="s">
        <v>15906</v>
      </c>
      <c r="C7661" s="2" t="s">
        <v>15245</v>
      </c>
    </row>
    <row r="7662">
      <c r="A7662" s="2" t="s">
        <v>15907</v>
      </c>
      <c r="B7662" s="2" t="s">
        <v>15908</v>
      </c>
      <c r="C7662" s="2" t="s">
        <v>15245</v>
      </c>
    </row>
    <row r="7663">
      <c r="A7663" s="2" t="s">
        <v>15909</v>
      </c>
      <c r="B7663" s="2" t="s">
        <v>15910</v>
      </c>
      <c r="C7663" s="2" t="s">
        <v>15245</v>
      </c>
    </row>
    <row r="7664">
      <c r="A7664" s="2" t="s">
        <v>15911</v>
      </c>
      <c r="B7664" s="2" t="s">
        <v>15912</v>
      </c>
      <c r="C7664" s="2" t="s">
        <v>15245</v>
      </c>
    </row>
    <row r="7665">
      <c r="A7665" s="2" t="s">
        <v>15913</v>
      </c>
      <c r="B7665" s="2" t="s">
        <v>15914</v>
      </c>
      <c r="C7665" s="2" t="s">
        <v>15245</v>
      </c>
    </row>
    <row r="7666">
      <c r="A7666" s="2" t="s">
        <v>15915</v>
      </c>
      <c r="B7666" s="2" t="s">
        <v>15914</v>
      </c>
      <c r="C7666" s="2" t="s">
        <v>15245</v>
      </c>
    </row>
    <row r="7667">
      <c r="A7667" s="2" t="s">
        <v>15916</v>
      </c>
      <c r="B7667" s="2" t="s">
        <v>15917</v>
      </c>
      <c r="C7667" s="2" t="s">
        <v>15245</v>
      </c>
    </row>
    <row r="7668">
      <c r="A7668" s="2" t="s">
        <v>15918</v>
      </c>
      <c r="B7668" s="2" t="s">
        <v>15919</v>
      </c>
      <c r="C7668" s="2" t="s">
        <v>15245</v>
      </c>
    </row>
    <row r="7669">
      <c r="A7669" s="2" t="s">
        <v>15920</v>
      </c>
      <c r="B7669" s="2" t="s">
        <v>15921</v>
      </c>
      <c r="C7669" s="2" t="s">
        <v>15245</v>
      </c>
    </row>
    <row r="7670">
      <c r="A7670" s="2" t="s">
        <v>15922</v>
      </c>
      <c r="B7670" s="2" t="s">
        <v>15921</v>
      </c>
      <c r="C7670" s="2" t="s">
        <v>15245</v>
      </c>
    </row>
    <row r="7671">
      <c r="A7671" s="2" t="s">
        <v>15923</v>
      </c>
      <c r="B7671" s="2" t="s">
        <v>15924</v>
      </c>
      <c r="C7671" s="2" t="s">
        <v>15245</v>
      </c>
    </row>
    <row r="7672">
      <c r="A7672" s="2" t="s">
        <v>15925</v>
      </c>
      <c r="B7672" s="2" t="s">
        <v>15926</v>
      </c>
      <c r="C7672" s="2" t="s">
        <v>15245</v>
      </c>
    </row>
    <row r="7673">
      <c r="A7673" s="2" t="s">
        <v>15927</v>
      </c>
      <c r="B7673" s="2" t="s">
        <v>15928</v>
      </c>
      <c r="C7673" s="2" t="s">
        <v>15245</v>
      </c>
    </row>
    <row r="7674">
      <c r="A7674" s="2" t="s">
        <v>15929</v>
      </c>
      <c r="B7674" s="2" t="s">
        <v>15930</v>
      </c>
      <c r="C7674" s="2" t="s">
        <v>15245</v>
      </c>
    </row>
    <row r="7675">
      <c r="A7675" s="2" t="s">
        <v>15931</v>
      </c>
      <c r="B7675" s="2" t="s">
        <v>15932</v>
      </c>
      <c r="C7675" s="2" t="s">
        <v>15245</v>
      </c>
    </row>
    <row r="7676">
      <c r="A7676" s="2" t="s">
        <v>15933</v>
      </c>
      <c r="B7676" s="2" t="s">
        <v>15934</v>
      </c>
      <c r="C7676" s="2" t="s">
        <v>15245</v>
      </c>
    </row>
    <row r="7677">
      <c r="A7677" s="2" t="s">
        <v>15935</v>
      </c>
      <c r="B7677" s="2" t="s">
        <v>15936</v>
      </c>
      <c r="C7677" s="2" t="s">
        <v>15245</v>
      </c>
    </row>
    <row r="7678">
      <c r="A7678" s="2" t="s">
        <v>15937</v>
      </c>
      <c r="B7678" s="2" t="s">
        <v>15938</v>
      </c>
      <c r="C7678" s="2" t="s">
        <v>15245</v>
      </c>
    </row>
    <row r="7679">
      <c r="A7679" s="2" t="s">
        <v>15939</v>
      </c>
      <c r="B7679" s="2" t="s">
        <v>15940</v>
      </c>
      <c r="C7679" s="2" t="s">
        <v>15245</v>
      </c>
    </row>
    <row r="7680">
      <c r="A7680" s="2" t="s">
        <v>15941</v>
      </c>
      <c r="B7680" s="2" t="s">
        <v>15942</v>
      </c>
      <c r="C7680" s="2" t="s">
        <v>15245</v>
      </c>
    </row>
    <row r="7681">
      <c r="A7681" s="2" t="s">
        <v>15943</v>
      </c>
      <c r="B7681" s="2" t="s">
        <v>15944</v>
      </c>
      <c r="C7681" s="2" t="s">
        <v>15245</v>
      </c>
    </row>
    <row r="7682">
      <c r="A7682" s="2" t="s">
        <v>15945</v>
      </c>
      <c r="B7682" s="2" t="s">
        <v>15946</v>
      </c>
      <c r="C7682" s="2" t="s">
        <v>15245</v>
      </c>
    </row>
    <row r="7683">
      <c r="A7683" s="2" t="s">
        <v>15947</v>
      </c>
      <c r="B7683" s="2" t="s">
        <v>15948</v>
      </c>
      <c r="C7683" s="2" t="s">
        <v>15245</v>
      </c>
    </row>
    <row r="7684">
      <c r="A7684" s="2" t="s">
        <v>15949</v>
      </c>
      <c r="B7684" s="2" t="s">
        <v>15950</v>
      </c>
      <c r="C7684" s="2" t="s">
        <v>15245</v>
      </c>
    </row>
    <row r="7685">
      <c r="A7685" s="2" t="s">
        <v>15951</v>
      </c>
      <c r="B7685" s="2" t="s">
        <v>15952</v>
      </c>
      <c r="C7685" s="2" t="s">
        <v>15245</v>
      </c>
    </row>
    <row r="7686">
      <c r="A7686" s="2" t="s">
        <v>15953</v>
      </c>
      <c r="B7686" s="2" t="s">
        <v>15954</v>
      </c>
      <c r="C7686" s="2" t="s">
        <v>15245</v>
      </c>
    </row>
    <row r="7687">
      <c r="A7687" s="2" t="s">
        <v>15955</v>
      </c>
      <c r="B7687" s="2" t="s">
        <v>15956</v>
      </c>
      <c r="C7687" s="2" t="s">
        <v>15245</v>
      </c>
    </row>
    <row r="7688">
      <c r="A7688" s="2" t="s">
        <v>15957</v>
      </c>
      <c r="B7688" s="2" t="s">
        <v>15958</v>
      </c>
      <c r="C7688" s="2" t="s">
        <v>15245</v>
      </c>
    </row>
    <row r="7689">
      <c r="A7689" s="2" t="s">
        <v>15959</v>
      </c>
      <c r="B7689" s="2" t="s">
        <v>15960</v>
      </c>
      <c r="C7689" s="2" t="s">
        <v>15245</v>
      </c>
    </row>
    <row r="7690">
      <c r="A7690" s="2" t="s">
        <v>15961</v>
      </c>
      <c r="B7690" s="2" t="s">
        <v>15962</v>
      </c>
      <c r="C7690" s="2" t="s">
        <v>15245</v>
      </c>
    </row>
    <row r="7691">
      <c r="A7691" s="2" t="s">
        <v>15963</v>
      </c>
      <c r="B7691" s="2" t="s">
        <v>15964</v>
      </c>
      <c r="C7691" s="2" t="s">
        <v>15245</v>
      </c>
    </row>
    <row r="7692">
      <c r="A7692" s="2" t="s">
        <v>15965</v>
      </c>
      <c r="B7692" s="2" t="s">
        <v>15966</v>
      </c>
      <c r="C7692" s="2" t="s">
        <v>15245</v>
      </c>
    </row>
    <row r="7693">
      <c r="A7693" s="2" t="s">
        <v>15967</v>
      </c>
      <c r="B7693" s="2" t="s">
        <v>15968</v>
      </c>
      <c r="C7693" s="2" t="s">
        <v>15245</v>
      </c>
    </row>
    <row r="7694">
      <c r="A7694" s="2" t="s">
        <v>15969</v>
      </c>
      <c r="B7694" s="2" t="s">
        <v>15970</v>
      </c>
      <c r="C7694" s="2" t="s">
        <v>15245</v>
      </c>
    </row>
    <row r="7695">
      <c r="A7695" s="2" t="s">
        <v>15971</v>
      </c>
      <c r="B7695" s="2" t="s">
        <v>15972</v>
      </c>
      <c r="C7695" s="2" t="s">
        <v>15245</v>
      </c>
    </row>
    <row r="7696">
      <c r="A7696" s="2" t="s">
        <v>15973</v>
      </c>
      <c r="B7696" s="2" t="s">
        <v>15974</v>
      </c>
      <c r="C7696" s="2" t="s">
        <v>15245</v>
      </c>
    </row>
    <row r="7697">
      <c r="A7697" s="2" t="s">
        <v>15975</v>
      </c>
      <c r="B7697" s="2" t="s">
        <v>15976</v>
      </c>
      <c r="C7697" s="2" t="s">
        <v>15245</v>
      </c>
    </row>
    <row r="7698">
      <c r="A7698" s="2" t="s">
        <v>15977</v>
      </c>
      <c r="B7698" s="2" t="s">
        <v>15978</v>
      </c>
      <c r="C7698" s="2" t="s">
        <v>15245</v>
      </c>
    </row>
    <row r="7699">
      <c r="A7699" s="2" t="s">
        <v>15979</v>
      </c>
      <c r="B7699" s="2" t="s">
        <v>15980</v>
      </c>
      <c r="C7699" s="2" t="s">
        <v>15245</v>
      </c>
    </row>
    <row r="7700">
      <c r="A7700" s="2" t="s">
        <v>15981</v>
      </c>
      <c r="B7700" s="2" t="s">
        <v>15982</v>
      </c>
      <c r="C7700" s="2" t="s">
        <v>15245</v>
      </c>
    </row>
    <row r="7701">
      <c r="A7701" s="2" t="s">
        <v>15983</v>
      </c>
      <c r="B7701" s="2" t="s">
        <v>15984</v>
      </c>
      <c r="C7701" s="2" t="s">
        <v>15245</v>
      </c>
    </row>
    <row r="7702">
      <c r="A7702" s="2" t="s">
        <v>15985</v>
      </c>
      <c r="B7702" s="2" t="s">
        <v>15986</v>
      </c>
      <c r="C7702" s="2" t="s">
        <v>15245</v>
      </c>
    </row>
    <row r="7703">
      <c r="A7703" s="2" t="s">
        <v>15987</v>
      </c>
      <c r="B7703" s="2" t="s">
        <v>15988</v>
      </c>
      <c r="C7703" s="2" t="s">
        <v>15245</v>
      </c>
    </row>
    <row r="7704">
      <c r="A7704" s="2" t="s">
        <v>15989</v>
      </c>
      <c r="B7704" s="2" t="s">
        <v>15990</v>
      </c>
      <c r="C7704" s="2" t="s">
        <v>15245</v>
      </c>
    </row>
    <row r="7705">
      <c r="A7705" s="2" t="s">
        <v>15991</v>
      </c>
      <c r="B7705" s="2" t="s">
        <v>15992</v>
      </c>
      <c r="C7705" s="2" t="s">
        <v>15245</v>
      </c>
    </row>
    <row r="7706">
      <c r="A7706" s="2" t="s">
        <v>15993</v>
      </c>
      <c r="B7706" s="2" t="s">
        <v>15994</v>
      </c>
      <c r="C7706" s="2" t="s">
        <v>15245</v>
      </c>
    </row>
    <row r="7707">
      <c r="A7707" s="2" t="s">
        <v>15995</v>
      </c>
      <c r="B7707" s="2" t="s">
        <v>15996</v>
      </c>
      <c r="C7707" s="2" t="s">
        <v>15245</v>
      </c>
    </row>
    <row r="7708">
      <c r="A7708" s="2" t="s">
        <v>15997</v>
      </c>
      <c r="B7708" s="2" t="s">
        <v>15998</v>
      </c>
      <c r="C7708" s="2" t="s">
        <v>15245</v>
      </c>
    </row>
    <row r="7709">
      <c r="A7709" s="2" t="s">
        <v>15999</v>
      </c>
      <c r="B7709" s="2" t="s">
        <v>16000</v>
      </c>
      <c r="C7709" s="2" t="s">
        <v>15245</v>
      </c>
    </row>
    <row r="7710">
      <c r="A7710" s="2" t="s">
        <v>16001</v>
      </c>
      <c r="B7710" s="2" t="s">
        <v>16002</v>
      </c>
      <c r="C7710" s="2" t="s">
        <v>15245</v>
      </c>
    </row>
    <row r="7711">
      <c r="A7711" s="2" t="s">
        <v>16003</v>
      </c>
      <c r="B7711" s="2" t="s">
        <v>16004</v>
      </c>
      <c r="C7711" s="2" t="s">
        <v>15245</v>
      </c>
    </row>
    <row r="7712">
      <c r="A7712" s="2" t="s">
        <v>16005</v>
      </c>
      <c r="B7712" s="2" t="s">
        <v>16006</v>
      </c>
      <c r="C7712" s="2" t="s">
        <v>15245</v>
      </c>
    </row>
    <row r="7713">
      <c r="A7713" s="2" t="s">
        <v>16007</v>
      </c>
      <c r="B7713" s="2" t="s">
        <v>16008</v>
      </c>
      <c r="C7713" s="2" t="s">
        <v>15245</v>
      </c>
    </row>
    <row r="7714">
      <c r="A7714" s="2" t="s">
        <v>16009</v>
      </c>
      <c r="B7714" s="2" t="s">
        <v>16010</v>
      </c>
      <c r="C7714" s="2" t="s">
        <v>15245</v>
      </c>
    </row>
    <row r="7715">
      <c r="A7715" s="2" t="s">
        <v>16011</v>
      </c>
      <c r="B7715" s="2" t="s">
        <v>16012</v>
      </c>
      <c r="C7715" s="2" t="s">
        <v>15245</v>
      </c>
    </row>
    <row r="7716">
      <c r="A7716" s="2" t="s">
        <v>16013</v>
      </c>
      <c r="B7716" s="2" t="s">
        <v>16014</v>
      </c>
      <c r="C7716" s="2" t="s">
        <v>15245</v>
      </c>
    </row>
    <row r="7717">
      <c r="A7717" s="2" t="s">
        <v>16015</v>
      </c>
      <c r="B7717" s="2" t="s">
        <v>16016</v>
      </c>
      <c r="C7717" s="2" t="s">
        <v>15245</v>
      </c>
    </row>
    <row r="7718">
      <c r="A7718" s="2" t="s">
        <v>16017</v>
      </c>
      <c r="B7718" s="2" t="s">
        <v>16018</v>
      </c>
      <c r="C7718" s="2" t="s">
        <v>15245</v>
      </c>
    </row>
    <row r="7719">
      <c r="A7719" s="2" t="s">
        <v>16019</v>
      </c>
      <c r="B7719" s="2" t="s">
        <v>16020</v>
      </c>
      <c r="C7719" s="2" t="s">
        <v>15245</v>
      </c>
    </row>
    <row r="7720">
      <c r="A7720" s="2" t="s">
        <v>16021</v>
      </c>
      <c r="B7720" s="2" t="s">
        <v>16020</v>
      </c>
      <c r="C7720" s="2" t="s">
        <v>15245</v>
      </c>
    </row>
    <row r="7721">
      <c r="A7721" s="2" t="s">
        <v>16022</v>
      </c>
      <c r="B7721" s="2" t="s">
        <v>16023</v>
      </c>
      <c r="C7721" s="2" t="s">
        <v>15245</v>
      </c>
    </row>
    <row r="7722">
      <c r="A7722" s="2" t="s">
        <v>16024</v>
      </c>
      <c r="B7722" s="2" t="s">
        <v>16025</v>
      </c>
      <c r="C7722" s="2" t="s">
        <v>15245</v>
      </c>
    </row>
    <row r="7723">
      <c r="A7723" s="2" t="s">
        <v>16026</v>
      </c>
      <c r="B7723" s="2" t="s">
        <v>16027</v>
      </c>
      <c r="C7723" s="2" t="s">
        <v>15245</v>
      </c>
    </row>
    <row r="7724">
      <c r="A7724" s="2" t="s">
        <v>16028</v>
      </c>
      <c r="B7724" s="2" t="s">
        <v>16029</v>
      </c>
      <c r="C7724" s="2" t="s">
        <v>15245</v>
      </c>
    </row>
    <row r="7725">
      <c r="A7725" s="2" t="s">
        <v>16030</v>
      </c>
      <c r="B7725" s="2" t="s">
        <v>16031</v>
      </c>
      <c r="C7725" s="2" t="s">
        <v>15245</v>
      </c>
    </row>
    <row r="7726">
      <c r="A7726" s="2" t="s">
        <v>16032</v>
      </c>
      <c r="B7726" s="2" t="s">
        <v>16033</v>
      </c>
      <c r="C7726" s="2" t="s">
        <v>15245</v>
      </c>
    </row>
    <row r="7727">
      <c r="A7727" s="2" t="s">
        <v>16034</v>
      </c>
      <c r="B7727" s="2" t="s">
        <v>16035</v>
      </c>
      <c r="C7727" s="2" t="s">
        <v>15245</v>
      </c>
    </row>
    <row r="7728">
      <c r="A7728" s="2" t="s">
        <v>16036</v>
      </c>
      <c r="B7728" s="2" t="s">
        <v>16037</v>
      </c>
      <c r="C7728" s="2" t="s">
        <v>15245</v>
      </c>
    </row>
    <row r="7729">
      <c r="A7729" s="2" t="s">
        <v>16038</v>
      </c>
      <c r="B7729" s="2" t="s">
        <v>16037</v>
      </c>
      <c r="C7729" s="2" t="s">
        <v>15245</v>
      </c>
    </row>
    <row r="7730">
      <c r="A7730" s="2" t="s">
        <v>16039</v>
      </c>
      <c r="B7730" s="2" t="s">
        <v>16040</v>
      </c>
      <c r="C7730" s="2" t="s">
        <v>15245</v>
      </c>
    </row>
    <row r="7731">
      <c r="A7731" s="2" t="s">
        <v>16041</v>
      </c>
      <c r="B7731" s="2" t="s">
        <v>16042</v>
      </c>
      <c r="C7731" s="2" t="s">
        <v>15245</v>
      </c>
    </row>
    <row r="7732">
      <c r="A7732" s="2" t="s">
        <v>16043</v>
      </c>
      <c r="B7732" s="2" t="s">
        <v>16044</v>
      </c>
      <c r="C7732" s="2" t="s">
        <v>15245</v>
      </c>
    </row>
    <row r="7733">
      <c r="A7733" s="2" t="s">
        <v>16045</v>
      </c>
      <c r="B7733" s="2" t="s">
        <v>16046</v>
      </c>
      <c r="C7733" s="2" t="s">
        <v>15245</v>
      </c>
    </row>
    <row r="7734">
      <c r="A7734" s="2" t="s">
        <v>16047</v>
      </c>
      <c r="B7734" s="2" t="s">
        <v>16048</v>
      </c>
      <c r="C7734" s="2" t="s">
        <v>15245</v>
      </c>
    </row>
    <row r="7735">
      <c r="A7735" s="2" t="s">
        <v>16049</v>
      </c>
      <c r="B7735" s="2" t="s">
        <v>16050</v>
      </c>
      <c r="C7735" s="2" t="s">
        <v>15245</v>
      </c>
    </row>
    <row r="7736">
      <c r="A7736" s="2" t="s">
        <v>16051</v>
      </c>
      <c r="B7736" s="2" t="s">
        <v>16052</v>
      </c>
      <c r="C7736" s="2" t="s">
        <v>15245</v>
      </c>
    </row>
    <row r="7737">
      <c r="A7737" s="2" t="s">
        <v>16053</v>
      </c>
      <c r="B7737" s="2" t="s">
        <v>16054</v>
      </c>
      <c r="C7737" s="2" t="s">
        <v>15245</v>
      </c>
    </row>
    <row r="7738">
      <c r="A7738" s="2" t="s">
        <v>16055</v>
      </c>
      <c r="B7738" s="2" t="s">
        <v>16056</v>
      </c>
      <c r="C7738" s="2" t="s">
        <v>15245</v>
      </c>
    </row>
    <row r="7739">
      <c r="A7739" s="2" t="s">
        <v>16057</v>
      </c>
      <c r="B7739" s="2" t="s">
        <v>16058</v>
      </c>
      <c r="C7739" s="2" t="s">
        <v>15245</v>
      </c>
    </row>
    <row r="7740">
      <c r="A7740" s="2" t="s">
        <v>16059</v>
      </c>
      <c r="B7740" s="2" t="s">
        <v>16060</v>
      </c>
      <c r="C7740" s="2" t="s">
        <v>15245</v>
      </c>
    </row>
    <row r="7741">
      <c r="A7741" s="2" t="s">
        <v>16061</v>
      </c>
      <c r="B7741" s="2" t="s">
        <v>16062</v>
      </c>
      <c r="C7741" s="2" t="s">
        <v>15245</v>
      </c>
    </row>
    <row r="7742">
      <c r="A7742" s="2" t="s">
        <v>16063</v>
      </c>
      <c r="B7742" s="2" t="s">
        <v>16064</v>
      </c>
      <c r="C7742" s="2" t="s">
        <v>15245</v>
      </c>
    </row>
    <row r="7743">
      <c r="A7743" s="2" t="s">
        <v>16065</v>
      </c>
      <c r="B7743" s="2" t="s">
        <v>16066</v>
      </c>
      <c r="C7743" s="2" t="s">
        <v>15245</v>
      </c>
    </row>
    <row r="7744">
      <c r="A7744" s="2" t="s">
        <v>16067</v>
      </c>
      <c r="B7744" s="2" t="s">
        <v>16068</v>
      </c>
      <c r="C7744" s="2" t="s">
        <v>15245</v>
      </c>
    </row>
    <row r="7745">
      <c r="A7745" s="2" t="s">
        <v>16069</v>
      </c>
      <c r="B7745" s="2" t="s">
        <v>16070</v>
      </c>
      <c r="C7745" s="2" t="s">
        <v>15245</v>
      </c>
    </row>
    <row r="7746">
      <c r="A7746" s="2" t="s">
        <v>16071</v>
      </c>
      <c r="B7746" s="2" t="s">
        <v>16072</v>
      </c>
      <c r="C7746" s="2" t="s">
        <v>15245</v>
      </c>
    </row>
    <row r="7747">
      <c r="A7747" s="2" t="s">
        <v>16073</v>
      </c>
      <c r="B7747" s="2" t="s">
        <v>16074</v>
      </c>
      <c r="C7747" s="2" t="s">
        <v>15245</v>
      </c>
    </row>
    <row r="7748">
      <c r="A7748" s="2" t="s">
        <v>16075</v>
      </c>
      <c r="B7748" s="2" t="s">
        <v>16076</v>
      </c>
      <c r="C7748" s="2" t="s">
        <v>15245</v>
      </c>
    </row>
    <row r="7749">
      <c r="A7749" s="2" t="s">
        <v>16077</v>
      </c>
      <c r="B7749" s="2" t="s">
        <v>16078</v>
      </c>
      <c r="C7749" s="2" t="s">
        <v>15245</v>
      </c>
    </row>
    <row r="7750">
      <c r="A7750" s="2" t="s">
        <v>16079</v>
      </c>
      <c r="B7750" s="2" t="s">
        <v>16080</v>
      </c>
      <c r="C7750" s="2" t="s">
        <v>15245</v>
      </c>
    </row>
    <row r="7751">
      <c r="A7751" s="2" t="s">
        <v>16081</v>
      </c>
      <c r="B7751" s="2" t="s">
        <v>16082</v>
      </c>
      <c r="C7751" s="2" t="s">
        <v>15245</v>
      </c>
    </row>
    <row r="7752">
      <c r="A7752" s="2" t="s">
        <v>16083</v>
      </c>
      <c r="B7752" s="2" t="s">
        <v>16084</v>
      </c>
      <c r="C7752" s="2" t="s">
        <v>15245</v>
      </c>
    </row>
    <row r="7753">
      <c r="A7753" s="2" t="s">
        <v>16085</v>
      </c>
      <c r="B7753" s="2" t="s">
        <v>16086</v>
      </c>
      <c r="C7753" s="2" t="s">
        <v>15245</v>
      </c>
    </row>
    <row r="7754">
      <c r="A7754" s="2" t="s">
        <v>16087</v>
      </c>
      <c r="B7754" s="2" t="s">
        <v>16088</v>
      </c>
      <c r="C7754" s="2" t="s">
        <v>15245</v>
      </c>
    </row>
    <row r="7755">
      <c r="A7755" s="2" t="s">
        <v>16089</v>
      </c>
      <c r="B7755" s="2" t="s">
        <v>16090</v>
      </c>
      <c r="C7755" s="2" t="s">
        <v>15245</v>
      </c>
    </row>
    <row r="7756">
      <c r="A7756" s="2" t="s">
        <v>16091</v>
      </c>
      <c r="B7756" s="2" t="s">
        <v>16090</v>
      </c>
      <c r="C7756" s="2" t="s">
        <v>15245</v>
      </c>
    </row>
    <row r="7757">
      <c r="A7757" s="2" t="s">
        <v>16092</v>
      </c>
      <c r="B7757" s="2" t="s">
        <v>16093</v>
      </c>
      <c r="C7757" s="2" t="s">
        <v>15245</v>
      </c>
    </row>
    <row r="7758">
      <c r="A7758" s="2" t="s">
        <v>16094</v>
      </c>
      <c r="B7758" s="2" t="s">
        <v>16095</v>
      </c>
      <c r="C7758" s="2" t="s">
        <v>15245</v>
      </c>
    </row>
    <row r="7759">
      <c r="A7759" s="2" t="s">
        <v>16096</v>
      </c>
      <c r="B7759" s="2" t="s">
        <v>16097</v>
      </c>
      <c r="C7759" s="2" t="s">
        <v>15245</v>
      </c>
    </row>
    <row r="7760">
      <c r="A7760" s="2" t="s">
        <v>16098</v>
      </c>
      <c r="B7760" s="2" t="s">
        <v>16099</v>
      </c>
      <c r="C7760" s="2" t="s">
        <v>15245</v>
      </c>
    </row>
    <row r="7761">
      <c r="A7761" s="2" t="s">
        <v>16100</v>
      </c>
      <c r="B7761" s="2" t="s">
        <v>16101</v>
      </c>
      <c r="C7761" s="2" t="s">
        <v>15245</v>
      </c>
    </row>
    <row r="7762">
      <c r="A7762" s="2" t="s">
        <v>16102</v>
      </c>
      <c r="B7762" s="2" t="s">
        <v>16103</v>
      </c>
      <c r="C7762" s="2" t="s">
        <v>15245</v>
      </c>
    </row>
    <row r="7763">
      <c r="A7763" s="2" t="s">
        <v>16104</v>
      </c>
      <c r="B7763" s="2" t="s">
        <v>16105</v>
      </c>
      <c r="C7763" s="2" t="s">
        <v>15245</v>
      </c>
    </row>
    <row r="7764">
      <c r="A7764" s="2" t="s">
        <v>16106</v>
      </c>
      <c r="B7764" s="2" t="s">
        <v>16107</v>
      </c>
      <c r="C7764" s="2" t="s">
        <v>15245</v>
      </c>
    </row>
    <row r="7765">
      <c r="A7765" s="2" t="s">
        <v>16108</v>
      </c>
      <c r="B7765" s="2" t="s">
        <v>16109</v>
      </c>
      <c r="C7765" s="2" t="s">
        <v>15245</v>
      </c>
    </row>
    <row r="7766">
      <c r="A7766" s="2" t="s">
        <v>16110</v>
      </c>
      <c r="B7766" s="2" t="s">
        <v>16111</v>
      </c>
      <c r="C7766" s="2" t="s">
        <v>15245</v>
      </c>
    </row>
    <row r="7767">
      <c r="A7767" s="2" t="s">
        <v>16112</v>
      </c>
      <c r="B7767" s="2" t="s">
        <v>16113</v>
      </c>
      <c r="C7767" s="2" t="s">
        <v>15245</v>
      </c>
    </row>
    <row r="7768">
      <c r="A7768" s="2" t="s">
        <v>16114</v>
      </c>
      <c r="B7768" s="2" t="s">
        <v>16115</v>
      </c>
      <c r="C7768" s="2" t="s">
        <v>15245</v>
      </c>
    </row>
    <row r="7769">
      <c r="A7769" s="2" t="s">
        <v>16116</v>
      </c>
      <c r="B7769" s="2" t="s">
        <v>16117</v>
      </c>
      <c r="C7769" s="2" t="s">
        <v>15245</v>
      </c>
    </row>
    <row r="7770">
      <c r="A7770" s="2" t="s">
        <v>16118</v>
      </c>
      <c r="B7770" s="2" t="s">
        <v>16119</v>
      </c>
      <c r="C7770" s="2" t="s">
        <v>15245</v>
      </c>
    </row>
    <row r="7771">
      <c r="A7771" s="2" t="s">
        <v>16120</v>
      </c>
      <c r="B7771" s="2" t="s">
        <v>16121</v>
      </c>
      <c r="C7771" s="2" t="s">
        <v>15245</v>
      </c>
    </row>
    <row r="7772">
      <c r="A7772" s="2" t="s">
        <v>16122</v>
      </c>
      <c r="B7772" s="2" t="s">
        <v>16123</v>
      </c>
      <c r="C7772" s="2" t="s">
        <v>15245</v>
      </c>
    </row>
    <row r="7773">
      <c r="A7773" s="2" t="s">
        <v>16124</v>
      </c>
      <c r="B7773" s="2" t="s">
        <v>16125</v>
      </c>
      <c r="C7773" s="2" t="s">
        <v>15245</v>
      </c>
    </row>
    <row r="7774">
      <c r="A7774" s="2" t="s">
        <v>16126</v>
      </c>
      <c r="B7774" s="2" t="s">
        <v>16127</v>
      </c>
      <c r="C7774" s="2" t="s">
        <v>15245</v>
      </c>
    </row>
    <row r="7775">
      <c r="A7775" s="2" t="s">
        <v>16128</v>
      </c>
      <c r="B7775" s="2" t="s">
        <v>16129</v>
      </c>
      <c r="C7775" s="2" t="s">
        <v>15245</v>
      </c>
    </row>
    <row r="7776">
      <c r="A7776" s="2" t="s">
        <v>16130</v>
      </c>
      <c r="B7776" s="2" t="s">
        <v>16131</v>
      </c>
      <c r="C7776" s="2" t="s">
        <v>15245</v>
      </c>
    </row>
    <row r="7777">
      <c r="A7777" s="2" t="s">
        <v>16132</v>
      </c>
      <c r="B7777" s="2" t="s">
        <v>16133</v>
      </c>
      <c r="C7777" s="2" t="s">
        <v>16134</v>
      </c>
    </row>
    <row r="7778">
      <c r="A7778" s="2" t="s">
        <v>16135</v>
      </c>
      <c r="B7778" s="2" t="s">
        <v>16136</v>
      </c>
      <c r="C7778" s="2" t="s">
        <v>16134</v>
      </c>
    </row>
    <row r="7779">
      <c r="A7779" s="2" t="s">
        <v>16137</v>
      </c>
      <c r="B7779" s="2" t="s">
        <v>16138</v>
      </c>
      <c r="C7779" s="2" t="s">
        <v>16134</v>
      </c>
    </row>
    <row r="7780">
      <c r="A7780" s="2" t="s">
        <v>16139</v>
      </c>
      <c r="B7780" s="2" t="s">
        <v>16140</v>
      </c>
      <c r="C7780" s="2" t="s">
        <v>16134</v>
      </c>
    </row>
    <row r="7781">
      <c r="A7781" s="2" t="s">
        <v>16141</v>
      </c>
      <c r="B7781" s="2" t="s">
        <v>16140</v>
      </c>
      <c r="C7781" s="2" t="s">
        <v>16134</v>
      </c>
    </row>
    <row r="7782">
      <c r="A7782" s="2" t="s">
        <v>16142</v>
      </c>
      <c r="B7782" s="2" t="s">
        <v>16143</v>
      </c>
      <c r="C7782" s="2" t="s">
        <v>16134</v>
      </c>
    </row>
    <row r="7783">
      <c r="A7783" s="2" t="s">
        <v>16144</v>
      </c>
      <c r="B7783" s="2" t="s">
        <v>16143</v>
      </c>
      <c r="C7783" s="2" t="s">
        <v>16134</v>
      </c>
    </row>
    <row r="7784">
      <c r="A7784" s="2" t="s">
        <v>16145</v>
      </c>
      <c r="B7784" s="2" t="s">
        <v>16146</v>
      </c>
      <c r="C7784" s="2" t="s">
        <v>16134</v>
      </c>
    </row>
    <row r="7785">
      <c r="A7785" s="2" t="s">
        <v>16147</v>
      </c>
      <c r="B7785" s="2" t="s">
        <v>16146</v>
      </c>
      <c r="C7785" s="2" t="s">
        <v>16134</v>
      </c>
    </row>
    <row r="7786">
      <c r="A7786" s="2" t="s">
        <v>16148</v>
      </c>
      <c r="B7786" s="2" t="s">
        <v>16149</v>
      </c>
      <c r="C7786" s="2" t="s">
        <v>16134</v>
      </c>
    </row>
    <row r="7787">
      <c r="A7787" s="2" t="s">
        <v>16150</v>
      </c>
      <c r="B7787" s="2" t="s">
        <v>16149</v>
      </c>
      <c r="C7787" s="2" t="s">
        <v>16134</v>
      </c>
    </row>
    <row r="7788">
      <c r="A7788" s="2" t="s">
        <v>16151</v>
      </c>
      <c r="B7788" s="2" t="s">
        <v>16152</v>
      </c>
      <c r="C7788" s="2" t="s">
        <v>16134</v>
      </c>
    </row>
    <row r="7789">
      <c r="A7789" s="2" t="s">
        <v>16153</v>
      </c>
      <c r="B7789" s="2" t="s">
        <v>16152</v>
      </c>
      <c r="C7789" s="2" t="s">
        <v>16134</v>
      </c>
    </row>
    <row r="7790">
      <c r="A7790" s="2" t="s">
        <v>16154</v>
      </c>
      <c r="B7790" s="2" t="s">
        <v>16155</v>
      </c>
      <c r="C7790" s="2" t="s">
        <v>16134</v>
      </c>
    </row>
    <row r="7791">
      <c r="A7791" s="2" t="s">
        <v>16156</v>
      </c>
      <c r="B7791" s="2" t="s">
        <v>16155</v>
      </c>
      <c r="C7791" s="2" t="s">
        <v>16134</v>
      </c>
    </row>
    <row r="7792">
      <c r="A7792" s="2" t="s">
        <v>16157</v>
      </c>
      <c r="B7792" s="2" t="s">
        <v>16158</v>
      </c>
      <c r="C7792" s="2" t="s">
        <v>16134</v>
      </c>
    </row>
    <row r="7793">
      <c r="A7793" s="2" t="s">
        <v>16159</v>
      </c>
      <c r="B7793" s="2" t="s">
        <v>16160</v>
      </c>
      <c r="C7793" s="2" t="s">
        <v>16134</v>
      </c>
    </row>
    <row r="7794">
      <c r="A7794" s="2" t="s">
        <v>16161</v>
      </c>
      <c r="B7794" s="2" t="s">
        <v>16162</v>
      </c>
      <c r="C7794" s="2" t="s">
        <v>16163</v>
      </c>
    </row>
    <row r="7795">
      <c r="A7795" s="2" t="s">
        <v>16164</v>
      </c>
      <c r="B7795" s="2" t="s">
        <v>16165</v>
      </c>
      <c r="C7795" s="2" t="s">
        <v>16163</v>
      </c>
    </row>
    <row r="7796">
      <c r="A7796" s="2" t="s">
        <v>16166</v>
      </c>
      <c r="B7796" s="2" t="s">
        <v>16167</v>
      </c>
      <c r="C7796" s="2" t="s">
        <v>16163</v>
      </c>
    </row>
    <row r="7797">
      <c r="A7797" s="2" t="s">
        <v>16168</v>
      </c>
      <c r="B7797" s="2" t="s">
        <v>16169</v>
      </c>
      <c r="C7797" s="2" t="s">
        <v>16163</v>
      </c>
    </row>
    <row r="7798">
      <c r="A7798" s="2" t="s">
        <v>16170</v>
      </c>
      <c r="B7798" s="2" t="s">
        <v>16171</v>
      </c>
      <c r="C7798" s="2" t="s">
        <v>16163</v>
      </c>
    </row>
    <row r="7799">
      <c r="A7799" s="2" t="s">
        <v>16172</v>
      </c>
      <c r="B7799" s="2" t="s">
        <v>16173</v>
      </c>
      <c r="C7799" s="2" t="s">
        <v>16163</v>
      </c>
    </row>
    <row r="7800">
      <c r="A7800" s="2" t="s">
        <v>16174</v>
      </c>
      <c r="B7800" s="2" t="s">
        <v>16175</v>
      </c>
      <c r="C7800" s="2" t="s">
        <v>16163</v>
      </c>
    </row>
    <row r="7801">
      <c r="A7801" s="2" t="s">
        <v>16176</v>
      </c>
      <c r="B7801" s="2" t="s">
        <v>16177</v>
      </c>
      <c r="C7801" s="2" t="s">
        <v>16163</v>
      </c>
    </row>
    <row r="7802">
      <c r="A7802" s="2" t="s">
        <v>16178</v>
      </c>
      <c r="B7802" s="2" t="s">
        <v>16179</v>
      </c>
      <c r="C7802" s="2" t="s">
        <v>16163</v>
      </c>
    </row>
    <row r="7803">
      <c r="A7803" s="2" t="s">
        <v>16180</v>
      </c>
      <c r="B7803" s="2" t="s">
        <v>16181</v>
      </c>
      <c r="C7803" s="2" t="s">
        <v>16163</v>
      </c>
    </row>
    <row r="7804">
      <c r="A7804" s="2" t="s">
        <v>16182</v>
      </c>
      <c r="B7804" s="2" t="s">
        <v>16183</v>
      </c>
      <c r="C7804" s="2" t="s">
        <v>16163</v>
      </c>
    </row>
    <row r="7805">
      <c r="A7805" s="2" t="s">
        <v>16184</v>
      </c>
      <c r="B7805" s="2" t="s">
        <v>16185</v>
      </c>
      <c r="C7805" s="2" t="s">
        <v>16163</v>
      </c>
    </row>
    <row r="7806">
      <c r="A7806" s="2" t="s">
        <v>16186</v>
      </c>
      <c r="B7806" s="2" t="s">
        <v>16187</v>
      </c>
      <c r="C7806" s="2" t="s">
        <v>16163</v>
      </c>
    </row>
    <row r="7807">
      <c r="A7807" s="2" t="s">
        <v>16188</v>
      </c>
      <c r="B7807" s="2" t="s">
        <v>16189</v>
      </c>
      <c r="C7807" s="2" t="s">
        <v>16163</v>
      </c>
    </row>
    <row r="7808">
      <c r="A7808" s="2" t="s">
        <v>16190</v>
      </c>
      <c r="B7808" s="2" t="s">
        <v>16191</v>
      </c>
      <c r="C7808" s="2" t="s">
        <v>16163</v>
      </c>
    </row>
    <row r="7809">
      <c r="A7809" s="2" t="s">
        <v>16192</v>
      </c>
      <c r="B7809" s="2" t="s">
        <v>16193</v>
      </c>
      <c r="C7809" s="2" t="s">
        <v>16163</v>
      </c>
    </row>
    <row r="7810">
      <c r="A7810" s="2" t="s">
        <v>16194</v>
      </c>
      <c r="B7810" s="2" t="s">
        <v>16195</v>
      </c>
      <c r="C7810" s="2" t="s">
        <v>16163</v>
      </c>
    </row>
    <row r="7811">
      <c r="A7811" s="2" t="s">
        <v>16196</v>
      </c>
      <c r="B7811" s="2" t="s">
        <v>16197</v>
      </c>
      <c r="C7811" s="2" t="s">
        <v>16163</v>
      </c>
    </row>
    <row r="7812">
      <c r="A7812" s="2" t="s">
        <v>16198</v>
      </c>
      <c r="B7812" s="2" t="s">
        <v>16199</v>
      </c>
      <c r="C7812" s="2" t="s">
        <v>16163</v>
      </c>
    </row>
    <row r="7813">
      <c r="A7813" s="2" t="s">
        <v>16200</v>
      </c>
      <c r="B7813" s="2" t="s">
        <v>16201</v>
      </c>
      <c r="C7813" s="2" t="s">
        <v>16163</v>
      </c>
    </row>
    <row r="7814">
      <c r="A7814" s="2" t="s">
        <v>16202</v>
      </c>
      <c r="B7814" s="2" t="s">
        <v>16203</v>
      </c>
      <c r="C7814" s="2" t="s">
        <v>16163</v>
      </c>
    </row>
    <row r="7815">
      <c r="A7815" s="2" t="s">
        <v>16204</v>
      </c>
      <c r="B7815" s="2" t="s">
        <v>16205</v>
      </c>
      <c r="C7815" s="2" t="s">
        <v>16163</v>
      </c>
    </row>
    <row r="7816">
      <c r="A7816" s="2" t="s">
        <v>16206</v>
      </c>
      <c r="B7816" s="2" t="s">
        <v>16207</v>
      </c>
      <c r="C7816" s="2" t="s">
        <v>16163</v>
      </c>
    </row>
    <row r="7817">
      <c r="A7817" s="2" t="s">
        <v>16208</v>
      </c>
      <c r="B7817" s="2" t="s">
        <v>16209</v>
      </c>
      <c r="C7817" s="2" t="s">
        <v>16163</v>
      </c>
    </row>
    <row r="7818">
      <c r="A7818" s="2" t="s">
        <v>16210</v>
      </c>
      <c r="B7818" s="2" t="s">
        <v>16211</v>
      </c>
      <c r="C7818" s="2" t="s">
        <v>16163</v>
      </c>
    </row>
    <row r="7819">
      <c r="A7819" s="2" t="s">
        <v>16212</v>
      </c>
      <c r="B7819" s="2" t="s">
        <v>16213</v>
      </c>
      <c r="C7819" s="2" t="s">
        <v>16163</v>
      </c>
    </row>
    <row r="7820">
      <c r="A7820" s="2" t="s">
        <v>16214</v>
      </c>
      <c r="B7820" s="2" t="s">
        <v>16215</v>
      </c>
      <c r="C7820" s="2" t="s">
        <v>16163</v>
      </c>
    </row>
    <row r="7821">
      <c r="A7821" s="2" t="s">
        <v>16216</v>
      </c>
      <c r="B7821" s="2" t="s">
        <v>16217</v>
      </c>
      <c r="C7821" s="2" t="s">
        <v>16163</v>
      </c>
    </row>
    <row r="7822">
      <c r="A7822" s="2" t="s">
        <v>16218</v>
      </c>
      <c r="B7822" s="2" t="s">
        <v>16219</v>
      </c>
      <c r="C7822" s="2" t="s">
        <v>16163</v>
      </c>
    </row>
    <row r="7823">
      <c r="A7823" s="2" t="s">
        <v>16220</v>
      </c>
      <c r="B7823" s="2" t="s">
        <v>16221</v>
      </c>
      <c r="C7823" s="2" t="s">
        <v>16163</v>
      </c>
    </row>
    <row r="7824">
      <c r="A7824" s="2" t="s">
        <v>16222</v>
      </c>
      <c r="B7824" s="2" t="s">
        <v>16223</v>
      </c>
      <c r="C7824" s="2" t="s">
        <v>16163</v>
      </c>
    </row>
    <row r="7825">
      <c r="A7825" s="2" t="s">
        <v>16224</v>
      </c>
      <c r="B7825" s="2" t="s">
        <v>16225</v>
      </c>
      <c r="C7825" s="2" t="s">
        <v>16163</v>
      </c>
    </row>
    <row r="7826">
      <c r="A7826" s="2" t="s">
        <v>16226</v>
      </c>
      <c r="B7826" s="2" t="s">
        <v>16227</v>
      </c>
      <c r="C7826" s="2" t="s">
        <v>16163</v>
      </c>
    </row>
    <row r="7827">
      <c r="A7827" s="2" t="s">
        <v>16228</v>
      </c>
      <c r="B7827" s="2" t="s">
        <v>16229</v>
      </c>
      <c r="C7827" s="2" t="s">
        <v>16163</v>
      </c>
    </row>
    <row r="7828">
      <c r="A7828" s="2" t="s">
        <v>16230</v>
      </c>
      <c r="B7828" s="2" t="s">
        <v>16231</v>
      </c>
      <c r="C7828" s="2" t="s">
        <v>16163</v>
      </c>
    </row>
    <row r="7829">
      <c r="A7829" s="2" t="s">
        <v>16232</v>
      </c>
      <c r="B7829" s="2" t="s">
        <v>16233</v>
      </c>
      <c r="C7829" s="2" t="s">
        <v>16163</v>
      </c>
    </row>
    <row r="7830">
      <c r="A7830" s="2" t="s">
        <v>16234</v>
      </c>
      <c r="B7830" s="2" t="s">
        <v>16235</v>
      </c>
      <c r="C7830" s="2" t="s">
        <v>16163</v>
      </c>
    </row>
    <row r="7831">
      <c r="A7831" s="2" t="s">
        <v>16236</v>
      </c>
      <c r="B7831" s="2" t="s">
        <v>16237</v>
      </c>
      <c r="C7831" s="2" t="s">
        <v>16163</v>
      </c>
    </row>
    <row r="7832">
      <c r="A7832" s="2" t="s">
        <v>16238</v>
      </c>
      <c r="B7832" s="2" t="s">
        <v>16239</v>
      </c>
      <c r="C7832" s="2" t="s">
        <v>16163</v>
      </c>
    </row>
    <row r="7833">
      <c r="A7833" s="2" t="s">
        <v>16240</v>
      </c>
      <c r="B7833" s="2" t="s">
        <v>16241</v>
      </c>
      <c r="C7833" s="2" t="s">
        <v>16163</v>
      </c>
    </row>
    <row r="7834">
      <c r="A7834" s="2" t="s">
        <v>16242</v>
      </c>
      <c r="B7834" s="2" t="s">
        <v>16243</v>
      </c>
      <c r="C7834" s="2" t="s">
        <v>16163</v>
      </c>
    </row>
    <row r="7835">
      <c r="A7835" s="2" t="s">
        <v>16244</v>
      </c>
      <c r="B7835" s="2" t="s">
        <v>16245</v>
      </c>
      <c r="C7835" s="2" t="s">
        <v>16163</v>
      </c>
    </row>
    <row r="7836">
      <c r="A7836" s="2" t="s">
        <v>16246</v>
      </c>
      <c r="B7836" s="2" t="s">
        <v>16247</v>
      </c>
      <c r="C7836" s="2" t="s">
        <v>16163</v>
      </c>
    </row>
    <row r="7837">
      <c r="A7837" s="2" t="s">
        <v>16248</v>
      </c>
      <c r="B7837" s="2" t="s">
        <v>16249</v>
      </c>
      <c r="C7837" s="2" t="s">
        <v>16163</v>
      </c>
    </row>
    <row r="7838">
      <c r="A7838" s="2" t="s">
        <v>16250</v>
      </c>
      <c r="B7838" s="2" t="s">
        <v>16251</v>
      </c>
      <c r="C7838" s="2" t="s">
        <v>16163</v>
      </c>
    </row>
    <row r="7839">
      <c r="A7839" s="2" t="s">
        <v>16252</v>
      </c>
      <c r="B7839" s="2" t="s">
        <v>16253</v>
      </c>
      <c r="C7839" s="2" t="s">
        <v>16163</v>
      </c>
    </row>
    <row r="7840">
      <c r="A7840" s="2" t="s">
        <v>16254</v>
      </c>
      <c r="B7840" s="2" t="s">
        <v>16255</v>
      </c>
      <c r="C7840" s="2" t="s">
        <v>16163</v>
      </c>
    </row>
    <row r="7841">
      <c r="A7841" s="2" t="s">
        <v>16256</v>
      </c>
      <c r="B7841" s="2" t="s">
        <v>16257</v>
      </c>
      <c r="C7841" s="2" t="s">
        <v>16163</v>
      </c>
    </row>
    <row r="7842">
      <c r="A7842" s="2" t="s">
        <v>16258</v>
      </c>
      <c r="B7842" s="2" t="s">
        <v>16259</v>
      </c>
      <c r="C7842" s="2" t="s">
        <v>16163</v>
      </c>
    </row>
    <row r="7843">
      <c r="A7843" s="2" t="s">
        <v>16260</v>
      </c>
      <c r="B7843" s="2" t="s">
        <v>16261</v>
      </c>
      <c r="C7843" s="2" t="s">
        <v>16163</v>
      </c>
    </row>
    <row r="7844">
      <c r="A7844" s="2" t="s">
        <v>16262</v>
      </c>
      <c r="B7844" s="2" t="s">
        <v>16263</v>
      </c>
      <c r="C7844" s="2" t="s">
        <v>16163</v>
      </c>
    </row>
    <row r="7845">
      <c r="A7845" s="2" t="s">
        <v>16264</v>
      </c>
      <c r="B7845" s="2" t="s">
        <v>16265</v>
      </c>
      <c r="C7845" s="2" t="s">
        <v>16163</v>
      </c>
    </row>
    <row r="7846">
      <c r="A7846" s="2" t="s">
        <v>16266</v>
      </c>
      <c r="B7846" s="2" t="s">
        <v>16267</v>
      </c>
      <c r="C7846" s="2" t="s">
        <v>16163</v>
      </c>
    </row>
    <row r="7847">
      <c r="A7847" s="2" t="s">
        <v>16268</v>
      </c>
      <c r="B7847" s="2" t="s">
        <v>16269</v>
      </c>
      <c r="C7847" s="2" t="s">
        <v>16163</v>
      </c>
    </row>
    <row r="7848">
      <c r="A7848" s="2" t="s">
        <v>16270</v>
      </c>
      <c r="B7848" s="2" t="s">
        <v>16271</v>
      </c>
      <c r="C7848" s="2" t="s">
        <v>16163</v>
      </c>
    </row>
    <row r="7849">
      <c r="A7849" s="2" t="s">
        <v>16272</v>
      </c>
      <c r="B7849" s="2" t="s">
        <v>16273</v>
      </c>
      <c r="C7849" s="2" t="s">
        <v>16163</v>
      </c>
    </row>
    <row r="7850">
      <c r="A7850" s="2" t="s">
        <v>16274</v>
      </c>
      <c r="B7850" s="2" t="s">
        <v>16275</v>
      </c>
      <c r="C7850" s="2" t="s">
        <v>16163</v>
      </c>
    </row>
    <row r="7851">
      <c r="A7851" s="2" t="s">
        <v>16276</v>
      </c>
      <c r="B7851" s="2" t="s">
        <v>16277</v>
      </c>
      <c r="C7851" s="2" t="s">
        <v>16163</v>
      </c>
    </row>
    <row r="7852">
      <c r="A7852" s="2" t="s">
        <v>16278</v>
      </c>
      <c r="B7852" s="2" t="s">
        <v>16279</v>
      </c>
      <c r="C7852" s="2" t="s">
        <v>16163</v>
      </c>
    </row>
    <row r="7853">
      <c r="A7853" s="2" t="s">
        <v>16280</v>
      </c>
      <c r="B7853" s="2" t="s">
        <v>16281</v>
      </c>
      <c r="C7853" s="2" t="s">
        <v>16163</v>
      </c>
    </row>
    <row r="7854">
      <c r="A7854" s="2" t="s">
        <v>16282</v>
      </c>
      <c r="B7854" s="2" t="s">
        <v>16283</v>
      </c>
      <c r="C7854" s="2" t="s">
        <v>16163</v>
      </c>
    </row>
    <row r="7855">
      <c r="A7855" s="2" t="s">
        <v>16284</v>
      </c>
      <c r="B7855" s="2" t="s">
        <v>16285</v>
      </c>
      <c r="C7855" s="2" t="s">
        <v>16163</v>
      </c>
    </row>
    <row r="7856">
      <c r="A7856" s="2" t="s">
        <v>16286</v>
      </c>
      <c r="B7856" s="2" t="s">
        <v>16287</v>
      </c>
      <c r="C7856" s="2" t="s">
        <v>16163</v>
      </c>
    </row>
    <row r="7857">
      <c r="A7857" s="2" t="s">
        <v>16288</v>
      </c>
      <c r="B7857" s="2" t="s">
        <v>16289</v>
      </c>
      <c r="C7857" s="2" t="s">
        <v>16163</v>
      </c>
    </row>
    <row r="7858">
      <c r="A7858" s="2" t="s">
        <v>16290</v>
      </c>
      <c r="B7858" s="2" t="s">
        <v>16291</v>
      </c>
      <c r="C7858" s="2" t="s">
        <v>16163</v>
      </c>
    </row>
    <row r="7859">
      <c r="A7859" s="2" t="s">
        <v>16292</v>
      </c>
      <c r="B7859" s="2" t="s">
        <v>16293</v>
      </c>
      <c r="C7859" s="2" t="s">
        <v>16163</v>
      </c>
    </row>
    <row r="7860">
      <c r="A7860" s="2" t="s">
        <v>16294</v>
      </c>
      <c r="B7860" s="2" t="s">
        <v>16295</v>
      </c>
      <c r="C7860" s="2" t="s">
        <v>16163</v>
      </c>
    </row>
    <row r="7861">
      <c r="A7861" s="2" t="s">
        <v>16296</v>
      </c>
      <c r="B7861" s="2" t="s">
        <v>16297</v>
      </c>
      <c r="C7861" s="2" t="s">
        <v>16163</v>
      </c>
    </row>
    <row r="7862">
      <c r="A7862" s="2" t="s">
        <v>16298</v>
      </c>
      <c r="B7862" s="2" t="s">
        <v>16299</v>
      </c>
      <c r="C7862" s="2" t="s">
        <v>16163</v>
      </c>
    </row>
    <row r="7863">
      <c r="A7863" s="2" t="s">
        <v>16300</v>
      </c>
      <c r="B7863" s="2" t="s">
        <v>16301</v>
      </c>
      <c r="C7863" s="2" t="s">
        <v>16163</v>
      </c>
    </row>
    <row r="7864">
      <c r="A7864" s="2" t="s">
        <v>16302</v>
      </c>
      <c r="B7864" s="2" t="s">
        <v>16303</v>
      </c>
      <c r="C7864" s="2" t="s">
        <v>16163</v>
      </c>
    </row>
    <row r="7865">
      <c r="A7865" s="2" t="s">
        <v>16304</v>
      </c>
      <c r="B7865" s="2" t="s">
        <v>16305</v>
      </c>
      <c r="C7865" s="2" t="s">
        <v>16163</v>
      </c>
    </row>
    <row r="7866">
      <c r="A7866" s="2" t="s">
        <v>16306</v>
      </c>
      <c r="B7866" s="2" t="s">
        <v>16307</v>
      </c>
      <c r="C7866" s="2" t="s">
        <v>16163</v>
      </c>
    </row>
    <row r="7867">
      <c r="A7867" s="2" t="s">
        <v>16308</v>
      </c>
      <c r="B7867" s="2" t="s">
        <v>16309</v>
      </c>
      <c r="C7867" s="2" t="s">
        <v>16163</v>
      </c>
    </row>
    <row r="7868">
      <c r="A7868" s="2" t="s">
        <v>16310</v>
      </c>
      <c r="B7868" s="2" t="s">
        <v>16311</v>
      </c>
      <c r="C7868" s="2" t="s">
        <v>16163</v>
      </c>
    </row>
    <row r="7869">
      <c r="A7869" s="2" t="s">
        <v>16312</v>
      </c>
      <c r="B7869" s="2" t="s">
        <v>16313</v>
      </c>
      <c r="C7869" s="2" t="s">
        <v>16163</v>
      </c>
    </row>
    <row r="7870">
      <c r="A7870" s="2" t="s">
        <v>16314</v>
      </c>
      <c r="B7870" s="2" t="s">
        <v>16315</v>
      </c>
      <c r="C7870" s="2" t="s">
        <v>16163</v>
      </c>
    </row>
    <row r="7871">
      <c r="A7871" s="2" t="s">
        <v>16316</v>
      </c>
      <c r="B7871" s="2" t="s">
        <v>16317</v>
      </c>
      <c r="C7871" s="2" t="s">
        <v>16163</v>
      </c>
    </row>
    <row r="7872">
      <c r="A7872" s="2" t="s">
        <v>16318</v>
      </c>
      <c r="B7872" s="2" t="s">
        <v>16319</v>
      </c>
      <c r="C7872" s="2" t="s">
        <v>16163</v>
      </c>
    </row>
    <row r="7873">
      <c r="A7873" s="2" t="s">
        <v>16320</v>
      </c>
      <c r="B7873" s="2" t="s">
        <v>16321</v>
      </c>
      <c r="C7873" s="2" t="s">
        <v>16163</v>
      </c>
    </row>
    <row r="7874">
      <c r="A7874" s="2" t="s">
        <v>16322</v>
      </c>
      <c r="B7874" s="2" t="s">
        <v>16323</v>
      </c>
      <c r="C7874" s="2" t="s">
        <v>16163</v>
      </c>
    </row>
    <row r="7875">
      <c r="A7875" s="2" t="s">
        <v>16324</v>
      </c>
      <c r="B7875" s="2" t="s">
        <v>16325</v>
      </c>
      <c r="C7875" s="2" t="s">
        <v>16163</v>
      </c>
    </row>
    <row r="7876">
      <c r="A7876" s="2" t="s">
        <v>16326</v>
      </c>
      <c r="B7876" s="2" t="s">
        <v>16327</v>
      </c>
      <c r="C7876" s="2" t="s">
        <v>16163</v>
      </c>
    </row>
    <row r="7877">
      <c r="A7877" s="2" t="s">
        <v>16328</v>
      </c>
      <c r="B7877" s="2" t="s">
        <v>16329</v>
      </c>
      <c r="C7877" s="2" t="s">
        <v>16163</v>
      </c>
    </row>
    <row r="7878">
      <c r="A7878" s="2" t="s">
        <v>16330</v>
      </c>
      <c r="B7878" s="2" t="s">
        <v>16331</v>
      </c>
      <c r="C7878" s="2" t="s">
        <v>16163</v>
      </c>
    </row>
    <row r="7879">
      <c r="A7879" s="2" t="s">
        <v>16332</v>
      </c>
      <c r="B7879" s="2" t="s">
        <v>16333</v>
      </c>
      <c r="C7879" s="2" t="s">
        <v>16163</v>
      </c>
    </row>
    <row r="7880">
      <c r="A7880" s="2" t="s">
        <v>16334</v>
      </c>
      <c r="B7880" s="2" t="s">
        <v>16335</v>
      </c>
      <c r="C7880" s="2" t="s">
        <v>16163</v>
      </c>
    </row>
    <row r="7881">
      <c r="A7881" s="2" t="s">
        <v>16336</v>
      </c>
      <c r="B7881" s="2" t="s">
        <v>16337</v>
      </c>
      <c r="C7881" s="2" t="s">
        <v>16163</v>
      </c>
    </row>
    <row r="7882">
      <c r="A7882" s="2" t="s">
        <v>16338</v>
      </c>
      <c r="B7882" s="2" t="s">
        <v>16339</v>
      </c>
      <c r="C7882" s="2" t="s">
        <v>16163</v>
      </c>
    </row>
    <row r="7883">
      <c r="A7883" s="2" t="s">
        <v>16340</v>
      </c>
      <c r="B7883" s="2" t="s">
        <v>16341</v>
      </c>
      <c r="C7883" s="2" t="s">
        <v>16163</v>
      </c>
    </row>
    <row r="7884">
      <c r="A7884" s="2" t="s">
        <v>16342</v>
      </c>
      <c r="B7884" s="2" t="s">
        <v>16343</v>
      </c>
      <c r="C7884" s="2" t="s">
        <v>16163</v>
      </c>
    </row>
    <row r="7885">
      <c r="A7885" s="2" t="s">
        <v>16344</v>
      </c>
      <c r="B7885" s="2" t="s">
        <v>16345</v>
      </c>
      <c r="C7885" s="2" t="s">
        <v>16163</v>
      </c>
    </row>
    <row r="7886">
      <c r="A7886" s="2" t="s">
        <v>16346</v>
      </c>
      <c r="B7886" s="2" t="s">
        <v>16347</v>
      </c>
      <c r="C7886" s="2" t="s">
        <v>16163</v>
      </c>
    </row>
    <row r="7887">
      <c r="A7887" s="2" t="s">
        <v>16348</v>
      </c>
      <c r="B7887" s="2" t="s">
        <v>16349</v>
      </c>
      <c r="C7887" s="2" t="s">
        <v>16163</v>
      </c>
    </row>
    <row r="7888">
      <c r="A7888" s="2" t="s">
        <v>16350</v>
      </c>
      <c r="B7888" s="2" t="s">
        <v>16351</v>
      </c>
      <c r="C7888" s="2" t="s">
        <v>16163</v>
      </c>
    </row>
    <row r="7889">
      <c r="A7889" s="2" t="s">
        <v>16352</v>
      </c>
      <c r="B7889" s="2" t="s">
        <v>16353</v>
      </c>
      <c r="C7889" s="2" t="s">
        <v>16163</v>
      </c>
    </row>
    <row r="7890">
      <c r="A7890" s="2" t="s">
        <v>16354</v>
      </c>
      <c r="B7890" s="2" t="s">
        <v>16355</v>
      </c>
      <c r="C7890" s="2" t="s">
        <v>16163</v>
      </c>
    </row>
    <row r="7891">
      <c r="A7891" s="2" t="s">
        <v>16356</v>
      </c>
      <c r="B7891" s="2" t="s">
        <v>16357</v>
      </c>
      <c r="C7891" s="2" t="s">
        <v>16163</v>
      </c>
    </row>
    <row r="7892">
      <c r="A7892" s="2" t="s">
        <v>16358</v>
      </c>
      <c r="B7892" s="2" t="s">
        <v>16359</v>
      </c>
      <c r="C7892" s="2" t="s">
        <v>16163</v>
      </c>
    </row>
    <row r="7893">
      <c r="A7893" s="2" t="s">
        <v>16360</v>
      </c>
      <c r="B7893" s="2" t="s">
        <v>16361</v>
      </c>
      <c r="C7893" s="2" t="s">
        <v>16163</v>
      </c>
    </row>
    <row r="7894">
      <c r="A7894" s="2" t="s">
        <v>16362</v>
      </c>
      <c r="B7894" s="2" t="s">
        <v>16363</v>
      </c>
      <c r="C7894" s="2" t="s">
        <v>16163</v>
      </c>
    </row>
    <row r="7895">
      <c r="A7895" s="2" t="s">
        <v>16364</v>
      </c>
      <c r="B7895" s="2" t="s">
        <v>16365</v>
      </c>
      <c r="C7895" s="2" t="s">
        <v>16163</v>
      </c>
    </row>
    <row r="7896">
      <c r="A7896" s="2" t="s">
        <v>16366</v>
      </c>
      <c r="B7896" s="2" t="s">
        <v>16367</v>
      </c>
      <c r="C7896" s="2" t="s">
        <v>16163</v>
      </c>
    </row>
    <row r="7897">
      <c r="A7897" s="2" t="s">
        <v>16368</v>
      </c>
      <c r="B7897" s="2" t="s">
        <v>16369</v>
      </c>
      <c r="C7897" s="2" t="s">
        <v>16163</v>
      </c>
    </row>
    <row r="7898">
      <c r="A7898" s="2" t="s">
        <v>16370</v>
      </c>
      <c r="B7898" s="2" t="s">
        <v>16371</v>
      </c>
      <c r="C7898" s="2" t="s">
        <v>16163</v>
      </c>
    </row>
    <row r="7899">
      <c r="A7899" s="2" t="s">
        <v>16372</v>
      </c>
      <c r="B7899" s="2" t="s">
        <v>16373</v>
      </c>
      <c r="C7899" s="2" t="s">
        <v>16163</v>
      </c>
    </row>
    <row r="7900">
      <c r="A7900" s="2" t="s">
        <v>16374</v>
      </c>
      <c r="B7900" s="2" t="s">
        <v>16375</v>
      </c>
      <c r="C7900" s="2" t="s">
        <v>16163</v>
      </c>
    </row>
    <row r="7901">
      <c r="A7901" s="2" t="s">
        <v>16376</v>
      </c>
      <c r="B7901" s="2" t="s">
        <v>16377</v>
      </c>
      <c r="C7901" s="2" t="s">
        <v>16163</v>
      </c>
    </row>
    <row r="7902">
      <c r="A7902" s="2" t="s">
        <v>16378</v>
      </c>
      <c r="B7902" s="2" t="s">
        <v>16379</v>
      </c>
      <c r="C7902" s="2" t="s">
        <v>16163</v>
      </c>
    </row>
    <row r="7903">
      <c r="A7903" s="2" t="s">
        <v>16380</v>
      </c>
      <c r="B7903" s="2" t="s">
        <v>16381</v>
      </c>
      <c r="C7903" s="2" t="s">
        <v>16163</v>
      </c>
    </row>
    <row r="7904">
      <c r="A7904" s="2" t="s">
        <v>16382</v>
      </c>
      <c r="B7904" s="2" t="s">
        <v>16383</v>
      </c>
      <c r="C7904" s="2" t="s">
        <v>16163</v>
      </c>
    </row>
    <row r="7905">
      <c r="A7905" s="2" t="s">
        <v>16384</v>
      </c>
      <c r="B7905" s="2" t="s">
        <v>16385</v>
      </c>
      <c r="C7905" s="2" t="s">
        <v>16163</v>
      </c>
    </row>
    <row r="7906">
      <c r="A7906" s="2" t="s">
        <v>16386</v>
      </c>
      <c r="B7906" s="2" t="s">
        <v>16385</v>
      </c>
      <c r="C7906" s="2" t="s">
        <v>16163</v>
      </c>
    </row>
    <row r="7907">
      <c r="A7907" s="2" t="s">
        <v>16387</v>
      </c>
      <c r="B7907" s="2" t="s">
        <v>16388</v>
      </c>
      <c r="C7907" s="2" t="s">
        <v>16163</v>
      </c>
    </row>
    <row r="7908">
      <c r="A7908" s="2" t="s">
        <v>16389</v>
      </c>
      <c r="B7908" s="2" t="s">
        <v>16390</v>
      </c>
      <c r="C7908" s="2" t="s">
        <v>16163</v>
      </c>
    </row>
    <row r="7909">
      <c r="A7909" s="2" t="s">
        <v>16391</v>
      </c>
      <c r="B7909" s="2" t="s">
        <v>16392</v>
      </c>
      <c r="C7909" s="2" t="s">
        <v>16163</v>
      </c>
    </row>
    <row r="7910">
      <c r="A7910" s="2" t="s">
        <v>16393</v>
      </c>
      <c r="B7910" s="2" t="s">
        <v>16394</v>
      </c>
      <c r="C7910" s="2" t="s">
        <v>16163</v>
      </c>
    </row>
    <row r="7911">
      <c r="A7911" s="2" t="s">
        <v>16395</v>
      </c>
      <c r="B7911" s="2" t="s">
        <v>16396</v>
      </c>
      <c r="C7911" s="2" t="s">
        <v>16397</v>
      </c>
    </row>
    <row r="7912">
      <c r="A7912" s="2" t="s">
        <v>16398</v>
      </c>
      <c r="B7912" s="2" t="s">
        <v>16399</v>
      </c>
      <c r="C7912" s="2" t="s">
        <v>16397</v>
      </c>
    </row>
    <row r="7913">
      <c r="A7913" s="2" t="s">
        <v>16400</v>
      </c>
      <c r="B7913" s="2" t="s">
        <v>16401</v>
      </c>
      <c r="C7913" s="2" t="s">
        <v>16397</v>
      </c>
    </row>
    <row r="7914">
      <c r="A7914" s="2" t="s">
        <v>16402</v>
      </c>
      <c r="B7914" s="2" t="s">
        <v>16403</v>
      </c>
      <c r="C7914" s="2" t="s">
        <v>16397</v>
      </c>
    </row>
    <row r="7915">
      <c r="A7915" s="2" t="s">
        <v>16404</v>
      </c>
      <c r="B7915" s="2" t="s">
        <v>16405</v>
      </c>
      <c r="C7915" s="2" t="s">
        <v>16397</v>
      </c>
    </row>
    <row r="7916">
      <c r="A7916" s="2" t="s">
        <v>16406</v>
      </c>
      <c r="B7916" s="2" t="s">
        <v>16407</v>
      </c>
      <c r="C7916" s="2" t="s">
        <v>16397</v>
      </c>
    </row>
    <row r="7917">
      <c r="A7917" s="2" t="s">
        <v>16408</v>
      </c>
      <c r="B7917" s="2" t="s">
        <v>16409</v>
      </c>
      <c r="C7917" s="2" t="s">
        <v>16397</v>
      </c>
    </row>
    <row r="7918">
      <c r="A7918" s="2" t="s">
        <v>16410</v>
      </c>
      <c r="B7918" s="2" t="s">
        <v>16411</v>
      </c>
      <c r="C7918" s="2" t="s">
        <v>16397</v>
      </c>
    </row>
    <row r="7919">
      <c r="A7919" s="2" t="s">
        <v>16412</v>
      </c>
      <c r="B7919" s="2" t="s">
        <v>16413</v>
      </c>
      <c r="C7919" s="2" t="s">
        <v>16397</v>
      </c>
    </row>
    <row r="7920">
      <c r="A7920" s="2" t="s">
        <v>16414</v>
      </c>
      <c r="B7920" s="2" t="s">
        <v>16415</v>
      </c>
      <c r="C7920" s="2" t="s">
        <v>16397</v>
      </c>
    </row>
    <row r="7921">
      <c r="A7921" s="2" t="s">
        <v>16416</v>
      </c>
      <c r="B7921" s="2" t="s">
        <v>16417</v>
      </c>
      <c r="C7921" s="2" t="s">
        <v>16397</v>
      </c>
    </row>
    <row r="7922">
      <c r="A7922" s="2" t="s">
        <v>16418</v>
      </c>
      <c r="B7922" s="2" t="s">
        <v>16419</v>
      </c>
      <c r="C7922" s="2" t="s">
        <v>16397</v>
      </c>
    </row>
    <row r="7923">
      <c r="A7923" s="2" t="s">
        <v>16420</v>
      </c>
      <c r="B7923" s="2" t="s">
        <v>16421</v>
      </c>
      <c r="C7923" s="2" t="s">
        <v>16397</v>
      </c>
    </row>
    <row r="7924">
      <c r="A7924" s="2" t="s">
        <v>16422</v>
      </c>
      <c r="B7924" s="2" t="s">
        <v>16423</v>
      </c>
      <c r="C7924" s="2" t="s">
        <v>16397</v>
      </c>
    </row>
    <row r="7925">
      <c r="A7925" s="2" t="s">
        <v>16424</v>
      </c>
      <c r="B7925" s="2" t="s">
        <v>16425</v>
      </c>
      <c r="C7925" s="2" t="s">
        <v>16397</v>
      </c>
    </row>
    <row r="7926">
      <c r="A7926" s="2" t="s">
        <v>16426</v>
      </c>
      <c r="B7926" s="2" t="s">
        <v>16427</v>
      </c>
      <c r="C7926" s="2" t="s">
        <v>16397</v>
      </c>
    </row>
    <row r="7927">
      <c r="A7927" s="2" t="s">
        <v>16428</v>
      </c>
      <c r="B7927" s="2" t="s">
        <v>16429</v>
      </c>
      <c r="C7927" s="2" t="s">
        <v>16397</v>
      </c>
    </row>
    <row r="7928">
      <c r="A7928" s="2" t="s">
        <v>16430</v>
      </c>
      <c r="B7928" s="2" t="s">
        <v>16431</v>
      </c>
      <c r="C7928" s="2" t="s">
        <v>16397</v>
      </c>
    </row>
    <row r="7929">
      <c r="A7929" s="2" t="s">
        <v>16432</v>
      </c>
      <c r="B7929" s="2" t="s">
        <v>16433</v>
      </c>
      <c r="C7929" s="2" t="s">
        <v>16397</v>
      </c>
    </row>
    <row r="7930">
      <c r="A7930" s="2" t="s">
        <v>16434</v>
      </c>
      <c r="B7930" s="2" t="s">
        <v>16435</v>
      </c>
      <c r="C7930" s="2" t="s">
        <v>16397</v>
      </c>
    </row>
    <row r="7931">
      <c r="A7931" s="2" t="s">
        <v>16436</v>
      </c>
      <c r="B7931" s="2" t="s">
        <v>16437</v>
      </c>
      <c r="C7931" s="2" t="s">
        <v>16397</v>
      </c>
    </row>
    <row r="7932">
      <c r="A7932" s="2" t="s">
        <v>16438</v>
      </c>
      <c r="B7932" s="2" t="s">
        <v>16439</v>
      </c>
      <c r="C7932" s="2" t="s">
        <v>16397</v>
      </c>
    </row>
    <row r="7933">
      <c r="A7933" s="2" t="s">
        <v>16440</v>
      </c>
      <c r="B7933" s="2" t="s">
        <v>16441</v>
      </c>
      <c r="C7933" s="2" t="s">
        <v>16397</v>
      </c>
    </row>
    <row r="7934">
      <c r="A7934" s="2" t="s">
        <v>16442</v>
      </c>
      <c r="B7934" s="2" t="s">
        <v>16443</v>
      </c>
      <c r="C7934" s="2" t="s">
        <v>16397</v>
      </c>
    </row>
    <row r="7935">
      <c r="A7935" s="2" t="s">
        <v>16444</v>
      </c>
      <c r="B7935" s="2" t="s">
        <v>16445</v>
      </c>
      <c r="C7935" s="2" t="s">
        <v>16397</v>
      </c>
    </row>
    <row r="7936">
      <c r="A7936" s="2" t="s">
        <v>16446</v>
      </c>
      <c r="B7936" s="2" t="s">
        <v>16447</v>
      </c>
      <c r="C7936" s="2" t="s">
        <v>16397</v>
      </c>
    </row>
    <row r="7937">
      <c r="A7937" s="2" t="s">
        <v>16448</v>
      </c>
      <c r="B7937" s="2" t="s">
        <v>16449</v>
      </c>
      <c r="C7937" s="2" t="s">
        <v>16397</v>
      </c>
    </row>
    <row r="7938">
      <c r="A7938" s="2" t="s">
        <v>16450</v>
      </c>
      <c r="B7938" s="2" t="s">
        <v>16449</v>
      </c>
      <c r="C7938" s="2" t="s">
        <v>16397</v>
      </c>
    </row>
    <row r="7939">
      <c r="A7939" s="2" t="s">
        <v>16451</v>
      </c>
      <c r="B7939" s="2" t="s">
        <v>16449</v>
      </c>
      <c r="C7939" s="2" t="s">
        <v>16397</v>
      </c>
    </row>
    <row r="7940">
      <c r="A7940" s="2" t="s">
        <v>16452</v>
      </c>
      <c r="B7940" s="2" t="s">
        <v>16453</v>
      </c>
      <c r="C7940" s="2" t="s">
        <v>16397</v>
      </c>
    </row>
    <row r="7941">
      <c r="A7941" s="2" t="s">
        <v>16454</v>
      </c>
      <c r="B7941" s="2" t="s">
        <v>16455</v>
      </c>
      <c r="C7941" s="2" t="s">
        <v>16397</v>
      </c>
    </row>
    <row r="7942">
      <c r="A7942" s="2" t="s">
        <v>16456</v>
      </c>
      <c r="B7942" s="2" t="s">
        <v>16457</v>
      </c>
      <c r="C7942" s="2" t="s">
        <v>16397</v>
      </c>
    </row>
    <row r="7943">
      <c r="A7943" s="2" t="s">
        <v>16458</v>
      </c>
      <c r="B7943" s="2" t="s">
        <v>16459</v>
      </c>
      <c r="C7943" s="2" t="s">
        <v>16397</v>
      </c>
    </row>
    <row r="7944">
      <c r="A7944" s="2" t="s">
        <v>16460</v>
      </c>
      <c r="B7944" s="2" t="s">
        <v>16461</v>
      </c>
      <c r="C7944" s="2" t="s">
        <v>16397</v>
      </c>
    </row>
    <row r="7945">
      <c r="A7945" s="2" t="s">
        <v>16462</v>
      </c>
      <c r="B7945" s="2" t="s">
        <v>16463</v>
      </c>
      <c r="C7945" s="2" t="s">
        <v>16397</v>
      </c>
    </row>
    <row r="7946">
      <c r="A7946" s="2" t="s">
        <v>16464</v>
      </c>
      <c r="B7946" s="2" t="s">
        <v>16465</v>
      </c>
      <c r="C7946" s="2" t="s">
        <v>16397</v>
      </c>
    </row>
    <row r="7947">
      <c r="A7947" s="2" t="s">
        <v>16466</v>
      </c>
      <c r="B7947" s="2" t="s">
        <v>16467</v>
      </c>
      <c r="C7947" s="2" t="s">
        <v>16397</v>
      </c>
    </row>
    <row r="7948">
      <c r="A7948" s="2" t="s">
        <v>16468</v>
      </c>
      <c r="B7948" s="2" t="s">
        <v>16469</v>
      </c>
      <c r="C7948" s="2" t="s">
        <v>16397</v>
      </c>
    </row>
    <row r="7949">
      <c r="A7949" s="2" t="s">
        <v>16470</v>
      </c>
      <c r="B7949" s="2" t="s">
        <v>16469</v>
      </c>
      <c r="C7949" s="2" t="s">
        <v>16397</v>
      </c>
    </row>
    <row r="7950">
      <c r="A7950" s="2" t="s">
        <v>16471</v>
      </c>
      <c r="B7950" s="2" t="s">
        <v>16472</v>
      </c>
      <c r="C7950" s="2" t="s">
        <v>16397</v>
      </c>
    </row>
    <row r="7951">
      <c r="A7951" s="2" t="s">
        <v>16473</v>
      </c>
      <c r="B7951" s="2" t="s">
        <v>16474</v>
      </c>
      <c r="C7951" s="2" t="s">
        <v>16397</v>
      </c>
    </row>
    <row r="7952">
      <c r="A7952" s="2" t="s">
        <v>16475</v>
      </c>
      <c r="B7952" s="2" t="s">
        <v>16476</v>
      </c>
      <c r="C7952" s="2" t="s">
        <v>16397</v>
      </c>
    </row>
    <row r="7953">
      <c r="A7953" s="2" t="s">
        <v>16477</v>
      </c>
      <c r="B7953" s="2" t="s">
        <v>16478</v>
      </c>
      <c r="C7953" s="2" t="s">
        <v>16397</v>
      </c>
    </row>
    <row r="7954">
      <c r="A7954" s="2" t="s">
        <v>16479</v>
      </c>
      <c r="B7954" s="2" t="s">
        <v>16480</v>
      </c>
      <c r="C7954" s="2" t="s">
        <v>16397</v>
      </c>
    </row>
    <row r="7955">
      <c r="A7955" s="2" t="s">
        <v>16481</v>
      </c>
      <c r="B7955" s="2" t="s">
        <v>16482</v>
      </c>
      <c r="C7955" s="2" t="s">
        <v>16397</v>
      </c>
    </row>
    <row r="7956">
      <c r="A7956" s="2" t="s">
        <v>16483</v>
      </c>
      <c r="B7956" s="2" t="s">
        <v>16484</v>
      </c>
      <c r="C7956" s="2" t="s">
        <v>16397</v>
      </c>
    </row>
    <row r="7957">
      <c r="A7957" s="2" t="s">
        <v>16485</v>
      </c>
      <c r="B7957" s="2" t="s">
        <v>16486</v>
      </c>
      <c r="C7957" s="2" t="s">
        <v>16397</v>
      </c>
    </row>
    <row r="7958">
      <c r="A7958" s="2" t="s">
        <v>16487</v>
      </c>
      <c r="B7958" s="2" t="s">
        <v>16488</v>
      </c>
      <c r="C7958" s="2" t="s">
        <v>16397</v>
      </c>
    </row>
    <row r="7959">
      <c r="A7959" s="2" t="s">
        <v>16489</v>
      </c>
      <c r="B7959" s="2" t="s">
        <v>16490</v>
      </c>
      <c r="C7959" s="2" t="s">
        <v>16397</v>
      </c>
    </row>
    <row r="7960">
      <c r="A7960" s="2" t="s">
        <v>16491</v>
      </c>
      <c r="B7960" s="2" t="s">
        <v>16492</v>
      </c>
      <c r="C7960" s="2" t="s">
        <v>16397</v>
      </c>
    </row>
    <row r="7961">
      <c r="A7961" s="2" t="s">
        <v>16493</v>
      </c>
      <c r="B7961" s="2" t="s">
        <v>16494</v>
      </c>
      <c r="C7961" s="2" t="s">
        <v>16397</v>
      </c>
    </row>
    <row r="7962">
      <c r="A7962" s="2" t="s">
        <v>16495</v>
      </c>
      <c r="B7962" s="2" t="s">
        <v>16496</v>
      </c>
      <c r="C7962" s="2" t="s">
        <v>16397</v>
      </c>
    </row>
    <row r="7963">
      <c r="A7963" s="2" t="s">
        <v>16497</v>
      </c>
      <c r="B7963" s="2" t="s">
        <v>16498</v>
      </c>
      <c r="C7963" s="2" t="s">
        <v>16397</v>
      </c>
    </row>
    <row r="7964">
      <c r="A7964" s="2" t="s">
        <v>16499</v>
      </c>
      <c r="B7964" s="2" t="s">
        <v>16500</v>
      </c>
      <c r="C7964" s="2" t="s">
        <v>16397</v>
      </c>
    </row>
    <row r="7965">
      <c r="A7965" s="2" t="s">
        <v>16501</v>
      </c>
      <c r="B7965" s="2" t="s">
        <v>16502</v>
      </c>
      <c r="C7965" s="2" t="s">
        <v>16397</v>
      </c>
    </row>
    <row r="7966">
      <c r="A7966" s="2" t="s">
        <v>16503</v>
      </c>
      <c r="B7966" s="2" t="s">
        <v>16504</v>
      </c>
      <c r="C7966" s="2" t="s">
        <v>16397</v>
      </c>
    </row>
    <row r="7967">
      <c r="A7967" s="2" t="s">
        <v>16505</v>
      </c>
      <c r="B7967" s="2" t="s">
        <v>16506</v>
      </c>
      <c r="C7967" s="2" t="s">
        <v>16397</v>
      </c>
    </row>
    <row r="7968">
      <c r="A7968" s="2" t="s">
        <v>16507</v>
      </c>
      <c r="B7968" s="2" t="s">
        <v>16508</v>
      </c>
      <c r="C7968" s="2" t="s">
        <v>16397</v>
      </c>
    </row>
    <row r="7969">
      <c r="A7969" s="2" t="s">
        <v>16509</v>
      </c>
      <c r="B7969" s="2" t="s">
        <v>16510</v>
      </c>
      <c r="C7969" s="2" t="s">
        <v>16397</v>
      </c>
    </row>
    <row r="7970">
      <c r="A7970" s="2" t="s">
        <v>16511</v>
      </c>
      <c r="B7970" s="2" t="s">
        <v>16512</v>
      </c>
      <c r="C7970" s="2" t="s">
        <v>16397</v>
      </c>
    </row>
    <row r="7971">
      <c r="A7971" s="2" t="s">
        <v>16513</v>
      </c>
      <c r="B7971" s="2" t="s">
        <v>16514</v>
      </c>
      <c r="C7971" s="2" t="s">
        <v>16397</v>
      </c>
    </row>
    <row r="7972">
      <c r="A7972" s="2" t="s">
        <v>16515</v>
      </c>
      <c r="B7972" s="2" t="s">
        <v>16516</v>
      </c>
      <c r="C7972" s="2" t="s">
        <v>16397</v>
      </c>
    </row>
    <row r="7973">
      <c r="A7973" s="2" t="s">
        <v>16517</v>
      </c>
      <c r="B7973" s="2" t="s">
        <v>16518</v>
      </c>
      <c r="C7973" s="2" t="s">
        <v>16397</v>
      </c>
    </row>
    <row r="7974">
      <c r="A7974" s="2" t="s">
        <v>16519</v>
      </c>
      <c r="B7974" s="2" t="s">
        <v>16520</v>
      </c>
      <c r="C7974" s="2" t="s">
        <v>16397</v>
      </c>
    </row>
    <row r="7975">
      <c r="A7975" s="2" t="s">
        <v>16521</v>
      </c>
      <c r="B7975" s="2" t="s">
        <v>16522</v>
      </c>
      <c r="C7975" s="2" t="s">
        <v>16397</v>
      </c>
    </row>
    <row r="7976">
      <c r="A7976" s="2" t="s">
        <v>16523</v>
      </c>
      <c r="B7976" s="2" t="s">
        <v>16524</v>
      </c>
      <c r="C7976" s="2" t="s">
        <v>16397</v>
      </c>
    </row>
    <row r="7977">
      <c r="A7977" s="2" t="s">
        <v>16525</v>
      </c>
      <c r="B7977" s="2" t="s">
        <v>16524</v>
      </c>
      <c r="C7977" s="2" t="s">
        <v>16397</v>
      </c>
    </row>
    <row r="7978">
      <c r="A7978" s="2" t="s">
        <v>16526</v>
      </c>
      <c r="B7978" s="2" t="s">
        <v>16527</v>
      </c>
      <c r="C7978" s="2" t="s">
        <v>16397</v>
      </c>
    </row>
    <row r="7979">
      <c r="A7979" s="2" t="s">
        <v>16528</v>
      </c>
      <c r="B7979" s="2" t="s">
        <v>16529</v>
      </c>
      <c r="C7979" s="2" t="s">
        <v>16397</v>
      </c>
    </row>
    <row r="7980">
      <c r="A7980" s="2" t="s">
        <v>16530</v>
      </c>
      <c r="B7980" s="2" t="s">
        <v>16531</v>
      </c>
      <c r="C7980" s="2" t="s">
        <v>16397</v>
      </c>
    </row>
    <row r="7981">
      <c r="A7981" s="2" t="s">
        <v>16532</v>
      </c>
      <c r="B7981" s="2" t="s">
        <v>16533</v>
      </c>
      <c r="C7981" s="2" t="s">
        <v>16397</v>
      </c>
    </row>
    <row r="7982">
      <c r="A7982" s="2" t="s">
        <v>16534</v>
      </c>
      <c r="B7982" s="2" t="s">
        <v>16533</v>
      </c>
      <c r="C7982" s="2" t="s">
        <v>16397</v>
      </c>
    </row>
    <row r="7983">
      <c r="A7983" s="2" t="s">
        <v>16535</v>
      </c>
      <c r="B7983" s="2" t="s">
        <v>16536</v>
      </c>
      <c r="C7983" s="2" t="s">
        <v>16397</v>
      </c>
    </row>
    <row r="7984">
      <c r="A7984" s="2" t="s">
        <v>16537</v>
      </c>
      <c r="B7984" s="2" t="s">
        <v>16538</v>
      </c>
      <c r="C7984" s="2" t="s">
        <v>16397</v>
      </c>
    </row>
    <row r="7985">
      <c r="A7985" s="2" t="s">
        <v>16539</v>
      </c>
      <c r="B7985" s="2" t="s">
        <v>16540</v>
      </c>
      <c r="C7985" s="2" t="s">
        <v>16397</v>
      </c>
    </row>
    <row r="7986">
      <c r="A7986" s="2" t="s">
        <v>16541</v>
      </c>
      <c r="B7986" s="2" t="s">
        <v>16542</v>
      </c>
      <c r="C7986" s="2" t="s">
        <v>16397</v>
      </c>
    </row>
    <row r="7987">
      <c r="A7987" s="2" t="s">
        <v>16543</v>
      </c>
      <c r="B7987" s="2" t="s">
        <v>16544</v>
      </c>
      <c r="C7987" s="2" t="s">
        <v>16397</v>
      </c>
    </row>
    <row r="7988">
      <c r="A7988" s="2" t="s">
        <v>16545</v>
      </c>
      <c r="B7988" s="2" t="s">
        <v>16546</v>
      </c>
      <c r="C7988" s="2" t="s">
        <v>16397</v>
      </c>
    </row>
    <row r="7989">
      <c r="A7989" s="2" t="s">
        <v>16547</v>
      </c>
      <c r="B7989" s="2" t="s">
        <v>16548</v>
      </c>
      <c r="C7989" s="2" t="s">
        <v>16397</v>
      </c>
    </row>
    <row r="7990">
      <c r="A7990" s="2" t="s">
        <v>16549</v>
      </c>
      <c r="B7990" s="2" t="s">
        <v>16550</v>
      </c>
      <c r="C7990" s="2" t="s">
        <v>16397</v>
      </c>
    </row>
    <row r="7991">
      <c r="A7991" s="2" t="s">
        <v>16551</v>
      </c>
      <c r="B7991" s="2" t="s">
        <v>16552</v>
      </c>
      <c r="C7991" s="2" t="s">
        <v>16397</v>
      </c>
    </row>
    <row r="7992">
      <c r="A7992" s="2" t="s">
        <v>16553</v>
      </c>
      <c r="B7992" s="2" t="s">
        <v>16554</v>
      </c>
      <c r="C7992" s="2" t="s">
        <v>16397</v>
      </c>
    </row>
    <row r="7993">
      <c r="A7993" s="2" t="s">
        <v>16555</v>
      </c>
      <c r="B7993" s="2" t="s">
        <v>16556</v>
      </c>
      <c r="C7993" s="2" t="s">
        <v>16397</v>
      </c>
    </row>
    <row r="7994">
      <c r="A7994" s="2" t="s">
        <v>16557</v>
      </c>
      <c r="B7994" s="2" t="s">
        <v>16556</v>
      </c>
      <c r="C7994" s="2" t="s">
        <v>16397</v>
      </c>
    </row>
    <row r="7995">
      <c r="A7995" s="2" t="s">
        <v>16558</v>
      </c>
      <c r="B7995" s="2" t="s">
        <v>16559</v>
      </c>
      <c r="C7995" s="2" t="s">
        <v>16397</v>
      </c>
    </row>
    <row r="7996">
      <c r="A7996" s="2" t="s">
        <v>16560</v>
      </c>
      <c r="B7996" s="2" t="s">
        <v>16561</v>
      </c>
      <c r="C7996" s="2" t="s">
        <v>16397</v>
      </c>
    </row>
    <row r="7997">
      <c r="A7997" s="2" t="s">
        <v>16562</v>
      </c>
      <c r="B7997" s="2" t="s">
        <v>16563</v>
      </c>
      <c r="C7997" s="2" t="s">
        <v>16397</v>
      </c>
    </row>
    <row r="7998">
      <c r="A7998" s="2" t="s">
        <v>16564</v>
      </c>
      <c r="B7998" s="2" t="s">
        <v>16565</v>
      </c>
      <c r="C7998" s="2" t="s">
        <v>16397</v>
      </c>
    </row>
    <row r="7999">
      <c r="A7999" s="2" t="s">
        <v>16566</v>
      </c>
      <c r="B7999" s="2" t="s">
        <v>16567</v>
      </c>
      <c r="C7999" s="2" t="s">
        <v>16397</v>
      </c>
    </row>
    <row r="8000">
      <c r="A8000" s="2" t="s">
        <v>16568</v>
      </c>
      <c r="B8000" s="2" t="s">
        <v>16569</v>
      </c>
      <c r="C8000" s="2" t="s">
        <v>16397</v>
      </c>
    </row>
    <row r="8001">
      <c r="A8001" s="2" t="s">
        <v>16570</v>
      </c>
      <c r="B8001" s="2" t="s">
        <v>16571</v>
      </c>
      <c r="C8001" s="2" t="s">
        <v>16397</v>
      </c>
    </row>
    <row r="8002">
      <c r="A8002" s="2" t="s">
        <v>16572</v>
      </c>
      <c r="B8002" s="2" t="s">
        <v>16573</v>
      </c>
      <c r="C8002" s="2" t="s">
        <v>16397</v>
      </c>
    </row>
    <row r="8003">
      <c r="A8003" s="2" t="s">
        <v>16574</v>
      </c>
      <c r="B8003" s="2" t="s">
        <v>16575</v>
      </c>
      <c r="C8003" s="2" t="s">
        <v>16397</v>
      </c>
    </row>
    <row r="8004">
      <c r="A8004" s="2" t="s">
        <v>16576</v>
      </c>
      <c r="B8004" s="2" t="s">
        <v>16577</v>
      </c>
      <c r="C8004" s="2" t="s">
        <v>16397</v>
      </c>
    </row>
    <row r="8005">
      <c r="A8005" s="2" t="s">
        <v>16578</v>
      </c>
      <c r="B8005" s="2" t="s">
        <v>16579</v>
      </c>
      <c r="C8005" s="2" t="s">
        <v>16397</v>
      </c>
    </row>
    <row r="8006">
      <c r="A8006" s="2" t="s">
        <v>16580</v>
      </c>
      <c r="B8006" s="2" t="s">
        <v>16581</v>
      </c>
      <c r="C8006" s="2" t="s">
        <v>16397</v>
      </c>
    </row>
    <row r="8007">
      <c r="A8007" s="2" t="s">
        <v>16582</v>
      </c>
      <c r="B8007" s="2" t="s">
        <v>16583</v>
      </c>
      <c r="C8007" s="2" t="s">
        <v>16397</v>
      </c>
    </row>
    <row r="8008">
      <c r="A8008" s="2" t="s">
        <v>16584</v>
      </c>
      <c r="B8008" s="2" t="s">
        <v>16585</v>
      </c>
      <c r="C8008" s="2" t="s">
        <v>16397</v>
      </c>
    </row>
    <row r="8009">
      <c r="A8009" s="2" t="s">
        <v>16586</v>
      </c>
      <c r="B8009" s="2" t="s">
        <v>16587</v>
      </c>
      <c r="C8009" s="2" t="s">
        <v>16397</v>
      </c>
    </row>
    <row r="8010">
      <c r="A8010" s="2" t="s">
        <v>16588</v>
      </c>
      <c r="B8010" s="2" t="s">
        <v>16589</v>
      </c>
      <c r="C8010" s="2" t="s">
        <v>16397</v>
      </c>
    </row>
    <row r="8011">
      <c r="A8011" s="2" t="s">
        <v>16590</v>
      </c>
      <c r="B8011" s="2" t="s">
        <v>16591</v>
      </c>
      <c r="C8011" s="2" t="s">
        <v>16397</v>
      </c>
    </row>
    <row r="8012">
      <c r="A8012" s="2" t="s">
        <v>16592</v>
      </c>
      <c r="B8012" s="2" t="s">
        <v>16593</v>
      </c>
      <c r="C8012" s="2" t="s">
        <v>16397</v>
      </c>
    </row>
    <row r="8013">
      <c r="A8013" s="2" t="s">
        <v>16594</v>
      </c>
      <c r="B8013" s="2" t="s">
        <v>16595</v>
      </c>
      <c r="C8013" s="2" t="s">
        <v>16397</v>
      </c>
    </row>
    <row r="8014">
      <c r="A8014" s="2" t="s">
        <v>16596</v>
      </c>
      <c r="B8014" s="2" t="s">
        <v>16597</v>
      </c>
      <c r="C8014" s="2" t="s">
        <v>16397</v>
      </c>
    </row>
    <row r="8015">
      <c r="A8015" s="2" t="s">
        <v>16598</v>
      </c>
      <c r="B8015" s="2" t="s">
        <v>16599</v>
      </c>
      <c r="C8015" s="2" t="s">
        <v>16397</v>
      </c>
    </row>
    <row r="8016">
      <c r="A8016" s="2" t="s">
        <v>16600</v>
      </c>
      <c r="B8016" s="2" t="s">
        <v>16601</v>
      </c>
      <c r="C8016" s="2" t="s">
        <v>16397</v>
      </c>
    </row>
    <row r="8017">
      <c r="A8017" s="2" t="s">
        <v>16602</v>
      </c>
      <c r="B8017" s="2" t="s">
        <v>16603</v>
      </c>
      <c r="C8017" s="2" t="s">
        <v>16397</v>
      </c>
    </row>
    <row r="8018">
      <c r="A8018" s="2" t="s">
        <v>16604</v>
      </c>
      <c r="B8018" s="2" t="s">
        <v>16605</v>
      </c>
      <c r="C8018" s="2" t="s">
        <v>16397</v>
      </c>
    </row>
    <row r="8019">
      <c r="A8019" s="2" t="s">
        <v>16606</v>
      </c>
      <c r="B8019" s="2" t="s">
        <v>16607</v>
      </c>
      <c r="C8019" s="2" t="s">
        <v>16397</v>
      </c>
    </row>
    <row r="8020">
      <c r="A8020" s="2" t="s">
        <v>16608</v>
      </c>
      <c r="B8020" s="2" t="s">
        <v>16609</v>
      </c>
      <c r="C8020" s="2" t="s">
        <v>16397</v>
      </c>
    </row>
    <row r="8021">
      <c r="A8021" s="2" t="s">
        <v>16610</v>
      </c>
      <c r="B8021" s="2" t="s">
        <v>16611</v>
      </c>
      <c r="C8021" s="2" t="s">
        <v>16397</v>
      </c>
    </row>
    <row r="8022">
      <c r="A8022" s="2" t="s">
        <v>16612</v>
      </c>
      <c r="B8022" s="2" t="s">
        <v>16613</v>
      </c>
      <c r="C8022" s="2" t="s">
        <v>16397</v>
      </c>
    </row>
    <row r="8023">
      <c r="A8023" s="2" t="s">
        <v>16614</v>
      </c>
      <c r="B8023" s="2" t="s">
        <v>16615</v>
      </c>
      <c r="C8023" s="2" t="s">
        <v>16397</v>
      </c>
    </row>
    <row r="8024">
      <c r="A8024" s="2" t="s">
        <v>16616</v>
      </c>
      <c r="B8024" s="2" t="s">
        <v>16617</v>
      </c>
      <c r="C8024" s="2" t="s">
        <v>16397</v>
      </c>
    </row>
    <row r="8025">
      <c r="A8025" s="2" t="s">
        <v>16618</v>
      </c>
      <c r="B8025" s="2" t="s">
        <v>16619</v>
      </c>
      <c r="C8025" s="2" t="s">
        <v>16397</v>
      </c>
    </row>
    <row r="8026">
      <c r="A8026" s="2" t="s">
        <v>16620</v>
      </c>
      <c r="B8026" s="2" t="s">
        <v>16621</v>
      </c>
      <c r="C8026" s="2" t="s">
        <v>16397</v>
      </c>
    </row>
    <row r="8027">
      <c r="A8027" s="2" t="s">
        <v>16622</v>
      </c>
      <c r="B8027" s="2" t="s">
        <v>16623</v>
      </c>
      <c r="C8027" s="2" t="s">
        <v>16397</v>
      </c>
    </row>
    <row r="8028">
      <c r="A8028" s="2" t="s">
        <v>16624</v>
      </c>
      <c r="B8028" s="2" t="s">
        <v>16625</v>
      </c>
      <c r="C8028" s="2" t="s">
        <v>16397</v>
      </c>
    </row>
    <row r="8029">
      <c r="A8029" s="2" t="s">
        <v>16626</v>
      </c>
      <c r="B8029" s="2" t="s">
        <v>16627</v>
      </c>
      <c r="C8029" s="2" t="s">
        <v>16397</v>
      </c>
    </row>
    <row r="8030">
      <c r="A8030" s="2" t="s">
        <v>16628</v>
      </c>
      <c r="B8030" s="2" t="s">
        <v>16629</v>
      </c>
      <c r="C8030" s="2" t="s">
        <v>16397</v>
      </c>
    </row>
    <row r="8031">
      <c r="A8031" s="2" t="s">
        <v>16630</v>
      </c>
      <c r="B8031" s="2" t="s">
        <v>16631</v>
      </c>
      <c r="C8031" s="2" t="s">
        <v>16397</v>
      </c>
    </row>
    <row r="8032">
      <c r="A8032" s="2" t="s">
        <v>16632</v>
      </c>
      <c r="B8032" s="2" t="s">
        <v>16633</v>
      </c>
      <c r="C8032" s="2" t="s">
        <v>16397</v>
      </c>
    </row>
    <row r="8033">
      <c r="A8033" s="2" t="s">
        <v>16634</v>
      </c>
      <c r="B8033" s="2" t="s">
        <v>16635</v>
      </c>
      <c r="C8033" s="2" t="s">
        <v>16397</v>
      </c>
    </row>
    <row r="8034">
      <c r="A8034" s="2" t="s">
        <v>16636</v>
      </c>
      <c r="B8034" s="2" t="s">
        <v>16637</v>
      </c>
      <c r="C8034" s="2" t="s">
        <v>16397</v>
      </c>
    </row>
    <row r="8035">
      <c r="A8035" s="2" t="s">
        <v>16638</v>
      </c>
      <c r="B8035" s="2" t="s">
        <v>16639</v>
      </c>
      <c r="C8035" s="2" t="s">
        <v>16397</v>
      </c>
    </row>
    <row r="8036">
      <c r="A8036" s="2" t="s">
        <v>16640</v>
      </c>
      <c r="B8036" s="2" t="s">
        <v>16641</v>
      </c>
      <c r="C8036" s="2" t="s">
        <v>16397</v>
      </c>
    </row>
    <row r="8037">
      <c r="A8037" s="2" t="s">
        <v>16642</v>
      </c>
      <c r="B8037" s="2" t="s">
        <v>16643</v>
      </c>
      <c r="C8037" s="2" t="s">
        <v>16397</v>
      </c>
    </row>
    <row r="8038">
      <c r="A8038" s="2" t="s">
        <v>16644</v>
      </c>
      <c r="B8038" s="2" t="s">
        <v>16645</v>
      </c>
      <c r="C8038" s="2" t="s">
        <v>16397</v>
      </c>
    </row>
    <row r="8039">
      <c r="A8039" s="2" t="s">
        <v>16646</v>
      </c>
      <c r="B8039" s="2" t="s">
        <v>16647</v>
      </c>
      <c r="C8039" s="2" t="s">
        <v>16397</v>
      </c>
    </row>
    <row r="8040">
      <c r="A8040" s="2" t="s">
        <v>16648</v>
      </c>
      <c r="B8040" s="2" t="s">
        <v>16649</v>
      </c>
      <c r="C8040" s="2" t="s">
        <v>16397</v>
      </c>
    </row>
    <row r="8041">
      <c r="A8041" s="2" t="s">
        <v>16650</v>
      </c>
      <c r="B8041" s="2" t="s">
        <v>16651</v>
      </c>
      <c r="C8041" s="2" t="s">
        <v>16397</v>
      </c>
    </row>
    <row r="8042">
      <c r="A8042" s="2" t="s">
        <v>16652</v>
      </c>
      <c r="B8042" s="2" t="s">
        <v>16653</v>
      </c>
      <c r="C8042" s="2" t="s">
        <v>16397</v>
      </c>
    </row>
    <row r="8043">
      <c r="A8043" s="2" t="s">
        <v>16654</v>
      </c>
      <c r="B8043" s="2" t="s">
        <v>16655</v>
      </c>
      <c r="C8043" s="2" t="s">
        <v>16397</v>
      </c>
    </row>
    <row r="8044">
      <c r="A8044" s="2" t="s">
        <v>16656</v>
      </c>
      <c r="B8044" s="2" t="s">
        <v>16657</v>
      </c>
      <c r="C8044" s="2" t="s">
        <v>16397</v>
      </c>
    </row>
    <row r="8045">
      <c r="A8045" s="2" t="s">
        <v>16658</v>
      </c>
      <c r="B8045" s="2" t="s">
        <v>16659</v>
      </c>
      <c r="C8045" s="2" t="s">
        <v>16397</v>
      </c>
    </row>
    <row r="8046">
      <c r="A8046" s="2" t="s">
        <v>16660</v>
      </c>
      <c r="B8046" s="2" t="s">
        <v>16661</v>
      </c>
      <c r="C8046" s="2" t="s">
        <v>16397</v>
      </c>
    </row>
    <row r="8047">
      <c r="A8047" s="2" t="s">
        <v>16662</v>
      </c>
      <c r="B8047" s="2" t="s">
        <v>16663</v>
      </c>
      <c r="C8047" s="2" t="s">
        <v>16397</v>
      </c>
    </row>
    <row r="8048">
      <c r="A8048" s="2" t="s">
        <v>16664</v>
      </c>
      <c r="B8048" s="2" t="s">
        <v>16665</v>
      </c>
      <c r="C8048" s="2" t="s">
        <v>16397</v>
      </c>
    </row>
    <row r="8049">
      <c r="A8049" s="2" t="s">
        <v>16666</v>
      </c>
      <c r="B8049" s="2" t="s">
        <v>16665</v>
      </c>
      <c r="C8049" s="2" t="s">
        <v>16397</v>
      </c>
    </row>
    <row r="8050">
      <c r="A8050" s="2" t="s">
        <v>16667</v>
      </c>
      <c r="B8050" s="2" t="s">
        <v>16668</v>
      </c>
      <c r="C8050" s="2" t="s">
        <v>16397</v>
      </c>
    </row>
    <row r="8051">
      <c r="A8051" s="2" t="s">
        <v>16669</v>
      </c>
      <c r="B8051" s="2" t="s">
        <v>16670</v>
      </c>
      <c r="C8051" s="2" t="s">
        <v>16397</v>
      </c>
    </row>
    <row r="8052">
      <c r="A8052" s="2" t="s">
        <v>16671</v>
      </c>
      <c r="B8052" s="2" t="s">
        <v>16672</v>
      </c>
      <c r="C8052" s="2" t="s">
        <v>16397</v>
      </c>
    </row>
    <row r="8053">
      <c r="A8053" s="2" t="s">
        <v>16673</v>
      </c>
      <c r="B8053" s="2" t="s">
        <v>16674</v>
      </c>
      <c r="C8053" s="2" t="s">
        <v>16397</v>
      </c>
    </row>
    <row r="8054">
      <c r="A8054" s="2" t="s">
        <v>16675</v>
      </c>
      <c r="B8054" s="2" t="s">
        <v>16676</v>
      </c>
      <c r="C8054" s="2" t="s">
        <v>16397</v>
      </c>
    </row>
    <row r="8055">
      <c r="A8055" s="2" t="s">
        <v>16677</v>
      </c>
      <c r="B8055" s="2" t="s">
        <v>16678</v>
      </c>
      <c r="C8055" s="2" t="s">
        <v>16397</v>
      </c>
    </row>
    <row r="8056">
      <c r="A8056" s="2" t="s">
        <v>16679</v>
      </c>
      <c r="B8056" s="2" t="s">
        <v>16680</v>
      </c>
      <c r="C8056" s="2" t="s">
        <v>16397</v>
      </c>
    </row>
    <row r="8057">
      <c r="A8057" s="2" t="s">
        <v>16681</v>
      </c>
      <c r="B8057" s="2" t="s">
        <v>16682</v>
      </c>
      <c r="C8057" s="2" t="s">
        <v>16397</v>
      </c>
    </row>
    <row r="8058">
      <c r="A8058" s="2" t="s">
        <v>16683</v>
      </c>
      <c r="B8058" s="2" t="s">
        <v>16684</v>
      </c>
      <c r="C8058" s="2" t="s">
        <v>16397</v>
      </c>
    </row>
    <row r="8059">
      <c r="A8059" s="2" t="s">
        <v>16685</v>
      </c>
      <c r="B8059" s="2" t="s">
        <v>16686</v>
      </c>
      <c r="C8059" s="2" t="s">
        <v>16397</v>
      </c>
    </row>
    <row r="8060">
      <c r="A8060" s="2" t="s">
        <v>16687</v>
      </c>
      <c r="B8060" s="2" t="s">
        <v>16688</v>
      </c>
      <c r="C8060" s="2" t="s">
        <v>16397</v>
      </c>
    </row>
    <row r="8061">
      <c r="A8061" s="2" t="s">
        <v>16689</v>
      </c>
      <c r="B8061" s="2" t="s">
        <v>16690</v>
      </c>
      <c r="C8061" s="2" t="s">
        <v>16397</v>
      </c>
    </row>
    <row r="8062">
      <c r="A8062" s="2" t="s">
        <v>16691</v>
      </c>
      <c r="B8062" s="2" t="s">
        <v>16692</v>
      </c>
      <c r="C8062" s="2" t="s">
        <v>16397</v>
      </c>
    </row>
    <row r="8063">
      <c r="A8063" s="2" t="s">
        <v>16693</v>
      </c>
      <c r="B8063" s="2" t="s">
        <v>16694</v>
      </c>
      <c r="C8063" s="2" t="s">
        <v>16397</v>
      </c>
    </row>
    <row r="8064">
      <c r="A8064" s="2" t="s">
        <v>16695</v>
      </c>
      <c r="B8064" s="2" t="s">
        <v>16696</v>
      </c>
      <c r="C8064" s="2" t="s">
        <v>16397</v>
      </c>
    </row>
    <row r="8065">
      <c r="A8065" s="2" t="s">
        <v>16697</v>
      </c>
      <c r="B8065" s="2" t="s">
        <v>16698</v>
      </c>
      <c r="C8065" s="2" t="s">
        <v>16397</v>
      </c>
    </row>
    <row r="8066">
      <c r="A8066" s="2" t="s">
        <v>16699</v>
      </c>
      <c r="B8066" s="2" t="s">
        <v>16700</v>
      </c>
      <c r="C8066" s="2" t="s">
        <v>16397</v>
      </c>
    </row>
    <row r="8067">
      <c r="A8067" s="2" t="s">
        <v>16701</v>
      </c>
      <c r="B8067" s="2" t="s">
        <v>16702</v>
      </c>
      <c r="C8067" s="2" t="s">
        <v>16397</v>
      </c>
    </row>
    <row r="8068">
      <c r="A8068" s="2" t="s">
        <v>16703</v>
      </c>
      <c r="B8068" s="2" t="s">
        <v>16702</v>
      </c>
      <c r="C8068" s="2" t="s">
        <v>16397</v>
      </c>
    </row>
    <row r="8069">
      <c r="A8069" s="2" t="s">
        <v>16704</v>
      </c>
      <c r="B8069" s="2" t="s">
        <v>16705</v>
      </c>
      <c r="C8069" s="2" t="s">
        <v>16397</v>
      </c>
    </row>
    <row r="8070">
      <c r="A8070" s="2" t="s">
        <v>16706</v>
      </c>
      <c r="B8070" s="2" t="s">
        <v>16705</v>
      </c>
      <c r="C8070" s="2" t="s">
        <v>16397</v>
      </c>
    </row>
    <row r="8071">
      <c r="A8071" s="2" t="s">
        <v>16707</v>
      </c>
      <c r="B8071" s="2" t="s">
        <v>16708</v>
      </c>
      <c r="C8071" s="2" t="s">
        <v>16397</v>
      </c>
    </row>
    <row r="8072">
      <c r="A8072" s="2" t="s">
        <v>16709</v>
      </c>
      <c r="B8072" s="2" t="s">
        <v>16710</v>
      </c>
      <c r="C8072" s="2" t="s">
        <v>16397</v>
      </c>
    </row>
    <row r="8073">
      <c r="A8073" s="2" t="s">
        <v>16711</v>
      </c>
      <c r="B8073" s="2" t="s">
        <v>16712</v>
      </c>
      <c r="C8073" s="2" t="s">
        <v>16397</v>
      </c>
    </row>
    <row r="8074">
      <c r="A8074" s="2" t="s">
        <v>16713</v>
      </c>
      <c r="B8074" s="2" t="s">
        <v>16714</v>
      </c>
      <c r="C8074" s="2" t="s">
        <v>16397</v>
      </c>
    </row>
    <row r="8075">
      <c r="A8075" s="2" t="s">
        <v>16715</v>
      </c>
      <c r="B8075" s="2" t="s">
        <v>16716</v>
      </c>
      <c r="C8075" s="2" t="s">
        <v>16397</v>
      </c>
    </row>
    <row r="8076">
      <c r="A8076" s="2" t="s">
        <v>16717</v>
      </c>
      <c r="B8076" s="2" t="s">
        <v>16718</v>
      </c>
      <c r="C8076" s="2" t="s">
        <v>16397</v>
      </c>
    </row>
    <row r="8077">
      <c r="A8077" s="2" t="s">
        <v>16719</v>
      </c>
      <c r="B8077" s="2" t="s">
        <v>16720</v>
      </c>
      <c r="C8077" s="2" t="s">
        <v>16397</v>
      </c>
    </row>
    <row r="8078">
      <c r="A8078" s="2" t="s">
        <v>16721</v>
      </c>
      <c r="B8078" s="2" t="s">
        <v>16722</v>
      </c>
      <c r="C8078" s="2" t="s">
        <v>16397</v>
      </c>
    </row>
    <row r="8079">
      <c r="A8079" s="2" t="s">
        <v>16723</v>
      </c>
      <c r="B8079" s="2" t="s">
        <v>16724</v>
      </c>
      <c r="C8079" s="2" t="s">
        <v>16397</v>
      </c>
    </row>
    <row r="8080">
      <c r="A8080" s="2" t="s">
        <v>16725</v>
      </c>
      <c r="B8080" s="2" t="s">
        <v>16726</v>
      </c>
      <c r="C8080" s="2" t="s">
        <v>16397</v>
      </c>
    </row>
    <row r="8081">
      <c r="A8081" s="2" t="s">
        <v>16727</v>
      </c>
      <c r="B8081" s="2" t="s">
        <v>16728</v>
      </c>
      <c r="C8081" s="2" t="s">
        <v>16397</v>
      </c>
    </row>
    <row r="8082">
      <c r="A8082" s="2" t="s">
        <v>16729</v>
      </c>
      <c r="B8082" s="2" t="s">
        <v>16730</v>
      </c>
      <c r="C8082" s="2" t="s">
        <v>16397</v>
      </c>
    </row>
    <row r="8083">
      <c r="A8083" s="2" t="s">
        <v>16731</v>
      </c>
      <c r="B8083" s="2" t="s">
        <v>16732</v>
      </c>
      <c r="C8083" s="2" t="s">
        <v>16397</v>
      </c>
    </row>
    <row r="8084">
      <c r="A8084" s="2" t="s">
        <v>16733</v>
      </c>
      <c r="B8084" s="2" t="s">
        <v>16734</v>
      </c>
      <c r="C8084" s="2" t="s">
        <v>16397</v>
      </c>
    </row>
    <row r="8085">
      <c r="A8085" s="2" t="s">
        <v>16735</v>
      </c>
      <c r="B8085" s="2" t="s">
        <v>16736</v>
      </c>
      <c r="C8085" s="2" t="s">
        <v>16397</v>
      </c>
    </row>
    <row r="8086">
      <c r="A8086" s="2" t="s">
        <v>16737</v>
      </c>
      <c r="B8086" s="2" t="s">
        <v>16738</v>
      </c>
      <c r="C8086" s="2" t="s">
        <v>16397</v>
      </c>
    </row>
    <row r="8087">
      <c r="A8087" s="2" t="s">
        <v>16739</v>
      </c>
      <c r="B8087" s="2" t="s">
        <v>16740</v>
      </c>
      <c r="C8087" s="2" t="s">
        <v>16397</v>
      </c>
    </row>
    <row r="8088">
      <c r="A8088" s="2" t="s">
        <v>16741</v>
      </c>
      <c r="B8088" s="2" t="s">
        <v>16742</v>
      </c>
      <c r="C8088" s="2" t="s">
        <v>16397</v>
      </c>
    </row>
    <row r="8089">
      <c r="A8089" s="2" t="s">
        <v>16743</v>
      </c>
      <c r="B8089" s="2" t="s">
        <v>16744</v>
      </c>
      <c r="C8089" s="2" t="s">
        <v>16397</v>
      </c>
    </row>
    <row r="8090">
      <c r="A8090" s="2" t="s">
        <v>16745</v>
      </c>
      <c r="B8090" s="2" t="s">
        <v>16746</v>
      </c>
      <c r="C8090" s="2" t="s">
        <v>16397</v>
      </c>
    </row>
    <row r="8091">
      <c r="A8091" s="2" t="s">
        <v>16747</v>
      </c>
      <c r="B8091" s="2" t="s">
        <v>16748</v>
      </c>
      <c r="C8091" s="2" t="s">
        <v>16397</v>
      </c>
    </row>
    <row r="8092">
      <c r="A8092" s="2" t="s">
        <v>16749</v>
      </c>
      <c r="B8092" s="2" t="s">
        <v>16750</v>
      </c>
      <c r="C8092" s="2" t="s">
        <v>16397</v>
      </c>
    </row>
    <row r="8093">
      <c r="A8093" s="2" t="s">
        <v>16751</v>
      </c>
      <c r="B8093" s="2" t="s">
        <v>16752</v>
      </c>
      <c r="C8093" s="2" t="s">
        <v>16397</v>
      </c>
    </row>
    <row r="8094">
      <c r="A8094" s="2" t="s">
        <v>16753</v>
      </c>
      <c r="B8094" s="2" t="s">
        <v>16754</v>
      </c>
      <c r="C8094" s="2" t="s">
        <v>16397</v>
      </c>
    </row>
    <row r="8095">
      <c r="A8095" s="2" t="s">
        <v>16755</v>
      </c>
      <c r="B8095" s="2" t="s">
        <v>16756</v>
      </c>
      <c r="C8095" s="2" t="s">
        <v>16397</v>
      </c>
    </row>
    <row r="8096">
      <c r="A8096" s="2" t="s">
        <v>16757</v>
      </c>
      <c r="B8096" s="2" t="s">
        <v>16758</v>
      </c>
      <c r="C8096" s="2" t="s">
        <v>16397</v>
      </c>
    </row>
    <row r="8097">
      <c r="A8097" s="2" t="s">
        <v>16759</v>
      </c>
      <c r="B8097" s="2" t="s">
        <v>16760</v>
      </c>
      <c r="C8097" s="2" t="s">
        <v>16397</v>
      </c>
    </row>
    <row r="8098">
      <c r="A8098" s="2" t="s">
        <v>16761</v>
      </c>
      <c r="B8098" s="2" t="s">
        <v>16762</v>
      </c>
      <c r="C8098" s="2" t="s">
        <v>16397</v>
      </c>
    </row>
    <row r="8099">
      <c r="A8099" s="2" t="s">
        <v>16763</v>
      </c>
      <c r="B8099" s="2" t="s">
        <v>16764</v>
      </c>
      <c r="C8099" s="2" t="s">
        <v>16397</v>
      </c>
    </row>
    <row r="8100">
      <c r="A8100" s="2" t="s">
        <v>16765</v>
      </c>
      <c r="B8100" s="2" t="s">
        <v>16766</v>
      </c>
      <c r="C8100" s="2" t="s">
        <v>16397</v>
      </c>
    </row>
    <row r="8101">
      <c r="A8101" s="2" t="s">
        <v>16767</v>
      </c>
      <c r="B8101" s="2" t="s">
        <v>16768</v>
      </c>
      <c r="C8101" s="2" t="s">
        <v>16397</v>
      </c>
    </row>
    <row r="8102">
      <c r="A8102" s="2" t="s">
        <v>16769</v>
      </c>
      <c r="B8102" s="2" t="s">
        <v>16770</v>
      </c>
      <c r="C8102" s="2" t="s">
        <v>16397</v>
      </c>
    </row>
    <row r="8103">
      <c r="A8103" s="2" t="s">
        <v>16771</v>
      </c>
      <c r="B8103" s="2" t="s">
        <v>16772</v>
      </c>
      <c r="C8103" s="2" t="s">
        <v>16397</v>
      </c>
    </row>
    <row r="8104">
      <c r="A8104" s="2" t="s">
        <v>16773</v>
      </c>
      <c r="B8104" s="2" t="s">
        <v>16774</v>
      </c>
      <c r="C8104" s="2" t="s">
        <v>16397</v>
      </c>
    </row>
    <row r="8105">
      <c r="A8105" s="2" t="s">
        <v>16775</v>
      </c>
      <c r="B8105" s="2" t="s">
        <v>16776</v>
      </c>
      <c r="C8105" s="2" t="s">
        <v>16397</v>
      </c>
    </row>
    <row r="8106">
      <c r="A8106" s="2" t="s">
        <v>16777</v>
      </c>
      <c r="B8106" s="2" t="s">
        <v>16778</v>
      </c>
      <c r="C8106" s="2" t="s">
        <v>16397</v>
      </c>
    </row>
    <row r="8107">
      <c r="A8107" s="2" t="s">
        <v>16779</v>
      </c>
      <c r="B8107" s="2" t="s">
        <v>16780</v>
      </c>
      <c r="C8107" s="2" t="s">
        <v>16397</v>
      </c>
    </row>
    <row r="8108">
      <c r="A8108" s="2" t="s">
        <v>16781</v>
      </c>
      <c r="B8108" s="2" t="s">
        <v>16782</v>
      </c>
      <c r="C8108" s="2" t="s">
        <v>16397</v>
      </c>
    </row>
    <row r="8109">
      <c r="A8109" s="2" t="s">
        <v>16783</v>
      </c>
      <c r="B8109" s="2" t="s">
        <v>16784</v>
      </c>
      <c r="C8109" s="2" t="s">
        <v>16397</v>
      </c>
    </row>
    <row r="8110">
      <c r="A8110" s="2" t="s">
        <v>16785</v>
      </c>
      <c r="B8110" s="2" t="s">
        <v>16786</v>
      </c>
      <c r="C8110" s="2" t="s">
        <v>16397</v>
      </c>
    </row>
    <row r="8111">
      <c r="A8111" s="2" t="s">
        <v>16787</v>
      </c>
      <c r="B8111" s="2" t="s">
        <v>16788</v>
      </c>
      <c r="C8111" s="2" t="s">
        <v>16397</v>
      </c>
    </row>
    <row r="8112">
      <c r="A8112" s="2" t="s">
        <v>16789</v>
      </c>
      <c r="B8112" s="2" t="s">
        <v>16790</v>
      </c>
      <c r="C8112" s="2" t="s">
        <v>16397</v>
      </c>
    </row>
    <row r="8113">
      <c r="A8113" s="2" t="s">
        <v>16791</v>
      </c>
      <c r="B8113" s="2" t="s">
        <v>16792</v>
      </c>
      <c r="C8113" s="2" t="s">
        <v>16397</v>
      </c>
    </row>
    <row r="8114">
      <c r="A8114" s="2" t="s">
        <v>16793</v>
      </c>
      <c r="B8114" s="2" t="s">
        <v>16794</v>
      </c>
      <c r="C8114" s="2" t="s">
        <v>16397</v>
      </c>
    </row>
    <row r="8115">
      <c r="A8115" s="2" t="s">
        <v>16795</v>
      </c>
      <c r="B8115" s="2" t="s">
        <v>16796</v>
      </c>
      <c r="C8115" s="2" t="s">
        <v>16397</v>
      </c>
    </row>
    <row r="8116">
      <c r="A8116" s="2" t="s">
        <v>16797</v>
      </c>
      <c r="B8116" s="2" t="s">
        <v>16798</v>
      </c>
      <c r="C8116" s="2" t="s">
        <v>16397</v>
      </c>
    </row>
    <row r="8117">
      <c r="A8117" s="2" t="s">
        <v>16799</v>
      </c>
      <c r="B8117" s="2" t="s">
        <v>16800</v>
      </c>
      <c r="C8117" s="2" t="s">
        <v>16397</v>
      </c>
    </row>
    <row r="8118">
      <c r="A8118" s="2" t="s">
        <v>16801</v>
      </c>
      <c r="B8118" s="2" t="s">
        <v>16802</v>
      </c>
      <c r="C8118" s="2" t="s">
        <v>16397</v>
      </c>
    </row>
    <row r="8119">
      <c r="A8119" s="2" t="s">
        <v>16803</v>
      </c>
      <c r="B8119" s="2" t="s">
        <v>16804</v>
      </c>
      <c r="C8119" s="2" t="s">
        <v>16397</v>
      </c>
    </row>
    <row r="8120">
      <c r="A8120" s="2" t="s">
        <v>16805</v>
      </c>
      <c r="B8120" s="2" t="s">
        <v>16806</v>
      </c>
      <c r="C8120" s="2" t="s">
        <v>16397</v>
      </c>
    </row>
    <row r="8121">
      <c r="A8121" s="2" t="s">
        <v>16807</v>
      </c>
      <c r="B8121" s="2" t="s">
        <v>16808</v>
      </c>
      <c r="C8121" s="2" t="s">
        <v>16397</v>
      </c>
    </row>
    <row r="8122">
      <c r="A8122" s="2" t="s">
        <v>16809</v>
      </c>
      <c r="B8122" s="2" t="s">
        <v>16810</v>
      </c>
      <c r="C8122" s="2" t="s">
        <v>16397</v>
      </c>
    </row>
    <row r="8123">
      <c r="A8123" s="2" t="s">
        <v>16811</v>
      </c>
      <c r="B8123" s="2" t="s">
        <v>16812</v>
      </c>
      <c r="C8123" s="2" t="s">
        <v>16397</v>
      </c>
    </row>
    <row r="8124">
      <c r="A8124" s="2" t="s">
        <v>16813</v>
      </c>
      <c r="B8124" s="2" t="s">
        <v>16812</v>
      </c>
      <c r="C8124" s="2" t="s">
        <v>16397</v>
      </c>
    </row>
    <row r="8125">
      <c r="A8125" s="2" t="s">
        <v>16814</v>
      </c>
      <c r="B8125" s="2" t="s">
        <v>16812</v>
      </c>
      <c r="C8125" s="2" t="s">
        <v>16397</v>
      </c>
    </row>
    <row r="8126">
      <c r="A8126" s="2" t="s">
        <v>16815</v>
      </c>
      <c r="B8126" s="2" t="s">
        <v>16816</v>
      </c>
      <c r="C8126" s="2" t="s">
        <v>16397</v>
      </c>
    </row>
    <row r="8127">
      <c r="A8127" s="2" t="s">
        <v>16817</v>
      </c>
      <c r="B8127" s="2" t="s">
        <v>16818</v>
      </c>
      <c r="C8127" s="2" t="s">
        <v>16397</v>
      </c>
    </row>
    <row r="8128">
      <c r="A8128" s="2" t="s">
        <v>16819</v>
      </c>
      <c r="B8128" s="2" t="s">
        <v>16820</v>
      </c>
      <c r="C8128" s="2" t="s">
        <v>16397</v>
      </c>
    </row>
    <row r="8129">
      <c r="A8129" s="2" t="s">
        <v>16821</v>
      </c>
      <c r="B8129" s="2" t="s">
        <v>16822</v>
      </c>
      <c r="C8129" s="2" t="s">
        <v>16397</v>
      </c>
    </row>
    <row r="8130">
      <c r="A8130" s="2" t="s">
        <v>16823</v>
      </c>
      <c r="B8130" s="2" t="s">
        <v>16824</v>
      </c>
      <c r="C8130" s="2" t="s">
        <v>16397</v>
      </c>
    </row>
    <row r="8131">
      <c r="A8131" s="2" t="s">
        <v>16825</v>
      </c>
      <c r="B8131" s="2" t="s">
        <v>16826</v>
      </c>
      <c r="C8131" s="2" t="s">
        <v>16397</v>
      </c>
    </row>
    <row r="8132">
      <c r="A8132" s="2" t="s">
        <v>16827</v>
      </c>
      <c r="B8132" s="2" t="s">
        <v>16826</v>
      </c>
      <c r="C8132" s="2" t="s">
        <v>16397</v>
      </c>
    </row>
    <row r="8133">
      <c r="A8133" s="2" t="s">
        <v>16828</v>
      </c>
      <c r="B8133" s="2" t="s">
        <v>16826</v>
      </c>
      <c r="C8133" s="2" t="s">
        <v>16397</v>
      </c>
    </row>
    <row r="8134">
      <c r="A8134" s="2" t="s">
        <v>16829</v>
      </c>
      <c r="B8134" s="2" t="s">
        <v>16830</v>
      </c>
      <c r="C8134" s="2" t="s">
        <v>16397</v>
      </c>
    </row>
    <row r="8135">
      <c r="A8135" s="2" t="s">
        <v>16831</v>
      </c>
      <c r="B8135" s="2" t="s">
        <v>16832</v>
      </c>
      <c r="C8135" s="2" t="s">
        <v>16397</v>
      </c>
    </row>
    <row r="8136">
      <c r="A8136" s="2" t="s">
        <v>16833</v>
      </c>
      <c r="B8136" s="2" t="s">
        <v>16832</v>
      </c>
      <c r="C8136" s="2" t="s">
        <v>16397</v>
      </c>
    </row>
    <row r="8137">
      <c r="A8137" s="2" t="s">
        <v>16834</v>
      </c>
      <c r="B8137" s="2" t="s">
        <v>16835</v>
      </c>
      <c r="C8137" s="2" t="s">
        <v>16397</v>
      </c>
    </row>
    <row r="8138">
      <c r="A8138" s="2" t="s">
        <v>16836</v>
      </c>
      <c r="B8138" s="2" t="s">
        <v>16837</v>
      </c>
      <c r="C8138" s="2" t="s">
        <v>16397</v>
      </c>
    </row>
    <row r="8139">
      <c r="A8139" s="2" t="s">
        <v>16838</v>
      </c>
      <c r="B8139" s="2" t="s">
        <v>16837</v>
      </c>
      <c r="C8139" s="2" t="s">
        <v>16397</v>
      </c>
    </row>
    <row r="8140">
      <c r="A8140" s="2" t="s">
        <v>16839</v>
      </c>
      <c r="B8140" s="2" t="s">
        <v>16837</v>
      </c>
      <c r="C8140" s="2" t="s">
        <v>16397</v>
      </c>
    </row>
    <row r="8141">
      <c r="A8141" s="2" t="s">
        <v>16840</v>
      </c>
      <c r="B8141" s="2" t="s">
        <v>16841</v>
      </c>
      <c r="C8141" s="2" t="s">
        <v>16397</v>
      </c>
    </row>
    <row r="8142">
      <c r="A8142" s="2" t="s">
        <v>16842</v>
      </c>
      <c r="B8142" s="2" t="s">
        <v>16843</v>
      </c>
      <c r="C8142" s="2" t="s">
        <v>16397</v>
      </c>
    </row>
    <row r="8143">
      <c r="A8143" s="2" t="s">
        <v>16844</v>
      </c>
      <c r="B8143" s="2" t="s">
        <v>16845</v>
      </c>
      <c r="C8143" s="2" t="s">
        <v>16397</v>
      </c>
    </row>
    <row r="8144">
      <c r="A8144" s="2" t="s">
        <v>16846</v>
      </c>
      <c r="B8144" s="2" t="s">
        <v>16847</v>
      </c>
      <c r="C8144" s="2" t="s">
        <v>16397</v>
      </c>
    </row>
    <row r="8145">
      <c r="A8145" s="2" t="s">
        <v>16848</v>
      </c>
      <c r="B8145" s="2" t="s">
        <v>16849</v>
      </c>
      <c r="C8145" s="2" t="s">
        <v>16397</v>
      </c>
    </row>
    <row r="8146">
      <c r="A8146" s="2" t="s">
        <v>16850</v>
      </c>
      <c r="B8146" s="2" t="s">
        <v>16851</v>
      </c>
      <c r="C8146" s="2" t="s">
        <v>16397</v>
      </c>
    </row>
    <row r="8147">
      <c r="A8147" s="2" t="s">
        <v>16852</v>
      </c>
      <c r="B8147" s="2" t="s">
        <v>16853</v>
      </c>
      <c r="C8147" s="2" t="s">
        <v>16397</v>
      </c>
    </row>
    <row r="8148">
      <c r="A8148" s="2" t="s">
        <v>16854</v>
      </c>
      <c r="B8148" s="2" t="s">
        <v>16855</v>
      </c>
      <c r="C8148" s="2" t="s">
        <v>16397</v>
      </c>
    </row>
    <row r="8149">
      <c r="A8149" s="2" t="s">
        <v>16856</v>
      </c>
      <c r="B8149" s="2" t="s">
        <v>16857</v>
      </c>
      <c r="C8149" s="2" t="s">
        <v>16397</v>
      </c>
    </row>
    <row r="8150">
      <c r="A8150" s="2" t="s">
        <v>16858</v>
      </c>
      <c r="B8150" s="2" t="s">
        <v>16859</v>
      </c>
      <c r="C8150" s="2" t="s">
        <v>16397</v>
      </c>
    </row>
    <row r="8151">
      <c r="A8151" s="2" t="s">
        <v>16860</v>
      </c>
      <c r="B8151" s="2" t="s">
        <v>16861</v>
      </c>
      <c r="C8151" s="2" t="s">
        <v>16397</v>
      </c>
    </row>
    <row r="8152">
      <c r="A8152" s="2" t="s">
        <v>16862</v>
      </c>
      <c r="B8152" s="2" t="s">
        <v>16863</v>
      </c>
      <c r="C8152" s="2" t="s">
        <v>16397</v>
      </c>
    </row>
    <row r="8153">
      <c r="A8153" s="2" t="s">
        <v>16864</v>
      </c>
      <c r="B8153" s="2" t="s">
        <v>16865</v>
      </c>
      <c r="C8153" s="2" t="s">
        <v>16397</v>
      </c>
    </row>
    <row r="8154">
      <c r="A8154" s="2" t="s">
        <v>16866</v>
      </c>
      <c r="B8154" s="2" t="s">
        <v>16867</v>
      </c>
      <c r="C8154" s="2" t="s">
        <v>16397</v>
      </c>
    </row>
    <row r="8155">
      <c r="A8155" s="2" t="s">
        <v>16868</v>
      </c>
      <c r="B8155" s="2" t="s">
        <v>16869</v>
      </c>
      <c r="C8155" s="2" t="s">
        <v>16397</v>
      </c>
    </row>
    <row r="8156">
      <c r="A8156" s="2" t="s">
        <v>16870</v>
      </c>
      <c r="B8156" s="2" t="s">
        <v>16871</v>
      </c>
      <c r="C8156" s="2" t="s">
        <v>16397</v>
      </c>
    </row>
    <row r="8157">
      <c r="A8157" s="2" t="s">
        <v>16872</v>
      </c>
      <c r="B8157" s="2" t="s">
        <v>736</v>
      </c>
      <c r="C8157" s="2" t="s">
        <v>16397</v>
      </c>
    </row>
    <row r="8158">
      <c r="A8158" s="2" t="s">
        <v>16873</v>
      </c>
      <c r="B8158" s="2" t="s">
        <v>16874</v>
      </c>
      <c r="C8158" s="2" t="s">
        <v>16397</v>
      </c>
    </row>
    <row r="8159">
      <c r="A8159" s="2" t="s">
        <v>16875</v>
      </c>
      <c r="B8159" s="2" t="s">
        <v>16876</v>
      </c>
      <c r="C8159" s="2" t="s">
        <v>16397</v>
      </c>
    </row>
    <row r="8160">
      <c r="A8160" s="2" t="s">
        <v>16877</v>
      </c>
      <c r="B8160" s="2" t="s">
        <v>16878</v>
      </c>
      <c r="C8160" s="2" t="s">
        <v>16397</v>
      </c>
    </row>
    <row r="8161">
      <c r="A8161" s="2" t="s">
        <v>16879</v>
      </c>
      <c r="B8161" s="2" t="s">
        <v>16880</v>
      </c>
      <c r="C8161" s="2" t="s">
        <v>16397</v>
      </c>
    </row>
    <row r="8162">
      <c r="A8162" s="2" t="s">
        <v>16881</v>
      </c>
      <c r="B8162" s="2" t="s">
        <v>16882</v>
      </c>
      <c r="C8162" s="2" t="s">
        <v>16397</v>
      </c>
    </row>
    <row r="8163">
      <c r="A8163" s="2" t="s">
        <v>16883</v>
      </c>
      <c r="B8163" s="2" t="s">
        <v>16884</v>
      </c>
      <c r="C8163" s="2" t="s">
        <v>16397</v>
      </c>
    </row>
    <row r="8164">
      <c r="A8164" s="2" t="s">
        <v>16885</v>
      </c>
      <c r="B8164" s="2" t="s">
        <v>16886</v>
      </c>
      <c r="C8164" s="2" t="s">
        <v>16397</v>
      </c>
    </row>
    <row r="8165">
      <c r="A8165" s="2" t="s">
        <v>16887</v>
      </c>
      <c r="B8165" s="2" t="s">
        <v>16888</v>
      </c>
      <c r="C8165" s="2" t="s">
        <v>16397</v>
      </c>
    </row>
    <row r="8166">
      <c r="A8166" s="2" t="s">
        <v>16889</v>
      </c>
      <c r="B8166" s="2" t="s">
        <v>16890</v>
      </c>
      <c r="C8166" s="2" t="s">
        <v>16397</v>
      </c>
    </row>
    <row r="8167">
      <c r="A8167" s="2" t="s">
        <v>16891</v>
      </c>
      <c r="B8167" s="2" t="s">
        <v>16892</v>
      </c>
      <c r="C8167" s="2" t="s">
        <v>16397</v>
      </c>
    </row>
    <row r="8168">
      <c r="A8168" s="2" t="s">
        <v>16893</v>
      </c>
      <c r="B8168" s="2" t="s">
        <v>16894</v>
      </c>
      <c r="C8168" s="2" t="s">
        <v>16397</v>
      </c>
    </row>
    <row r="8169">
      <c r="A8169" s="2" t="s">
        <v>16895</v>
      </c>
      <c r="B8169" s="2" t="s">
        <v>16896</v>
      </c>
      <c r="C8169" s="2" t="s">
        <v>16397</v>
      </c>
    </row>
    <row r="8170">
      <c r="A8170" s="2" t="s">
        <v>16897</v>
      </c>
      <c r="B8170" s="2" t="s">
        <v>16898</v>
      </c>
      <c r="C8170" s="2" t="s">
        <v>16397</v>
      </c>
    </row>
    <row r="8171">
      <c r="A8171" s="2" t="s">
        <v>16899</v>
      </c>
      <c r="B8171" s="2" t="s">
        <v>16900</v>
      </c>
      <c r="C8171" s="2" t="s">
        <v>16397</v>
      </c>
    </row>
    <row r="8172">
      <c r="A8172" s="2" t="s">
        <v>16901</v>
      </c>
      <c r="B8172" s="2" t="s">
        <v>16902</v>
      </c>
      <c r="C8172" s="2" t="s">
        <v>16397</v>
      </c>
    </row>
    <row r="8173">
      <c r="A8173" s="2" t="s">
        <v>16903</v>
      </c>
      <c r="B8173" s="2" t="s">
        <v>16904</v>
      </c>
      <c r="C8173" s="2" t="s">
        <v>16397</v>
      </c>
    </row>
    <row r="8174">
      <c r="A8174" s="2" t="s">
        <v>16905</v>
      </c>
      <c r="B8174" s="2" t="s">
        <v>16904</v>
      </c>
      <c r="C8174" s="2" t="s">
        <v>16397</v>
      </c>
    </row>
    <row r="8175">
      <c r="A8175" s="2" t="s">
        <v>16906</v>
      </c>
      <c r="B8175" s="2" t="s">
        <v>16907</v>
      </c>
      <c r="C8175" s="2" t="s">
        <v>16397</v>
      </c>
    </row>
    <row r="8176">
      <c r="A8176" s="2" t="s">
        <v>16908</v>
      </c>
      <c r="B8176" s="2" t="s">
        <v>16909</v>
      </c>
      <c r="C8176" s="2" t="s">
        <v>16397</v>
      </c>
    </row>
    <row r="8177">
      <c r="A8177" s="2" t="s">
        <v>16910</v>
      </c>
      <c r="B8177" s="2" t="s">
        <v>16911</v>
      </c>
      <c r="C8177" s="2" t="s">
        <v>16397</v>
      </c>
    </row>
    <row r="8178">
      <c r="A8178" s="2" t="s">
        <v>16912</v>
      </c>
      <c r="B8178" s="2" t="s">
        <v>16913</v>
      </c>
      <c r="C8178" s="2" t="s">
        <v>16397</v>
      </c>
    </row>
    <row r="8179">
      <c r="A8179" s="2" t="s">
        <v>16914</v>
      </c>
      <c r="B8179" s="2" t="s">
        <v>16915</v>
      </c>
      <c r="C8179" s="2" t="s">
        <v>16397</v>
      </c>
    </row>
    <row r="8180">
      <c r="A8180" s="2" t="s">
        <v>16916</v>
      </c>
      <c r="B8180" s="2" t="s">
        <v>16917</v>
      </c>
      <c r="C8180" s="2" t="s">
        <v>16397</v>
      </c>
    </row>
    <row r="8181">
      <c r="A8181" s="2" t="s">
        <v>16918</v>
      </c>
      <c r="B8181" s="2" t="s">
        <v>16919</v>
      </c>
      <c r="C8181" s="2" t="s">
        <v>16397</v>
      </c>
    </row>
    <row r="8182">
      <c r="A8182" s="2" t="s">
        <v>16920</v>
      </c>
      <c r="B8182" s="2" t="s">
        <v>16921</v>
      </c>
      <c r="C8182" s="2" t="s">
        <v>16397</v>
      </c>
    </row>
    <row r="8183">
      <c r="A8183" s="2" t="s">
        <v>16922</v>
      </c>
      <c r="B8183" s="2" t="s">
        <v>16921</v>
      </c>
      <c r="C8183" s="2" t="s">
        <v>16397</v>
      </c>
    </row>
    <row r="8184">
      <c r="A8184" s="2" t="s">
        <v>16923</v>
      </c>
      <c r="B8184" s="2" t="s">
        <v>16921</v>
      </c>
      <c r="C8184" s="2" t="s">
        <v>16397</v>
      </c>
    </row>
    <row r="8185">
      <c r="A8185" s="2" t="s">
        <v>16924</v>
      </c>
      <c r="B8185" s="2" t="s">
        <v>16925</v>
      </c>
      <c r="C8185" s="2" t="s">
        <v>16397</v>
      </c>
    </row>
    <row r="8186">
      <c r="A8186" s="2" t="s">
        <v>16926</v>
      </c>
      <c r="B8186" s="2" t="s">
        <v>16925</v>
      </c>
      <c r="C8186" s="2" t="s">
        <v>16397</v>
      </c>
    </row>
    <row r="8187">
      <c r="A8187" s="2" t="s">
        <v>16927</v>
      </c>
      <c r="B8187" s="2" t="s">
        <v>16925</v>
      </c>
      <c r="C8187" s="2" t="s">
        <v>16397</v>
      </c>
    </row>
    <row r="8188">
      <c r="A8188" s="2" t="s">
        <v>16928</v>
      </c>
      <c r="B8188" s="2" t="s">
        <v>16929</v>
      </c>
      <c r="C8188" s="2" t="s">
        <v>16397</v>
      </c>
    </row>
    <row r="8189">
      <c r="A8189" s="2" t="s">
        <v>16930</v>
      </c>
      <c r="B8189" s="2" t="s">
        <v>16931</v>
      </c>
      <c r="C8189" s="2" t="s">
        <v>16397</v>
      </c>
    </row>
    <row r="8190">
      <c r="A8190" s="2" t="s">
        <v>16932</v>
      </c>
      <c r="B8190" s="2" t="s">
        <v>16933</v>
      </c>
      <c r="C8190" s="2" t="s">
        <v>16397</v>
      </c>
    </row>
    <row r="8191">
      <c r="A8191" s="2" t="s">
        <v>16934</v>
      </c>
      <c r="B8191" s="2" t="s">
        <v>16935</v>
      </c>
      <c r="C8191" s="2" t="s">
        <v>16397</v>
      </c>
    </row>
    <row r="8192">
      <c r="A8192" s="2" t="s">
        <v>16936</v>
      </c>
      <c r="B8192" s="2" t="s">
        <v>16937</v>
      </c>
      <c r="C8192" s="2" t="s">
        <v>16397</v>
      </c>
    </row>
    <row r="8193">
      <c r="A8193" s="2" t="s">
        <v>16938</v>
      </c>
      <c r="B8193" s="2" t="s">
        <v>16939</v>
      </c>
      <c r="C8193" s="2" t="s">
        <v>16397</v>
      </c>
    </row>
    <row r="8194">
      <c r="A8194" s="2" t="s">
        <v>16940</v>
      </c>
      <c r="B8194" s="2" t="s">
        <v>16941</v>
      </c>
      <c r="C8194" s="2" t="s">
        <v>16397</v>
      </c>
    </row>
    <row r="8195">
      <c r="A8195" s="2" t="s">
        <v>16942</v>
      </c>
      <c r="B8195" s="2" t="s">
        <v>16943</v>
      </c>
      <c r="C8195" s="2" t="s">
        <v>16397</v>
      </c>
    </row>
    <row r="8196">
      <c r="A8196" s="2" t="s">
        <v>16944</v>
      </c>
      <c r="B8196" s="2" t="s">
        <v>16945</v>
      </c>
      <c r="C8196" s="2" t="s">
        <v>16397</v>
      </c>
    </row>
    <row r="8197">
      <c r="A8197" s="2" t="s">
        <v>16946</v>
      </c>
      <c r="B8197" s="2" t="s">
        <v>16947</v>
      </c>
      <c r="C8197" s="2" t="s">
        <v>16397</v>
      </c>
    </row>
    <row r="8198">
      <c r="A8198" s="2" t="s">
        <v>16948</v>
      </c>
      <c r="B8198" s="2" t="s">
        <v>16949</v>
      </c>
      <c r="C8198" s="2" t="s">
        <v>16397</v>
      </c>
    </row>
    <row r="8199">
      <c r="A8199" s="2" t="s">
        <v>16950</v>
      </c>
      <c r="B8199" s="2" t="s">
        <v>16951</v>
      </c>
      <c r="C8199" s="2" t="s">
        <v>16397</v>
      </c>
    </row>
    <row r="8200">
      <c r="A8200" s="2" t="s">
        <v>16952</v>
      </c>
      <c r="B8200" s="2" t="s">
        <v>16953</v>
      </c>
      <c r="C8200" s="2" t="s">
        <v>16397</v>
      </c>
    </row>
    <row r="8201">
      <c r="A8201" s="2" t="s">
        <v>16954</v>
      </c>
      <c r="B8201" s="2" t="s">
        <v>16955</v>
      </c>
      <c r="C8201" s="2" t="s">
        <v>16397</v>
      </c>
    </row>
    <row r="8202">
      <c r="A8202" s="2" t="s">
        <v>16956</v>
      </c>
      <c r="B8202" s="2" t="s">
        <v>16957</v>
      </c>
      <c r="C8202" s="2" t="s">
        <v>16397</v>
      </c>
    </row>
    <row r="8203">
      <c r="A8203" s="2" t="s">
        <v>16958</v>
      </c>
      <c r="B8203" s="2" t="s">
        <v>16959</v>
      </c>
      <c r="C8203" s="2" t="s">
        <v>16397</v>
      </c>
    </row>
    <row r="8204">
      <c r="A8204" s="2" t="s">
        <v>16960</v>
      </c>
      <c r="B8204" s="2" t="s">
        <v>16961</v>
      </c>
      <c r="C8204" s="2" t="s">
        <v>16397</v>
      </c>
    </row>
    <row r="8205">
      <c r="A8205" s="2" t="s">
        <v>16962</v>
      </c>
      <c r="B8205" s="2" t="s">
        <v>16963</v>
      </c>
      <c r="C8205" s="2" t="s">
        <v>16397</v>
      </c>
    </row>
    <row r="8206">
      <c r="A8206" s="2" t="s">
        <v>16964</v>
      </c>
      <c r="B8206" s="2" t="s">
        <v>16965</v>
      </c>
      <c r="C8206" s="2" t="s">
        <v>16397</v>
      </c>
    </row>
    <row r="8207">
      <c r="A8207" s="2" t="s">
        <v>16966</v>
      </c>
      <c r="B8207" s="2" t="s">
        <v>16967</v>
      </c>
      <c r="C8207" s="2" t="s">
        <v>16397</v>
      </c>
    </row>
    <row r="8208">
      <c r="A8208" s="2" t="s">
        <v>16968</v>
      </c>
      <c r="B8208" s="2" t="s">
        <v>16969</v>
      </c>
      <c r="C8208" s="2" t="s">
        <v>16397</v>
      </c>
    </row>
    <row r="8209">
      <c r="A8209" s="2" t="s">
        <v>16970</v>
      </c>
      <c r="B8209" s="2" t="s">
        <v>16971</v>
      </c>
      <c r="C8209" s="2" t="s">
        <v>16397</v>
      </c>
    </row>
    <row r="8210">
      <c r="A8210" s="2" t="s">
        <v>16972</v>
      </c>
      <c r="B8210" s="2" t="s">
        <v>16973</v>
      </c>
      <c r="C8210" s="2" t="s">
        <v>16397</v>
      </c>
    </row>
    <row r="8211">
      <c r="A8211" s="2" t="s">
        <v>16974</v>
      </c>
      <c r="B8211" s="2" t="s">
        <v>16975</v>
      </c>
      <c r="C8211" s="2" t="s">
        <v>16397</v>
      </c>
    </row>
    <row r="8212">
      <c r="A8212" s="2" t="s">
        <v>16976</v>
      </c>
      <c r="B8212" s="2" t="s">
        <v>16977</v>
      </c>
      <c r="C8212" s="2" t="s">
        <v>16397</v>
      </c>
    </row>
    <row r="8213">
      <c r="A8213" s="2" t="s">
        <v>16978</v>
      </c>
      <c r="B8213" s="2" t="s">
        <v>16979</v>
      </c>
      <c r="C8213" s="2" t="s">
        <v>16397</v>
      </c>
    </row>
    <row r="8214">
      <c r="A8214" s="2" t="s">
        <v>16980</v>
      </c>
      <c r="B8214" s="2" t="s">
        <v>16981</v>
      </c>
      <c r="C8214" s="2" t="s">
        <v>16397</v>
      </c>
    </row>
    <row r="8215">
      <c r="A8215" s="2" t="s">
        <v>16982</v>
      </c>
      <c r="B8215" s="2" t="s">
        <v>16983</v>
      </c>
      <c r="C8215" s="2" t="s">
        <v>16397</v>
      </c>
    </row>
    <row r="8216">
      <c r="A8216" s="2" t="s">
        <v>16984</v>
      </c>
      <c r="B8216" s="2" t="s">
        <v>16985</v>
      </c>
      <c r="C8216" s="2" t="s">
        <v>16397</v>
      </c>
    </row>
    <row r="8217">
      <c r="A8217" s="2" t="s">
        <v>16986</v>
      </c>
      <c r="B8217" s="2" t="s">
        <v>16987</v>
      </c>
      <c r="C8217" s="2" t="s">
        <v>16397</v>
      </c>
    </row>
    <row r="8218">
      <c r="A8218" s="2" t="s">
        <v>16988</v>
      </c>
      <c r="B8218" s="2" t="s">
        <v>16989</v>
      </c>
      <c r="C8218" s="2" t="s">
        <v>16397</v>
      </c>
    </row>
    <row r="8219">
      <c r="A8219" s="2" t="s">
        <v>16990</v>
      </c>
      <c r="B8219" s="2" t="s">
        <v>16991</v>
      </c>
      <c r="C8219" s="2" t="s">
        <v>16397</v>
      </c>
    </row>
    <row r="8220">
      <c r="A8220" s="2" t="s">
        <v>16992</v>
      </c>
      <c r="B8220" s="2" t="s">
        <v>16993</v>
      </c>
      <c r="C8220" s="2" t="s">
        <v>16397</v>
      </c>
    </row>
    <row r="8221">
      <c r="A8221" s="2" t="s">
        <v>16994</v>
      </c>
      <c r="B8221" s="2" t="s">
        <v>16995</v>
      </c>
      <c r="C8221" s="2" t="s">
        <v>16397</v>
      </c>
    </row>
    <row r="8222">
      <c r="A8222" s="2" t="s">
        <v>16996</v>
      </c>
      <c r="B8222" s="2" t="s">
        <v>16997</v>
      </c>
      <c r="C8222" s="2" t="s">
        <v>16397</v>
      </c>
    </row>
    <row r="8223">
      <c r="A8223" s="2" t="s">
        <v>16998</v>
      </c>
      <c r="B8223" s="2" t="s">
        <v>16999</v>
      </c>
      <c r="C8223" s="2" t="s">
        <v>16397</v>
      </c>
    </row>
    <row r="8224">
      <c r="A8224" s="2" t="s">
        <v>17000</v>
      </c>
      <c r="B8224" s="2" t="s">
        <v>17001</v>
      </c>
      <c r="C8224" s="2" t="s">
        <v>16397</v>
      </c>
    </row>
    <row r="8225">
      <c r="A8225" s="2" t="s">
        <v>17002</v>
      </c>
      <c r="B8225" s="2" t="s">
        <v>17003</v>
      </c>
      <c r="C8225" s="2" t="s">
        <v>16397</v>
      </c>
    </row>
    <row r="8226">
      <c r="A8226" s="2" t="s">
        <v>17004</v>
      </c>
      <c r="B8226" s="2" t="s">
        <v>17005</v>
      </c>
      <c r="C8226" s="2" t="s">
        <v>16397</v>
      </c>
    </row>
    <row r="8227">
      <c r="A8227" s="2" t="s">
        <v>17006</v>
      </c>
      <c r="B8227" s="2" t="s">
        <v>17007</v>
      </c>
      <c r="C8227" s="2" t="s">
        <v>16397</v>
      </c>
    </row>
    <row r="8228">
      <c r="A8228" s="2" t="s">
        <v>17008</v>
      </c>
      <c r="B8228" s="2" t="s">
        <v>17007</v>
      </c>
      <c r="C8228" s="2" t="s">
        <v>16397</v>
      </c>
    </row>
    <row r="8229">
      <c r="A8229" s="2" t="s">
        <v>17009</v>
      </c>
      <c r="B8229" s="2" t="s">
        <v>17010</v>
      </c>
      <c r="C8229" s="2" t="s">
        <v>16397</v>
      </c>
    </row>
    <row r="8230">
      <c r="A8230" s="2" t="s">
        <v>17011</v>
      </c>
      <c r="B8230" s="2" t="s">
        <v>17012</v>
      </c>
      <c r="C8230" s="2" t="s">
        <v>16397</v>
      </c>
    </row>
    <row r="8231">
      <c r="A8231" s="2" t="s">
        <v>17013</v>
      </c>
      <c r="B8231" s="2" t="s">
        <v>17012</v>
      </c>
      <c r="C8231" s="2" t="s">
        <v>16397</v>
      </c>
    </row>
    <row r="8232">
      <c r="A8232" s="2" t="s">
        <v>17014</v>
      </c>
      <c r="B8232" s="2" t="s">
        <v>17015</v>
      </c>
      <c r="C8232" s="2" t="s">
        <v>16397</v>
      </c>
    </row>
    <row r="8233">
      <c r="A8233" s="2" t="s">
        <v>17016</v>
      </c>
      <c r="B8233" s="2" t="s">
        <v>17017</v>
      </c>
      <c r="C8233" s="2" t="s">
        <v>16397</v>
      </c>
    </row>
    <row r="8234">
      <c r="A8234" s="2" t="s">
        <v>17018</v>
      </c>
      <c r="B8234" s="2" t="s">
        <v>17019</v>
      </c>
      <c r="C8234" s="2" t="s">
        <v>16397</v>
      </c>
    </row>
    <row r="8235">
      <c r="A8235" s="2" t="s">
        <v>17020</v>
      </c>
      <c r="B8235" s="2" t="s">
        <v>17021</v>
      </c>
      <c r="C8235" s="2" t="s">
        <v>16397</v>
      </c>
    </row>
    <row r="8236">
      <c r="A8236" s="2" t="s">
        <v>17022</v>
      </c>
      <c r="B8236" s="2" t="s">
        <v>17023</v>
      </c>
      <c r="C8236" s="2" t="s">
        <v>16397</v>
      </c>
    </row>
    <row r="8237">
      <c r="A8237" s="2" t="s">
        <v>17024</v>
      </c>
      <c r="B8237" s="2" t="s">
        <v>17025</v>
      </c>
      <c r="C8237" s="2" t="s">
        <v>16397</v>
      </c>
    </row>
    <row r="8238">
      <c r="A8238" s="2" t="s">
        <v>17026</v>
      </c>
      <c r="B8238" s="2" t="s">
        <v>17027</v>
      </c>
      <c r="C8238" s="2" t="s">
        <v>16397</v>
      </c>
    </row>
    <row r="8239">
      <c r="A8239" s="2" t="s">
        <v>17028</v>
      </c>
      <c r="B8239" s="2" t="s">
        <v>17029</v>
      </c>
      <c r="C8239" s="2" t="s">
        <v>16397</v>
      </c>
    </row>
    <row r="8240">
      <c r="A8240" s="2" t="s">
        <v>17030</v>
      </c>
      <c r="B8240" s="2" t="s">
        <v>17031</v>
      </c>
      <c r="C8240" s="2" t="s">
        <v>16397</v>
      </c>
    </row>
    <row r="8241">
      <c r="A8241" s="2" t="s">
        <v>17032</v>
      </c>
      <c r="B8241" s="2" t="s">
        <v>17033</v>
      </c>
      <c r="C8241" s="2" t="s">
        <v>16397</v>
      </c>
    </row>
    <row r="8242">
      <c r="A8242" s="2" t="s">
        <v>17034</v>
      </c>
      <c r="B8242" s="2" t="s">
        <v>17035</v>
      </c>
      <c r="C8242" s="2" t="s">
        <v>16397</v>
      </c>
    </row>
    <row r="8243">
      <c r="A8243" s="2" t="s">
        <v>17036</v>
      </c>
      <c r="B8243" s="2" t="s">
        <v>17037</v>
      </c>
      <c r="C8243" s="2" t="s">
        <v>16397</v>
      </c>
    </row>
    <row r="8244">
      <c r="A8244" s="2" t="s">
        <v>17038</v>
      </c>
      <c r="B8244" s="2" t="s">
        <v>17039</v>
      </c>
      <c r="C8244" s="2" t="s">
        <v>16397</v>
      </c>
    </row>
    <row r="8245">
      <c r="A8245" s="2" t="s">
        <v>17040</v>
      </c>
      <c r="B8245" s="2" t="s">
        <v>17041</v>
      </c>
      <c r="C8245" s="2" t="s">
        <v>16397</v>
      </c>
    </row>
    <row r="8246">
      <c r="A8246" s="2" t="s">
        <v>17042</v>
      </c>
      <c r="B8246" s="2" t="s">
        <v>17043</v>
      </c>
      <c r="C8246" s="2" t="s">
        <v>16397</v>
      </c>
    </row>
    <row r="8247">
      <c r="A8247" s="2" t="s">
        <v>17044</v>
      </c>
      <c r="B8247" s="2" t="s">
        <v>17045</v>
      </c>
      <c r="C8247" s="2" t="s">
        <v>16397</v>
      </c>
    </row>
    <row r="8248">
      <c r="A8248" s="2" t="s">
        <v>17046</v>
      </c>
      <c r="B8248" s="2" t="s">
        <v>17047</v>
      </c>
      <c r="C8248" s="2" t="s">
        <v>16397</v>
      </c>
    </row>
    <row r="8249">
      <c r="A8249" s="2" t="s">
        <v>17048</v>
      </c>
      <c r="B8249" s="2" t="s">
        <v>17049</v>
      </c>
      <c r="C8249" s="2" t="s">
        <v>16397</v>
      </c>
    </row>
    <row r="8250">
      <c r="A8250" s="2" t="s">
        <v>17050</v>
      </c>
      <c r="B8250" s="2" t="s">
        <v>17051</v>
      </c>
      <c r="C8250" s="2" t="s">
        <v>16397</v>
      </c>
    </row>
    <row r="8251">
      <c r="A8251" s="2" t="s">
        <v>17052</v>
      </c>
      <c r="B8251" s="2" t="s">
        <v>17053</v>
      </c>
      <c r="C8251" s="2" t="s">
        <v>16397</v>
      </c>
    </row>
    <row r="8252">
      <c r="A8252" s="2" t="s">
        <v>17054</v>
      </c>
      <c r="B8252" s="2" t="s">
        <v>17055</v>
      </c>
      <c r="C8252" s="2" t="s">
        <v>16397</v>
      </c>
    </row>
    <row r="8253">
      <c r="A8253" s="2" t="s">
        <v>17056</v>
      </c>
      <c r="B8253" s="2" t="s">
        <v>17057</v>
      </c>
      <c r="C8253" s="2" t="s">
        <v>16397</v>
      </c>
    </row>
    <row r="8254">
      <c r="A8254" s="2" t="s">
        <v>17058</v>
      </c>
      <c r="B8254" s="2" t="s">
        <v>17059</v>
      </c>
      <c r="C8254" s="2" t="s">
        <v>16397</v>
      </c>
    </row>
    <row r="8255">
      <c r="A8255" s="2" t="s">
        <v>17060</v>
      </c>
      <c r="B8255" s="2" t="s">
        <v>17061</v>
      </c>
      <c r="C8255" s="2" t="s">
        <v>16397</v>
      </c>
    </row>
    <row r="8256">
      <c r="A8256" s="2" t="s">
        <v>17062</v>
      </c>
      <c r="B8256" s="2" t="s">
        <v>17063</v>
      </c>
      <c r="C8256" s="2" t="s">
        <v>16397</v>
      </c>
    </row>
    <row r="8257">
      <c r="A8257" s="2" t="s">
        <v>17064</v>
      </c>
      <c r="B8257" s="2" t="s">
        <v>17065</v>
      </c>
      <c r="C8257" s="2" t="s">
        <v>16397</v>
      </c>
    </row>
    <row r="8258">
      <c r="A8258" s="2" t="s">
        <v>17066</v>
      </c>
      <c r="B8258" s="2" t="s">
        <v>17067</v>
      </c>
      <c r="C8258" s="2" t="s">
        <v>16397</v>
      </c>
    </row>
    <row r="8259">
      <c r="A8259" s="2" t="s">
        <v>17068</v>
      </c>
      <c r="B8259" s="2" t="s">
        <v>17069</v>
      </c>
      <c r="C8259" s="2" t="s">
        <v>16397</v>
      </c>
    </row>
    <row r="8260">
      <c r="A8260" s="2" t="s">
        <v>17070</v>
      </c>
      <c r="B8260" s="2" t="s">
        <v>17069</v>
      </c>
      <c r="C8260" s="2" t="s">
        <v>16397</v>
      </c>
    </row>
    <row r="8261">
      <c r="A8261" s="2" t="s">
        <v>17071</v>
      </c>
      <c r="B8261" s="2" t="s">
        <v>17072</v>
      </c>
      <c r="C8261" s="2" t="s">
        <v>16397</v>
      </c>
    </row>
    <row r="8262">
      <c r="A8262" s="2" t="s">
        <v>17073</v>
      </c>
      <c r="B8262" s="2" t="s">
        <v>17074</v>
      </c>
      <c r="C8262" s="2" t="s">
        <v>16397</v>
      </c>
    </row>
    <row r="8263">
      <c r="A8263" s="2" t="s">
        <v>17075</v>
      </c>
      <c r="B8263" s="2" t="s">
        <v>17076</v>
      </c>
      <c r="C8263" s="2" t="s">
        <v>16397</v>
      </c>
    </row>
    <row r="8264">
      <c r="A8264" s="2" t="s">
        <v>17077</v>
      </c>
      <c r="B8264" s="2" t="s">
        <v>17078</v>
      </c>
      <c r="C8264" s="2" t="s">
        <v>16397</v>
      </c>
    </row>
    <row r="8265">
      <c r="A8265" s="2" t="s">
        <v>17079</v>
      </c>
      <c r="B8265" s="2" t="s">
        <v>17078</v>
      </c>
      <c r="C8265" s="2" t="s">
        <v>16397</v>
      </c>
    </row>
    <row r="8266">
      <c r="A8266" s="2" t="s">
        <v>17080</v>
      </c>
      <c r="B8266" s="2" t="s">
        <v>17081</v>
      </c>
      <c r="C8266" s="2" t="s">
        <v>16397</v>
      </c>
    </row>
    <row r="8267">
      <c r="A8267" s="2" t="s">
        <v>17082</v>
      </c>
      <c r="B8267" s="2" t="s">
        <v>17083</v>
      </c>
      <c r="C8267" s="2" t="s">
        <v>16397</v>
      </c>
    </row>
    <row r="8268">
      <c r="A8268" s="2" t="s">
        <v>17084</v>
      </c>
      <c r="B8268" s="2" t="s">
        <v>17085</v>
      </c>
      <c r="C8268" s="2" t="s">
        <v>16397</v>
      </c>
    </row>
    <row r="8269">
      <c r="A8269" s="2" t="s">
        <v>17086</v>
      </c>
      <c r="B8269" s="2" t="s">
        <v>17087</v>
      </c>
      <c r="C8269" s="2" t="s">
        <v>16397</v>
      </c>
    </row>
    <row r="8270">
      <c r="A8270" s="2" t="s">
        <v>17088</v>
      </c>
      <c r="B8270" s="2" t="s">
        <v>17089</v>
      </c>
      <c r="C8270" s="2" t="s">
        <v>16397</v>
      </c>
    </row>
    <row r="8271">
      <c r="A8271" s="2" t="s">
        <v>17090</v>
      </c>
      <c r="B8271" s="2" t="s">
        <v>17091</v>
      </c>
      <c r="C8271" s="2" t="s">
        <v>16397</v>
      </c>
    </row>
    <row r="8272">
      <c r="A8272" s="2" t="s">
        <v>17092</v>
      </c>
      <c r="B8272" s="2" t="s">
        <v>17091</v>
      </c>
      <c r="C8272" s="2" t="s">
        <v>16397</v>
      </c>
    </row>
    <row r="8273">
      <c r="A8273" s="2" t="s">
        <v>17093</v>
      </c>
      <c r="B8273" s="2" t="s">
        <v>17094</v>
      </c>
      <c r="C8273" s="2" t="s">
        <v>16397</v>
      </c>
    </row>
    <row r="8274">
      <c r="A8274" s="2" t="s">
        <v>17095</v>
      </c>
      <c r="B8274" s="2" t="s">
        <v>17096</v>
      </c>
      <c r="C8274" s="2" t="s">
        <v>16397</v>
      </c>
    </row>
    <row r="8275">
      <c r="A8275" s="2" t="s">
        <v>17097</v>
      </c>
      <c r="B8275" s="2" t="s">
        <v>17098</v>
      </c>
      <c r="C8275" s="2" t="s">
        <v>16397</v>
      </c>
    </row>
    <row r="8276">
      <c r="A8276" s="2" t="s">
        <v>17099</v>
      </c>
      <c r="B8276" s="2" t="s">
        <v>17100</v>
      </c>
      <c r="C8276" s="2" t="s">
        <v>16397</v>
      </c>
    </row>
    <row r="8277">
      <c r="A8277" s="2" t="s">
        <v>17101</v>
      </c>
      <c r="B8277" s="2" t="s">
        <v>17102</v>
      </c>
      <c r="C8277" s="2" t="s">
        <v>16397</v>
      </c>
    </row>
    <row r="8278">
      <c r="A8278" s="2" t="s">
        <v>17103</v>
      </c>
      <c r="B8278" s="2" t="s">
        <v>17104</v>
      </c>
      <c r="C8278" s="2" t="s">
        <v>16397</v>
      </c>
    </row>
    <row r="8279">
      <c r="A8279" s="2" t="s">
        <v>17105</v>
      </c>
      <c r="B8279" s="2" t="s">
        <v>17106</v>
      </c>
      <c r="C8279" s="2" t="s">
        <v>16397</v>
      </c>
    </row>
    <row r="8280">
      <c r="A8280" s="2" t="s">
        <v>17107</v>
      </c>
      <c r="B8280" s="2" t="s">
        <v>17108</v>
      </c>
      <c r="C8280" s="2" t="s">
        <v>16397</v>
      </c>
    </row>
    <row r="8281">
      <c r="A8281" s="2" t="s">
        <v>17109</v>
      </c>
      <c r="B8281" s="2" t="s">
        <v>17110</v>
      </c>
      <c r="C8281" s="2" t="s">
        <v>16397</v>
      </c>
    </row>
    <row r="8282">
      <c r="A8282" s="2" t="s">
        <v>17111</v>
      </c>
      <c r="B8282" s="2" t="s">
        <v>17112</v>
      </c>
      <c r="C8282" s="2" t="s">
        <v>16397</v>
      </c>
    </row>
    <row r="8283">
      <c r="A8283" s="2" t="s">
        <v>17113</v>
      </c>
      <c r="B8283" s="2" t="s">
        <v>17114</v>
      </c>
      <c r="C8283" s="2" t="s">
        <v>16397</v>
      </c>
    </row>
    <row r="8284">
      <c r="A8284" s="2" t="s">
        <v>17115</v>
      </c>
      <c r="B8284" s="2" t="s">
        <v>17116</v>
      </c>
      <c r="C8284" s="2" t="s">
        <v>16397</v>
      </c>
    </row>
    <row r="8285">
      <c r="A8285" s="2" t="s">
        <v>17117</v>
      </c>
      <c r="B8285" s="2" t="s">
        <v>17118</v>
      </c>
      <c r="C8285" s="2" t="s">
        <v>16397</v>
      </c>
    </row>
    <row r="8286">
      <c r="A8286" s="2" t="s">
        <v>17119</v>
      </c>
      <c r="B8286" s="2" t="s">
        <v>17120</v>
      </c>
      <c r="C8286" s="2" t="s">
        <v>16397</v>
      </c>
    </row>
    <row r="8287">
      <c r="A8287" s="2" t="s">
        <v>17121</v>
      </c>
      <c r="B8287" s="2" t="s">
        <v>17122</v>
      </c>
      <c r="C8287" s="2" t="s">
        <v>16397</v>
      </c>
    </row>
    <row r="8288">
      <c r="A8288" s="2" t="s">
        <v>17123</v>
      </c>
      <c r="B8288" s="2" t="s">
        <v>17124</v>
      </c>
      <c r="C8288" s="2" t="s">
        <v>16397</v>
      </c>
    </row>
    <row r="8289">
      <c r="A8289" s="2" t="s">
        <v>17125</v>
      </c>
      <c r="B8289" s="2" t="s">
        <v>17126</v>
      </c>
      <c r="C8289" s="2" t="s">
        <v>16397</v>
      </c>
    </row>
    <row r="8290">
      <c r="A8290" s="2" t="s">
        <v>17127</v>
      </c>
      <c r="B8290" s="2" t="s">
        <v>17128</v>
      </c>
      <c r="C8290" s="2" t="s">
        <v>16397</v>
      </c>
    </row>
    <row r="8291">
      <c r="A8291" s="2" t="s">
        <v>17129</v>
      </c>
      <c r="B8291" s="2" t="s">
        <v>17130</v>
      </c>
      <c r="C8291" s="2" t="s">
        <v>16397</v>
      </c>
    </row>
    <row r="8292">
      <c r="A8292" s="2" t="s">
        <v>17131</v>
      </c>
      <c r="B8292" s="2" t="s">
        <v>17132</v>
      </c>
      <c r="C8292" s="2" t="s">
        <v>16397</v>
      </c>
    </row>
    <row r="8293">
      <c r="A8293" s="2" t="s">
        <v>17133</v>
      </c>
      <c r="B8293" s="2" t="s">
        <v>17134</v>
      </c>
      <c r="C8293" s="2" t="s">
        <v>16397</v>
      </c>
    </row>
    <row r="8294">
      <c r="A8294" s="2" t="s">
        <v>17135</v>
      </c>
      <c r="B8294" s="2" t="s">
        <v>17136</v>
      </c>
      <c r="C8294" s="2" t="s">
        <v>16397</v>
      </c>
    </row>
    <row r="8295">
      <c r="A8295" s="2" t="s">
        <v>17137</v>
      </c>
      <c r="B8295" s="2" t="s">
        <v>17138</v>
      </c>
      <c r="C8295" s="2" t="s">
        <v>16397</v>
      </c>
    </row>
    <row r="8296">
      <c r="A8296" s="2" t="s">
        <v>17139</v>
      </c>
      <c r="B8296" s="2" t="s">
        <v>17140</v>
      </c>
      <c r="C8296" s="2" t="s">
        <v>16397</v>
      </c>
    </row>
    <row r="8297">
      <c r="A8297" s="2" t="s">
        <v>17141</v>
      </c>
      <c r="B8297" s="2" t="s">
        <v>17142</v>
      </c>
      <c r="C8297" s="2" t="s">
        <v>16397</v>
      </c>
    </row>
    <row r="8298">
      <c r="A8298" s="2" t="s">
        <v>17143</v>
      </c>
      <c r="B8298" s="2" t="s">
        <v>17144</v>
      </c>
      <c r="C8298" s="2" t="s">
        <v>16397</v>
      </c>
    </row>
    <row r="8299">
      <c r="A8299" s="2" t="s">
        <v>17145</v>
      </c>
      <c r="B8299" s="2" t="s">
        <v>17146</v>
      </c>
      <c r="C8299" s="2" t="s">
        <v>16397</v>
      </c>
    </row>
    <row r="8300">
      <c r="A8300" s="2" t="s">
        <v>17147</v>
      </c>
      <c r="B8300" s="2" t="s">
        <v>17148</v>
      </c>
      <c r="C8300" s="2" t="s">
        <v>16397</v>
      </c>
    </row>
    <row r="8301">
      <c r="A8301" s="2" t="s">
        <v>17149</v>
      </c>
      <c r="B8301" s="2" t="s">
        <v>17150</v>
      </c>
      <c r="C8301" s="2" t="s">
        <v>16397</v>
      </c>
    </row>
    <row r="8302">
      <c r="A8302" s="2" t="s">
        <v>17151</v>
      </c>
      <c r="B8302" s="2" t="s">
        <v>17152</v>
      </c>
      <c r="C8302" s="2" t="s">
        <v>16397</v>
      </c>
    </row>
    <row r="8303">
      <c r="A8303" s="2" t="s">
        <v>17153</v>
      </c>
      <c r="B8303" s="2" t="s">
        <v>17154</v>
      </c>
      <c r="C8303" s="2" t="s">
        <v>16397</v>
      </c>
    </row>
    <row r="8304">
      <c r="A8304" s="2" t="s">
        <v>17155</v>
      </c>
      <c r="B8304" s="2" t="s">
        <v>17156</v>
      </c>
      <c r="C8304" s="2" t="s">
        <v>16397</v>
      </c>
    </row>
    <row r="8305">
      <c r="A8305" s="2" t="s">
        <v>17157</v>
      </c>
      <c r="B8305" s="2" t="s">
        <v>17158</v>
      </c>
      <c r="C8305" s="2" t="s">
        <v>16397</v>
      </c>
    </row>
    <row r="8306">
      <c r="A8306" s="2" t="s">
        <v>17159</v>
      </c>
      <c r="B8306" s="2" t="s">
        <v>17160</v>
      </c>
      <c r="C8306" s="2" t="s">
        <v>16397</v>
      </c>
    </row>
    <row r="8307">
      <c r="A8307" s="2" t="s">
        <v>17161</v>
      </c>
      <c r="B8307" s="2" t="s">
        <v>17162</v>
      </c>
      <c r="C8307" s="2" t="s">
        <v>16397</v>
      </c>
    </row>
    <row r="8308">
      <c r="A8308" s="2" t="s">
        <v>17163</v>
      </c>
      <c r="B8308" s="2" t="s">
        <v>17164</v>
      </c>
      <c r="C8308" s="2" t="s">
        <v>16397</v>
      </c>
    </row>
    <row r="8309">
      <c r="A8309" s="2" t="s">
        <v>17165</v>
      </c>
      <c r="B8309" s="2" t="s">
        <v>17166</v>
      </c>
      <c r="C8309" s="2" t="s">
        <v>16397</v>
      </c>
    </row>
    <row r="8310">
      <c r="A8310" s="2" t="s">
        <v>17167</v>
      </c>
      <c r="B8310" s="2" t="s">
        <v>17168</v>
      </c>
      <c r="C8310" s="2" t="s">
        <v>16397</v>
      </c>
    </row>
    <row r="8311">
      <c r="A8311" s="2" t="s">
        <v>17169</v>
      </c>
      <c r="B8311" s="2" t="s">
        <v>17170</v>
      </c>
      <c r="C8311" s="2" t="s">
        <v>16397</v>
      </c>
    </row>
    <row r="8312">
      <c r="A8312" s="2" t="s">
        <v>17171</v>
      </c>
      <c r="B8312" s="2" t="s">
        <v>17172</v>
      </c>
      <c r="C8312" s="2" t="s">
        <v>16397</v>
      </c>
    </row>
    <row r="8313">
      <c r="A8313" s="2" t="s">
        <v>17173</v>
      </c>
      <c r="B8313" s="2" t="s">
        <v>17174</v>
      </c>
      <c r="C8313" s="2" t="s">
        <v>16397</v>
      </c>
    </row>
    <row r="8314">
      <c r="A8314" s="2" t="s">
        <v>17175</v>
      </c>
      <c r="B8314" s="2" t="s">
        <v>17176</v>
      </c>
      <c r="C8314" s="2" t="s">
        <v>16397</v>
      </c>
    </row>
    <row r="8315">
      <c r="A8315" s="2" t="s">
        <v>17177</v>
      </c>
      <c r="B8315" s="2" t="s">
        <v>17178</v>
      </c>
      <c r="C8315" s="2" t="s">
        <v>16397</v>
      </c>
    </row>
    <row r="8316">
      <c r="A8316" s="2" t="s">
        <v>17179</v>
      </c>
      <c r="B8316" s="2" t="s">
        <v>17180</v>
      </c>
      <c r="C8316" s="2" t="s">
        <v>16397</v>
      </c>
    </row>
    <row r="8317">
      <c r="A8317" s="2" t="s">
        <v>17181</v>
      </c>
      <c r="B8317" s="2" t="s">
        <v>17182</v>
      </c>
      <c r="C8317" s="2" t="s">
        <v>16397</v>
      </c>
    </row>
    <row r="8318">
      <c r="A8318" s="2" t="s">
        <v>17183</v>
      </c>
      <c r="B8318" s="2" t="s">
        <v>17184</v>
      </c>
      <c r="C8318" s="2" t="s">
        <v>16397</v>
      </c>
    </row>
    <row r="8319">
      <c r="A8319" s="2" t="s">
        <v>17185</v>
      </c>
      <c r="B8319" s="2" t="s">
        <v>17186</v>
      </c>
      <c r="C8319" s="2" t="s">
        <v>16397</v>
      </c>
    </row>
    <row r="8320">
      <c r="A8320" s="2" t="s">
        <v>17187</v>
      </c>
      <c r="B8320" s="2" t="s">
        <v>17188</v>
      </c>
      <c r="C8320" s="2" t="s">
        <v>16397</v>
      </c>
    </row>
    <row r="8321">
      <c r="A8321" s="2" t="s">
        <v>17189</v>
      </c>
      <c r="B8321" s="2" t="s">
        <v>17190</v>
      </c>
      <c r="C8321" s="2" t="s">
        <v>16397</v>
      </c>
    </row>
    <row r="8322">
      <c r="A8322" s="2" t="s">
        <v>17191</v>
      </c>
      <c r="B8322" s="2" t="s">
        <v>17192</v>
      </c>
      <c r="C8322" s="2" t="s">
        <v>16397</v>
      </c>
    </row>
    <row r="8323">
      <c r="A8323" s="2" t="s">
        <v>17193</v>
      </c>
      <c r="B8323" s="2" t="s">
        <v>17194</v>
      </c>
      <c r="C8323" s="2" t="s">
        <v>16397</v>
      </c>
    </row>
    <row r="8324">
      <c r="A8324" s="2" t="s">
        <v>17195</v>
      </c>
      <c r="B8324" s="2" t="s">
        <v>17196</v>
      </c>
      <c r="C8324" s="2" t="s">
        <v>16397</v>
      </c>
    </row>
    <row r="8325">
      <c r="A8325" s="2" t="s">
        <v>17197</v>
      </c>
      <c r="B8325" s="2" t="s">
        <v>17198</v>
      </c>
      <c r="C8325" s="2" t="s">
        <v>16397</v>
      </c>
    </row>
    <row r="8326">
      <c r="A8326" s="2" t="s">
        <v>17199</v>
      </c>
      <c r="B8326" s="2" t="s">
        <v>17200</v>
      </c>
      <c r="C8326" s="2" t="s">
        <v>16397</v>
      </c>
    </row>
    <row r="8327">
      <c r="A8327" s="2" t="s">
        <v>17201</v>
      </c>
      <c r="B8327" s="2" t="s">
        <v>17202</v>
      </c>
      <c r="C8327" s="2" t="s">
        <v>16397</v>
      </c>
    </row>
    <row r="8328">
      <c r="A8328" s="2" t="s">
        <v>17203</v>
      </c>
      <c r="B8328" s="2" t="s">
        <v>17204</v>
      </c>
      <c r="C8328" s="2" t="s">
        <v>16397</v>
      </c>
    </row>
    <row r="8329">
      <c r="A8329" s="2" t="s">
        <v>17205</v>
      </c>
      <c r="B8329" s="2" t="s">
        <v>17206</v>
      </c>
      <c r="C8329" s="2" t="s">
        <v>16397</v>
      </c>
    </row>
    <row r="8330">
      <c r="A8330" s="2" t="s">
        <v>17207</v>
      </c>
      <c r="B8330" s="2" t="s">
        <v>17208</v>
      </c>
      <c r="C8330" s="2" t="s">
        <v>16397</v>
      </c>
    </row>
    <row r="8331">
      <c r="A8331" s="2" t="s">
        <v>17209</v>
      </c>
      <c r="B8331" s="2" t="s">
        <v>17210</v>
      </c>
      <c r="C8331" s="2" t="s">
        <v>16397</v>
      </c>
    </row>
    <row r="8332">
      <c r="A8332" s="2" t="s">
        <v>17211</v>
      </c>
      <c r="B8332" s="2" t="s">
        <v>17212</v>
      </c>
      <c r="C8332" s="2" t="s">
        <v>16397</v>
      </c>
    </row>
    <row r="8333">
      <c r="A8333" s="2" t="s">
        <v>17213</v>
      </c>
      <c r="B8333" s="2" t="s">
        <v>17214</v>
      </c>
      <c r="C8333" s="2" t="s">
        <v>16397</v>
      </c>
    </row>
    <row r="8334">
      <c r="A8334" s="2" t="s">
        <v>17215</v>
      </c>
      <c r="B8334" s="2" t="s">
        <v>17216</v>
      </c>
      <c r="C8334" s="2" t="s">
        <v>16397</v>
      </c>
    </row>
    <row r="8335">
      <c r="A8335" s="2" t="s">
        <v>17217</v>
      </c>
      <c r="B8335" s="2" t="s">
        <v>17218</v>
      </c>
      <c r="C8335" s="2" t="s">
        <v>16397</v>
      </c>
    </row>
    <row r="8336">
      <c r="A8336" s="2" t="s">
        <v>17219</v>
      </c>
      <c r="B8336" s="2" t="s">
        <v>17220</v>
      </c>
      <c r="C8336" s="2" t="s">
        <v>16397</v>
      </c>
    </row>
    <row r="8337">
      <c r="A8337" s="2" t="s">
        <v>17221</v>
      </c>
      <c r="B8337" s="2" t="s">
        <v>17222</v>
      </c>
      <c r="C8337" s="2" t="s">
        <v>16397</v>
      </c>
    </row>
    <row r="8338">
      <c r="A8338" s="2" t="s">
        <v>17223</v>
      </c>
      <c r="B8338" s="2" t="s">
        <v>17224</v>
      </c>
      <c r="C8338" s="2" t="s">
        <v>16397</v>
      </c>
    </row>
    <row r="8339">
      <c r="A8339" s="2" t="s">
        <v>17225</v>
      </c>
      <c r="B8339" s="2" t="s">
        <v>17226</v>
      </c>
      <c r="C8339" s="2" t="s">
        <v>16397</v>
      </c>
    </row>
    <row r="8340">
      <c r="A8340" s="2" t="s">
        <v>17227</v>
      </c>
      <c r="B8340" s="2" t="s">
        <v>17228</v>
      </c>
      <c r="C8340" s="2" t="s">
        <v>16397</v>
      </c>
    </row>
    <row r="8341">
      <c r="A8341" s="2" t="s">
        <v>17229</v>
      </c>
      <c r="B8341" s="2" t="s">
        <v>17230</v>
      </c>
      <c r="C8341" s="2" t="s">
        <v>16397</v>
      </c>
    </row>
    <row r="8342">
      <c r="A8342" s="2" t="s">
        <v>17231</v>
      </c>
      <c r="B8342" s="2" t="s">
        <v>17232</v>
      </c>
      <c r="C8342" s="2" t="s">
        <v>16397</v>
      </c>
    </row>
    <row r="8343">
      <c r="A8343" s="2" t="s">
        <v>17233</v>
      </c>
      <c r="B8343" s="2" t="s">
        <v>17234</v>
      </c>
      <c r="C8343" s="2" t="s">
        <v>16397</v>
      </c>
    </row>
    <row r="8344">
      <c r="A8344" s="2" t="s">
        <v>17235</v>
      </c>
      <c r="B8344" s="2" t="s">
        <v>17236</v>
      </c>
      <c r="C8344" s="2" t="s">
        <v>16397</v>
      </c>
    </row>
    <row r="8345">
      <c r="A8345" s="2" t="s">
        <v>17237</v>
      </c>
      <c r="B8345" s="2" t="s">
        <v>17238</v>
      </c>
      <c r="C8345" s="2" t="s">
        <v>16397</v>
      </c>
    </row>
    <row r="8346">
      <c r="A8346" s="2" t="s">
        <v>17239</v>
      </c>
      <c r="B8346" s="2" t="s">
        <v>17240</v>
      </c>
      <c r="C8346" s="2" t="s">
        <v>16397</v>
      </c>
    </row>
    <row r="8347">
      <c r="A8347" s="2" t="s">
        <v>17241</v>
      </c>
      <c r="B8347" s="2" t="s">
        <v>17242</v>
      </c>
      <c r="C8347" s="2" t="s">
        <v>16397</v>
      </c>
    </row>
    <row r="8348">
      <c r="A8348" s="2" t="s">
        <v>17243</v>
      </c>
      <c r="B8348" s="2" t="s">
        <v>17244</v>
      </c>
      <c r="C8348" s="2" t="s">
        <v>16397</v>
      </c>
    </row>
    <row r="8349">
      <c r="A8349" s="2" t="s">
        <v>17245</v>
      </c>
      <c r="B8349" s="2" t="s">
        <v>17246</v>
      </c>
      <c r="C8349" s="2" t="s">
        <v>16397</v>
      </c>
    </row>
    <row r="8350">
      <c r="A8350" s="2" t="s">
        <v>17247</v>
      </c>
      <c r="B8350" s="2" t="s">
        <v>17248</v>
      </c>
      <c r="C8350" s="2" t="s">
        <v>16397</v>
      </c>
    </row>
    <row r="8351">
      <c r="A8351" s="2" t="s">
        <v>17249</v>
      </c>
      <c r="B8351" s="2" t="s">
        <v>17250</v>
      </c>
      <c r="C8351" s="2" t="s">
        <v>16397</v>
      </c>
    </row>
    <row r="8352">
      <c r="A8352" s="2" t="s">
        <v>17251</v>
      </c>
      <c r="B8352" s="2" t="s">
        <v>17252</v>
      </c>
      <c r="C8352" s="2" t="s">
        <v>16397</v>
      </c>
    </row>
    <row r="8353">
      <c r="A8353" s="2" t="s">
        <v>17253</v>
      </c>
      <c r="B8353" s="2" t="s">
        <v>17254</v>
      </c>
      <c r="C8353" s="2" t="s">
        <v>16397</v>
      </c>
    </row>
    <row r="8354">
      <c r="A8354" s="2" t="s">
        <v>17255</v>
      </c>
      <c r="B8354" s="2" t="s">
        <v>17256</v>
      </c>
      <c r="C8354" s="2" t="s">
        <v>16397</v>
      </c>
    </row>
    <row r="8355">
      <c r="A8355" s="2" t="s">
        <v>17257</v>
      </c>
      <c r="B8355" s="2" t="s">
        <v>17258</v>
      </c>
      <c r="C8355" s="2" t="s">
        <v>16397</v>
      </c>
    </row>
    <row r="8356">
      <c r="A8356" s="2" t="s">
        <v>17259</v>
      </c>
      <c r="B8356" s="2" t="s">
        <v>17260</v>
      </c>
      <c r="C8356" s="2" t="s">
        <v>16397</v>
      </c>
    </row>
    <row r="8357">
      <c r="A8357" s="2" t="s">
        <v>17261</v>
      </c>
      <c r="B8357" s="2" t="s">
        <v>17262</v>
      </c>
      <c r="C8357" s="2" t="s">
        <v>16397</v>
      </c>
    </row>
    <row r="8358">
      <c r="A8358" s="2" t="s">
        <v>17263</v>
      </c>
      <c r="B8358" s="2" t="s">
        <v>17264</v>
      </c>
      <c r="C8358" s="2" t="s">
        <v>16397</v>
      </c>
    </row>
    <row r="8359">
      <c r="A8359" s="2" t="s">
        <v>17265</v>
      </c>
      <c r="B8359" s="2" t="s">
        <v>17266</v>
      </c>
      <c r="C8359" s="2" t="s">
        <v>16397</v>
      </c>
    </row>
    <row r="8360">
      <c r="A8360" s="2" t="s">
        <v>17267</v>
      </c>
      <c r="B8360" s="2" t="s">
        <v>17268</v>
      </c>
      <c r="C8360" s="2" t="s">
        <v>16397</v>
      </c>
    </row>
    <row r="8361">
      <c r="A8361" s="2" t="s">
        <v>17269</v>
      </c>
      <c r="B8361" s="2" t="s">
        <v>17270</v>
      </c>
      <c r="C8361" s="2" t="s">
        <v>16397</v>
      </c>
    </row>
    <row r="8362">
      <c r="A8362" s="2" t="s">
        <v>17271</v>
      </c>
      <c r="B8362" s="2" t="s">
        <v>17272</v>
      </c>
      <c r="C8362" s="2" t="s">
        <v>16397</v>
      </c>
    </row>
    <row r="8363">
      <c r="A8363" s="2" t="s">
        <v>17273</v>
      </c>
      <c r="B8363" s="2" t="s">
        <v>17274</v>
      </c>
      <c r="C8363" s="2" t="s">
        <v>16397</v>
      </c>
    </row>
    <row r="8364">
      <c r="A8364" s="2" t="s">
        <v>17275</v>
      </c>
      <c r="B8364" s="2" t="s">
        <v>17276</v>
      </c>
      <c r="C8364" s="2" t="s">
        <v>16397</v>
      </c>
    </row>
    <row r="8365">
      <c r="A8365" s="2" t="s">
        <v>17277</v>
      </c>
      <c r="B8365" s="2" t="s">
        <v>17278</v>
      </c>
      <c r="C8365" s="2" t="s">
        <v>16397</v>
      </c>
    </row>
    <row r="8366">
      <c r="A8366" s="2" t="s">
        <v>17279</v>
      </c>
      <c r="B8366" s="2" t="s">
        <v>17280</v>
      </c>
      <c r="C8366" s="2" t="s">
        <v>16397</v>
      </c>
    </row>
    <row r="8367">
      <c r="A8367" s="2" t="s">
        <v>17281</v>
      </c>
      <c r="B8367" s="2" t="s">
        <v>17282</v>
      </c>
      <c r="C8367" s="2" t="s">
        <v>16397</v>
      </c>
    </row>
    <row r="8368">
      <c r="A8368" s="2" t="s">
        <v>17283</v>
      </c>
      <c r="B8368" s="2" t="s">
        <v>17284</v>
      </c>
      <c r="C8368" s="2" t="s">
        <v>16397</v>
      </c>
    </row>
    <row r="8369">
      <c r="A8369" s="2" t="s">
        <v>17285</v>
      </c>
      <c r="B8369" s="2" t="s">
        <v>17286</v>
      </c>
      <c r="C8369" s="2" t="s">
        <v>16397</v>
      </c>
    </row>
    <row r="8370">
      <c r="A8370" s="2" t="s">
        <v>17287</v>
      </c>
      <c r="B8370" s="2" t="s">
        <v>17288</v>
      </c>
      <c r="C8370" s="2" t="s">
        <v>16397</v>
      </c>
    </row>
    <row r="8371">
      <c r="A8371" s="2" t="s">
        <v>17289</v>
      </c>
      <c r="B8371" s="2" t="s">
        <v>17290</v>
      </c>
      <c r="C8371" s="2" t="s">
        <v>16397</v>
      </c>
    </row>
    <row r="8372">
      <c r="A8372" s="2" t="s">
        <v>17291</v>
      </c>
      <c r="B8372" s="2" t="s">
        <v>17292</v>
      </c>
      <c r="C8372" s="2" t="s">
        <v>16397</v>
      </c>
    </row>
    <row r="8373">
      <c r="A8373" s="2" t="s">
        <v>17293</v>
      </c>
      <c r="B8373" s="2" t="s">
        <v>17294</v>
      </c>
      <c r="C8373" s="2" t="s">
        <v>16397</v>
      </c>
    </row>
    <row r="8374">
      <c r="A8374" s="2" t="s">
        <v>17295</v>
      </c>
      <c r="B8374" s="2" t="s">
        <v>17296</v>
      </c>
      <c r="C8374" s="2" t="s">
        <v>16397</v>
      </c>
    </row>
    <row r="8375">
      <c r="A8375" s="2" t="s">
        <v>17297</v>
      </c>
      <c r="B8375" s="2" t="s">
        <v>17298</v>
      </c>
      <c r="C8375" s="2" t="s">
        <v>16397</v>
      </c>
    </row>
    <row r="8376">
      <c r="A8376" s="2" t="s">
        <v>17299</v>
      </c>
      <c r="B8376" s="2" t="s">
        <v>17300</v>
      </c>
      <c r="C8376" s="2" t="s">
        <v>16397</v>
      </c>
    </row>
    <row r="8377">
      <c r="A8377" s="2" t="s">
        <v>17301</v>
      </c>
      <c r="B8377" s="2" t="s">
        <v>17302</v>
      </c>
      <c r="C8377" s="2" t="s">
        <v>16397</v>
      </c>
    </row>
    <row r="8378">
      <c r="A8378" s="2" t="s">
        <v>17303</v>
      </c>
      <c r="B8378" s="2" t="s">
        <v>17304</v>
      </c>
      <c r="C8378" s="2" t="s">
        <v>16397</v>
      </c>
    </row>
    <row r="8379">
      <c r="A8379" s="2" t="s">
        <v>17305</v>
      </c>
      <c r="B8379" s="2" t="s">
        <v>17306</v>
      </c>
      <c r="C8379" s="2" t="s">
        <v>16397</v>
      </c>
    </row>
    <row r="8380">
      <c r="A8380" s="2" t="s">
        <v>17307</v>
      </c>
      <c r="B8380" s="2" t="s">
        <v>17308</v>
      </c>
      <c r="C8380" s="2" t="s">
        <v>16397</v>
      </c>
    </row>
    <row r="8381">
      <c r="A8381" s="2" t="s">
        <v>17309</v>
      </c>
      <c r="B8381" s="2" t="s">
        <v>17310</v>
      </c>
      <c r="C8381" s="2" t="s">
        <v>16397</v>
      </c>
    </row>
    <row r="8382">
      <c r="A8382" s="2" t="s">
        <v>17311</v>
      </c>
      <c r="B8382" s="2" t="s">
        <v>17312</v>
      </c>
      <c r="C8382" s="2" t="s">
        <v>16397</v>
      </c>
    </row>
    <row r="8383">
      <c r="A8383" s="2" t="s">
        <v>17313</v>
      </c>
      <c r="B8383" s="2" t="s">
        <v>17314</v>
      </c>
      <c r="C8383" s="2" t="s">
        <v>16397</v>
      </c>
    </row>
    <row r="8384">
      <c r="A8384" s="2" t="s">
        <v>17315</v>
      </c>
      <c r="B8384" s="2" t="s">
        <v>17316</v>
      </c>
      <c r="C8384" s="2" t="s">
        <v>16397</v>
      </c>
    </row>
    <row r="8385">
      <c r="A8385" s="2" t="s">
        <v>17317</v>
      </c>
      <c r="B8385" s="2" t="s">
        <v>17318</v>
      </c>
      <c r="C8385" s="2" t="s">
        <v>16397</v>
      </c>
    </row>
    <row r="8386">
      <c r="A8386" s="2" t="s">
        <v>17319</v>
      </c>
      <c r="B8386" s="2" t="s">
        <v>17320</v>
      </c>
      <c r="C8386" s="2" t="s">
        <v>16397</v>
      </c>
    </row>
    <row r="8387">
      <c r="A8387" s="2" t="s">
        <v>17321</v>
      </c>
      <c r="B8387" s="2" t="s">
        <v>17322</v>
      </c>
      <c r="C8387" s="2" t="s">
        <v>16397</v>
      </c>
    </row>
    <row r="8388">
      <c r="A8388" s="2" t="s">
        <v>17323</v>
      </c>
      <c r="B8388" s="2" t="s">
        <v>17324</v>
      </c>
      <c r="C8388" s="2" t="s">
        <v>16397</v>
      </c>
    </row>
    <row r="8389">
      <c r="A8389" s="2" t="s">
        <v>17325</v>
      </c>
      <c r="B8389" s="2" t="s">
        <v>17326</v>
      </c>
      <c r="C8389" s="2" t="s">
        <v>16397</v>
      </c>
    </row>
    <row r="8390">
      <c r="A8390" s="2" t="s">
        <v>17327</v>
      </c>
      <c r="B8390" s="2" t="s">
        <v>17328</v>
      </c>
      <c r="C8390" s="2" t="s">
        <v>16397</v>
      </c>
    </row>
    <row r="8391">
      <c r="A8391" s="2" t="s">
        <v>17329</v>
      </c>
      <c r="B8391" s="2" t="s">
        <v>17330</v>
      </c>
      <c r="C8391" s="2" t="s">
        <v>16397</v>
      </c>
    </row>
    <row r="8392">
      <c r="A8392" s="2" t="s">
        <v>17331</v>
      </c>
      <c r="B8392" s="2" t="s">
        <v>17332</v>
      </c>
      <c r="C8392" s="2" t="s">
        <v>16397</v>
      </c>
    </row>
    <row r="8393">
      <c r="A8393" s="2" t="s">
        <v>17333</v>
      </c>
      <c r="B8393" s="2" t="s">
        <v>17334</v>
      </c>
      <c r="C8393" s="2" t="s">
        <v>16397</v>
      </c>
    </row>
    <row r="8394">
      <c r="A8394" s="2" t="s">
        <v>17335</v>
      </c>
      <c r="B8394" s="2" t="s">
        <v>17336</v>
      </c>
      <c r="C8394" s="2" t="s">
        <v>16397</v>
      </c>
    </row>
    <row r="8395">
      <c r="A8395" s="2" t="s">
        <v>17337</v>
      </c>
      <c r="B8395" s="2" t="s">
        <v>17338</v>
      </c>
      <c r="C8395" s="2" t="s">
        <v>16397</v>
      </c>
    </row>
    <row r="8396">
      <c r="A8396" s="2" t="s">
        <v>17339</v>
      </c>
      <c r="B8396" s="2" t="s">
        <v>17340</v>
      </c>
      <c r="C8396" s="2" t="s">
        <v>16397</v>
      </c>
    </row>
    <row r="8397">
      <c r="A8397" s="2" t="s">
        <v>17341</v>
      </c>
      <c r="B8397" s="2" t="s">
        <v>17342</v>
      </c>
      <c r="C8397" s="2" t="s">
        <v>16397</v>
      </c>
    </row>
    <row r="8398">
      <c r="A8398" s="2" t="s">
        <v>17343</v>
      </c>
      <c r="B8398" s="2" t="s">
        <v>17344</v>
      </c>
      <c r="C8398" s="2" t="s">
        <v>16397</v>
      </c>
    </row>
    <row r="8399">
      <c r="A8399" s="2" t="s">
        <v>17345</v>
      </c>
      <c r="B8399" s="2" t="s">
        <v>17346</v>
      </c>
      <c r="C8399" s="2" t="s">
        <v>16397</v>
      </c>
    </row>
    <row r="8400">
      <c r="A8400" s="2" t="s">
        <v>17347</v>
      </c>
      <c r="B8400" s="2" t="s">
        <v>17348</v>
      </c>
      <c r="C8400" s="2" t="s">
        <v>16397</v>
      </c>
    </row>
    <row r="8401">
      <c r="A8401" s="2" t="s">
        <v>17349</v>
      </c>
      <c r="B8401" s="2" t="s">
        <v>17348</v>
      </c>
      <c r="C8401" s="2" t="s">
        <v>16397</v>
      </c>
    </row>
    <row r="8402">
      <c r="A8402" s="2" t="s">
        <v>17350</v>
      </c>
      <c r="B8402" s="2" t="s">
        <v>17351</v>
      </c>
      <c r="C8402" s="2" t="s">
        <v>16397</v>
      </c>
    </row>
    <row r="8403">
      <c r="A8403" s="2" t="s">
        <v>17352</v>
      </c>
      <c r="B8403" s="2" t="s">
        <v>17353</v>
      </c>
      <c r="C8403" s="2" t="s">
        <v>16397</v>
      </c>
    </row>
    <row r="8404">
      <c r="A8404" s="2" t="s">
        <v>17354</v>
      </c>
      <c r="B8404" s="2" t="s">
        <v>17355</v>
      </c>
      <c r="C8404" s="2" t="s">
        <v>16397</v>
      </c>
    </row>
    <row r="8405">
      <c r="A8405" s="2" t="s">
        <v>17356</v>
      </c>
      <c r="B8405" s="2" t="s">
        <v>17357</v>
      </c>
      <c r="C8405" s="2" t="s">
        <v>16397</v>
      </c>
    </row>
    <row r="8406">
      <c r="A8406" s="2" t="s">
        <v>17358</v>
      </c>
      <c r="B8406" s="2" t="s">
        <v>17359</v>
      </c>
      <c r="C8406" s="2" t="s">
        <v>16397</v>
      </c>
    </row>
    <row r="8407">
      <c r="A8407" s="2" t="s">
        <v>17360</v>
      </c>
      <c r="B8407" s="2" t="s">
        <v>17361</v>
      </c>
      <c r="C8407" s="2" t="s">
        <v>16397</v>
      </c>
    </row>
    <row r="8408">
      <c r="A8408" s="2" t="s">
        <v>17362</v>
      </c>
      <c r="B8408" s="2" t="s">
        <v>17363</v>
      </c>
      <c r="C8408" s="2" t="s">
        <v>16397</v>
      </c>
    </row>
    <row r="8409">
      <c r="A8409" s="2" t="s">
        <v>17364</v>
      </c>
      <c r="B8409" s="2" t="s">
        <v>17365</v>
      </c>
      <c r="C8409" s="2" t="s">
        <v>16397</v>
      </c>
    </row>
    <row r="8410">
      <c r="A8410" s="2" t="s">
        <v>17366</v>
      </c>
      <c r="B8410" s="2" t="s">
        <v>17367</v>
      </c>
      <c r="C8410" s="2" t="s">
        <v>16397</v>
      </c>
    </row>
    <row r="8411">
      <c r="A8411" s="2" t="s">
        <v>17368</v>
      </c>
      <c r="B8411" s="2" t="s">
        <v>17369</v>
      </c>
      <c r="C8411" s="2" t="s">
        <v>16397</v>
      </c>
    </row>
    <row r="8412">
      <c r="A8412" s="2" t="s">
        <v>17370</v>
      </c>
      <c r="B8412" s="2" t="s">
        <v>17371</v>
      </c>
      <c r="C8412" s="2" t="s">
        <v>16397</v>
      </c>
    </row>
    <row r="8413">
      <c r="A8413" s="2" t="s">
        <v>17372</v>
      </c>
      <c r="B8413" s="2" t="s">
        <v>17373</v>
      </c>
      <c r="C8413" s="2" t="s">
        <v>16397</v>
      </c>
    </row>
    <row r="8414">
      <c r="A8414" s="2" t="s">
        <v>17374</v>
      </c>
      <c r="B8414" s="2" t="s">
        <v>17375</v>
      </c>
      <c r="C8414" s="2" t="s">
        <v>16397</v>
      </c>
    </row>
    <row r="8415">
      <c r="A8415" s="2" t="s">
        <v>17376</v>
      </c>
      <c r="B8415" s="2" t="s">
        <v>17377</v>
      </c>
      <c r="C8415" s="2" t="s">
        <v>16397</v>
      </c>
    </row>
    <row r="8416">
      <c r="A8416" s="2" t="s">
        <v>17378</v>
      </c>
      <c r="B8416" s="2" t="s">
        <v>17379</v>
      </c>
      <c r="C8416" s="2" t="s">
        <v>16397</v>
      </c>
    </row>
    <row r="8417">
      <c r="A8417" s="2" t="s">
        <v>17380</v>
      </c>
      <c r="B8417" s="2" t="s">
        <v>17381</v>
      </c>
      <c r="C8417" s="2" t="s">
        <v>16397</v>
      </c>
    </row>
    <row r="8418">
      <c r="A8418" s="2" t="s">
        <v>17382</v>
      </c>
      <c r="B8418" s="2" t="s">
        <v>17383</v>
      </c>
      <c r="C8418" s="2" t="s">
        <v>16397</v>
      </c>
    </row>
    <row r="8419">
      <c r="A8419" s="2" t="s">
        <v>17384</v>
      </c>
      <c r="B8419" s="2" t="s">
        <v>17385</v>
      </c>
      <c r="C8419" s="2" t="s">
        <v>16397</v>
      </c>
    </row>
    <row r="8420">
      <c r="A8420" s="2" t="s">
        <v>17386</v>
      </c>
      <c r="B8420" s="2" t="s">
        <v>17387</v>
      </c>
      <c r="C8420" s="2" t="s">
        <v>16397</v>
      </c>
    </row>
    <row r="8421">
      <c r="A8421" s="2" t="s">
        <v>17388</v>
      </c>
      <c r="B8421" s="2" t="s">
        <v>17389</v>
      </c>
      <c r="C8421" s="2" t="s">
        <v>16397</v>
      </c>
    </row>
    <row r="8422">
      <c r="A8422" s="2" t="s">
        <v>17390</v>
      </c>
      <c r="B8422" s="2" t="s">
        <v>17391</v>
      </c>
      <c r="C8422" s="2" t="s">
        <v>16397</v>
      </c>
    </row>
    <row r="8423">
      <c r="A8423" s="2" t="s">
        <v>17392</v>
      </c>
      <c r="B8423" s="2" t="s">
        <v>17393</v>
      </c>
      <c r="C8423" s="2" t="s">
        <v>16397</v>
      </c>
    </row>
    <row r="8424">
      <c r="A8424" s="2" t="s">
        <v>17394</v>
      </c>
      <c r="B8424" s="2" t="s">
        <v>17395</v>
      </c>
      <c r="C8424" s="2" t="s">
        <v>16397</v>
      </c>
    </row>
    <row r="8425">
      <c r="A8425" s="2" t="s">
        <v>17396</v>
      </c>
      <c r="B8425" s="2" t="s">
        <v>17397</v>
      </c>
      <c r="C8425" s="2" t="s">
        <v>16397</v>
      </c>
    </row>
    <row r="8426">
      <c r="A8426" s="2" t="s">
        <v>17398</v>
      </c>
      <c r="B8426" s="2" t="s">
        <v>17399</v>
      </c>
      <c r="C8426" s="2" t="s">
        <v>16397</v>
      </c>
    </row>
    <row r="8427">
      <c r="A8427" s="2" t="s">
        <v>17400</v>
      </c>
      <c r="B8427" s="2" t="s">
        <v>17401</v>
      </c>
      <c r="C8427" s="2" t="s">
        <v>16397</v>
      </c>
    </row>
    <row r="8428">
      <c r="A8428" s="2" t="s">
        <v>17402</v>
      </c>
      <c r="B8428" s="2" t="s">
        <v>17403</v>
      </c>
      <c r="C8428" s="2" t="s">
        <v>16397</v>
      </c>
    </row>
    <row r="8429">
      <c r="A8429" s="2" t="s">
        <v>17404</v>
      </c>
      <c r="B8429" s="2" t="s">
        <v>17405</v>
      </c>
      <c r="C8429" s="2" t="s">
        <v>16397</v>
      </c>
    </row>
    <row r="8430">
      <c r="A8430" s="2" t="s">
        <v>17406</v>
      </c>
      <c r="B8430" s="2" t="s">
        <v>17407</v>
      </c>
      <c r="C8430" s="2" t="s">
        <v>16397</v>
      </c>
    </row>
    <row r="8431">
      <c r="A8431" s="2" t="s">
        <v>17408</v>
      </c>
      <c r="B8431" s="2" t="s">
        <v>17409</v>
      </c>
      <c r="C8431" s="2" t="s">
        <v>16397</v>
      </c>
    </row>
    <row r="8432">
      <c r="A8432" s="2" t="s">
        <v>17410</v>
      </c>
      <c r="B8432" s="2" t="s">
        <v>17411</v>
      </c>
      <c r="C8432" s="2" t="s">
        <v>16397</v>
      </c>
    </row>
    <row r="8433">
      <c r="A8433" s="2" t="s">
        <v>17412</v>
      </c>
      <c r="B8433" s="2" t="s">
        <v>17413</v>
      </c>
      <c r="C8433" s="2" t="s">
        <v>16397</v>
      </c>
    </row>
    <row r="8434">
      <c r="A8434" s="2" t="s">
        <v>17414</v>
      </c>
      <c r="B8434" s="2" t="s">
        <v>17415</v>
      </c>
      <c r="C8434" s="2" t="s">
        <v>16397</v>
      </c>
    </row>
    <row r="8435">
      <c r="A8435" s="2" t="s">
        <v>17416</v>
      </c>
      <c r="B8435" s="2" t="s">
        <v>17417</v>
      </c>
      <c r="C8435" s="2" t="s">
        <v>16397</v>
      </c>
    </row>
    <row r="8436">
      <c r="A8436" s="2" t="s">
        <v>17418</v>
      </c>
      <c r="B8436" s="2" t="s">
        <v>17419</v>
      </c>
      <c r="C8436" s="2" t="s">
        <v>16397</v>
      </c>
    </row>
    <row r="8437">
      <c r="A8437" s="2" t="s">
        <v>17420</v>
      </c>
      <c r="B8437" s="2" t="s">
        <v>17421</v>
      </c>
      <c r="C8437" s="2" t="s">
        <v>16397</v>
      </c>
    </row>
    <row r="8438">
      <c r="A8438" s="2" t="s">
        <v>17422</v>
      </c>
      <c r="B8438" s="2" t="s">
        <v>17423</v>
      </c>
      <c r="C8438" s="2" t="s">
        <v>16397</v>
      </c>
    </row>
    <row r="8439">
      <c r="A8439" s="2" t="s">
        <v>17424</v>
      </c>
      <c r="B8439" s="2" t="s">
        <v>17425</v>
      </c>
      <c r="C8439" s="2" t="s">
        <v>16397</v>
      </c>
    </row>
    <row r="8440">
      <c r="A8440" s="2" t="s">
        <v>17426</v>
      </c>
      <c r="B8440" s="2" t="s">
        <v>17427</v>
      </c>
      <c r="C8440" s="2" t="s">
        <v>16397</v>
      </c>
    </row>
    <row r="8441">
      <c r="A8441" s="2" t="s">
        <v>17428</v>
      </c>
      <c r="B8441" s="2" t="s">
        <v>17429</v>
      </c>
      <c r="C8441" s="2" t="s">
        <v>16397</v>
      </c>
    </row>
    <row r="8442">
      <c r="A8442" s="2" t="s">
        <v>17430</v>
      </c>
      <c r="B8442" s="2" t="s">
        <v>17431</v>
      </c>
      <c r="C8442" s="2" t="s">
        <v>16397</v>
      </c>
    </row>
    <row r="8443">
      <c r="A8443" s="2" t="s">
        <v>17432</v>
      </c>
      <c r="B8443" s="2" t="s">
        <v>17433</v>
      </c>
      <c r="C8443" s="2" t="s">
        <v>16397</v>
      </c>
    </row>
    <row r="8444">
      <c r="A8444" s="2" t="s">
        <v>17434</v>
      </c>
      <c r="B8444" s="2" t="s">
        <v>17435</v>
      </c>
      <c r="C8444" s="2" t="s">
        <v>16397</v>
      </c>
    </row>
    <row r="8445">
      <c r="A8445" s="2" t="s">
        <v>17436</v>
      </c>
      <c r="B8445" s="2" t="s">
        <v>17437</v>
      </c>
      <c r="C8445" s="2" t="s">
        <v>16397</v>
      </c>
    </row>
    <row r="8446">
      <c r="A8446" s="2" t="s">
        <v>17438</v>
      </c>
      <c r="B8446" s="2" t="s">
        <v>17439</v>
      </c>
      <c r="C8446" s="2" t="s">
        <v>16397</v>
      </c>
    </row>
    <row r="8447">
      <c r="A8447" s="2" t="s">
        <v>17440</v>
      </c>
      <c r="B8447" s="2" t="s">
        <v>17441</v>
      </c>
      <c r="C8447" s="2" t="s">
        <v>16397</v>
      </c>
    </row>
    <row r="8448">
      <c r="A8448" s="2" t="s">
        <v>17442</v>
      </c>
      <c r="B8448" s="2" t="s">
        <v>17443</v>
      </c>
      <c r="C8448" s="2" t="s">
        <v>16397</v>
      </c>
    </row>
    <row r="8449">
      <c r="A8449" s="2" t="s">
        <v>17444</v>
      </c>
      <c r="B8449" s="2" t="s">
        <v>17445</v>
      </c>
      <c r="C8449" s="2" t="s">
        <v>16397</v>
      </c>
    </row>
    <row r="8450">
      <c r="A8450" s="2" t="s">
        <v>17446</v>
      </c>
      <c r="B8450" s="2" t="s">
        <v>17447</v>
      </c>
      <c r="C8450" s="2" t="s">
        <v>16397</v>
      </c>
    </row>
    <row r="8451">
      <c r="A8451" s="2" t="s">
        <v>17448</v>
      </c>
      <c r="B8451" s="2" t="s">
        <v>17449</v>
      </c>
      <c r="C8451" s="2" t="s">
        <v>16397</v>
      </c>
    </row>
    <row r="8452">
      <c r="A8452" s="2" t="s">
        <v>17450</v>
      </c>
      <c r="B8452" s="2" t="s">
        <v>17451</v>
      </c>
      <c r="C8452" s="2" t="s">
        <v>16397</v>
      </c>
    </row>
    <row r="8453">
      <c r="A8453" s="2" t="s">
        <v>17452</v>
      </c>
      <c r="B8453" s="2" t="s">
        <v>17453</v>
      </c>
      <c r="C8453" s="2" t="s">
        <v>16397</v>
      </c>
    </row>
    <row r="8454">
      <c r="A8454" s="2" t="s">
        <v>17454</v>
      </c>
      <c r="B8454" s="2" t="s">
        <v>17455</v>
      </c>
      <c r="C8454" s="2" t="s">
        <v>16397</v>
      </c>
    </row>
    <row r="8455">
      <c r="A8455" s="2" t="s">
        <v>17456</v>
      </c>
      <c r="B8455" s="2" t="s">
        <v>17457</v>
      </c>
      <c r="C8455" s="2" t="s">
        <v>16397</v>
      </c>
    </row>
    <row r="8456">
      <c r="A8456" s="2" t="s">
        <v>17458</v>
      </c>
      <c r="B8456" s="2" t="s">
        <v>17459</v>
      </c>
      <c r="C8456" s="2" t="s">
        <v>16397</v>
      </c>
    </row>
    <row r="8457">
      <c r="A8457" s="2" t="s">
        <v>17460</v>
      </c>
      <c r="B8457" s="2" t="s">
        <v>17461</v>
      </c>
      <c r="C8457" s="2" t="s">
        <v>16397</v>
      </c>
    </row>
    <row r="8458">
      <c r="A8458" s="2" t="s">
        <v>17462</v>
      </c>
      <c r="B8458" s="2" t="s">
        <v>17463</v>
      </c>
      <c r="C8458" s="2" t="s">
        <v>16397</v>
      </c>
    </row>
    <row r="8459">
      <c r="A8459" s="2" t="s">
        <v>17464</v>
      </c>
      <c r="B8459" s="2" t="s">
        <v>17465</v>
      </c>
      <c r="C8459" s="2" t="s">
        <v>16397</v>
      </c>
    </row>
    <row r="8460">
      <c r="A8460" s="2" t="s">
        <v>17466</v>
      </c>
      <c r="B8460" s="2" t="s">
        <v>17467</v>
      </c>
      <c r="C8460" s="2" t="s">
        <v>16397</v>
      </c>
    </row>
    <row r="8461">
      <c r="A8461" s="2" t="s">
        <v>17468</v>
      </c>
      <c r="B8461" s="2" t="s">
        <v>17469</v>
      </c>
      <c r="C8461" s="2" t="s">
        <v>16397</v>
      </c>
    </row>
    <row r="8462">
      <c r="A8462" s="2" t="s">
        <v>17470</v>
      </c>
      <c r="B8462" s="2" t="s">
        <v>17471</v>
      </c>
      <c r="C8462" s="2" t="s">
        <v>16397</v>
      </c>
    </row>
    <row r="8463">
      <c r="A8463" s="2" t="s">
        <v>17472</v>
      </c>
      <c r="B8463" s="2" t="s">
        <v>17473</v>
      </c>
      <c r="C8463" s="2" t="s">
        <v>16397</v>
      </c>
    </row>
    <row r="8464">
      <c r="A8464" s="2" t="s">
        <v>17474</v>
      </c>
      <c r="B8464" s="2" t="s">
        <v>17475</v>
      </c>
      <c r="C8464" s="2" t="s">
        <v>16397</v>
      </c>
    </row>
    <row r="8465">
      <c r="A8465" s="2" t="s">
        <v>17476</v>
      </c>
      <c r="B8465" s="2" t="s">
        <v>17477</v>
      </c>
      <c r="C8465" s="2" t="s">
        <v>16397</v>
      </c>
    </row>
    <row r="8466">
      <c r="A8466" s="2" t="s">
        <v>17478</v>
      </c>
      <c r="B8466" s="2" t="s">
        <v>17477</v>
      </c>
      <c r="C8466" s="2" t="s">
        <v>16397</v>
      </c>
    </row>
    <row r="8467">
      <c r="A8467" s="2" t="s">
        <v>17479</v>
      </c>
      <c r="B8467" s="2" t="s">
        <v>17477</v>
      </c>
      <c r="C8467" s="2" t="s">
        <v>16397</v>
      </c>
    </row>
    <row r="8468">
      <c r="A8468" s="2" t="s">
        <v>17480</v>
      </c>
      <c r="B8468" s="2" t="s">
        <v>17477</v>
      </c>
      <c r="C8468" s="2" t="s">
        <v>16397</v>
      </c>
    </row>
    <row r="8469">
      <c r="A8469" s="2" t="s">
        <v>17481</v>
      </c>
      <c r="B8469" s="2" t="s">
        <v>17477</v>
      </c>
      <c r="C8469" s="2" t="s">
        <v>16397</v>
      </c>
    </row>
    <row r="8470">
      <c r="A8470" s="2" t="s">
        <v>17482</v>
      </c>
      <c r="B8470" s="2" t="s">
        <v>17477</v>
      </c>
      <c r="C8470" s="2" t="s">
        <v>16397</v>
      </c>
    </row>
    <row r="8471">
      <c r="A8471" s="2" t="s">
        <v>17483</v>
      </c>
      <c r="B8471" s="2" t="s">
        <v>17477</v>
      </c>
      <c r="C8471" s="2" t="s">
        <v>16397</v>
      </c>
    </row>
    <row r="8472">
      <c r="A8472" s="2" t="s">
        <v>17484</v>
      </c>
      <c r="B8472" s="2" t="s">
        <v>17477</v>
      </c>
      <c r="C8472" s="2" t="s">
        <v>16397</v>
      </c>
    </row>
    <row r="8473">
      <c r="A8473" s="2" t="s">
        <v>17485</v>
      </c>
      <c r="B8473" s="2" t="s">
        <v>17486</v>
      </c>
      <c r="C8473" s="2" t="s">
        <v>16397</v>
      </c>
    </row>
    <row r="8474">
      <c r="A8474" s="2" t="s">
        <v>17487</v>
      </c>
      <c r="B8474" s="2" t="s">
        <v>17488</v>
      </c>
      <c r="C8474" s="2" t="s">
        <v>16397</v>
      </c>
    </row>
    <row r="8475">
      <c r="A8475" s="2" t="s">
        <v>17489</v>
      </c>
      <c r="B8475" s="2" t="s">
        <v>17490</v>
      </c>
      <c r="C8475" s="2" t="s">
        <v>16397</v>
      </c>
    </row>
    <row r="8476">
      <c r="A8476" s="2" t="s">
        <v>17491</v>
      </c>
      <c r="B8476" s="2" t="s">
        <v>17492</v>
      </c>
      <c r="C8476" s="2" t="s">
        <v>16397</v>
      </c>
    </row>
    <row r="8477">
      <c r="A8477" s="2" t="s">
        <v>17493</v>
      </c>
      <c r="B8477" s="2" t="s">
        <v>17494</v>
      </c>
      <c r="C8477" s="2" t="s">
        <v>16397</v>
      </c>
    </row>
    <row r="8478">
      <c r="A8478" s="2" t="s">
        <v>17495</v>
      </c>
      <c r="B8478" s="2" t="s">
        <v>17496</v>
      </c>
      <c r="C8478" s="2" t="s">
        <v>16397</v>
      </c>
    </row>
    <row r="8479">
      <c r="A8479" s="2" t="s">
        <v>17497</v>
      </c>
      <c r="B8479" s="2" t="s">
        <v>17498</v>
      </c>
      <c r="C8479" s="2" t="s">
        <v>16397</v>
      </c>
    </row>
    <row r="8480">
      <c r="A8480" s="2" t="s">
        <v>17499</v>
      </c>
      <c r="B8480" s="2" t="s">
        <v>17500</v>
      </c>
      <c r="C8480" s="2" t="s">
        <v>16397</v>
      </c>
    </row>
    <row r="8481">
      <c r="A8481" s="2" t="s">
        <v>17501</v>
      </c>
      <c r="B8481" s="2" t="s">
        <v>17502</v>
      </c>
      <c r="C8481" s="2" t="s">
        <v>16397</v>
      </c>
    </row>
    <row r="8482">
      <c r="A8482" s="2" t="s">
        <v>17503</v>
      </c>
      <c r="B8482" s="2" t="s">
        <v>17502</v>
      </c>
      <c r="C8482" s="2" t="s">
        <v>16397</v>
      </c>
    </row>
    <row r="8483">
      <c r="A8483" s="2" t="s">
        <v>17504</v>
      </c>
      <c r="B8483" s="2" t="s">
        <v>17505</v>
      </c>
      <c r="C8483" s="2" t="s">
        <v>16397</v>
      </c>
    </row>
    <row r="8484">
      <c r="A8484" s="2" t="s">
        <v>17506</v>
      </c>
      <c r="B8484" s="2" t="s">
        <v>17507</v>
      </c>
      <c r="C8484" s="2" t="s">
        <v>16397</v>
      </c>
    </row>
    <row r="8485">
      <c r="A8485" s="2" t="s">
        <v>17508</v>
      </c>
      <c r="B8485" s="2" t="s">
        <v>17509</v>
      </c>
      <c r="C8485" s="2" t="s">
        <v>16397</v>
      </c>
    </row>
    <row r="8486">
      <c r="A8486" s="2" t="s">
        <v>17510</v>
      </c>
      <c r="B8486" s="2" t="s">
        <v>17511</v>
      </c>
      <c r="C8486" s="2" t="s">
        <v>16397</v>
      </c>
    </row>
    <row r="8487">
      <c r="A8487" s="2" t="s">
        <v>17512</v>
      </c>
      <c r="B8487" s="2" t="s">
        <v>17513</v>
      </c>
      <c r="C8487" s="2" t="s">
        <v>16397</v>
      </c>
    </row>
    <row r="8488">
      <c r="A8488" s="2" t="s">
        <v>17514</v>
      </c>
      <c r="B8488" s="2" t="s">
        <v>17515</v>
      </c>
      <c r="C8488" s="2" t="s">
        <v>16397</v>
      </c>
    </row>
    <row r="8489">
      <c r="A8489" s="2" t="s">
        <v>17516</v>
      </c>
      <c r="B8489" s="2" t="s">
        <v>17517</v>
      </c>
      <c r="C8489" s="2" t="s">
        <v>16397</v>
      </c>
    </row>
    <row r="8490">
      <c r="A8490" s="2" t="s">
        <v>17518</v>
      </c>
      <c r="B8490" s="2" t="s">
        <v>17517</v>
      </c>
      <c r="C8490" s="2" t="s">
        <v>16397</v>
      </c>
    </row>
    <row r="8491">
      <c r="A8491" s="2" t="s">
        <v>17519</v>
      </c>
      <c r="B8491" s="2" t="s">
        <v>17520</v>
      </c>
      <c r="C8491" s="2" t="s">
        <v>16397</v>
      </c>
    </row>
    <row r="8492">
      <c r="A8492" s="2" t="s">
        <v>17521</v>
      </c>
      <c r="B8492" s="2" t="s">
        <v>17522</v>
      </c>
      <c r="C8492" s="2" t="s">
        <v>16397</v>
      </c>
    </row>
    <row r="8493">
      <c r="A8493" s="2" t="s">
        <v>17523</v>
      </c>
      <c r="B8493" s="2" t="s">
        <v>17524</v>
      </c>
      <c r="C8493" s="2" t="s">
        <v>16397</v>
      </c>
    </row>
    <row r="8494">
      <c r="A8494" s="2" t="s">
        <v>17525</v>
      </c>
      <c r="B8494" s="2" t="s">
        <v>17526</v>
      </c>
      <c r="C8494" s="2" t="s">
        <v>16397</v>
      </c>
    </row>
    <row r="8495">
      <c r="A8495" s="2" t="s">
        <v>17527</v>
      </c>
      <c r="B8495" s="2" t="s">
        <v>17528</v>
      </c>
      <c r="C8495" s="2" t="s">
        <v>16397</v>
      </c>
    </row>
    <row r="8496">
      <c r="A8496" s="2" t="s">
        <v>17529</v>
      </c>
      <c r="B8496" s="2" t="s">
        <v>17530</v>
      </c>
      <c r="C8496" s="2" t="s">
        <v>16397</v>
      </c>
    </row>
    <row r="8497">
      <c r="A8497" s="2" t="s">
        <v>17531</v>
      </c>
      <c r="B8497" s="2" t="s">
        <v>17532</v>
      </c>
      <c r="C8497" s="2" t="s">
        <v>16397</v>
      </c>
    </row>
    <row r="8498">
      <c r="A8498" s="2" t="s">
        <v>17533</v>
      </c>
      <c r="B8498" s="2" t="s">
        <v>17534</v>
      </c>
      <c r="C8498" s="2" t="s">
        <v>16397</v>
      </c>
    </row>
    <row r="8499">
      <c r="A8499" s="2" t="s">
        <v>17535</v>
      </c>
      <c r="B8499" s="2" t="s">
        <v>17536</v>
      </c>
      <c r="C8499" s="2" t="s">
        <v>16397</v>
      </c>
    </row>
    <row r="8500">
      <c r="A8500" s="2" t="s">
        <v>17537</v>
      </c>
      <c r="B8500" s="2" t="s">
        <v>17538</v>
      </c>
      <c r="C8500" s="2" t="s">
        <v>16397</v>
      </c>
    </row>
    <row r="8501">
      <c r="A8501" s="2" t="s">
        <v>17539</v>
      </c>
      <c r="B8501" s="2" t="s">
        <v>17540</v>
      </c>
      <c r="C8501" s="2" t="s">
        <v>16397</v>
      </c>
    </row>
    <row r="8502">
      <c r="A8502" s="2" t="s">
        <v>17541</v>
      </c>
      <c r="B8502" s="2" t="s">
        <v>17540</v>
      </c>
      <c r="C8502" s="2" t="s">
        <v>16397</v>
      </c>
    </row>
    <row r="8503">
      <c r="A8503" s="2" t="s">
        <v>17542</v>
      </c>
      <c r="B8503" s="2" t="s">
        <v>17543</v>
      </c>
      <c r="C8503" s="2" t="s">
        <v>16397</v>
      </c>
    </row>
    <row r="8504">
      <c r="A8504" s="2" t="s">
        <v>17544</v>
      </c>
      <c r="B8504" s="2" t="s">
        <v>17545</v>
      </c>
      <c r="C8504" s="2" t="s">
        <v>16397</v>
      </c>
    </row>
    <row r="8505">
      <c r="A8505" s="2" t="s">
        <v>17546</v>
      </c>
      <c r="B8505" s="2" t="s">
        <v>17545</v>
      </c>
      <c r="C8505" s="2" t="s">
        <v>16397</v>
      </c>
    </row>
    <row r="8506">
      <c r="A8506" s="2" t="s">
        <v>17547</v>
      </c>
      <c r="B8506" s="2" t="s">
        <v>17545</v>
      </c>
      <c r="C8506" s="2" t="s">
        <v>16397</v>
      </c>
    </row>
    <row r="8507">
      <c r="A8507" s="2" t="s">
        <v>17548</v>
      </c>
      <c r="B8507" s="2" t="s">
        <v>17545</v>
      </c>
      <c r="C8507" s="2" t="s">
        <v>16397</v>
      </c>
    </row>
    <row r="8508">
      <c r="A8508" s="2" t="s">
        <v>17549</v>
      </c>
      <c r="B8508" s="2" t="s">
        <v>17550</v>
      </c>
      <c r="C8508" s="2" t="s">
        <v>16397</v>
      </c>
    </row>
    <row r="8509">
      <c r="A8509" s="2" t="s">
        <v>17551</v>
      </c>
      <c r="B8509" s="2" t="s">
        <v>17552</v>
      </c>
      <c r="C8509" s="2" t="s">
        <v>16397</v>
      </c>
    </row>
    <row r="8510">
      <c r="A8510" s="2" t="s">
        <v>17553</v>
      </c>
      <c r="B8510" s="2" t="s">
        <v>17554</v>
      </c>
      <c r="C8510" s="2" t="s">
        <v>16397</v>
      </c>
    </row>
    <row r="8511">
      <c r="A8511" s="2" t="s">
        <v>17555</v>
      </c>
      <c r="B8511" s="2" t="s">
        <v>17556</v>
      </c>
      <c r="C8511" s="2" t="s">
        <v>16397</v>
      </c>
    </row>
    <row r="8512">
      <c r="A8512" s="2" t="s">
        <v>17557</v>
      </c>
      <c r="B8512" s="2" t="s">
        <v>17558</v>
      </c>
      <c r="C8512" s="2" t="s">
        <v>16397</v>
      </c>
    </row>
    <row r="8513">
      <c r="A8513" s="2" t="s">
        <v>17559</v>
      </c>
      <c r="B8513" s="2" t="s">
        <v>17560</v>
      </c>
      <c r="C8513" s="2" t="s">
        <v>16397</v>
      </c>
    </row>
    <row r="8514">
      <c r="A8514" s="2" t="s">
        <v>17561</v>
      </c>
      <c r="B8514" s="2" t="s">
        <v>17562</v>
      </c>
      <c r="C8514" s="2" t="s">
        <v>16397</v>
      </c>
    </row>
    <row r="8515">
      <c r="A8515" s="2" t="s">
        <v>17563</v>
      </c>
      <c r="B8515" s="2" t="s">
        <v>17564</v>
      </c>
      <c r="C8515" s="2" t="s">
        <v>16397</v>
      </c>
    </row>
    <row r="8516">
      <c r="A8516" s="2" t="s">
        <v>17565</v>
      </c>
      <c r="B8516" s="2" t="s">
        <v>17566</v>
      </c>
      <c r="C8516" s="2" t="s">
        <v>16397</v>
      </c>
    </row>
    <row r="8517">
      <c r="A8517" s="2" t="s">
        <v>17567</v>
      </c>
      <c r="B8517" s="2" t="s">
        <v>17568</v>
      </c>
      <c r="C8517" s="2" t="s">
        <v>16397</v>
      </c>
    </row>
    <row r="8518">
      <c r="A8518" s="2" t="s">
        <v>17569</v>
      </c>
      <c r="B8518" s="2" t="s">
        <v>17568</v>
      </c>
      <c r="C8518" s="2" t="s">
        <v>16397</v>
      </c>
    </row>
    <row r="8519">
      <c r="A8519" s="2" t="s">
        <v>17570</v>
      </c>
      <c r="B8519" s="2" t="s">
        <v>17571</v>
      </c>
      <c r="C8519" s="2" t="s">
        <v>16397</v>
      </c>
    </row>
    <row r="8520">
      <c r="A8520" s="2" t="s">
        <v>17572</v>
      </c>
      <c r="B8520" s="2" t="s">
        <v>17573</v>
      </c>
      <c r="C8520" s="2" t="s">
        <v>16397</v>
      </c>
    </row>
    <row r="8521">
      <c r="A8521" s="2" t="s">
        <v>17574</v>
      </c>
      <c r="B8521" s="2" t="s">
        <v>17575</v>
      </c>
      <c r="C8521" s="2" t="s">
        <v>16397</v>
      </c>
    </row>
    <row r="8522">
      <c r="A8522" s="2" t="s">
        <v>17576</v>
      </c>
      <c r="B8522" s="2" t="s">
        <v>17577</v>
      </c>
      <c r="C8522" s="2" t="s">
        <v>16397</v>
      </c>
    </row>
    <row r="8523">
      <c r="A8523" s="2" t="s">
        <v>17578</v>
      </c>
      <c r="B8523" s="2" t="s">
        <v>17579</v>
      </c>
      <c r="C8523" s="2" t="s">
        <v>16397</v>
      </c>
    </row>
    <row r="8524">
      <c r="A8524" s="2" t="s">
        <v>17580</v>
      </c>
      <c r="B8524" s="2" t="s">
        <v>17581</v>
      </c>
      <c r="C8524" s="2" t="s">
        <v>16397</v>
      </c>
    </row>
    <row r="8525">
      <c r="A8525" s="2" t="s">
        <v>17582</v>
      </c>
      <c r="B8525" s="2" t="s">
        <v>17583</v>
      </c>
      <c r="C8525" s="2" t="s">
        <v>16397</v>
      </c>
    </row>
    <row r="8526">
      <c r="A8526" s="2" t="s">
        <v>17584</v>
      </c>
      <c r="B8526" s="2" t="s">
        <v>17585</v>
      </c>
      <c r="C8526" s="2" t="s">
        <v>16397</v>
      </c>
    </row>
    <row r="8527">
      <c r="A8527" s="2" t="s">
        <v>17586</v>
      </c>
      <c r="B8527" s="2" t="s">
        <v>17587</v>
      </c>
      <c r="C8527" s="2" t="s">
        <v>16397</v>
      </c>
    </row>
    <row r="8528">
      <c r="A8528" s="2" t="s">
        <v>17588</v>
      </c>
      <c r="B8528" s="2" t="s">
        <v>17589</v>
      </c>
      <c r="C8528" s="2" t="s">
        <v>16397</v>
      </c>
    </row>
    <row r="8529">
      <c r="A8529" s="2" t="s">
        <v>17590</v>
      </c>
      <c r="B8529" s="2" t="s">
        <v>17591</v>
      </c>
      <c r="C8529" s="2" t="s">
        <v>16397</v>
      </c>
    </row>
    <row r="8530">
      <c r="A8530" s="2" t="s">
        <v>17592</v>
      </c>
      <c r="B8530" s="2" t="s">
        <v>17593</v>
      </c>
      <c r="C8530" s="2" t="s">
        <v>16397</v>
      </c>
    </row>
    <row r="8531">
      <c r="A8531" s="2" t="s">
        <v>17594</v>
      </c>
      <c r="B8531" s="2" t="s">
        <v>17595</v>
      </c>
      <c r="C8531" s="2" t="s">
        <v>16397</v>
      </c>
    </row>
    <row r="8532">
      <c r="A8532" s="2" t="s">
        <v>17596</v>
      </c>
      <c r="B8532" s="2" t="s">
        <v>17597</v>
      </c>
      <c r="C8532" s="2" t="s">
        <v>16397</v>
      </c>
    </row>
    <row r="8533">
      <c r="A8533" s="2" t="s">
        <v>17598</v>
      </c>
      <c r="B8533" s="2" t="s">
        <v>17599</v>
      </c>
      <c r="C8533" s="2" t="s">
        <v>16397</v>
      </c>
    </row>
    <row r="8534">
      <c r="A8534" s="2" t="s">
        <v>17600</v>
      </c>
      <c r="B8534" s="2" t="s">
        <v>17601</v>
      </c>
      <c r="C8534" s="2" t="s">
        <v>16397</v>
      </c>
    </row>
    <row r="8535">
      <c r="A8535" s="2" t="s">
        <v>17602</v>
      </c>
      <c r="B8535" s="2" t="s">
        <v>17603</v>
      </c>
      <c r="C8535" s="2" t="s">
        <v>16397</v>
      </c>
    </row>
    <row r="8536">
      <c r="A8536" s="2" t="s">
        <v>17604</v>
      </c>
      <c r="B8536" s="2" t="s">
        <v>17605</v>
      </c>
      <c r="C8536" s="2" t="s">
        <v>16397</v>
      </c>
    </row>
    <row r="8537">
      <c r="A8537" s="2" t="s">
        <v>17606</v>
      </c>
      <c r="B8537" s="2" t="s">
        <v>17607</v>
      </c>
      <c r="C8537" s="2" t="s">
        <v>16397</v>
      </c>
    </row>
    <row r="8538">
      <c r="A8538" s="2" t="s">
        <v>17608</v>
      </c>
      <c r="B8538" s="2" t="s">
        <v>17609</v>
      </c>
      <c r="C8538" s="2" t="s">
        <v>16397</v>
      </c>
    </row>
    <row r="8539">
      <c r="A8539" s="2" t="s">
        <v>17610</v>
      </c>
      <c r="B8539" s="2" t="s">
        <v>17611</v>
      </c>
      <c r="C8539" s="2" t="s">
        <v>16397</v>
      </c>
    </row>
    <row r="8540">
      <c r="A8540" s="2" t="s">
        <v>17612</v>
      </c>
      <c r="B8540" s="2" t="s">
        <v>17613</v>
      </c>
      <c r="C8540" s="2" t="s">
        <v>16397</v>
      </c>
    </row>
    <row r="8541">
      <c r="A8541" s="2" t="s">
        <v>17614</v>
      </c>
      <c r="B8541" s="2" t="s">
        <v>17615</v>
      </c>
      <c r="C8541" s="2" t="s">
        <v>16397</v>
      </c>
    </row>
    <row r="8542">
      <c r="A8542" s="2" t="s">
        <v>17616</v>
      </c>
      <c r="B8542" s="2" t="s">
        <v>17617</v>
      </c>
      <c r="C8542" s="2" t="s">
        <v>16397</v>
      </c>
    </row>
    <row r="8543">
      <c r="A8543" s="2" t="s">
        <v>17618</v>
      </c>
      <c r="B8543" s="2" t="s">
        <v>17619</v>
      </c>
      <c r="C8543" s="2" t="s">
        <v>16397</v>
      </c>
    </row>
    <row r="8544">
      <c r="A8544" s="2" t="s">
        <v>17620</v>
      </c>
      <c r="B8544" s="2" t="s">
        <v>17621</v>
      </c>
      <c r="C8544" s="2" t="s">
        <v>16397</v>
      </c>
    </row>
    <row r="8545">
      <c r="A8545" s="2" t="s">
        <v>17622</v>
      </c>
      <c r="B8545" s="2" t="s">
        <v>17623</v>
      </c>
      <c r="C8545" s="2" t="s">
        <v>16397</v>
      </c>
    </row>
    <row r="8546">
      <c r="A8546" s="2" t="s">
        <v>17624</v>
      </c>
      <c r="B8546" s="2" t="s">
        <v>17625</v>
      </c>
      <c r="C8546" s="2" t="s">
        <v>16397</v>
      </c>
    </row>
    <row r="8547">
      <c r="A8547" s="2" t="s">
        <v>17626</v>
      </c>
      <c r="B8547" s="2" t="s">
        <v>17627</v>
      </c>
      <c r="C8547" s="2" t="s">
        <v>16397</v>
      </c>
    </row>
    <row r="8548">
      <c r="A8548" s="2" t="s">
        <v>17628</v>
      </c>
      <c r="B8548" s="2" t="s">
        <v>17629</v>
      </c>
      <c r="C8548" s="2" t="s">
        <v>16397</v>
      </c>
    </row>
    <row r="8549">
      <c r="A8549" s="2" t="s">
        <v>17630</v>
      </c>
      <c r="B8549" s="2" t="s">
        <v>17631</v>
      </c>
      <c r="C8549" s="2" t="s">
        <v>16397</v>
      </c>
    </row>
    <row r="8550">
      <c r="A8550" s="2" t="s">
        <v>17632</v>
      </c>
      <c r="B8550" s="2" t="s">
        <v>17633</v>
      </c>
      <c r="C8550" s="2" t="s">
        <v>16397</v>
      </c>
    </row>
    <row r="8551">
      <c r="A8551" s="2" t="s">
        <v>17634</v>
      </c>
      <c r="B8551" s="2" t="s">
        <v>17635</v>
      </c>
      <c r="C8551" s="2" t="s">
        <v>16397</v>
      </c>
    </row>
    <row r="8552">
      <c r="A8552" s="2" t="s">
        <v>17636</v>
      </c>
      <c r="B8552" s="2" t="s">
        <v>17637</v>
      </c>
      <c r="C8552" s="2" t="s">
        <v>16397</v>
      </c>
    </row>
    <row r="8553">
      <c r="A8553" s="2" t="s">
        <v>17638</v>
      </c>
      <c r="B8553" s="2" t="s">
        <v>17639</v>
      </c>
      <c r="C8553" s="2" t="s">
        <v>16397</v>
      </c>
    </row>
    <row r="8554">
      <c r="A8554" s="2" t="s">
        <v>17640</v>
      </c>
      <c r="B8554" s="2" t="s">
        <v>17641</v>
      </c>
      <c r="C8554" s="2" t="s">
        <v>16397</v>
      </c>
    </row>
    <row r="8555">
      <c r="A8555" s="2" t="s">
        <v>17642</v>
      </c>
      <c r="B8555" s="2" t="s">
        <v>17643</v>
      </c>
      <c r="C8555" s="2" t="s">
        <v>16397</v>
      </c>
    </row>
    <row r="8556">
      <c r="A8556" s="2" t="s">
        <v>17644</v>
      </c>
      <c r="B8556" s="2" t="s">
        <v>17645</v>
      </c>
      <c r="C8556" s="2" t="s">
        <v>16397</v>
      </c>
    </row>
    <row r="8557">
      <c r="A8557" s="2" t="s">
        <v>17646</v>
      </c>
      <c r="B8557" s="2" t="s">
        <v>17647</v>
      </c>
      <c r="C8557" s="2" t="s">
        <v>16397</v>
      </c>
    </row>
    <row r="8558">
      <c r="A8558" s="2" t="s">
        <v>17648</v>
      </c>
      <c r="B8558" s="2" t="s">
        <v>17649</v>
      </c>
      <c r="C8558" s="2" t="s">
        <v>16397</v>
      </c>
    </row>
    <row r="8559">
      <c r="A8559" s="2" t="s">
        <v>17650</v>
      </c>
      <c r="B8559" s="2" t="s">
        <v>17651</v>
      </c>
      <c r="C8559" s="2" t="s">
        <v>16397</v>
      </c>
    </row>
    <row r="8560">
      <c r="A8560" s="2" t="s">
        <v>17652</v>
      </c>
      <c r="B8560" s="2" t="s">
        <v>17653</v>
      </c>
      <c r="C8560" s="2" t="s">
        <v>16397</v>
      </c>
    </row>
    <row r="8561">
      <c r="A8561" s="2" t="s">
        <v>17654</v>
      </c>
      <c r="B8561" s="2" t="s">
        <v>17655</v>
      </c>
      <c r="C8561" s="2" t="s">
        <v>16397</v>
      </c>
    </row>
    <row r="8562">
      <c r="A8562" s="2" t="s">
        <v>17656</v>
      </c>
      <c r="B8562" s="2" t="s">
        <v>17657</v>
      </c>
      <c r="C8562" s="2" t="s">
        <v>16397</v>
      </c>
    </row>
    <row r="8563">
      <c r="A8563" s="2" t="s">
        <v>17658</v>
      </c>
      <c r="B8563" s="2" t="s">
        <v>17659</v>
      </c>
      <c r="C8563" s="2" t="s">
        <v>16397</v>
      </c>
    </row>
    <row r="8564">
      <c r="A8564" s="2" t="s">
        <v>17660</v>
      </c>
      <c r="B8564" s="2" t="s">
        <v>17661</v>
      </c>
      <c r="C8564" s="2" t="s">
        <v>16397</v>
      </c>
    </row>
    <row r="8565">
      <c r="A8565" s="2" t="s">
        <v>17662</v>
      </c>
      <c r="B8565" s="2" t="s">
        <v>17663</v>
      </c>
      <c r="C8565" s="2" t="s">
        <v>16397</v>
      </c>
    </row>
    <row r="8566">
      <c r="A8566" s="2" t="s">
        <v>17664</v>
      </c>
      <c r="B8566" s="2" t="s">
        <v>17665</v>
      </c>
      <c r="C8566" s="2" t="s">
        <v>16397</v>
      </c>
    </row>
    <row r="8567">
      <c r="A8567" s="2" t="s">
        <v>17666</v>
      </c>
      <c r="B8567" s="2" t="s">
        <v>17667</v>
      </c>
      <c r="C8567" s="2" t="s">
        <v>16397</v>
      </c>
    </row>
    <row r="8568">
      <c r="A8568" s="2" t="s">
        <v>17668</v>
      </c>
      <c r="B8568" s="2" t="s">
        <v>17669</v>
      </c>
      <c r="C8568" s="2" t="s">
        <v>16397</v>
      </c>
    </row>
    <row r="8569">
      <c r="A8569" s="2" t="s">
        <v>17670</v>
      </c>
      <c r="B8569" s="2" t="s">
        <v>17671</v>
      </c>
      <c r="C8569" s="2" t="s">
        <v>16397</v>
      </c>
    </row>
    <row r="8570">
      <c r="A8570" s="2" t="s">
        <v>17672</v>
      </c>
      <c r="B8570" s="2" t="s">
        <v>17673</v>
      </c>
      <c r="C8570" s="2" t="s">
        <v>16397</v>
      </c>
    </row>
    <row r="8571">
      <c r="A8571" s="2" t="s">
        <v>17674</v>
      </c>
      <c r="B8571" s="2" t="s">
        <v>17675</v>
      </c>
      <c r="C8571" s="2" t="s">
        <v>16397</v>
      </c>
    </row>
    <row r="8572">
      <c r="A8572" s="2" t="s">
        <v>17676</v>
      </c>
      <c r="B8572" s="2" t="s">
        <v>17677</v>
      </c>
      <c r="C8572" s="2" t="s">
        <v>16397</v>
      </c>
    </row>
    <row r="8573">
      <c r="A8573" s="2" t="s">
        <v>17678</v>
      </c>
      <c r="B8573" s="2" t="s">
        <v>17679</v>
      </c>
      <c r="C8573" s="2" t="s">
        <v>16397</v>
      </c>
    </row>
    <row r="8574">
      <c r="A8574" s="2" t="s">
        <v>17680</v>
      </c>
      <c r="B8574" s="2" t="s">
        <v>17681</v>
      </c>
      <c r="C8574" s="2" t="s">
        <v>16397</v>
      </c>
    </row>
    <row r="8575">
      <c r="A8575" s="2" t="s">
        <v>17682</v>
      </c>
      <c r="B8575" s="2" t="s">
        <v>17683</v>
      </c>
      <c r="C8575" s="2" t="s">
        <v>16397</v>
      </c>
    </row>
    <row r="8576">
      <c r="A8576" s="2" t="s">
        <v>17684</v>
      </c>
      <c r="B8576" s="2" t="s">
        <v>17685</v>
      </c>
      <c r="C8576" s="2" t="s">
        <v>16397</v>
      </c>
    </row>
    <row r="8577">
      <c r="A8577" s="2" t="s">
        <v>17686</v>
      </c>
      <c r="B8577" s="2" t="s">
        <v>17687</v>
      </c>
      <c r="C8577" s="2" t="s">
        <v>16397</v>
      </c>
    </row>
    <row r="8578">
      <c r="A8578" s="2" t="s">
        <v>17688</v>
      </c>
      <c r="B8578" s="2" t="s">
        <v>17689</v>
      </c>
      <c r="C8578" s="2" t="s">
        <v>16397</v>
      </c>
    </row>
    <row r="8579">
      <c r="A8579" s="2" t="s">
        <v>17690</v>
      </c>
      <c r="B8579" s="2" t="s">
        <v>17691</v>
      </c>
      <c r="C8579" s="2" t="s">
        <v>16397</v>
      </c>
    </row>
    <row r="8580">
      <c r="A8580" s="2" t="s">
        <v>17692</v>
      </c>
      <c r="B8580" s="2" t="s">
        <v>17693</v>
      </c>
      <c r="C8580" s="2" t="s">
        <v>16397</v>
      </c>
    </row>
    <row r="8581">
      <c r="A8581" s="2" t="s">
        <v>17694</v>
      </c>
      <c r="B8581" s="2" t="s">
        <v>17695</v>
      </c>
      <c r="C8581" s="2" t="s">
        <v>16397</v>
      </c>
    </row>
    <row r="8582">
      <c r="A8582" s="2" t="s">
        <v>17696</v>
      </c>
      <c r="B8582" s="2" t="s">
        <v>17697</v>
      </c>
      <c r="C8582" s="2" t="s">
        <v>16397</v>
      </c>
    </row>
    <row r="8583">
      <c r="A8583" s="2" t="s">
        <v>17698</v>
      </c>
      <c r="B8583" s="2" t="s">
        <v>17699</v>
      </c>
      <c r="C8583" s="2" t="s">
        <v>16397</v>
      </c>
    </row>
    <row r="8584">
      <c r="A8584" s="2" t="s">
        <v>17700</v>
      </c>
      <c r="B8584" s="2" t="s">
        <v>17701</v>
      </c>
      <c r="C8584" s="2" t="s">
        <v>16397</v>
      </c>
    </row>
    <row r="8585">
      <c r="A8585" s="2" t="s">
        <v>17702</v>
      </c>
      <c r="B8585" s="2" t="s">
        <v>17703</v>
      </c>
      <c r="C8585" s="2" t="s">
        <v>16397</v>
      </c>
    </row>
    <row r="8586">
      <c r="A8586" s="2" t="s">
        <v>17704</v>
      </c>
      <c r="B8586" s="2" t="s">
        <v>17705</v>
      </c>
      <c r="C8586" s="2" t="s">
        <v>16397</v>
      </c>
    </row>
    <row r="8587">
      <c r="A8587" s="2" t="s">
        <v>17706</v>
      </c>
      <c r="B8587" s="2" t="s">
        <v>17707</v>
      </c>
      <c r="C8587" s="2" t="s">
        <v>16397</v>
      </c>
    </row>
    <row r="8588">
      <c r="A8588" s="2" t="s">
        <v>17708</v>
      </c>
      <c r="B8588" s="2" t="s">
        <v>17709</v>
      </c>
      <c r="C8588" s="2" t="s">
        <v>16397</v>
      </c>
    </row>
    <row r="8589">
      <c r="A8589" s="2" t="s">
        <v>17710</v>
      </c>
      <c r="B8589" s="2" t="s">
        <v>17711</v>
      </c>
      <c r="C8589" s="2" t="s">
        <v>16397</v>
      </c>
    </row>
    <row r="8590">
      <c r="A8590" s="2" t="s">
        <v>17712</v>
      </c>
      <c r="B8590" s="2" t="s">
        <v>17713</v>
      </c>
      <c r="C8590" s="2" t="s">
        <v>16397</v>
      </c>
    </row>
    <row r="8591">
      <c r="A8591" s="2" t="s">
        <v>17714</v>
      </c>
      <c r="B8591" s="2" t="s">
        <v>17715</v>
      </c>
      <c r="C8591" s="2" t="s">
        <v>16397</v>
      </c>
    </row>
    <row r="8592">
      <c r="A8592" s="2" t="s">
        <v>17716</v>
      </c>
      <c r="B8592" s="2" t="s">
        <v>17717</v>
      </c>
      <c r="C8592" s="2" t="s">
        <v>16397</v>
      </c>
    </row>
    <row r="8593">
      <c r="A8593" s="2" t="s">
        <v>17718</v>
      </c>
      <c r="B8593" s="2" t="s">
        <v>17719</v>
      </c>
      <c r="C8593" s="2" t="s">
        <v>16397</v>
      </c>
    </row>
    <row r="8594">
      <c r="A8594" s="2" t="s">
        <v>17720</v>
      </c>
      <c r="B8594" s="2" t="s">
        <v>17721</v>
      </c>
      <c r="C8594" s="2" t="s">
        <v>16397</v>
      </c>
    </row>
    <row r="8595">
      <c r="A8595" s="2" t="s">
        <v>17722</v>
      </c>
      <c r="B8595" s="2" t="s">
        <v>17723</v>
      </c>
      <c r="C8595" s="2" t="s">
        <v>16397</v>
      </c>
    </row>
    <row r="8596">
      <c r="A8596" s="2" t="s">
        <v>17724</v>
      </c>
      <c r="B8596" s="2" t="s">
        <v>17725</v>
      </c>
      <c r="C8596" s="2" t="s">
        <v>16397</v>
      </c>
    </row>
    <row r="8597">
      <c r="A8597" s="2" t="s">
        <v>17726</v>
      </c>
      <c r="B8597" s="2" t="s">
        <v>17727</v>
      </c>
      <c r="C8597" s="2" t="s">
        <v>16397</v>
      </c>
    </row>
    <row r="8598">
      <c r="A8598" s="2" t="s">
        <v>17728</v>
      </c>
      <c r="B8598" s="2" t="s">
        <v>17729</v>
      </c>
      <c r="C8598" s="2" t="s">
        <v>16397</v>
      </c>
    </row>
    <row r="8599">
      <c r="A8599" s="2" t="s">
        <v>17730</v>
      </c>
      <c r="B8599" s="2" t="s">
        <v>17731</v>
      </c>
      <c r="C8599" s="2" t="s">
        <v>16397</v>
      </c>
    </row>
    <row r="8600">
      <c r="A8600" s="2" t="s">
        <v>17732</v>
      </c>
      <c r="B8600" s="2" t="s">
        <v>17733</v>
      </c>
      <c r="C8600" s="2" t="s">
        <v>16397</v>
      </c>
    </row>
    <row r="8601">
      <c r="A8601" s="2" t="s">
        <v>17734</v>
      </c>
      <c r="B8601" s="2" t="s">
        <v>17735</v>
      </c>
      <c r="C8601" s="2" t="s">
        <v>16397</v>
      </c>
    </row>
    <row r="8602">
      <c r="A8602" s="2" t="s">
        <v>17736</v>
      </c>
      <c r="B8602" s="2" t="s">
        <v>17737</v>
      </c>
      <c r="C8602" s="2" t="s">
        <v>16397</v>
      </c>
    </row>
    <row r="8603">
      <c r="A8603" s="2" t="s">
        <v>17738</v>
      </c>
      <c r="B8603" s="2" t="s">
        <v>17739</v>
      </c>
      <c r="C8603" s="2" t="s">
        <v>16397</v>
      </c>
    </row>
    <row r="8604">
      <c r="A8604" s="2" t="s">
        <v>17740</v>
      </c>
      <c r="B8604" s="2" t="s">
        <v>17741</v>
      </c>
      <c r="C8604" s="2" t="s">
        <v>16397</v>
      </c>
    </row>
    <row r="8605">
      <c r="A8605" s="2" t="s">
        <v>17742</v>
      </c>
      <c r="B8605" s="2" t="s">
        <v>17743</v>
      </c>
      <c r="C8605" s="2" t="s">
        <v>16397</v>
      </c>
    </row>
    <row r="8606">
      <c r="A8606" s="2" t="s">
        <v>17744</v>
      </c>
      <c r="B8606" s="2" t="s">
        <v>17745</v>
      </c>
      <c r="C8606" s="2" t="s">
        <v>16397</v>
      </c>
    </row>
    <row r="8607">
      <c r="A8607" s="2" t="s">
        <v>17746</v>
      </c>
      <c r="B8607" s="2" t="s">
        <v>17747</v>
      </c>
      <c r="C8607" s="2" t="s">
        <v>16397</v>
      </c>
    </row>
    <row r="8608">
      <c r="A8608" s="2" t="s">
        <v>17748</v>
      </c>
      <c r="B8608" s="2" t="s">
        <v>17749</v>
      </c>
      <c r="C8608" s="2" t="s">
        <v>16397</v>
      </c>
    </row>
    <row r="8609">
      <c r="A8609" s="2" t="s">
        <v>17750</v>
      </c>
      <c r="B8609" s="2" t="s">
        <v>17751</v>
      </c>
      <c r="C8609" s="2" t="s">
        <v>16397</v>
      </c>
    </row>
    <row r="8610">
      <c r="A8610" s="2" t="s">
        <v>17752</v>
      </c>
      <c r="B8610" s="2" t="s">
        <v>17753</v>
      </c>
      <c r="C8610" s="2" t="s">
        <v>16397</v>
      </c>
    </row>
    <row r="8611">
      <c r="A8611" s="2" t="s">
        <v>17754</v>
      </c>
      <c r="B8611" s="2" t="s">
        <v>17755</v>
      </c>
      <c r="C8611" s="2" t="s">
        <v>16397</v>
      </c>
    </row>
    <row r="8612">
      <c r="A8612" s="2" t="s">
        <v>17756</v>
      </c>
      <c r="B8612" s="2" t="s">
        <v>17757</v>
      </c>
      <c r="C8612" s="2" t="s">
        <v>16397</v>
      </c>
    </row>
    <row r="8613">
      <c r="A8613" s="2" t="s">
        <v>17758</v>
      </c>
      <c r="B8613" s="2" t="s">
        <v>17759</v>
      </c>
      <c r="C8613" s="2" t="s">
        <v>16397</v>
      </c>
    </row>
    <row r="8614">
      <c r="A8614" s="2" t="s">
        <v>17760</v>
      </c>
      <c r="B8614" s="2" t="s">
        <v>17761</v>
      </c>
      <c r="C8614" s="2" t="s">
        <v>16397</v>
      </c>
    </row>
    <row r="8615">
      <c r="A8615" s="2" t="s">
        <v>17762</v>
      </c>
      <c r="B8615" s="2" t="s">
        <v>17763</v>
      </c>
      <c r="C8615" s="2" t="s">
        <v>16397</v>
      </c>
    </row>
    <row r="8616">
      <c r="A8616" s="2" t="s">
        <v>17764</v>
      </c>
      <c r="B8616" s="2" t="s">
        <v>17765</v>
      </c>
      <c r="C8616" s="2" t="s">
        <v>16397</v>
      </c>
    </row>
    <row r="8617">
      <c r="A8617" s="2" t="s">
        <v>17766</v>
      </c>
      <c r="B8617" s="2" t="s">
        <v>17767</v>
      </c>
      <c r="C8617" s="2" t="s">
        <v>16397</v>
      </c>
    </row>
    <row r="8618">
      <c r="A8618" s="2" t="s">
        <v>17768</v>
      </c>
      <c r="B8618" s="2" t="s">
        <v>17769</v>
      </c>
      <c r="C8618" s="2" t="s">
        <v>16397</v>
      </c>
    </row>
    <row r="8619">
      <c r="A8619" s="2" t="s">
        <v>17770</v>
      </c>
      <c r="B8619" s="2" t="s">
        <v>17771</v>
      </c>
      <c r="C8619" s="2" t="s">
        <v>16397</v>
      </c>
    </row>
    <row r="8620">
      <c r="A8620" s="2" t="s">
        <v>17772</v>
      </c>
      <c r="B8620" s="2" t="s">
        <v>17773</v>
      </c>
      <c r="C8620" s="2" t="s">
        <v>16397</v>
      </c>
    </row>
    <row r="8621">
      <c r="A8621" s="2" t="s">
        <v>17774</v>
      </c>
      <c r="B8621" s="2" t="s">
        <v>17775</v>
      </c>
      <c r="C8621" s="2" t="s">
        <v>16397</v>
      </c>
    </row>
    <row r="8622">
      <c r="A8622" s="2" t="s">
        <v>17776</v>
      </c>
      <c r="B8622" s="2" t="s">
        <v>17777</v>
      </c>
      <c r="C8622" s="2" t="s">
        <v>16397</v>
      </c>
    </row>
    <row r="8623">
      <c r="A8623" s="2" t="s">
        <v>17778</v>
      </c>
      <c r="B8623" s="2" t="s">
        <v>17779</v>
      </c>
      <c r="C8623" s="2" t="s">
        <v>16397</v>
      </c>
    </row>
    <row r="8624">
      <c r="A8624" s="2" t="s">
        <v>17780</v>
      </c>
      <c r="B8624" s="2" t="s">
        <v>17781</v>
      </c>
      <c r="C8624" s="2" t="s">
        <v>16397</v>
      </c>
    </row>
    <row r="8625">
      <c r="A8625" s="2" t="s">
        <v>17782</v>
      </c>
      <c r="B8625" s="2" t="s">
        <v>17783</v>
      </c>
      <c r="C8625" s="2" t="s">
        <v>16397</v>
      </c>
    </row>
    <row r="8626">
      <c r="A8626" s="2" t="s">
        <v>17784</v>
      </c>
      <c r="B8626" s="2" t="s">
        <v>17785</v>
      </c>
      <c r="C8626" s="2" t="s">
        <v>16397</v>
      </c>
    </row>
    <row r="8627">
      <c r="A8627" s="2" t="s">
        <v>17786</v>
      </c>
      <c r="B8627" s="2" t="s">
        <v>17787</v>
      </c>
      <c r="C8627" s="2" t="s">
        <v>16397</v>
      </c>
    </row>
    <row r="8628">
      <c r="A8628" s="2" t="s">
        <v>17788</v>
      </c>
      <c r="B8628" s="2" t="s">
        <v>17789</v>
      </c>
      <c r="C8628" s="2" t="s">
        <v>16397</v>
      </c>
    </row>
    <row r="8629">
      <c r="A8629" s="2" t="s">
        <v>17790</v>
      </c>
      <c r="B8629" s="2" t="s">
        <v>17791</v>
      </c>
      <c r="C8629" s="2" t="s">
        <v>16397</v>
      </c>
    </row>
    <row r="8630">
      <c r="A8630" s="2" t="s">
        <v>17792</v>
      </c>
      <c r="B8630" s="2" t="s">
        <v>17793</v>
      </c>
      <c r="C8630" s="2" t="s">
        <v>16397</v>
      </c>
    </row>
    <row r="8631">
      <c r="A8631" s="2" t="s">
        <v>17794</v>
      </c>
      <c r="B8631" s="2" t="s">
        <v>17795</v>
      </c>
      <c r="C8631" s="2" t="s">
        <v>16397</v>
      </c>
    </row>
    <row r="8632">
      <c r="A8632" s="2" t="s">
        <v>17796</v>
      </c>
      <c r="B8632" s="2" t="s">
        <v>17797</v>
      </c>
      <c r="C8632" s="2" t="s">
        <v>16397</v>
      </c>
    </row>
    <row r="8633">
      <c r="A8633" s="2" t="s">
        <v>17798</v>
      </c>
      <c r="B8633" s="2" t="s">
        <v>17799</v>
      </c>
      <c r="C8633" s="2" t="s">
        <v>16397</v>
      </c>
    </row>
    <row r="8634">
      <c r="A8634" s="2" t="s">
        <v>17800</v>
      </c>
      <c r="B8634" s="2" t="s">
        <v>17801</v>
      </c>
      <c r="C8634" s="2" t="s">
        <v>16397</v>
      </c>
    </row>
    <row r="8635">
      <c r="A8635" s="2" t="s">
        <v>17802</v>
      </c>
      <c r="B8635" s="2" t="s">
        <v>17803</v>
      </c>
      <c r="C8635" s="2" t="s">
        <v>16397</v>
      </c>
    </row>
    <row r="8636">
      <c r="A8636" s="2" t="s">
        <v>17804</v>
      </c>
      <c r="B8636" s="2" t="s">
        <v>17805</v>
      </c>
      <c r="C8636" s="2" t="s">
        <v>16397</v>
      </c>
    </row>
    <row r="8637">
      <c r="A8637" s="2" t="s">
        <v>17806</v>
      </c>
      <c r="B8637" s="2" t="s">
        <v>17807</v>
      </c>
      <c r="C8637" s="2" t="s">
        <v>16397</v>
      </c>
    </row>
    <row r="8638">
      <c r="A8638" s="2" t="s">
        <v>17808</v>
      </c>
      <c r="B8638" s="2" t="s">
        <v>17809</v>
      </c>
      <c r="C8638" s="2" t="s">
        <v>16397</v>
      </c>
    </row>
    <row r="8639">
      <c r="A8639" s="2" t="s">
        <v>17810</v>
      </c>
      <c r="B8639" s="2" t="s">
        <v>17811</v>
      </c>
      <c r="C8639" s="2" t="s">
        <v>16397</v>
      </c>
    </row>
    <row r="8640">
      <c r="A8640" s="2" t="s">
        <v>17812</v>
      </c>
      <c r="B8640" s="2" t="s">
        <v>17813</v>
      </c>
      <c r="C8640" s="2" t="s">
        <v>16397</v>
      </c>
    </row>
    <row r="8641">
      <c r="A8641" s="2" t="s">
        <v>17814</v>
      </c>
      <c r="B8641" s="2" t="s">
        <v>17815</v>
      </c>
      <c r="C8641" s="2" t="s">
        <v>16397</v>
      </c>
    </row>
    <row r="8642">
      <c r="A8642" s="2" t="s">
        <v>17816</v>
      </c>
      <c r="B8642" s="2" t="s">
        <v>17817</v>
      </c>
      <c r="C8642" s="2" t="s">
        <v>16397</v>
      </c>
    </row>
    <row r="8643">
      <c r="A8643" s="2" t="s">
        <v>17818</v>
      </c>
      <c r="B8643" s="2" t="s">
        <v>17819</v>
      </c>
      <c r="C8643" s="2" t="s">
        <v>16397</v>
      </c>
    </row>
    <row r="8644">
      <c r="A8644" s="2" t="s">
        <v>17820</v>
      </c>
      <c r="B8644" s="2" t="s">
        <v>17821</v>
      </c>
      <c r="C8644" s="2" t="s">
        <v>16397</v>
      </c>
    </row>
    <row r="8645">
      <c r="A8645" s="2" t="s">
        <v>17822</v>
      </c>
      <c r="B8645" s="2" t="s">
        <v>17823</v>
      </c>
      <c r="C8645" s="2" t="s">
        <v>16397</v>
      </c>
    </row>
    <row r="8646">
      <c r="A8646" s="2" t="s">
        <v>17824</v>
      </c>
      <c r="B8646" s="2" t="s">
        <v>17825</v>
      </c>
      <c r="C8646" s="2" t="s">
        <v>16397</v>
      </c>
    </row>
    <row r="8647">
      <c r="A8647" s="2" t="s">
        <v>17826</v>
      </c>
      <c r="B8647" s="2" t="s">
        <v>17827</v>
      </c>
      <c r="C8647" s="2" t="s">
        <v>16397</v>
      </c>
    </row>
    <row r="8648">
      <c r="A8648" s="2" t="s">
        <v>17828</v>
      </c>
      <c r="B8648" s="2" t="s">
        <v>17829</v>
      </c>
      <c r="C8648" s="2" t="s">
        <v>16397</v>
      </c>
    </row>
    <row r="8649">
      <c r="A8649" s="2" t="s">
        <v>17830</v>
      </c>
      <c r="B8649" s="2" t="s">
        <v>17831</v>
      </c>
      <c r="C8649" s="2" t="s">
        <v>16397</v>
      </c>
    </row>
    <row r="8650">
      <c r="A8650" s="2" t="s">
        <v>17832</v>
      </c>
      <c r="B8650" s="2" t="s">
        <v>17833</v>
      </c>
      <c r="C8650" s="2" t="s">
        <v>16397</v>
      </c>
    </row>
    <row r="8651">
      <c r="A8651" s="2" t="s">
        <v>17834</v>
      </c>
      <c r="B8651" s="2" t="s">
        <v>17835</v>
      </c>
      <c r="C8651" s="2" t="s">
        <v>16397</v>
      </c>
    </row>
    <row r="8652">
      <c r="A8652" s="2" t="s">
        <v>17836</v>
      </c>
      <c r="B8652" s="2" t="s">
        <v>17837</v>
      </c>
      <c r="C8652" s="2" t="s">
        <v>16397</v>
      </c>
    </row>
    <row r="8653">
      <c r="A8653" s="2" t="s">
        <v>17838</v>
      </c>
      <c r="B8653" s="2" t="s">
        <v>17839</v>
      </c>
      <c r="C8653" s="2" t="s">
        <v>16397</v>
      </c>
    </row>
    <row r="8654">
      <c r="A8654" s="2" t="s">
        <v>17840</v>
      </c>
      <c r="B8654" s="2" t="s">
        <v>17841</v>
      </c>
      <c r="C8654" s="2" t="s">
        <v>16397</v>
      </c>
    </row>
    <row r="8655">
      <c r="A8655" s="2" t="s">
        <v>17842</v>
      </c>
      <c r="B8655" s="2" t="s">
        <v>17843</v>
      </c>
      <c r="C8655" s="2" t="s">
        <v>16397</v>
      </c>
    </row>
    <row r="8656">
      <c r="A8656" s="2" t="s">
        <v>17844</v>
      </c>
      <c r="B8656" s="2" t="s">
        <v>17845</v>
      </c>
      <c r="C8656" s="2" t="s">
        <v>16397</v>
      </c>
    </row>
    <row r="8657">
      <c r="A8657" s="2" t="s">
        <v>17846</v>
      </c>
      <c r="B8657" s="2" t="s">
        <v>17847</v>
      </c>
      <c r="C8657" s="2" t="s">
        <v>16397</v>
      </c>
    </row>
    <row r="8658">
      <c r="A8658" s="2" t="s">
        <v>17848</v>
      </c>
      <c r="B8658" s="2" t="s">
        <v>17849</v>
      </c>
      <c r="C8658" s="2" t="s">
        <v>16397</v>
      </c>
    </row>
    <row r="8659">
      <c r="A8659" s="2" t="s">
        <v>17850</v>
      </c>
      <c r="B8659" s="2" t="s">
        <v>17851</v>
      </c>
      <c r="C8659" s="2" t="s">
        <v>16397</v>
      </c>
    </row>
    <row r="8660">
      <c r="A8660" s="2" t="s">
        <v>17852</v>
      </c>
      <c r="B8660" s="2" t="s">
        <v>17853</v>
      </c>
      <c r="C8660" s="2" t="s">
        <v>16397</v>
      </c>
    </row>
    <row r="8661">
      <c r="A8661" s="2" t="s">
        <v>17854</v>
      </c>
      <c r="B8661" s="2" t="s">
        <v>17855</v>
      </c>
      <c r="C8661" s="2" t="s">
        <v>16397</v>
      </c>
    </row>
    <row r="8662">
      <c r="A8662" s="2" t="s">
        <v>17856</v>
      </c>
      <c r="B8662" s="2" t="s">
        <v>17857</v>
      </c>
      <c r="C8662" s="2" t="s">
        <v>16397</v>
      </c>
    </row>
    <row r="8663">
      <c r="A8663" s="2" t="s">
        <v>17858</v>
      </c>
      <c r="B8663" s="2" t="s">
        <v>17859</v>
      </c>
      <c r="C8663" s="2" t="s">
        <v>16397</v>
      </c>
    </row>
    <row r="8664">
      <c r="A8664" s="2" t="s">
        <v>17860</v>
      </c>
      <c r="B8664" s="2" t="s">
        <v>17861</v>
      </c>
      <c r="C8664" s="2" t="s">
        <v>16397</v>
      </c>
    </row>
    <row r="8665">
      <c r="A8665" s="2" t="s">
        <v>17862</v>
      </c>
      <c r="B8665" s="2" t="s">
        <v>17863</v>
      </c>
      <c r="C8665" s="2" t="s">
        <v>16397</v>
      </c>
    </row>
    <row r="8666">
      <c r="A8666" s="2" t="s">
        <v>17864</v>
      </c>
      <c r="B8666" s="2" t="s">
        <v>17865</v>
      </c>
      <c r="C8666" s="2" t="s">
        <v>16397</v>
      </c>
    </row>
    <row r="8667">
      <c r="A8667" s="2" t="s">
        <v>17866</v>
      </c>
      <c r="B8667" s="2" t="s">
        <v>17867</v>
      </c>
      <c r="C8667" s="2" t="s">
        <v>16397</v>
      </c>
    </row>
    <row r="8668">
      <c r="A8668" s="2" t="s">
        <v>17868</v>
      </c>
      <c r="B8668" s="2" t="s">
        <v>17869</v>
      </c>
      <c r="C8668" s="2" t="s">
        <v>16397</v>
      </c>
    </row>
    <row r="8669">
      <c r="A8669" s="2" t="s">
        <v>17870</v>
      </c>
      <c r="B8669" s="2" t="s">
        <v>17871</v>
      </c>
      <c r="C8669" s="2" t="s">
        <v>16397</v>
      </c>
    </row>
    <row r="8670">
      <c r="A8670" s="2" t="s">
        <v>17872</v>
      </c>
      <c r="B8670" s="2" t="s">
        <v>17873</v>
      </c>
      <c r="C8670" s="2" t="s">
        <v>16397</v>
      </c>
    </row>
    <row r="8671">
      <c r="A8671" s="2" t="s">
        <v>17874</v>
      </c>
      <c r="B8671" s="2" t="s">
        <v>17875</v>
      </c>
      <c r="C8671" s="2" t="s">
        <v>16397</v>
      </c>
    </row>
    <row r="8672">
      <c r="A8672" s="2" t="s">
        <v>17876</v>
      </c>
      <c r="B8672" s="2" t="s">
        <v>17877</v>
      </c>
      <c r="C8672" s="2" t="s">
        <v>16397</v>
      </c>
    </row>
    <row r="8673">
      <c r="A8673" s="2" t="s">
        <v>17878</v>
      </c>
      <c r="B8673" s="2" t="s">
        <v>17879</v>
      </c>
      <c r="C8673" s="2" t="s">
        <v>16397</v>
      </c>
    </row>
    <row r="8674">
      <c r="A8674" s="2" t="s">
        <v>17880</v>
      </c>
      <c r="B8674" s="2" t="s">
        <v>17881</v>
      </c>
      <c r="C8674" s="2" t="s">
        <v>16397</v>
      </c>
    </row>
    <row r="8675">
      <c r="A8675" s="2" t="s">
        <v>17882</v>
      </c>
      <c r="B8675" s="2" t="s">
        <v>17883</v>
      </c>
      <c r="C8675" s="2" t="s">
        <v>16397</v>
      </c>
    </row>
    <row r="8676">
      <c r="A8676" s="2" t="s">
        <v>17884</v>
      </c>
      <c r="B8676" s="2" t="s">
        <v>17885</v>
      </c>
      <c r="C8676" s="2" t="s">
        <v>16397</v>
      </c>
    </row>
    <row r="8677">
      <c r="A8677" s="2" t="s">
        <v>17886</v>
      </c>
      <c r="B8677" s="2" t="s">
        <v>17887</v>
      </c>
      <c r="C8677" s="2" t="s">
        <v>16397</v>
      </c>
    </row>
    <row r="8678">
      <c r="A8678" s="2" t="s">
        <v>17888</v>
      </c>
      <c r="B8678" s="2" t="s">
        <v>17889</v>
      </c>
      <c r="C8678" s="2" t="s">
        <v>16397</v>
      </c>
    </row>
    <row r="8679">
      <c r="A8679" s="2" t="s">
        <v>17890</v>
      </c>
      <c r="B8679" s="2" t="s">
        <v>17891</v>
      </c>
      <c r="C8679" s="2" t="s">
        <v>16397</v>
      </c>
    </row>
    <row r="8680">
      <c r="A8680" s="2" t="s">
        <v>17892</v>
      </c>
      <c r="B8680" s="2" t="s">
        <v>17893</v>
      </c>
      <c r="C8680" s="2" t="s">
        <v>16397</v>
      </c>
    </row>
    <row r="8681">
      <c r="A8681" s="2" t="s">
        <v>17894</v>
      </c>
      <c r="B8681" s="2" t="s">
        <v>17895</v>
      </c>
      <c r="C8681" s="2" t="s">
        <v>16397</v>
      </c>
    </row>
    <row r="8682">
      <c r="A8682" s="2" t="s">
        <v>17896</v>
      </c>
      <c r="B8682" s="2" t="s">
        <v>17897</v>
      </c>
      <c r="C8682" s="2" t="s">
        <v>16397</v>
      </c>
    </row>
    <row r="8683">
      <c r="A8683" s="2" t="s">
        <v>17898</v>
      </c>
      <c r="B8683" s="2" t="s">
        <v>17899</v>
      </c>
      <c r="C8683" s="2" t="s">
        <v>16397</v>
      </c>
    </row>
    <row r="8684">
      <c r="A8684" s="2" t="s">
        <v>17900</v>
      </c>
      <c r="B8684" s="2" t="s">
        <v>17901</v>
      </c>
      <c r="C8684" s="2" t="s">
        <v>16397</v>
      </c>
    </row>
    <row r="8685">
      <c r="A8685" s="2" t="s">
        <v>17902</v>
      </c>
      <c r="B8685" s="2" t="s">
        <v>17903</v>
      </c>
      <c r="C8685" s="2" t="s">
        <v>16397</v>
      </c>
    </row>
    <row r="8686">
      <c r="A8686" s="2" t="s">
        <v>17904</v>
      </c>
      <c r="B8686" s="2" t="s">
        <v>17905</v>
      </c>
      <c r="C8686" s="2" t="s">
        <v>16397</v>
      </c>
    </row>
    <row r="8687">
      <c r="A8687" s="2" t="s">
        <v>17906</v>
      </c>
      <c r="B8687" s="2" t="s">
        <v>17907</v>
      </c>
      <c r="C8687" s="2" t="s">
        <v>16397</v>
      </c>
    </row>
    <row r="8688">
      <c r="A8688" s="2" t="s">
        <v>17908</v>
      </c>
      <c r="B8688" s="2" t="s">
        <v>17909</v>
      </c>
      <c r="C8688" s="2" t="s">
        <v>16397</v>
      </c>
    </row>
    <row r="8689">
      <c r="A8689" s="2" t="s">
        <v>17910</v>
      </c>
      <c r="B8689" s="2" t="s">
        <v>17911</v>
      </c>
      <c r="C8689" s="2" t="s">
        <v>16397</v>
      </c>
    </row>
    <row r="8690">
      <c r="A8690" s="2" t="s">
        <v>17912</v>
      </c>
      <c r="B8690" s="2" t="s">
        <v>17913</v>
      </c>
      <c r="C8690" s="2" t="s">
        <v>16397</v>
      </c>
    </row>
    <row r="8691">
      <c r="A8691" s="2" t="s">
        <v>17914</v>
      </c>
      <c r="B8691" s="2" t="s">
        <v>17915</v>
      </c>
      <c r="C8691" s="2" t="s">
        <v>16397</v>
      </c>
    </row>
    <row r="8692">
      <c r="A8692" s="2" t="s">
        <v>17916</v>
      </c>
      <c r="B8692" s="2" t="s">
        <v>17917</v>
      </c>
      <c r="C8692" s="2" t="s">
        <v>16397</v>
      </c>
    </row>
    <row r="8693">
      <c r="A8693" s="2" t="s">
        <v>17918</v>
      </c>
      <c r="B8693" s="2" t="s">
        <v>17919</v>
      </c>
      <c r="C8693" s="2" t="s">
        <v>16397</v>
      </c>
    </row>
    <row r="8694">
      <c r="A8694" s="2" t="s">
        <v>17920</v>
      </c>
      <c r="B8694" s="2" t="s">
        <v>17921</v>
      </c>
      <c r="C8694" s="2" t="s">
        <v>16397</v>
      </c>
    </row>
    <row r="8695">
      <c r="A8695" s="2" t="s">
        <v>17922</v>
      </c>
      <c r="B8695" s="2" t="s">
        <v>17923</v>
      </c>
      <c r="C8695" s="2" t="s">
        <v>16397</v>
      </c>
    </row>
    <row r="8696">
      <c r="A8696" s="2" t="s">
        <v>17924</v>
      </c>
      <c r="B8696" s="2" t="s">
        <v>17925</v>
      </c>
      <c r="C8696" s="2" t="s">
        <v>16397</v>
      </c>
    </row>
    <row r="8697">
      <c r="A8697" s="2" t="s">
        <v>17926</v>
      </c>
      <c r="B8697" s="2" t="s">
        <v>17927</v>
      </c>
      <c r="C8697" s="2" t="s">
        <v>16397</v>
      </c>
    </row>
    <row r="8698">
      <c r="A8698" s="2" t="s">
        <v>17928</v>
      </c>
      <c r="B8698" s="2" t="s">
        <v>17929</v>
      </c>
      <c r="C8698" s="2" t="s">
        <v>16397</v>
      </c>
    </row>
    <row r="8699">
      <c r="A8699" s="2" t="s">
        <v>17930</v>
      </c>
      <c r="B8699" s="2" t="s">
        <v>17931</v>
      </c>
      <c r="C8699" s="2" t="s">
        <v>16397</v>
      </c>
    </row>
    <row r="8700">
      <c r="A8700" s="2" t="s">
        <v>17932</v>
      </c>
      <c r="B8700" s="2" t="s">
        <v>17933</v>
      </c>
      <c r="C8700" s="2" t="s">
        <v>16397</v>
      </c>
    </row>
    <row r="8701">
      <c r="A8701" s="2" t="s">
        <v>17934</v>
      </c>
      <c r="B8701" s="2" t="s">
        <v>17935</v>
      </c>
      <c r="C8701" s="2" t="s">
        <v>16397</v>
      </c>
    </row>
    <row r="8702">
      <c r="A8702" s="2" t="s">
        <v>17936</v>
      </c>
      <c r="B8702" s="2" t="s">
        <v>17937</v>
      </c>
      <c r="C8702" s="2" t="s">
        <v>16397</v>
      </c>
    </row>
    <row r="8703">
      <c r="A8703" s="2" t="s">
        <v>17938</v>
      </c>
      <c r="B8703" s="2" t="s">
        <v>17937</v>
      </c>
      <c r="C8703" s="2" t="s">
        <v>16397</v>
      </c>
    </row>
    <row r="8704">
      <c r="A8704" s="2" t="s">
        <v>17939</v>
      </c>
      <c r="B8704" s="2" t="s">
        <v>17940</v>
      </c>
      <c r="C8704" s="2" t="s">
        <v>16397</v>
      </c>
    </row>
    <row r="8705">
      <c r="A8705" s="2" t="s">
        <v>17941</v>
      </c>
      <c r="B8705" s="2" t="s">
        <v>17942</v>
      </c>
      <c r="C8705" s="2" t="s">
        <v>16397</v>
      </c>
    </row>
    <row r="8706">
      <c r="A8706" s="2" t="s">
        <v>17943</v>
      </c>
      <c r="B8706" s="2" t="s">
        <v>17944</v>
      </c>
      <c r="C8706" s="2" t="s">
        <v>16397</v>
      </c>
    </row>
    <row r="8707">
      <c r="A8707" s="2" t="s">
        <v>17945</v>
      </c>
      <c r="B8707" s="2" t="s">
        <v>17944</v>
      </c>
      <c r="C8707" s="2" t="s">
        <v>16397</v>
      </c>
    </row>
    <row r="8708">
      <c r="A8708" s="2" t="s">
        <v>17946</v>
      </c>
      <c r="B8708" s="2" t="s">
        <v>17947</v>
      </c>
      <c r="C8708" s="2" t="s">
        <v>16397</v>
      </c>
    </row>
    <row r="8709">
      <c r="A8709" s="2" t="s">
        <v>17948</v>
      </c>
      <c r="B8709" s="2" t="s">
        <v>17949</v>
      </c>
      <c r="C8709" s="2" t="s">
        <v>16397</v>
      </c>
    </row>
    <row r="8710">
      <c r="A8710" s="2" t="s">
        <v>17950</v>
      </c>
      <c r="B8710" s="2" t="s">
        <v>17951</v>
      </c>
      <c r="C8710" s="2" t="s">
        <v>16397</v>
      </c>
    </row>
    <row r="8711">
      <c r="A8711" s="2" t="s">
        <v>17952</v>
      </c>
      <c r="B8711" s="2" t="s">
        <v>17953</v>
      </c>
      <c r="C8711" s="2" t="s">
        <v>16397</v>
      </c>
    </row>
    <row r="8712">
      <c r="A8712" s="2" t="s">
        <v>17954</v>
      </c>
      <c r="B8712" s="2" t="s">
        <v>17955</v>
      </c>
      <c r="C8712" s="2" t="s">
        <v>16397</v>
      </c>
    </row>
    <row r="8713">
      <c r="A8713" s="2" t="s">
        <v>17956</v>
      </c>
      <c r="B8713" s="2" t="s">
        <v>17957</v>
      </c>
      <c r="C8713" s="2" t="s">
        <v>16397</v>
      </c>
    </row>
    <row r="8714">
      <c r="A8714" s="2" t="s">
        <v>17958</v>
      </c>
      <c r="B8714" s="2" t="s">
        <v>17959</v>
      </c>
      <c r="C8714" s="2" t="s">
        <v>16397</v>
      </c>
    </row>
    <row r="8715">
      <c r="A8715" s="2" t="s">
        <v>17960</v>
      </c>
      <c r="B8715" s="2" t="s">
        <v>17961</v>
      </c>
      <c r="C8715" s="2" t="s">
        <v>16397</v>
      </c>
    </row>
    <row r="8716">
      <c r="A8716" s="2" t="s">
        <v>17962</v>
      </c>
      <c r="B8716" s="2" t="s">
        <v>17963</v>
      </c>
      <c r="C8716" s="2" t="s">
        <v>16397</v>
      </c>
    </row>
    <row r="8717">
      <c r="A8717" s="2" t="s">
        <v>17964</v>
      </c>
      <c r="B8717" s="2" t="s">
        <v>17965</v>
      </c>
      <c r="C8717" s="2" t="s">
        <v>16397</v>
      </c>
    </row>
    <row r="8718">
      <c r="A8718" s="2" t="s">
        <v>17966</v>
      </c>
      <c r="B8718" s="2" t="s">
        <v>17967</v>
      </c>
      <c r="C8718" s="2" t="s">
        <v>16397</v>
      </c>
    </row>
    <row r="8719">
      <c r="A8719" s="2" t="s">
        <v>17968</v>
      </c>
      <c r="B8719" s="2" t="s">
        <v>17969</v>
      </c>
      <c r="C8719" s="2" t="s">
        <v>16397</v>
      </c>
    </row>
    <row r="8720">
      <c r="A8720" s="2" t="s">
        <v>17970</v>
      </c>
      <c r="B8720" s="2" t="s">
        <v>17971</v>
      </c>
      <c r="C8720" s="2" t="s">
        <v>16397</v>
      </c>
    </row>
    <row r="8721">
      <c r="A8721" s="2" t="s">
        <v>17972</v>
      </c>
      <c r="B8721" s="2" t="s">
        <v>17973</v>
      </c>
      <c r="C8721" s="2" t="s">
        <v>16397</v>
      </c>
    </row>
    <row r="8722">
      <c r="A8722" s="2" t="s">
        <v>17974</v>
      </c>
      <c r="B8722" s="2" t="s">
        <v>17975</v>
      </c>
      <c r="C8722" s="2" t="s">
        <v>16397</v>
      </c>
    </row>
    <row r="8723">
      <c r="A8723" s="2" t="s">
        <v>17976</v>
      </c>
      <c r="B8723" s="2" t="s">
        <v>17977</v>
      </c>
      <c r="C8723" s="2" t="s">
        <v>16397</v>
      </c>
    </row>
    <row r="8724">
      <c r="A8724" s="2" t="s">
        <v>17978</v>
      </c>
      <c r="B8724" s="2" t="s">
        <v>17979</v>
      </c>
      <c r="C8724" s="2" t="s">
        <v>16397</v>
      </c>
    </row>
    <row r="8725">
      <c r="A8725" s="2" t="s">
        <v>17980</v>
      </c>
      <c r="B8725" s="2" t="s">
        <v>17979</v>
      </c>
      <c r="C8725" s="2" t="s">
        <v>16397</v>
      </c>
    </row>
    <row r="8726">
      <c r="A8726" s="2" t="s">
        <v>17981</v>
      </c>
      <c r="B8726" s="2" t="s">
        <v>17979</v>
      </c>
      <c r="C8726" s="2" t="s">
        <v>16397</v>
      </c>
    </row>
    <row r="8727">
      <c r="A8727" s="2" t="s">
        <v>17982</v>
      </c>
      <c r="B8727" s="2" t="s">
        <v>17979</v>
      </c>
      <c r="C8727" s="2" t="s">
        <v>16397</v>
      </c>
    </row>
    <row r="8728">
      <c r="A8728" s="2" t="s">
        <v>17983</v>
      </c>
      <c r="B8728" s="2" t="s">
        <v>17979</v>
      </c>
      <c r="C8728" s="2" t="s">
        <v>16397</v>
      </c>
    </row>
    <row r="8729">
      <c r="A8729" s="2" t="s">
        <v>17984</v>
      </c>
      <c r="B8729" s="2" t="s">
        <v>17979</v>
      </c>
      <c r="C8729" s="2" t="s">
        <v>16397</v>
      </c>
    </row>
    <row r="8730">
      <c r="A8730" s="2" t="s">
        <v>17985</v>
      </c>
      <c r="B8730" s="2" t="s">
        <v>17979</v>
      </c>
      <c r="C8730" s="2" t="s">
        <v>16397</v>
      </c>
    </row>
    <row r="8731">
      <c r="A8731" s="2" t="s">
        <v>17986</v>
      </c>
      <c r="B8731" s="2" t="s">
        <v>17979</v>
      </c>
      <c r="C8731" s="2" t="s">
        <v>16397</v>
      </c>
    </row>
    <row r="8732">
      <c r="A8732" s="2" t="s">
        <v>17987</v>
      </c>
      <c r="B8732" s="2" t="s">
        <v>17979</v>
      </c>
      <c r="C8732" s="2" t="s">
        <v>16397</v>
      </c>
    </row>
    <row r="8733">
      <c r="A8733" s="2" t="s">
        <v>17988</v>
      </c>
      <c r="B8733" s="2" t="s">
        <v>17979</v>
      </c>
      <c r="C8733" s="2" t="s">
        <v>16397</v>
      </c>
    </row>
    <row r="8734">
      <c r="A8734" s="2" t="s">
        <v>17989</v>
      </c>
      <c r="B8734" s="2" t="s">
        <v>17990</v>
      </c>
      <c r="C8734" s="2" t="s">
        <v>16397</v>
      </c>
    </row>
    <row r="8735">
      <c r="A8735" s="2" t="s">
        <v>17991</v>
      </c>
      <c r="B8735" s="2" t="s">
        <v>17992</v>
      </c>
      <c r="C8735" s="2" t="s">
        <v>16397</v>
      </c>
    </row>
    <row r="8736">
      <c r="A8736" s="2" t="s">
        <v>17993</v>
      </c>
      <c r="B8736" s="2" t="s">
        <v>17994</v>
      </c>
      <c r="C8736" s="2" t="s">
        <v>16397</v>
      </c>
    </row>
    <row r="8737">
      <c r="A8737" s="2" t="s">
        <v>17995</v>
      </c>
      <c r="B8737" s="2" t="s">
        <v>17996</v>
      </c>
      <c r="C8737" s="2" t="s">
        <v>16397</v>
      </c>
    </row>
    <row r="8738">
      <c r="A8738" s="2" t="s">
        <v>17997</v>
      </c>
      <c r="B8738" s="2" t="s">
        <v>17998</v>
      </c>
      <c r="C8738" s="2" t="s">
        <v>16397</v>
      </c>
    </row>
    <row r="8739">
      <c r="A8739" s="2" t="s">
        <v>17999</v>
      </c>
      <c r="B8739" s="2" t="s">
        <v>18000</v>
      </c>
      <c r="C8739" s="2" t="s">
        <v>16397</v>
      </c>
    </row>
    <row r="8740">
      <c r="A8740" s="2" t="s">
        <v>18001</v>
      </c>
      <c r="B8740" s="2" t="s">
        <v>18002</v>
      </c>
      <c r="C8740" s="2" t="s">
        <v>16397</v>
      </c>
    </row>
    <row r="8741">
      <c r="A8741" s="2" t="s">
        <v>18003</v>
      </c>
      <c r="B8741" s="2" t="s">
        <v>18004</v>
      </c>
      <c r="C8741" s="2" t="s">
        <v>16397</v>
      </c>
    </row>
    <row r="8742">
      <c r="A8742" s="2" t="s">
        <v>18005</v>
      </c>
      <c r="B8742" s="2" t="s">
        <v>18006</v>
      </c>
      <c r="C8742" s="2" t="s">
        <v>16397</v>
      </c>
    </row>
    <row r="8743">
      <c r="A8743" s="2" t="s">
        <v>18007</v>
      </c>
      <c r="B8743" s="2" t="s">
        <v>18008</v>
      </c>
      <c r="C8743" s="2" t="s">
        <v>16397</v>
      </c>
    </row>
    <row r="8744">
      <c r="A8744" s="2" t="s">
        <v>18009</v>
      </c>
      <c r="B8744" s="2" t="s">
        <v>18010</v>
      </c>
      <c r="C8744" s="2" t="s">
        <v>16397</v>
      </c>
    </row>
    <row r="8745">
      <c r="A8745" s="2" t="s">
        <v>18011</v>
      </c>
      <c r="B8745" s="2" t="s">
        <v>18012</v>
      </c>
      <c r="C8745" s="2" t="s">
        <v>16397</v>
      </c>
    </row>
    <row r="8746">
      <c r="A8746" s="2" t="s">
        <v>18013</v>
      </c>
      <c r="B8746" s="2" t="s">
        <v>18014</v>
      </c>
      <c r="C8746" s="2" t="s">
        <v>16397</v>
      </c>
    </row>
    <row r="8747">
      <c r="A8747" s="2" t="s">
        <v>18015</v>
      </c>
      <c r="B8747" s="2" t="s">
        <v>18016</v>
      </c>
      <c r="C8747" s="2" t="s">
        <v>16397</v>
      </c>
    </row>
    <row r="8748">
      <c r="A8748" s="2" t="s">
        <v>18017</v>
      </c>
      <c r="B8748" s="2" t="s">
        <v>18018</v>
      </c>
      <c r="C8748" s="2" t="s">
        <v>16397</v>
      </c>
    </row>
    <row r="8749">
      <c r="A8749" s="2" t="s">
        <v>18019</v>
      </c>
      <c r="B8749" s="2" t="s">
        <v>18020</v>
      </c>
      <c r="C8749" s="2" t="s">
        <v>16397</v>
      </c>
    </row>
    <row r="8750">
      <c r="A8750" s="2" t="s">
        <v>18021</v>
      </c>
      <c r="B8750" s="2" t="s">
        <v>18022</v>
      </c>
      <c r="C8750" s="2" t="s">
        <v>16397</v>
      </c>
    </row>
    <row r="8751">
      <c r="A8751" s="2" t="s">
        <v>18023</v>
      </c>
      <c r="B8751" s="2" t="s">
        <v>18024</v>
      </c>
      <c r="C8751" s="2" t="s">
        <v>16397</v>
      </c>
    </row>
    <row r="8752">
      <c r="A8752" s="2" t="s">
        <v>18025</v>
      </c>
      <c r="B8752" s="2" t="s">
        <v>18026</v>
      </c>
      <c r="C8752" s="2" t="s">
        <v>16397</v>
      </c>
    </row>
    <row r="8753">
      <c r="A8753" s="2" t="s">
        <v>18027</v>
      </c>
      <c r="B8753" s="2" t="s">
        <v>18028</v>
      </c>
      <c r="C8753" s="2" t="s">
        <v>16397</v>
      </c>
    </row>
    <row r="8754">
      <c r="A8754" s="2" t="s">
        <v>18029</v>
      </c>
      <c r="B8754" s="2" t="s">
        <v>18030</v>
      </c>
      <c r="C8754" s="2" t="s">
        <v>16397</v>
      </c>
    </row>
    <row r="8755">
      <c r="A8755" s="2" t="s">
        <v>18031</v>
      </c>
      <c r="B8755" s="2" t="s">
        <v>18030</v>
      </c>
      <c r="C8755" s="2" t="s">
        <v>16397</v>
      </c>
    </row>
    <row r="8756">
      <c r="A8756" s="2" t="s">
        <v>18032</v>
      </c>
      <c r="B8756" s="2" t="s">
        <v>18033</v>
      </c>
      <c r="C8756" s="2" t="s">
        <v>16397</v>
      </c>
    </row>
    <row r="8757">
      <c r="A8757" s="2" t="s">
        <v>18034</v>
      </c>
      <c r="B8757" s="2" t="s">
        <v>18035</v>
      </c>
      <c r="C8757" s="2" t="s">
        <v>16397</v>
      </c>
    </row>
    <row r="8758">
      <c r="A8758" s="2" t="s">
        <v>18036</v>
      </c>
      <c r="B8758" s="2" t="s">
        <v>18037</v>
      </c>
      <c r="C8758" s="2" t="s">
        <v>16397</v>
      </c>
    </row>
    <row r="8759">
      <c r="A8759" s="2" t="s">
        <v>18038</v>
      </c>
      <c r="B8759" s="2" t="s">
        <v>18039</v>
      </c>
      <c r="C8759" s="2" t="s">
        <v>16397</v>
      </c>
    </row>
    <row r="8760">
      <c r="A8760" s="2" t="s">
        <v>18040</v>
      </c>
      <c r="B8760" s="2" t="s">
        <v>18041</v>
      </c>
      <c r="C8760" s="2" t="s">
        <v>16397</v>
      </c>
    </row>
    <row r="8761">
      <c r="A8761" s="2" t="s">
        <v>18042</v>
      </c>
      <c r="B8761" s="2" t="s">
        <v>18043</v>
      </c>
      <c r="C8761" s="2" t="s">
        <v>16397</v>
      </c>
    </row>
    <row r="8762">
      <c r="A8762" s="2" t="s">
        <v>18044</v>
      </c>
      <c r="B8762" s="2" t="s">
        <v>18045</v>
      </c>
      <c r="C8762" s="2" t="s">
        <v>16397</v>
      </c>
    </row>
    <row r="8763">
      <c r="A8763" s="2" t="s">
        <v>18046</v>
      </c>
      <c r="B8763" s="2" t="s">
        <v>18045</v>
      </c>
      <c r="C8763" s="2" t="s">
        <v>16397</v>
      </c>
    </row>
    <row r="8764">
      <c r="A8764" s="2" t="s">
        <v>18047</v>
      </c>
      <c r="B8764" s="2" t="s">
        <v>18045</v>
      </c>
      <c r="C8764" s="2" t="s">
        <v>16397</v>
      </c>
    </row>
    <row r="8765">
      <c r="A8765" s="2" t="s">
        <v>18048</v>
      </c>
      <c r="B8765" s="2" t="s">
        <v>18049</v>
      </c>
      <c r="C8765" s="2" t="s">
        <v>16397</v>
      </c>
    </row>
    <row r="8766">
      <c r="A8766" s="2" t="s">
        <v>18050</v>
      </c>
      <c r="B8766" s="2" t="s">
        <v>18051</v>
      </c>
      <c r="C8766" s="2" t="s">
        <v>16397</v>
      </c>
    </row>
    <row r="8767">
      <c r="A8767" s="2" t="s">
        <v>18052</v>
      </c>
      <c r="B8767" s="2" t="s">
        <v>18053</v>
      </c>
      <c r="C8767" s="2" t="s">
        <v>16397</v>
      </c>
    </row>
    <row r="8768">
      <c r="A8768" s="2" t="s">
        <v>18054</v>
      </c>
      <c r="B8768" s="2" t="s">
        <v>18055</v>
      </c>
      <c r="C8768" s="2" t="s">
        <v>16397</v>
      </c>
    </row>
    <row r="8769">
      <c r="A8769" s="2" t="s">
        <v>18056</v>
      </c>
      <c r="B8769" s="2" t="s">
        <v>18057</v>
      </c>
      <c r="C8769" s="2" t="s">
        <v>16397</v>
      </c>
    </row>
    <row r="8770">
      <c r="A8770" s="2" t="s">
        <v>18058</v>
      </c>
      <c r="B8770" s="2" t="s">
        <v>18059</v>
      </c>
      <c r="C8770" s="2" t="s">
        <v>16397</v>
      </c>
    </row>
    <row r="8771">
      <c r="A8771" s="2" t="s">
        <v>18060</v>
      </c>
      <c r="B8771" s="2" t="s">
        <v>18061</v>
      </c>
      <c r="C8771" s="2" t="s">
        <v>16397</v>
      </c>
    </row>
    <row r="8772">
      <c r="A8772" s="2" t="s">
        <v>18062</v>
      </c>
      <c r="B8772" s="2" t="s">
        <v>18063</v>
      </c>
      <c r="C8772" s="2" t="s">
        <v>16397</v>
      </c>
    </row>
    <row r="8773">
      <c r="A8773" s="2" t="s">
        <v>18064</v>
      </c>
      <c r="B8773" s="2" t="s">
        <v>18065</v>
      </c>
      <c r="C8773" s="2" t="s">
        <v>16397</v>
      </c>
    </row>
    <row r="8774">
      <c r="A8774" s="2" t="s">
        <v>18066</v>
      </c>
      <c r="B8774" s="2" t="s">
        <v>18067</v>
      </c>
      <c r="C8774" s="2" t="s">
        <v>16397</v>
      </c>
    </row>
    <row r="8775">
      <c r="A8775" s="2" t="s">
        <v>18068</v>
      </c>
      <c r="B8775" s="2" t="s">
        <v>18069</v>
      </c>
      <c r="C8775" s="2" t="s">
        <v>16397</v>
      </c>
    </row>
    <row r="8776">
      <c r="A8776" s="2" t="s">
        <v>18070</v>
      </c>
      <c r="B8776" s="2" t="s">
        <v>18069</v>
      </c>
      <c r="C8776" s="2" t="s">
        <v>16397</v>
      </c>
    </row>
    <row r="8777">
      <c r="A8777" s="2" t="s">
        <v>18071</v>
      </c>
      <c r="B8777" s="2" t="s">
        <v>18072</v>
      </c>
      <c r="C8777" s="2" t="s">
        <v>16397</v>
      </c>
    </row>
    <row r="8778">
      <c r="A8778" s="2" t="s">
        <v>18073</v>
      </c>
      <c r="B8778" s="2" t="s">
        <v>18074</v>
      </c>
      <c r="C8778" s="2" t="s">
        <v>16397</v>
      </c>
    </row>
    <row r="8779">
      <c r="A8779" s="2" t="s">
        <v>18075</v>
      </c>
      <c r="B8779" s="2" t="s">
        <v>18076</v>
      </c>
      <c r="C8779" s="2" t="s">
        <v>16397</v>
      </c>
    </row>
    <row r="8780">
      <c r="A8780" s="2" t="s">
        <v>18077</v>
      </c>
      <c r="B8780" s="2" t="s">
        <v>18076</v>
      </c>
      <c r="C8780" s="2" t="s">
        <v>16397</v>
      </c>
    </row>
    <row r="8781">
      <c r="A8781" s="2" t="s">
        <v>18078</v>
      </c>
      <c r="B8781" s="2" t="s">
        <v>18076</v>
      </c>
      <c r="C8781" s="2" t="s">
        <v>16397</v>
      </c>
    </row>
    <row r="8782">
      <c r="A8782" s="2" t="s">
        <v>18079</v>
      </c>
      <c r="B8782" s="2" t="s">
        <v>18076</v>
      </c>
      <c r="C8782" s="2" t="s">
        <v>16397</v>
      </c>
    </row>
    <row r="8783">
      <c r="A8783" s="2" t="s">
        <v>18080</v>
      </c>
      <c r="B8783" s="2" t="s">
        <v>18076</v>
      </c>
      <c r="C8783" s="2" t="s">
        <v>16397</v>
      </c>
    </row>
    <row r="8784">
      <c r="A8784" s="2" t="s">
        <v>18081</v>
      </c>
      <c r="B8784" s="2" t="s">
        <v>18076</v>
      </c>
      <c r="C8784" s="2" t="s">
        <v>16397</v>
      </c>
    </row>
    <row r="8785">
      <c r="A8785" s="2" t="s">
        <v>18082</v>
      </c>
      <c r="B8785" s="2" t="s">
        <v>18083</v>
      </c>
      <c r="C8785" s="2" t="s">
        <v>16397</v>
      </c>
    </row>
    <row r="8786">
      <c r="A8786" s="2" t="s">
        <v>18084</v>
      </c>
      <c r="B8786" s="2" t="s">
        <v>18085</v>
      </c>
      <c r="C8786" s="2" t="s">
        <v>16397</v>
      </c>
    </row>
    <row r="8787">
      <c r="A8787" s="2" t="s">
        <v>18086</v>
      </c>
      <c r="B8787" s="2" t="s">
        <v>18087</v>
      </c>
      <c r="C8787" s="2" t="s">
        <v>16397</v>
      </c>
    </row>
    <row r="8788">
      <c r="A8788" s="2" t="s">
        <v>18088</v>
      </c>
      <c r="B8788" s="2" t="s">
        <v>18089</v>
      </c>
      <c r="C8788" s="2" t="s">
        <v>16397</v>
      </c>
    </row>
    <row r="8789">
      <c r="A8789" s="2" t="s">
        <v>18090</v>
      </c>
      <c r="B8789" s="2" t="s">
        <v>18091</v>
      </c>
      <c r="C8789" s="2" t="s">
        <v>16397</v>
      </c>
    </row>
    <row r="8790">
      <c r="A8790" s="2" t="s">
        <v>18092</v>
      </c>
      <c r="B8790" s="2" t="s">
        <v>18093</v>
      </c>
      <c r="C8790" s="2" t="s">
        <v>16397</v>
      </c>
    </row>
    <row r="8791">
      <c r="A8791" s="2" t="s">
        <v>18094</v>
      </c>
      <c r="B8791" s="2" t="s">
        <v>18095</v>
      </c>
      <c r="C8791" s="2" t="s">
        <v>16397</v>
      </c>
    </row>
    <row r="8792">
      <c r="A8792" s="2" t="s">
        <v>18096</v>
      </c>
      <c r="B8792" s="2" t="s">
        <v>18097</v>
      </c>
      <c r="C8792" s="2" t="s">
        <v>16397</v>
      </c>
    </row>
    <row r="8793">
      <c r="A8793" s="2" t="s">
        <v>18098</v>
      </c>
      <c r="B8793" s="2" t="s">
        <v>18099</v>
      </c>
      <c r="C8793" s="2" t="s">
        <v>16397</v>
      </c>
    </row>
    <row r="8794">
      <c r="A8794" s="2" t="s">
        <v>18100</v>
      </c>
      <c r="B8794" s="2" t="s">
        <v>18101</v>
      </c>
      <c r="C8794" s="2" t="s">
        <v>16397</v>
      </c>
    </row>
    <row r="8795">
      <c r="A8795" s="2" t="s">
        <v>18102</v>
      </c>
      <c r="B8795" s="2" t="s">
        <v>18103</v>
      </c>
      <c r="C8795" s="2" t="s">
        <v>16397</v>
      </c>
    </row>
    <row r="8796">
      <c r="A8796" s="2" t="s">
        <v>18104</v>
      </c>
      <c r="B8796" s="2" t="s">
        <v>18105</v>
      </c>
      <c r="C8796" s="2" t="s">
        <v>16397</v>
      </c>
    </row>
    <row r="8797">
      <c r="A8797" s="2" t="s">
        <v>18106</v>
      </c>
      <c r="B8797" s="2" t="s">
        <v>18107</v>
      </c>
      <c r="C8797" s="2" t="s">
        <v>16397</v>
      </c>
    </row>
    <row r="8798">
      <c r="A8798" s="2" t="s">
        <v>18108</v>
      </c>
      <c r="B8798" s="2" t="s">
        <v>18109</v>
      </c>
      <c r="C8798" s="2" t="s">
        <v>16397</v>
      </c>
    </row>
    <row r="8799">
      <c r="A8799" s="2" t="s">
        <v>18110</v>
      </c>
      <c r="B8799" s="2" t="s">
        <v>18111</v>
      </c>
      <c r="C8799" s="2" t="s">
        <v>16397</v>
      </c>
    </row>
    <row r="8800">
      <c r="A8800" s="2" t="s">
        <v>18112</v>
      </c>
      <c r="B8800" s="2" t="s">
        <v>18113</v>
      </c>
      <c r="C8800" s="2" t="s">
        <v>16397</v>
      </c>
    </row>
    <row r="8801">
      <c r="A8801" s="2" t="s">
        <v>18114</v>
      </c>
      <c r="B8801" s="2" t="s">
        <v>18115</v>
      </c>
      <c r="C8801" s="2" t="s">
        <v>16397</v>
      </c>
    </row>
    <row r="8802">
      <c r="A8802" s="2" t="s">
        <v>18116</v>
      </c>
      <c r="B8802" s="2" t="s">
        <v>18117</v>
      </c>
      <c r="C8802" s="2" t="s">
        <v>16397</v>
      </c>
    </row>
    <row r="8803">
      <c r="A8803" s="2" t="s">
        <v>18118</v>
      </c>
      <c r="B8803" s="2" t="s">
        <v>18119</v>
      </c>
      <c r="C8803" s="2" t="s">
        <v>16397</v>
      </c>
    </row>
    <row r="8804">
      <c r="A8804" s="2" t="s">
        <v>18120</v>
      </c>
      <c r="B8804" s="2" t="s">
        <v>18121</v>
      </c>
      <c r="C8804" s="2" t="s">
        <v>16397</v>
      </c>
    </row>
    <row r="8805">
      <c r="A8805" s="2" t="s">
        <v>18122</v>
      </c>
      <c r="B8805" s="2" t="s">
        <v>18123</v>
      </c>
      <c r="C8805" s="2" t="s">
        <v>16397</v>
      </c>
    </row>
    <row r="8806">
      <c r="A8806" s="2" t="s">
        <v>18124</v>
      </c>
      <c r="B8806" s="2" t="s">
        <v>18125</v>
      </c>
      <c r="C8806" s="2" t="s">
        <v>16397</v>
      </c>
    </row>
    <row r="8807">
      <c r="A8807" s="2" t="s">
        <v>18126</v>
      </c>
      <c r="B8807" s="2" t="s">
        <v>18127</v>
      </c>
      <c r="C8807" s="2" t="s">
        <v>16397</v>
      </c>
    </row>
    <row r="8808">
      <c r="A8808" s="2" t="s">
        <v>18128</v>
      </c>
      <c r="B8808" s="2" t="s">
        <v>18129</v>
      </c>
      <c r="C8808" s="2" t="s">
        <v>16397</v>
      </c>
    </row>
    <row r="8809">
      <c r="A8809" s="2" t="s">
        <v>18130</v>
      </c>
      <c r="B8809" s="2" t="s">
        <v>18131</v>
      </c>
      <c r="C8809" s="2" t="s">
        <v>16397</v>
      </c>
    </row>
    <row r="8810">
      <c r="A8810" s="2" t="s">
        <v>18132</v>
      </c>
      <c r="B8810" s="2" t="s">
        <v>18133</v>
      </c>
      <c r="C8810" s="2" t="s">
        <v>16397</v>
      </c>
    </row>
    <row r="8811">
      <c r="A8811" s="2" t="s">
        <v>18134</v>
      </c>
      <c r="B8811" s="2" t="s">
        <v>18135</v>
      </c>
      <c r="C8811" s="2" t="s">
        <v>16397</v>
      </c>
    </row>
    <row r="8812">
      <c r="A8812" s="2" t="s">
        <v>18136</v>
      </c>
      <c r="B8812" s="2" t="s">
        <v>18137</v>
      </c>
      <c r="C8812" s="2" t="s">
        <v>16397</v>
      </c>
    </row>
    <row r="8813">
      <c r="A8813" s="2" t="s">
        <v>18138</v>
      </c>
      <c r="B8813" s="2" t="s">
        <v>18139</v>
      </c>
      <c r="C8813" s="2" t="s">
        <v>16397</v>
      </c>
    </row>
    <row r="8814">
      <c r="A8814" s="2" t="s">
        <v>18140</v>
      </c>
      <c r="B8814" s="2" t="s">
        <v>18141</v>
      </c>
      <c r="C8814" s="2" t="s">
        <v>16397</v>
      </c>
    </row>
    <row r="8815">
      <c r="A8815" s="2" t="s">
        <v>18142</v>
      </c>
      <c r="B8815" s="2" t="s">
        <v>18143</v>
      </c>
      <c r="C8815" s="2" t="s">
        <v>16397</v>
      </c>
    </row>
    <row r="8816">
      <c r="A8816" s="2" t="s">
        <v>18144</v>
      </c>
      <c r="B8816" s="2" t="s">
        <v>18145</v>
      </c>
      <c r="C8816" s="2" t="s">
        <v>16397</v>
      </c>
    </row>
    <row r="8817">
      <c r="A8817" s="2" t="s">
        <v>18146</v>
      </c>
      <c r="B8817" s="2" t="s">
        <v>18147</v>
      </c>
      <c r="C8817" s="2" t="s">
        <v>16397</v>
      </c>
    </row>
    <row r="8818">
      <c r="A8818" s="2" t="s">
        <v>18148</v>
      </c>
      <c r="B8818" s="2" t="s">
        <v>18149</v>
      </c>
      <c r="C8818" s="2" t="s">
        <v>16397</v>
      </c>
    </row>
    <row r="8819">
      <c r="A8819" s="2" t="s">
        <v>18150</v>
      </c>
      <c r="B8819" s="2" t="s">
        <v>18151</v>
      </c>
      <c r="C8819" s="2" t="s">
        <v>16397</v>
      </c>
    </row>
    <row r="8820">
      <c r="A8820" s="2" t="s">
        <v>18152</v>
      </c>
      <c r="B8820" s="2" t="s">
        <v>18153</v>
      </c>
      <c r="C8820" s="2" t="s">
        <v>16397</v>
      </c>
    </row>
    <row r="8821">
      <c r="A8821" s="2" t="s">
        <v>18154</v>
      </c>
      <c r="B8821" s="2" t="s">
        <v>18155</v>
      </c>
      <c r="C8821" s="2" t="s">
        <v>16397</v>
      </c>
    </row>
    <row r="8822">
      <c r="A8822" s="2" t="s">
        <v>18156</v>
      </c>
      <c r="B8822" s="2" t="s">
        <v>18157</v>
      </c>
      <c r="C8822" s="2" t="s">
        <v>16397</v>
      </c>
    </row>
    <row r="8823">
      <c r="A8823" s="2" t="s">
        <v>18158</v>
      </c>
      <c r="B8823" s="2" t="s">
        <v>18159</v>
      </c>
      <c r="C8823" s="2" t="s">
        <v>16397</v>
      </c>
    </row>
    <row r="8824">
      <c r="A8824" s="2" t="s">
        <v>18160</v>
      </c>
      <c r="B8824" s="2" t="s">
        <v>18161</v>
      </c>
      <c r="C8824" s="2" t="s">
        <v>16397</v>
      </c>
    </row>
    <row r="8825">
      <c r="A8825" s="2" t="s">
        <v>18162</v>
      </c>
      <c r="B8825" s="2" t="s">
        <v>18163</v>
      </c>
      <c r="C8825" s="2" t="s">
        <v>16397</v>
      </c>
    </row>
    <row r="8826">
      <c r="A8826" s="2" t="s">
        <v>18164</v>
      </c>
      <c r="B8826" s="2" t="s">
        <v>18165</v>
      </c>
      <c r="C8826" s="2" t="s">
        <v>16397</v>
      </c>
    </row>
    <row r="8827">
      <c r="A8827" s="2" t="s">
        <v>18166</v>
      </c>
      <c r="B8827" s="2" t="s">
        <v>18167</v>
      </c>
      <c r="C8827" s="2" t="s">
        <v>16397</v>
      </c>
    </row>
    <row r="8828">
      <c r="A8828" s="2" t="s">
        <v>18168</v>
      </c>
      <c r="B8828" s="2" t="s">
        <v>18169</v>
      </c>
      <c r="C8828" s="2" t="s">
        <v>16397</v>
      </c>
    </row>
    <row r="8829">
      <c r="A8829" s="2" t="s">
        <v>18170</v>
      </c>
      <c r="B8829" s="2" t="s">
        <v>18171</v>
      </c>
      <c r="C8829" s="2" t="s">
        <v>16397</v>
      </c>
    </row>
    <row r="8830">
      <c r="A8830" s="2" t="s">
        <v>18172</v>
      </c>
      <c r="B8830" s="2" t="s">
        <v>18173</v>
      </c>
      <c r="C8830" s="2" t="s">
        <v>16397</v>
      </c>
    </row>
    <row r="8831">
      <c r="A8831" s="2" t="s">
        <v>18174</v>
      </c>
      <c r="B8831" s="2" t="s">
        <v>18175</v>
      </c>
      <c r="C8831" s="2" t="s">
        <v>16397</v>
      </c>
    </row>
    <row r="8832">
      <c r="A8832" s="2" t="s">
        <v>18176</v>
      </c>
      <c r="B8832" s="2" t="s">
        <v>18177</v>
      </c>
      <c r="C8832" s="2" t="s">
        <v>16397</v>
      </c>
    </row>
    <row r="8833">
      <c r="A8833" s="2" t="s">
        <v>18178</v>
      </c>
      <c r="B8833" s="2" t="s">
        <v>18179</v>
      </c>
      <c r="C8833" s="2" t="s">
        <v>16397</v>
      </c>
    </row>
    <row r="8834">
      <c r="A8834" s="2" t="s">
        <v>18180</v>
      </c>
      <c r="B8834" s="2" t="s">
        <v>18179</v>
      </c>
      <c r="C8834" s="2" t="s">
        <v>16397</v>
      </c>
    </row>
    <row r="8835">
      <c r="A8835" s="2" t="s">
        <v>18181</v>
      </c>
      <c r="B8835" s="2" t="s">
        <v>18182</v>
      </c>
      <c r="C8835" s="2" t="s">
        <v>16397</v>
      </c>
    </row>
    <row r="8836">
      <c r="A8836" s="2" t="s">
        <v>18183</v>
      </c>
      <c r="B8836" s="2" t="s">
        <v>18184</v>
      </c>
      <c r="C8836" s="2" t="s">
        <v>16397</v>
      </c>
    </row>
    <row r="8837">
      <c r="A8837" s="2" t="s">
        <v>18185</v>
      </c>
      <c r="B8837" s="2" t="s">
        <v>18186</v>
      </c>
      <c r="C8837" s="2" t="s">
        <v>16397</v>
      </c>
    </row>
    <row r="8838">
      <c r="A8838" s="2" t="s">
        <v>18187</v>
      </c>
      <c r="B8838" s="2" t="s">
        <v>18188</v>
      </c>
      <c r="C8838" s="2" t="s">
        <v>16397</v>
      </c>
    </row>
    <row r="8839">
      <c r="A8839" s="2" t="s">
        <v>18189</v>
      </c>
      <c r="B8839" s="2" t="s">
        <v>18190</v>
      </c>
      <c r="C8839" s="2" t="s">
        <v>16397</v>
      </c>
    </row>
    <row r="8840">
      <c r="A8840" s="2" t="s">
        <v>18191</v>
      </c>
      <c r="B8840" s="2" t="s">
        <v>18192</v>
      </c>
      <c r="C8840" s="2" t="s">
        <v>16397</v>
      </c>
    </row>
    <row r="8841">
      <c r="A8841" s="2" t="s">
        <v>18193</v>
      </c>
      <c r="B8841" s="2" t="s">
        <v>18194</v>
      </c>
      <c r="C8841" s="2" t="s">
        <v>16397</v>
      </c>
    </row>
    <row r="8842">
      <c r="A8842" s="2" t="s">
        <v>18195</v>
      </c>
      <c r="B8842" s="2" t="s">
        <v>18196</v>
      </c>
      <c r="C8842" s="2" t="s">
        <v>16397</v>
      </c>
    </row>
    <row r="8843">
      <c r="A8843" s="2" t="s">
        <v>18197</v>
      </c>
      <c r="B8843" s="2" t="s">
        <v>18198</v>
      </c>
      <c r="C8843" s="2" t="s">
        <v>16397</v>
      </c>
    </row>
    <row r="8844">
      <c r="A8844" s="2" t="s">
        <v>18199</v>
      </c>
      <c r="B8844" s="2" t="s">
        <v>18200</v>
      </c>
      <c r="C8844" s="2" t="s">
        <v>16397</v>
      </c>
    </row>
    <row r="8845">
      <c r="A8845" s="2" t="s">
        <v>18201</v>
      </c>
      <c r="B8845" s="2" t="s">
        <v>18202</v>
      </c>
      <c r="C8845" s="2" t="s">
        <v>16397</v>
      </c>
    </row>
    <row r="8846">
      <c r="A8846" s="2" t="s">
        <v>18203</v>
      </c>
      <c r="B8846" s="2" t="s">
        <v>18204</v>
      </c>
      <c r="C8846" s="2" t="s">
        <v>16397</v>
      </c>
    </row>
    <row r="8847">
      <c r="A8847" s="2" t="s">
        <v>18205</v>
      </c>
      <c r="B8847" s="2" t="s">
        <v>18206</v>
      </c>
      <c r="C8847" s="2" t="s">
        <v>16397</v>
      </c>
    </row>
    <row r="8848">
      <c r="A8848" s="2" t="s">
        <v>18207</v>
      </c>
      <c r="B8848" s="2" t="s">
        <v>18208</v>
      </c>
      <c r="C8848" s="2" t="s">
        <v>16397</v>
      </c>
    </row>
    <row r="8849">
      <c r="A8849" s="2" t="s">
        <v>18209</v>
      </c>
      <c r="B8849" s="2" t="s">
        <v>18210</v>
      </c>
      <c r="C8849" s="2" t="s">
        <v>16397</v>
      </c>
    </row>
    <row r="8850">
      <c r="A8850" s="2" t="s">
        <v>18211</v>
      </c>
      <c r="B8850" s="2" t="s">
        <v>18212</v>
      </c>
      <c r="C8850" s="2" t="s">
        <v>16397</v>
      </c>
    </row>
    <row r="8851">
      <c r="A8851" s="2" t="s">
        <v>18213</v>
      </c>
      <c r="B8851" s="2" t="s">
        <v>18214</v>
      </c>
      <c r="C8851" s="2" t="s">
        <v>16397</v>
      </c>
    </row>
    <row r="8852">
      <c r="A8852" s="2" t="s">
        <v>18215</v>
      </c>
      <c r="B8852" s="2" t="s">
        <v>18214</v>
      </c>
      <c r="C8852" s="2" t="s">
        <v>16397</v>
      </c>
    </row>
    <row r="8853">
      <c r="A8853" s="2" t="s">
        <v>18216</v>
      </c>
      <c r="B8853" s="2" t="s">
        <v>18214</v>
      </c>
      <c r="C8853" s="2" t="s">
        <v>16397</v>
      </c>
    </row>
    <row r="8854">
      <c r="A8854" s="2" t="s">
        <v>18217</v>
      </c>
      <c r="B8854" s="2" t="s">
        <v>18218</v>
      </c>
      <c r="C8854" s="2" t="s">
        <v>16397</v>
      </c>
    </row>
    <row r="8855">
      <c r="A8855" s="2" t="s">
        <v>18219</v>
      </c>
      <c r="B8855" s="2" t="s">
        <v>18220</v>
      </c>
      <c r="C8855" s="2" t="s">
        <v>16397</v>
      </c>
    </row>
    <row r="8856">
      <c r="A8856" s="2" t="s">
        <v>18221</v>
      </c>
      <c r="B8856" s="2" t="s">
        <v>18222</v>
      </c>
      <c r="C8856" s="2" t="s">
        <v>16397</v>
      </c>
    </row>
    <row r="8857">
      <c r="A8857" s="2" t="s">
        <v>18223</v>
      </c>
      <c r="B8857" s="2" t="s">
        <v>18224</v>
      </c>
      <c r="C8857" s="2" t="s">
        <v>16397</v>
      </c>
    </row>
    <row r="8858">
      <c r="A8858" s="2" t="s">
        <v>18225</v>
      </c>
      <c r="B8858" s="2" t="s">
        <v>18226</v>
      </c>
      <c r="C8858" s="2" t="s">
        <v>16397</v>
      </c>
    </row>
    <row r="8859">
      <c r="A8859" s="2" t="s">
        <v>18227</v>
      </c>
      <c r="B8859" s="2" t="s">
        <v>18228</v>
      </c>
      <c r="C8859" s="2" t="s">
        <v>16397</v>
      </c>
    </row>
    <row r="8860">
      <c r="A8860" s="2" t="s">
        <v>18229</v>
      </c>
      <c r="B8860" s="2" t="s">
        <v>18230</v>
      </c>
      <c r="C8860" s="2" t="s">
        <v>16397</v>
      </c>
    </row>
    <row r="8861">
      <c r="A8861" s="2" t="s">
        <v>18231</v>
      </c>
      <c r="B8861" s="2" t="s">
        <v>18232</v>
      </c>
      <c r="C8861" s="2" t="s">
        <v>16397</v>
      </c>
    </row>
    <row r="8862">
      <c r="A8862" s="2" t="s">
        <v>18233</v>
      </c>
      <c r="B8862" s="2" t="s">
        <v>18234</v>
      </c>
      <c r="C8862" s="2" t="s">
        <v>16397</v>
      </c>
    </row>
    <row r="8863">
      <c r="A8863" s="2" t="s">
        <v>18235</v>
      </c>
      <c r="B8863" s="2" t="s">
        <v>18236</v>
      </c>
      <c r="C8863" s="2" t="s">
        <v>16397</v>
      </c>
    </row>
    <row r="8864">
      <c r="A8864" s="2" t="s">
        <v>18237</v>
      </c>
      <c r="B8864" s="2" t="s">
        <v>18238</v>
      </c>
      <c r="C8864" s="2" t="s">
        <v>16397</v>
      </c>
    </row>
    <row r="8865">
      <c r="A8865" s="2" t="s">
        <v>18239</v>
      </c>
      <c r="B8865" s="2" t="s">
        <v>18240</v>
      </c>
      <c r="C8865" s="2" t="s">
        <v>16397</v>
      </c>
    </row>
    <row r="8866">
      <c r="A8866" s="2" t="s">
        <v>18241</v>
      </c>
      <c r="B8866" s="2" t="s">
        <v>18242</v>
      </c>
      <c r="C8866" s="2" t="s">
        <v>16397</v>
      </c>
    </row>
    <row r="8867">
      <c r="A8867" s="2" t="s">
        <v>18243</v>
      </c>
      <c r="B8867" s="2" t="s">
        <v>18244</v>
      </c>
      <c r="C8867" s="2" t="s">
        <v>16397</v>
      </c>
    </row>
    <row r="8868">
      <c r="A8868" s="2" t="s">
        <v>18245</v>
      </c>
      <c r="B8868" s="2" t="s">
        <v>18246</v>
      </c>
      <c r="C8868" s="2" t="s">
        <v>16397</v>
      </c>
    </row>
    <row r="8869">
      <c r="A8869" s="2" t="s">
        <v>18247</v>
      </c>
      <c r="B8869" s="2" t="s">
        <v>18248</v>
      </c>
      <c r="C8869" s="2" t="s">
        <v>16397</v>
      </c>
    </row>
    <row r="8870">
      <c r="A8870" s="2" t="s">
        <v>18249</v>
      </c>
      <c r="B8870" s="2" t="s">
        <v>18250</v>
      </c>
      <c r="C8870" s="2" t="s">
        <v>16397</v>
      </c>
    </row>
    <row r="8871">
      <c r="A8871" s="2" t="s">
        <v>18251</v>
      </c>
      <c r="B8871" s="2" t="s">
        <v>18252</v>
      </c>
      <c r="C8871" s="2" t="s">
        <v>16397</v>
      </c>
    </row>
    <row r="8872">
      <c r="A8872" s="2" t="s">
        <v>18253</v>
      </c>
      <c r="B8872" s="2" t="s">
        <v>18254</v>
      </c>
      <c r="C8872" s="2" t="s">
        <v>16397</v>
      </c>
    </row>
    <row r="8873">
      <c r="A8873" s="2" t="s">
        <v>18255</v>
      </c>
      <c r="B8873" s="2" t="s">
        <v>18256</v>
      </c>
      <c r="C8873" s="2" t="s">
        <v>16397</v>
      </c>
    </row>
    <row r="8874">
      <c r="A8874" s="2" t="s">
        <v>18257</v>
      </c>
      <c r="B8874" s="2" t="s">
        <v>18256</v>
      </c>
      <c r="C8874" s="2" t="s">
        <v>16397</v>
      </c>
    </row>
    <row r="8875">
      <c r="A8875" s="2" t="s">
        <v>18258</v>
      </c>
      <c r="B8875" s="2" t="s">
        <v>18256</v>
      </c>
      <c r="C8875" s="2" t="s">
        <v>16397</v>
      </c>
    </row>
    <row r="8876">
      <c r="A8876" s="2" t="s">
        <v>18259</v>
      </c>
      <c r="B8876" s="2" t="s">
        <v>18256</v>
      </c>
      <c r="C8876" s="2" t="s">
        <v>16397</v>
      </c>
    </row>
    <row r="8877">
      <c r="A8877" s="2" t="s">
        <v>18260</v>
      </c>
      <c r="B8877" s="2" t="s">
        <v>18256</v>
      </c>
      <c r="C8877" s="2" t="s">
        <v>16397</v>
      </c>
    </row>
    <row r="8878">
      <c r="A8878" s="2" t="s">
        <v>18261</v>
      </c>
      <c r="B8878" s="2" t="s">
        <v>18262</v>
      </c>
      <c r="C8878" s="2" t="s">
        <v>16397</v>
      </c>
    </row>
    <row r="8879">
      <c r="A8879" s="2" t="s">
        <v>18263</v>
      </c>
      <c r="B8879" s="2" t="s">
        <v>18264</v>
      </c>
      <c r="C8879" s="2" t="s">
        <v>16397</v>
      </c>
    </row>
    <row r="8880">
      <c r="A8880" s="2" t="s">
        <v>18265</v>
      </c>
      <c r="B8880" s="2" t="s">
        <v>18266</v>
      </c>
      <c r="C8880" s="2" t="s">
        <v>16397</v>
      </c>
    </row>
    <row r="8881">
      <c r="A8881" s="2" t="s">
        <v>18267</v>
      </c>
      <c r="B8881" s="2" t="s">
        <v>18268</v>
      </c>
      <c r="C8881" s="2" t="s">
        <v>16397</v>
      </c>
    </row>
    <row r="8882">
      <c r="A8882" s="2" t="s">
        <v>18269</v>
      </c>
      <c r="B8882" s="2" t="s">
        <v>18268</v>
      </c>
      <c r="C8882" s="2" t="s">
        <v>16397</v>
      </c>
    </row>
    <row r="8883">
      <c r="A8883" s="2" t="s">
        <v>18270</v>
      </c>
      <c r="B8883" s="2" t="s">
        <v>18268</v>
      </c>
      <c r="C8883" s="2" t="s">
        <v>16397</v>
      </c>
    </row>
    <row r="8884">
      <c r="A8884" s="2" t="s">
        <v>18271</v>
      </c>
      <c r="B8884" s="2" t="s">
        <v>18268</v>
      </c>
      <c r="C8884" s="2" t="s">
        <v>16397</v>
      </c>
    </row>
    <row r="8885">
      <c r="A8885" s="2" t="s">
        <v>18272</v>
      </c>
      <c r="B8885" s="2" t="s">
        <v>18268</v>
      </c>
      <c r="C8885" s="2" t="s">
        <v>16397</v>
      </c>
    </row>
    <row r="8886">
      <c r="A8886" s="2" t="s">
        <v>18273</v>
      </c>
      <c r="B8886" s="2" t="s">
        <v>18274</v>
      </c>
      <c r="C8886" s="2" t="s">
        <v>16397</v>
      </c>
    </row>
    <row r="8887">
      <c r="A8887" s="2" t="s">
        <v>18275</v>
      </c>
      <c r="B8887" s="2" t="s">
        <v>18276</v>
      </c>
      <c r="C8887" s="2" t="s">
        <v>16397</v>
      </c>
    </row>
    <row r="8888">
      <c r="A8888" s="2" t="s">
        <v>18277</v>
      </c>
      <c r="B8888" s="2" t="s">
        <v>18278</v>
      </c>
      <c r="C8888" s="2" t="s">
        <v>16397</v>
      </c>
    </row>
    <row r="8889">
      <c r="A8889" s="2" t="s">
        <v>18279</v>
      </c>
      <c r="B8889" s="2" t="s">
        <v>18280</v>
      </c>
      <c r="C8889" s="2" t="s">
        <v>16397</v>
      </c>
    </row>
    <row r="8890">
      <c r="A8890" s="2" t="s">
        <v>18281</v>
      </c>
      <c r="B8890" s="2" t="s">
        <v>18282</v>
      </c>
      <c r="C8890" s="2" t="s">
        <v>16397</v>
      </c>
    </row>
    <row r="8891">
      <c r="A8891" s="2" t="s">
        <v>18283</v>
      </c>
      <c r="B8891" s="2" t="s">
        <v>18284</v>
      </c>
      <c r="C8891" s="2" t="s">
        <v>16397</v>
      </c>
    </row>
    <row r="8892">
      <c r="A8892" s="2" t="s">
        <v>18285</v>
      </c>
      <c r="B8892" s="2" t="s">
        <v>18286</v>
      </c>
      <c r="C8892" s="2" t="s">
        <v>16397</v>
      </c>
    </row>
    <row r="8893">
      <c r="A8893" s="2" t="s">
        <v>18287</v>
      </c>
      <c r="B8893" s="2" t="s">
        <v>18288</v>
      </c>
      <c r="C8893" s="2" t="s">
        <v>16397</v>
      </c>
    </row>
    <row r="8894">
      <c r="A8894" s="2" t="s">
        <v>18289</v>
      </c>
      <c r="B8894" s="2" t="s">
        <v>18290</v>
      </c>
      <c r="C8894" s="2" t="s">
        <v>16397</v>
      </c>
    </row>
    <row r="8895">
      <c r="A8895" s="2" t="s">
        <v>18291</v>
      </c>
      <c r="B8895" s="2" t="s">
        <v>18292</v>
      </c>
      <c r="C8895" s="2" t="s">
        <v>16397</v>
      </c>
    </row>
    <row r="8896">
      <c r="A8896" s="2" t="s">
        <v>18293</v>
      </c>
      <c r="B8896" s="2" t="s">
        <v>18294</v>
      </c>
      <c r="C8896" s="2" t="s">
        <v>16397</v>
      </c>
    </row>
    <row r="8897">
      <c r="A8897" s="2" t="s">
        <v>18295</v>
      </c>
      <c r="B8897" s="2" t="s">
        <v>18296</v>
      </c>
      <c r="C8897" s="2" t="s">
        <v>16397</v>
      </c>
    </row>
    <row r="8898">
      <c r="A8898" s="2" t="s">
        <v>18297</v>
      </c>
      <c r="B8898" s="2" t="s">
        <v>18298</v>
      </c>
      <c r="C8898" s="2" t="s">
        <v>16397</v>
      </c>
    </row>
    <row r="8899">
      <c r="A8899" s="2" t="s">
        <v>18299</v>
      </c>
      <c r="B8899" s="2" t="s">
        <v>18300</v>
      </c>
      <c r="C8899" s="2" t="s">
        <v>16397</v>
      </c>
    </row>
    <row r="8900">
      <c r="A8900" s="2" t="s">
        <v>18301</v>
      </c>
      <c r="B8900" s="2" t="s">
        <v>18302</v>
      </c>
      <c r="C8900" s="2" t="s">
        <v>16397</v>
      </c>
    </row>
    <row r="8901">
      <c r="A8901" s="2" t="s">
        <v>18303</v>
      </c>
      <c r="B8901" s="2" t="s">
        <v>18304</v>
      </c>
      <c r="C8901" s="2" t="s">
        <v>16397</v>
      </c>
    </row>
    <row r="8902">
      <c r="A8902" s="2" t="s">
        <v>18305</v>
      </c>
      <c r="B8902" s="2" t="s">
        <v>18306</v>
      </c>
      <c r="C8902" s="2" t="s">
        <v>16397</v>
      </c>
    </row>
    <row r="8903">
      <c r="A8903" s="2" t="s">
        <v>18307</v>
      </c>
      <c r="B8903" s="2" t="s">
        <v>18308</v>
      </c>
      <c r="C8903" s="2" t="s">
        <v>16397</v>
      </c>
    </row>
    <row r="8904">
      <c r="A8904" s="2" t="s">
        <v>18309</v>
      </c>
      <c r="B8904" s="2" t="s">
        <v>18310</v>
      </c>
      <c r="C8904" s="2" t="s">
        <v>16397</v>
      </c>
    </row>
    <row r="8905">
      <c r="A8905" s="2" t="s">
        <v>18311</v>
      </c>
      <c r="B8905" s="2" t="s">
        <v>18312</v>
      </c>
      <c r="C8905" s="2" t="s">
        <v>16397</v>
      </c>
    </row>
    <row r="8906">
      <c r="A8906" s="2" t="s">
        <v>18313</v>
      </c>
      <c r="B8906" s="2" t="s">
        <v>18314</v>
      </c>
      <c r="C8906" s="2" t="s">
        <v>16397</v>
      </c>
    </row>
    <row r="8907">
      <c r="A8907" s="2" t="s">
        <v>18315</v>
      </c>
      <c r="B8907" s="2" t="s">
        <v>18316</v>
      </c>
      <c r="C8907" s="2" t="s">
        <v>16397</v>
      </c>
    </row>
    <row r="8908">
      <c r="A8908" s="2" t="s">
        <v>18317</v>
      </c>
      <c r="B8908" s="2" t="s">
        <v>18318</v>
      </c>
      <c r="C8908" s="2" t="s">
        <v>16397</v>
      </c>
    </row>
    <row r="8909">
      <c r="A8909" s="2" t="s">
        <v>18319</v>
      </c>
      <c r="B8909" s="2" t="s">
        <v>18320</v>
      </c>
      <c r="C8909" s="2" t="s">
        <v>16397</v>
      </c>
    </row>
    <row r="8910">
      <c r="A8910" s="2" t="s">
        <v>18321</v>
      </c>
      <c r="B8910" s="2" t="s">
        <v>18322</v>
      </c>
      <c r="C8910" s="2" t="s">
        <v>16397</v>
      </c>
    </row>
    <row r="8911">
      <c r="A8911" s="2" t="s">
        <v>18323</v>
      </c>
      <c r="B8911" s="2" t="s">
        <v>18324</v>
      </c>
      <c r="C8911" s="2" t="s">
        <v>16397</v>
      </c>
    </row>
    <row r="8912">
      <c r="A8912" s="2" t="s">
        <v>18325</v>
      </c>
      <c r="B8912" s="2" t="s">
        <v>18326</v>
      </c>
      <c r="C8912" s="2" t="s">
        <v>16397</v>
      </c>
    </row>
    <row r="8913">
      <c r="A8913" s="2" t="s">
        <v>18327</v>
      </c>
      <c r="B8913" s="2" t="s">
        <v>18328</v>
      </c>
      <c r="C8913" s="2" t="s">
        <v>16397</v>
      </c>
    </row>
    <row r="8914">
      <c r="A8914" s="2" t="s">
        <v>18329</v>
      </c>
      <c r="B8914" s="2" t="s">
        <v>18330</v>
      </c>
      <c r="C8914" s="2" t="s">
        <v>16397</v>
      </c>
    </row>
    <row r="8915">
      <c r="A8915" s="2" t="s">
        <v>18331</v>
      </c>
      <c r="B8915" s="2" t="s">
        <v>18332</v>
      </c>
      <c r="C8915" s="2" t="s">
        <v>16397</v>
      </c>
    </row>
    <row r="8916">
      <c r="A8916" s="2" t="s">
        <v>18333</v>
      </c>
      <c r="B8916" s="2" t="s">
        <v>18334</v>
      </c>
      <c r="C8916" s="2" t="s">
        <v>16397</v>
      </c>
    </row>
    <row r="8917">
      <c r="A8917" s="2" t="s">
        <v>18335</v>
      </c>
      <c r="B8917" s="2" t="s">
        <v>18336</v>
      </c>
      <c r="C8917" s="2" t="s">
        <v>16397</v>
      </c>
    </row>
    <row r="8918">
      <c r="A8918" s="2" t="s">
        <v>18337</v>
      </c>
      <c r="B8918" s="2" t="s">
        <v>18338</v>
      </c>
      <c r="C8918" s="2" t="s">
        <v>16397</v>
      </c>
    </row>
    <row r="8919">
      <c r="A8919" s="2" t="s">
        <v>18339</v>
      </c>
      <c r="B8919" s="2" t="s">
        <v>18340</v>
      </c>
      <c r="C8919" s="2" t="s">
        <v>16397</v>
      </c>
    </row>
    <row r="8920">
      <c r="A8920" s="2" t="s">
        <v>18341</v>
      </c>
      <c r="B8920" s="2" t="s">
        <v>18342</v>
      </c>
      <c r="C8920" s="2" t="s">
        <v>16397</v>
      </c>
    </row>
    <row r="8921">
      <c r="A8921" s="2" t="s">
        <v>18343</v>
      </c>
      <c r="B8921" s="2" t="s">
        <v>18344</v>
      </c>
      <c r="C8921" s="2" t="s">
        <v>16397</v>
      </c>
    </row>
    <row r="8922">
      <c r="A8922" s="2" t="s">
        <v>18345</v>
      </c>
      <c r="B8922" s="2" t="s">
        <v>18346</v>
      </c>
      <c r="C8922" s="2" t="s">
        <v>16397</v>
      </c>
    </row>
    <row r="8923">
      <c r="A8923" s="2" t="s">
        <v>18347</v>
      </c>
      <c r="B8923" s="2" t="s">
        <v>18348</v>
      </c>
      <c r="C8923" s="2" t="s">
        <v>16397</v>
      </c>
    </row>
    <row r="8924">
      <c r="A8924" s="2" t="s">
        <v>18349</v>
      </c>
      <c r="B8924" s="2" t="s">
        <v>18350</v>
      </c>
      <c r="C8924" s="2" t="s">
        <v>16397</v>
      </c>
    </row>
    <row r="8925">
      <c r="A8925" s="2" t="s">
        <v>18351</v>
      </c>
      <c r="B8925" s="2" t="s">
        <v>18352</v>
      </c>
      <c r="C8925" s="2" t="s">
        <v>16397</v>
      </c>
    </row>
    <row r="8926">
      <c r="A8926" s="2" t="s">
        <v>18353</v>
      </c>
      <c r="B8926" s="2" t="s">
        <v>18354</v>
      </c>
      <c r="C8926" s="2" t="s">
        <v>16397</v>
      </c>
    </row>
    <row r="8927">
      <c r="A8927" s="2" t="s">
        <v>18355</v>
      </c>
      <c r="B8927" s="2" t="s">
        <v>18354</v>
      </c>
      <c r="C8927" s="2" t="s">
        <v>16397</v>
      </c>
    </row>
    <row r="8928">
      <c r="A8928" s="2" t="s">
        <v>18356</v>
      </c>
      <c r="B8928" s="2" t="s">
        <v>18354</v>
      </c>
      <c r="C8928" s="2" t="s">
        <v>16397</v>
      </c>
    </row>
    <row r="8929">
      <c r="A8929" s="2" t="s">
        <v>18357</v>
      </c>
      <c r="B8929" s="2" t="s">
        <v>18358</v>
      </c>
      <c r="C8929" s="2" t="s">
        <v>16397</v>
      </c>
    </row>
    <row r="8930">
      <c r="A8930" s="2" t="s">
        <v>18359</v>
      </c>
      <c r="B8930" s="2" t="s">
        <v>18358</v>
      </c>
      <c r="C8930" s="2" t="s">
        <v>16397</v>
      </c>
    </row>
    <row r="8931">
      <c r="A8931" s="2" t="s">
        <v>18360</v>
      </c>
      <c r="B8931" s="2" t="s">
        <v>18361</v>
      </c>
      <c r="C8931" s="2" t="s">
        <v>16397</v>
      </c>
    </row>
    <row r="8932">
      <c r="A8932" s="2" t="s">
        <v>18362</v>
      </c>
      <c r="B8932" s="2" t="s">
        <v>18361</v>
      </c>
      <c r="C8932" s="2" t="s">
        <v>16397</v>
      </c>
    </row>
    <row r="8933">
      <c r="A8933" s="2" t="s">
        <v>18363</v>
      </c>
      <c r="B8933" s="2" t="s">
        <v>18364</v>
      </c>
      <c r="C8933" s="2" t="s">
        <v>16397</v>
      </c>
    </row>
    <row r="8934">
      <c r="A8934" s="2" t="s">
        <v>18365</v>
      </c>
      <c r="B8934" s="2" t="s">
        <v>18364</v>
      </c>
      <c r="C8934" s="2" t="s">
        <v>16397</v>
      </c>
    </row>
    <row r="8935">
      <c r="A8935" s="2" t="s">
        <v>18366</v>
      </c>
      <c r="B8935" s="2" t="s">
        <v>18367</v>
      </c>
      <c r="C8935" s="2" t="s">
        <v>16397</v>
      </c>
    </row>
    <row r="8936">
      <c r="A8936" s="2" t="s">
        <v>18368</v>
      </c>
      <c r="B8936" s="2" t="s">
        <v>18367</v>
      </c>
      <c r="C8936" s="2" t="s">
        <v>16397</v>
      </c>
    </row>
    <row r="8937">
      <c r="A8937" s="2" t="s">
        <v>18369</v>
      </c>
      <c r="B8937" s="2" t="s">
        <v>18370</v>
      </c>
      <c r="C8937" s="2" t="s">
        <v>16397</v>
      </c>
    </row>
    <row r="8938">
      <c r="A8938" s="2" t="s">
        <v>18371</v>
      </c>
      <c r="B8938" s="2" t="s">
        <v>18370</v>
      </c>
      <c r="C8938" s="2" t="s">
        <v>16397</v>
      </c>
    </row>
    <row r="8939">
      <c r="A8939" s="2" t="s">
        <v>18372</v>
      </c>
      <c r="B8939" s="2" t="s">
        <v>18373</v>
      </c>
      <c r="C8939" s="2" t="s">
        <v>16397</v>
      </c>
    </row>
    <row r="8940">
      <c r="A8940" s="2" t="s">
        <v>18374</v>
      </c>
      <c r="B8940" s="2" t="s">
        <v>18373</v>
      </c>
      <c r="C8940" s="2" t="s">
        <v>16397</v>
      </c>
    </row>
    <row r="8941">
      <c r="A8941" s="2" t="s">
        <v>18375</v>
      </c>
      <c r="B8941" s="2" t="s">
        <v>18376</v>
      </c>
      <c r="C8941" s="2" t="s">
        <v>16397</v>
      </c>
    </row>
    <row r="8942">
      <c r="A8942" s="2" t="s">
        <v>18377</v>
      </c>
      <c r="B8942" s="2" t="s">
        <v>18376</v>
      </c>
      <c r="C8942" s="2" t="s">
        <v>16397</v>
      </c>
    </row>
    <row r="8943">
      <c r="A8943" s="2" t="s">
        <v>18378</v>
      </c>
      <c r="B8943" s="2" t="s">
        <v>18379</v>
      </c>
      <c r="C8943" s="2" t="s">
        <v>16397</v>
      </c>
    </row>
    <row r="8944">
      <c r="A8944" s="2" t="s">
        <v>18380</v>
      </c>
      <c r="B8944" s="2" t="s">
        <v>18381</v>
      </c>
      <c r="C8944" s="2" t="s">
        <v>16397</v>
      </c>
    </row>
    <row r="8945">
      <c r="A8945" s="2" t="s">
        <v>18382</v>
      </c>
      <c r="B8945" s="2" t="s">
        <v>18381</v>
      </c>
      <c r="C8945" s="2" t="s">
        <v>16397</v>
      </c>
    </row>
    <row r="8946">
      <c r="A8946" s="2" t="s">
        <v>18383</v>
      </c>
      <c r="B8946" s="2" t="s">
        <v>18381</v>
      </c>
      <c r="C8946" s="2" t="s">
        <v>16397</v>
      </c>
    </row>
    <row r="8947">
      <c r="A8947" s="2" t="s">
        <v>18384</v>
      </c>
      <c r="B8947" s="2" t="s">
        <v>18385</v>
      </c>
      <c r="C8947" s="2" t="s">
        <v>16397</v>
      </c>
    </row>
    <row r="8948">
      <c r="A8948" s="2" t="s">
        <v>18386</v>
      </c>
      <c r="B8948" s="2" t="s">
        <v>18385</v>
      </c>
      <c r="C8948" s="2" t="s">
        <v>16397</v>
      </c>
    </row>
    <row r="8949">
      <c r="A8949" s="2" t="s">
        <v>18387</v>
      </c>
      <c r="B8949" s="2" t="s">
        <v>18385</v>
      </c>
      <c r="C8949" s="2" t="s">
        <v>16397</v>
      </c>
    </row>
    <row r="8950">
      <c r="A8950" s="2" t="s">
        <v>18388</v>
      </c>
      <c r="B8950" s="2" t="s">
        <v>18385</v>
      </c>
      <c r="C8950" s="2" t="s">
        <v>16397</v>
      </c>
    </row>
    <row r="8951">
      <c r="A8951" s="2" t="s">
        <v>18389</v>
      </c>
      <c r="B8951" s="2" t="s">
        <v>18390</v>
      </c>
      <c r="C8951" s="2" t="s">
        <v>16397</v>
      </c>
    </row>
    <row r="8952">
      <c r="A8952" s="2" t="s">
        <v>18391</v>
      </c>
      <c r="B8952" s="2" t="s">
        <v>18390</v>
      </c>
      <c r="C8952" s="2" t="s">
        <v>16397</v>
      </c>
    </row>
    <row r="8953">
      <c r="A8953" s="2" t="s">
        <v>18392</v>
      </c>
      <c r="B8953" s="2" t="s">
        <v>18393</v>
      </c>
      <c r="C8953" s="2" t="s">
        <v>16397</v>
      </c>
    </row>
    <row r="8954">
      <c r="A8954" s="2" t="s">
        <v>18394</v>
      </c>
      <c r="B8954" s="2" t="s">
        <v>18393</v>
      </c>
      <c r="C8954" s="2" t="s">
        <v>16397</v>
      </c>
    </row>
    <row r="8955">
      <c r="A8955" s="2" t="s">
        <v>18395</v>
      </c>
      <c r="B8955" s="2" t="s">
        <v>18393</v>
      </c>
      <c r="C8955" s="2" t="s">
        <v>16397</v>
      </c>
    </row>
    <row r="8956">
      <c r="A8956" s="2" t="s">
        <v>18396</v>
      </c>
      <c r="B8956" s="2" t="s">
        <v>18393</v>
      </c>
      <c r="C8956" s="2" t="s">
        <v>16397</v>
      </c>
    </row>
    <row r="8957">
      <c r="A8957" s="2" t="s">
        <v>18397</v>
      </c>
      <c r="B8957" s="2" t="s">
        <v>18393</v>
      </c>
      <c r="C8957" s="2" t="s">
        <v>16397</v>
      </c>
    </row>
    <row r="8958">
      <c r="A8958" s="2" t="s">
        <v>18398</v>
      </c>
      <c r="B8958" s="2" t="s">
        <v>18393</v>
      </c>
      <c r="C8958" s="2" t="s">
        <v>16397</v>
      </c>
    </row>
    <row r="8959">
      <c r="A8959" s="2" t="s">
        <v>18399</v>
      </c>
      <c r="B8959" s="2" t="s">
        <v>18393</v>
      </c>
      <c r="C8959" s="2" t="s">
        <v>16397</v>
      </c>
    </row>
    <row r="8960">
      <c r="A8960" s="2" t="s">
        <v>18400</v>
      </c>
      <c r="B8960" s="2" t="s">
        <v>18393</v>
      </c>
      <c r="C8960" s="2" t="s">
        <v>16397</v>
      </c>
    </row>
    <row r="8961">
      <c r="A8961" s="2" t="s">
        <v>18401</v>
      </c>
      <c r="B8961" s="2" t="s">
        <v>18393</v>
      </c>
      <c r="C8961" s="2" t="s">
        <v>16397</v>
      </c>
    </row>
    <row r="8962">
      <c r="A8962" s="2" t="s">
        <v>18402</v>
      </c>
      <c r="B8962" s="2" t="s">
        <v>18393</v>
      </c>
      <c r="C8962" s="2" t="s">
        <v>16397</v>
      </c>
    </row>
    <row r="8963">
      <c r="A8963" s="2" t="s">
        <v>18403</v>
      </c>
      <c r="B8963" s="2" t="s">
        <v>18393</v>
      </c>
      <c r="C8963" s="2" t="s">
        <v>16397</v>
      </c>
    </row>
    <row r="8964">
      <c r="A8964" s="2" t="s">
        <v>18404</v>
      </c>
      <c r="B8964" s="2" t="s">
        <v>18393</v>
      </c>
      <c r="C8964" s="2" t="s">
        <v>16397</v>
      </c>
    </row>
    <row r="8965">
      <c r="A8965" s="2" t="s">
        <v>18405</v>
      </c>
      <c r="B8965" s="2" t="s">
        <v>18393</v>
      </c>
      <c r="C8965" s="2" t="s">
        <v>16397</v>
      </c>
    </row>
    <row r="8966">
      <c r="A8966" s="2" t="s">
        <v>18406</v>
      </c>
      <c r="B8966" s="2" t="s">
        <v>18393</v>
      </c>
      <c r="C8966" s="2" t="s">
        <v>16397</v>
      </c>
    </row>
    <row r="8967">
      <c r="A8967" s="2" t="s">
        <v>18407</v>
      </c>
      <c r="B8967" s="2" t="s">
        <v>18393</v>
      </c>
      <c r="C8967" s="2" t="s">
        <v>16397</v>
      </c>
    </row>
    <row r="8968">
      <c r="A8968" s="2" t="s">
        <v>18408</v>
      </c>
      <c r="B8968" s="2" t="s">
        <v>18393</v>
      </c>
      <c r="C8968" s="2" t="s">
        <v>16397</v>
      </c>
    </row>
    <row r="8969">
      <c r="A8969" s="2" t="s">
        <v>18409</v>
      </c>
      <c r="B8969" s="2" t="s">
        <v>18393</v>
      </c>
      <c r="C8969" s="2" t="s">
        <v>16397</v>
      </c>
    </row>
    <row r="8970">
      <c r="A8970" s="2" t="s">
        <v>18410</v>
      </c>
      <c r="B8970" s="2" t="s">
        <v>18393</v>
      </c>
      <c r="C8970" s="2" t="s">
        <v>16397</v>
      </c>
    </row>
    <row r="8971">
      <c r="A8971" s="2" t="s">
        <v>18411</v>
      </c>
      <c r="B8971" s="2" t="s">
        <v>18393</v>
      </c>
      <c r="C8971" s="2" t="s">
        <v>16397</v>
      </c>
    </row>
    <row r="8972">
      <c r="A8972" s="2" t="s">
        <v>18412</v>
      </c>
      <c r="B8972" s="2" t="s">
        <v>18393</v>
      </c>
      <c r="C8972" s="2" t="s">
        <v>16397</v>
      </c>
    </row>
    <row r="8973">
      <c r="A8973" s="2" t="s">
        <v>18413</v>
      </c>
      <c r="B8973" s="2" t="s">
        <v>18393</v>
      </c>
      <c r="C8973" s="2" t="s">
        <v>16397</v>
      </c>
    </row>
    <row r="8974">
      <c r="A8974" s="2" t="s">
        <v>18414</v>
      </c>
      <c r="B8974" s="2" t="s">
        <v>18393</v>
      </c>
      <c r="C8974" s="2" t="s">
        <v>16397</v>
      </c>
    </row>
    <row r="8975">
      <c r="A8975" s="2" t="s">
        <v>18415</v>
      </c>
      <c r="B8975" s="2" t="s">
        <v>18393</v>
      </c>
      <c r="C8975" s="2" t="s">
        <v>16397</v>
      </c>
    </row>
    <row r="8976">
      <c r="A8976" s="2" t="s">
        <v>18416</v>
      </c>
      <c r="B8976" s="2" t="s">
        <v>18393</v>
      </c>
      <c r="C8976" s="2" t="s">
        <v>16397</v>
      </c>
    </row>
    <row r="8977">
      <c r="A8977" s="2" t="s">
        <v>18417</v>
      </c>
      <c r="B8977" s="2" t="s">
        <v>18393</v>
      </c>
      <c r="C8977" s="2" t="s">
        <v>16397</v>
      </c>
    </row>
    <row r="8978">
      <c r="A8978" s="2" t="s">
        <v>18418</v>
      </c>
      <c r="B8978" s="2" t="s">
        <v>18393</v>
      </c>
      <c r="C8978" s="2" t="s">
        <v>16397</v>
      </c>
    </row>
    <row r="8979">
      <c r="A8979" s="2" t="s">
        <v>18419</v>
      </c>
      <c r="B8979" s="2" t="s">
        <v>18393</v>
      </c>
      <c r="C8979" s="2" t="s">
        <v>16397</v>
      </c>
    </row>
    <row r="8980">
      <c r="A8980" s="2" t="s">
        <v>18420</v>
      </c>
      <c r="B8980" s="2" t="s">
        <v>18393</v>
      </c>
      <c r="C8980" s="2" t="s">
        <v>16397</v>
      </c>
    </row>
    <row r="8981">
      <c r="A8981" s="2" t="s">
        <v>18421</v>
      </c>
      <c r="B8981" s="2" t="s">
        <v>18393</v>
      </c>
      <c r="C8981" s="2" t="s">
        <v>16397</v>
      </c>
    </row>
    <row r="8982">
      <c r="A8982" s="2" t="s">
        <v>18422</v>
      </c>
      <c r="B8982" s="2" t="s">
        <v>18393</v>
      </c>
      <c r="C8982" s="2" t="s">
        <v>16397</v>
      </c>
    </row>
    <row r="8983">
      <c r="A8983" s="2" t="s">
        <v>18423</v>
      </c>
      <c r="B8983" s="2" t="s">
        <v>18393</v>
      </c>
      <c r="C8983" s="2" t="s">
        <v>16397</v>
      </c>
    </row>
    <row r="8984">
      <c r="A8984" s="2" t="s">
        <v>18424</v>
      </c>
      <c r="B8984" s="2" t="s">
        <v>18425</v>
      </c>
      <c r="C8984" s="2" t="s">
        <v>16397</v>
      </c>
    </row>
    <row r="8985">
      <c r="A8985" s="2" t="s">
        <v>18426</v>
      </c>
      <c r="B8985" s="2" t="s">
        <v>18427</v>
      </c>
      <c r="C8985" s="2" t="s">
        <v>16397</v>
      </c>
    </row>
    <row r="8986">
      <c r="A8986" s="2" t="s">
        <v>18428</v>
      </c>
      <c r="B8986" s="2" t="s">
        <v>18429</v>
      </c>
      <c r="C8986" s="2" t="s">
        <v>16397</v>
      </c>
    </row>
    <row r="8987">
      <c r="A8987" s="2" t="s">
        <v>18430</v>
      </c>
      <c r="B8987" s="2" t="s">
        <v>18431</v>
      </c>
      <c r="C8987" s="2" t="s">
        <v>16397</v>
      </c>
    </row>
    <row r="8988">
      <c r="A8988" s="2" t="s">
        <v>18432</v>
      </c>
      <c r="B8988" s="2" t="s">
        <v>18433</v>
      </c>
      <c r="C8988" s="2" t="s">
        <v>16397</v>
      </c>
    </row>
    <row r="8989">
      <c r="A8989" s="2" t="s">
        <v>18434</v>
      </c>
      <c r="B8989" s="2" t="s">
        <v>18435</v>
      </c>
      <c r="C8989" s="2" t="s">
        <v>16397</v>
      </c>
    </row>
    <row r="8990">
      <c r="A8990" s="2" t="s">
        <v>18436</v>
      </c>
      <c r="B8990" s="2" t="s">
        <v>18437</v>
      </c>
      <c r="C8990" s="2" t="s">
        <v>16397</v>
      </c>
    </row>
    <row r="8991">
      <c r="A8991" s="2" t="s">
        <v>18438</v>
      </c>
      <c r="B8991" s="2" t="s">
        <v>18439</v>
      </c>
      <c r="C8991" s="2" t="s">
        <v>16397</v>
      </c>
    </row>
    <row r="8992">
      <c r="A8992" s="2" t="s">
        <v>18440</v>
      </c>
      <c r="B8992" s="2" t="s">
        <v>18441</v>
      </c>
      <c r="C8992" s="2" t="s">
        <v>16397</v>
      </c>
    </row>
    <row r="8993">
      <c r="A8993" s="2" t="s">
        <v>18442</v>
      </c>
      <c r="B8993" s="2" t="s">
        <v>18443</v>
      </c>
      <c r="C8993" s="2" t="s">
        <v>16397</v>
      </c>
    </row>
    <row r="8994">
      <c r="A8994" s="2" t="s">
        <v>18444</v>
      </c>
      <c r="B8994" s="2" t="s">
        <v>18445</v>
      </c>
      <c r="C8994" s="2" t="s">
        <v>16397</v>
      </c>
    </row>
    <row r="8995">
      <c r="A8995" s="2" t="s">
        <v>18446</v>
      </c>
      <c r="B8995" s="2" t="s">
        <v>18447</v>
      </c>
      <c r="C8995" s="2" t="s">
        <v>16397</v>
      </c>
    </row>
    <row r="8996">
      <c r="A8996" s="2" t="s">
        <v>18448</v>
      </c>
      <c r="B8996" s="2" t="s">
        <v>18449</v>
      </c>
      <c r="C8996" s="2" t="s">
        <v>16397</v>
      </c>
    </row>
    <row r="8997">
      <c r="A8997" s="2" t="s">
        <v>18450</v>
      </c>
      <c r="B8997" s="2" t="s">
        <v>18451</v>
      </c>
      <c r="C8997" s="2" t="s">
        <v>16397</v>
      </c>
    </row>
    <row r="8998">
      <c r="A8998" s="2" t="s">
        <v>18452</v>
      </c>
      <c r="B8998" s="2" t="s">
        <v>18453</v>
      </c>
      <c r="C8998" s="2" t="s">
        <v>16397</v>
      </c>
    </row>
    <row r="8999">
      <c r="A8999" s="2" t="s">
        <v>18454</v>
      </c>
      <c r="B8999" s="2" t="s">
        <v>18455</v>
      </c>
      <c r="C8999" s="2" t="s">
        <v>16397</v>
      </c>
    </row>
    <row r="9000">
      <c r="A9000" s="2" t="s">
        <v>18456</v>
      </c>
      <c r="B9000" s="2" t="s">
        <v>18457</v>
      </c>
      <c r="C9000" s="2" t="s">
        <v>16397</v>
      </c>
    </row>
    <row r="9001">
      <c r="A9001" s="2" t="s">
        <v>18458</v>
      </c>
      <c r="B9001" s="2" t="s">
        <v>18459</v>
      </c>
      <c r="C9001" s="2" t="s">
        <v>16397</v>
      </c>
    </row>
    <row r="9002">
      <c r="A9002" s="2" t="s">
        <v>18460</v>
      </c>
      <c r="B9002" s="2" t="s">
        <v>18461</v>
      </c>
      <c r="C9002" s="2" t="s">
        <v>16397</v>
      </c>
    </row>
    <row r="9003">
      <c r="A9003" s="2" t="s">
        <v>18462</v>
      </c>
      <c r="B9003" s="2" t="s">
        <v>18463</v>
      </c>
      <c r="C9003" s="2" t="s">
        <v>16397</v>
      </c>
    </row>
    <row r="9004">
      <c r="A9004" s="2" t="s">
        <v>18464</v>
      </c>
      <c r="B9004" s="2" t="s">
        <v>18465</v>
      </c>
      <c r="C9004" s="2" t="s">
        <v>16397</v>
      </c>
    </row>
    <row r="9005">
      <c r="A9005" s="2" t="s">
        <v>18466</v>
      </c>
      <c r="B9005" s="2" t="s">
        <v>18467</v>
      </c>
      <c r="C9005" s="2" t="s">
        <v>16397</v>
      </c>
    </row>
    <row r="9006">
      <c r="A9006" s="2" t="s">
        <v>18468</v>
      </c>
      <c r="B9006" s="2" t="s">
        <v>18469</v>
      </c>
      <c r="C9006" s="2" t="s">
        <v>16397</v>
      </c>
    </row>
    <row r="9007">
      <c r="A9007" s="2" t="s">
        <v>18470</v>
      </c>
      <c r="B9007" s="2" t="s">
        <v>18471</v>
      </c>
      <c r="C9007" s="2" t="s">
        <v>16397</v>
      </c>
    </row>
    <row r="9008">
      <c r="A9008" s="2" t="s">
        <v>18472</v>
      </c>
      <c r="B9008" s="2" t="s">
        <v>18473</v>
      </c>
      <c r="C9008" s="2" t="s">
        <v>16397</v>
      </c>
    </row>
    <row r="9009">
      <c r="A9009" s="2" t="s">
        <v>18474</v>
      </c>
      <c r="B9009" s="2" t="s">
        <v>18475</v>
      </c>
      <c r="C9009" s="2" t="s">
        <v>16397</v>
      </c>
    </row>
    <row r="9010">
      <c r="A9010" s="2" t="s">
        <v>18476</v>
      </c>
      <c r="B9010" s="2" t="s">
        <v>18477</v>
      </c>
      <c r="C9010" s="2" t="s">
        <v>16397</v>
      </c>
    </row>
    <row r="9011">
      <c r="A9011" s="2" t="s">
        <v>18478</v>
      </c>
      <c r="B9011" s="2" t="s">
        <v>18479</v>
      </c>
      <c r="C9011" s="2" t="s">
        <v>16397</v>
      </c>
    </row>
    <row r="9012">
      <c r="A9012" s="2" t="s">
        <v>18480</v>
      </c>
      <c r="B9012" s="2" t="s">
        <v>18481</v>
      </c>
      <c r="C9012" s="2" t="s">
        <v>16397</v>
      </c>
    </row>
    <row r="9013">
      <c r="A9013" s="2" t="s">
        <v>18482</v>
      </c>
      <c r="B9013" s="2" t="s">
        <v>18483</v>
      </c>
      <c r="C9013" s="2" t="s">
        <v>16397</v>
      </c>
    </row>
    <row r="9014">
      <c r="A9014" s="2" t="s">
        <v>18484</v>
      </c>
      <c r="B9014" s="2" t="s">
        <v>18483</v>
      </c>
      <c r="C9014" s="2" t="s">
        <v>16397</v>
      </c>
    </row>
    <row r="9015">
      <c r="A9015" s="2" t="s">
        <v>18485</v>
      </c>
      <c r="B9015" s="2" t="s">
        <v>18486</v>
      </c>
      <c r="C9015" s="2" t="s">
        <v>16397</v>
      </c>
    </row>
    <row r="9016">
      <c r="A9016" s="2" t="s">
        <v>18487</v>
      </c>
      <c r="B9016" s="2" t="s">
        <v>18488</v>
      </c>
      <c r="C9016" s="2" t="s">
        <v>16397</v>
      </c>
    </row>
    <row r="9017">
      <c r="A9017" s="2" t="s">
        <v>18489</v>
      </c>
      <c r="B9017" s="2" t="s">
        <v>18490</v>
      </c>
      <c r="C9017" s="2" t="s">
        <v>16397</v>
      </c>
    </row>
    <row r="9018">
      <c r="A9018" s="2" t="s">
        <v>18491</v>
      </c>
      <c r="B9018" s="2" t="s">
        <v>18492</v>
      </c>
      <c r="C9018" s="2" t="s">
        <v>16397</v>
      </c>
    </row>
    <row r="9019">
      <c r="A9019" s="2" t="s">
        <v>18493</v>
      </c>
      <c r="B9019" s="2" t="s">
        <v>18494</v>
      </c>
      <c r="C9019" s="2" t="s">
        <v>16397</v>
      </c>
    </row>
    <row r="9020">
      <c r="A9020" s="2" t="s">
        <v>18495</v>
      </c>
      <c r="B9020" s="2" t="s">
        <v>18496</v>
      </c>
      <c r="C9020" s="2" t="s">
        <v>16397</v>
      </c>
    </row>
    <row r="9021">
      <c r="A9021" s="2" t="s">
        <v>18497</v>
      </c>
      <c r="B9021" s="2" t="s">
        <v>18498</v>
      </c>
      <c r="C9021" s="2" t="s">
        <v>16397</v>
      </c>
    </row>
    <row r="9022">
      <c r="A9022" s="2" t="s">
        <v>18499</v>
      </c>
      <c r="B9022" s="2" t="s">
        <v>18500</v>
      </c>
      <c r="C9022" s="2" t="s">
        <v>16397</v>
      </c>
    </row>
    <row r="9023">
      <c r="A9023" s="2" t="s">
        <v>18501</v>
      </c>
      <c r="B9023" s="2" t="s">
        <v>18502</v>
      </c>
      <c r="C9023" s="2" t="s">
        <v>16397</v>
      </c>
    </row>
    <row r="9024">
      <c r="A9024" s="2" t="s">
        <v>18503</v>
      </c>
      <c r="B9024" s="2" t="s">
        <v>18502</v>
      </c>
      <c r="C9024" s="2" t="s">
        <v>16397</v>
      </c>
    </row>
    <row r="9025">
      <c r="A9025" s="2" t="s">
        <v>18504</v>
      </c>
      <c r="B9025" s="2" t="s">
        <v>18505</v>
      </c>
      <c r="C9025" s="2" t="s">
        <v>16397</v>
      </c>
    </row>
    <row r="9026">
      <c r="A9026" s="2" t="s">
        <v>18506</v>
      </c>
      <c r="B9026" s="2" t="s">
        <v>18507</v>
      </c>
      <c r="C9026" s="2" t="s">
        <v>16397</v>
      </c>
    </row>
    <row r="9027">
      <c r="A9027" s="2" t="s">
        <v>18508</v>
      </c>
      <c r="B9027" s="2" t="s">
        <v>18509</v>
      </c>
      <c r="C9027" s="2" t="s">
        <v>16397</v>
      </c>
    </row>
    <row r="9028">
      <c r="A9028" s="2" t="s">
        <v>18510</v>
      </c>
      <c r="B9028" s="2" t="s">
        <v>18511</v>
      </c>
      <c r="C9028" s="2" t="s">
        <v>16397</v>
      </c>
    </row>
    <row r="9029">
      <c r="A9029" s="2" t="s">
        <v>18512</v>
      </c>
      <c r="B9029" s="2" t="s">
        <v>18513</v>
      </c>
      <c r="C9029" s="2" t="s">
        <v>16397</v>
      </c>
    </row>
    <row r="9030">
      <c r="A9030" s="2" t="s">
        <v>18514</v>
      </c>
      <c r="B9030" s="2" t="s">
        <v>18515</v>
      </c>
      <c r="C9030" s="2" t="s">
        <v>16397</v>
      </c>
    </row>
    <row r="9031">
      <c r="A9031" s="2" t="s">
        <v>18516</v>
      </c>
      <c r="B9031" s="2" t="s">
        <v>18517</v>
      </c>
      <c r="C9031" s="2" t="s">
        <v>16397</v>
      </c>
    </row>
    <row r="9032">
      <c r="A9032" s="2" t="s">
        <v>18518</v>
      </c>
      <c r="B9032" s="2" t="s">
        <v>18519</v>
      </c>
      <c r="C9032" s="2" t="s">
        <v>16397</v>
      </c>
    </row>
    <row r="9033">
      <c r="A9033" s="2" t="s">
        <v>18520</v>
      </c>
      <c r="B9033" s="2" t="s">
        <v>18521</v>
      </c>
      <c r="C9033" s="2" t="s">
        <v>16397</v>
      </c>
    </row>
    <row r="9034">
      <c r="A9034" s="2" t="s">
        <v>18522</v>
      </c>
      <c r="B9034" s="2" t="s">
        <v>18523</v>
      </c>
      <c r="C9034" s="2" t="s">
        <v>16397</v>
      </c>
    </row>
    <row r="9035">
      <c r="A9035" s="2" t="s">
        <v>18524</v>
      </c>
      <c r="B9035" s="2" t="s">
        <v>18525</v>
      </c>
      <c r="C9035" s="2" t="s">
        <v>16397</v>
      </c>
    </row>
    <row r="9036">
      <c r="A9036" s="2" t="s">
        <v>18526</v>
      </c>
      <c r="B9036" s="2" t="s">
        <v>18527</v>
      </c>
      <c r="C9036" s="2" t="s">
        <v>16397</v>
      </c>
    </row>
    <row r="9037">
      <c r="A9037" s="2" t="s">
        <v>18528</v>
      </c>
      <c r="B9037" s="2" t="s">
        <v>18529</v>
      </c>
      <c r="C9037" s="2" t="s">
        <v>16397</v>
      </c>
    </row>
    <row r="9038">
      <c r="A9038" s="2" t="s">
        <v>18530</v>
      </c>
      <c r="B9038" s="2" t="s">
        <v>18531</v>
      </c>
      <c r="C9038" s="2" t="s">
        <v>16397</v>
      </c>
    </row>
    <row r="9039">
      <c r="A9039" s="2" t="s">
        <v>18532</v>
      </c>
      <c r="B9039" s="2" t="s">
        <v>18533</v>
      </c>
      <c r="C9039" s="2" t="s">
        <v>16397</v>
      </c>
    </row>
    <row r="9040">
      <c r="A9040" s="2" t="s">
        <v>18534</v>
      </c>
      <c r="B9040" s="2" t="s">
        <v>18535</v>
      </c>
      <c r="C9040" s="2" t="s">
        <v>16397</v>
      </c>
    </row>
    <row r="9041">
      <c r="A9041" s="2" t="s">
        <v>18536</v>
      </c>
      <c r="B9041" s="2" t="s">
        <v>18537</v>
      </c>
      <c r="C9041" s="2" t="s">
        <v>16397</v>
      </c>
    </row>
    <row r="9042">
      <c r="A9042" s="2" t="s">
        <v>18538</v>
      </c>
      <c r="B9042" s="2" t="s">
        <v>18539</v>
      </c>
      <c r="C9042" s="2" t="s">
        <v>16397</v>
      </c>
    </row>
    <row r="9043">
      <c r="A9043" s="2" t="s">
        <v>18540</v>
      </c>
      <c r="B9043" s="2" t="s">
        <v>18541</v>
      </c>
      <c r="C9043" s="2" t="s">
        <v>16397</v>
      </c>
    </row>
    <row r="9044">
      <c r="A9044" s="2" t="s">
        <v>18542</v>
      </c>
      <c r="B9044" s="2" t="s">
        <v>18543</v>
      </c>
      <c r="C9044" s="2" t="s">
        <v>16397</v>
      </c>
    </row>
    <row r="9045">
      <c r="A9045" s="2" t="s">
        <v>18544</v>
      </c>
      <c r="B9045" s="2" t="s">
        <v>18543</v>
      </c>
      <c r="C9045" s="2" t="s">
        <v>16397</v>
      </c>
    </row>
    <row r="9046">
      <c r="A9046" s="2" t="s">
        <v>18545</v>
      </c>
      <c r="B9046" s="2" t="s">
        <v>18543</v>
      </c>
      <c r="C9046" s="2" t="s">
        <v>16397</v>
      </c>
    </row>
    <row r="9047">
      <c r="A9047" s="2" t="s">
        <v>18546</v>
      </c>
      <c r="B9047" s="2" t="s">
        <v>18543</v>
      </c>
      <c r="C9047" s="2" t="s">
        <v>16397</v>
      </c>
    </row>
    <row r="9048">
      <c r="A9048" s="2" t="s">
        <v>18547</v>
      </c>
      <c r="B9048" s="2" t="s">
        <v>18548</v>
      </c>
      <c r="C9048" s="2" t="s">
        <v>16397</v>
      </c>
    </row>
    <row r="9049">
      <c r="A9049" s="2" t="s">
        <v>18549</v>
      </c>
      <c r="B9049" s="2" t="s">
        <v>18550</v>
      </c>
      <c r="C9049" s="2" t="s">
        <v>16397</v>
      </c>
    </row>
    <row r="9050">
      <c r="A9050" s="2" t="s">
        <v>18551</v>
      </c>
      <c r="B9050" s="2" t="s">
        <v>18552</v>
      </c>
      <c r="C9050" s="2" t="s">
        <v>16397</v>
      </c>
    </row>
    <row r="9051">
      <c r="A9051" s="2" t="s">
        <v>18553</v>
      </c>
      <c r="B9051" s="2" t="s">
        <v>18554</v>
      </c>
      <c r="C9051" s="2" t="s">
        <v>16397</v>
      </c>
    </row>
    <row r="9052">
      <c r="A9052" s="2" t="s">
        <v>18555</v>
      </c>
      <c r="B9052" s="2" t="s">
        <v>18556</v>
      </c>
      <c r="C9052" s="2" t="s">
        <v>16397</v>
      </c>
    </row>
    <row r="9053">
      <c r="A9053" s="2" t="s">
        <v>18557</v>
      </c>
      <c r="B9053" s="2" t="s">
        <v>18558</v>
      </c>
      <c r="C9053" s="2" t="s">
        <v>16397</v>
      </c>
    </row>
    <row r="9054">
      <c r="A9054" s="2" t="s">
        <v>18559</v>
      </c>
      <c r="B9054" s="2" t="s">
        <v>18560</v>
      </c>
      <c r="C9054" s="2" t="s">
        <v>16397</v>
      </c>
    </row>
    <row r="9055">
      <c r="A9055" s="2" t="s">
        <v>18561</v>
      </c>
      <c r="B9055" s="2" t="s">
        <v>18562</v>
      </c>
      <c r="C9055" s="2" t="s">
        <v>16397</v>
      </c>
    </row>
    <row r="9056">
      <c r="A9056" s="2" t="s">
        <v>18563</v>
      </c>
      <c r="B9056" s="2" t="s">
        <v>18564</v>
      </c>
      <c r="C9056" s="2" t="s">
        <v>16397</v>
      </c>
    </row>
    <row r="9057">
      <c r="A9057" s="2" t="s">
        <v>18565</v>
      </c>
      <c r="B9057" s="2" t="s">
        <v>18566</v>
      </c>
      <c r="C9057" s="2" t="s">
        <v>16397</v>
      </c>
    </row>
    <row r="9058">
      <c r="A9058" s="2" t="s">
        <v>18567</v>
      </c>
      <c r="B9058" s="2" t="s">
        <v>18568</v>
      </c>
      <c r="C9058" s="2" t="s">
        <v>16397</v>
      </c>
    </row>
    <row r="9059">
      <c r="A9059" s="2" t="s">
        <v>18569</v>
      </c>
      <c r="B9059" s="2" t="s">
        <v>18568</v>
      </c>
      <c r="C9059" s="2" t="s">
        <v>16397</v>
      </c>
    </row>
    <row r="9060">
      <c r="A9060" s="2" t="s">
        <v>18570</v>
      </c>
      <c r="B9060" s="2" t="s">
        <v>18571</v>
      </c>
      <c r="C9060" s="2" t="s">
        <v>16397</v>
      </c>
    </row>
    <row r="9061">
      <c r="A9061" s="2" t="s">
        <v>18572</v>
      </c>
      <c r="B9061" s="2" t="s">
        <v>18573</v>
      </c>
      <c r="C9061" s="2" t="s">
        <v>16397</v>
      </c>
    </row>
    <row r="9062">
      <c r="A9062" s="2" t="s">
        <v>18574</v>
      </c>
      <c r="B9062" s="2" t="s">
        <v>18575</v>
      </c>
      <c r="C9062" s="2" t="s">
        <v>16397</v>
      </c>
    </row>
    <row r="9063">
      <c r="A9063" s="2" t="s">
        <v>18576</v>
      </c>
      <c r="B9063" s="2" t="s">
        <v>7582</v>
      </c>
      <c r="C9063" s="2" t="s">
        <v>16397</v>
      </c>
    </row>
    <row r="9064">
      <c r="A9064" s="2" t="s">
        <v>18577</v>
      </c>
      <c r="B9064" s="2" t="s">
        <v>18578</v>
      </c>
      <c r="C9064" s="2" t="s">
        <v>16397</v>
      </c>
    </row>
    <row r="9065">
      <c r="A9065" s="2" t="s">
        <v>18579</v>
      </c>
      <c r="B9065" s="2" t="s">
        <v>18580</v>
      </c>
      <c r="C9065" s="2" t="s">
        <v>16397</v>
      </c>
    </row>
    <row r="9066">
      <c r="A9066" s="2" t="s">
        <v>18581</v>
      </c>
      <c r="B9066" s="2" t="s">
        <v>18582</v>
      </c>
      <c r="C9066" s="2" t="s">
        <v>16397</v>
      </c>
    </row>
    <row r="9067">
      <c r="A9067" s="2" t="s">
        <v>18583</v>
      </c>
      <c r="B9067" s="2" t="s">
        <v>18584</v>
      </c>
      <c r="C9067" s="2" t="s">
        <v>16397</v>
      </c>
    </row>
    <row r="9068">
      <c r="A9068" s="2" t="s">
        <v>18585</v>
      </c>
      <c r="B9068" s="2" t="s">
        <v>18586</v>
      </c>
      <c r="C9068" s="2" t="s">
        <v>16397</v>
      </c>
    </row>
    <row r="9069">
      <c r="A9069" s="2" t="s">
        <v>18587</v>
      </c>
      <c r="B9069" s="2" t="s">
        <v>18588</v>
      </c>
      <c r="C9069" s="2" t="s">
        <v>16397</v>
      </c>
    </row>
    <row r="9070">
      <c r="A9070" s="2" t="s">
        <v>18589</v>
      </c>
      <c r="B9070" s="2" t="s">
        <v>18590</v>
      </c>
      <c r="C9070" s="2" t="s">
        <v>16397</v>
      </c>
    </row>
    <row r="9071">
      <c r="A9071" s="2" t="s">
        <v>18591</v>
      </c>
      <c r="B9071" s="2" t="s">
        <v>18592</v>
      </c>
      <c r="C9071" s="2" t="s">
        <v>18593</v>
      </c>
    </row>
    <row r="9072">
      <c r="A9072" s="2" t="s">
        <v>18594</v>
      </c>
      <c r="B9072" s="2" t="s">
        <v>18592</v>
      </c>
      <c r="C9072" s="2" t="s">
        <v>18593</v>
      </c>
    </row>
    <row r="9073">
      <c r="A9073" s="2" t="s">
        <v>18595</v>
      </c>
      <c r="B9073" s="2" t="s">
        <v>18592</v>
      </c>
      <c r="C9073" s="2" t="s">
        <v>18593</v>
      </c>
    </row>
    <row r="9074">
      <c r="A9074" s="2" t="s">
        <v>18596</v>
      </c>
      <c r="B9074" s="2" t="s">
        <v>18597</v>
      </c>
      <c r="C9074" s="2" t="s">
        <v>18593</v>
      </c>
    </row>
    <row r="9075">
      <c r="A9075" s="2" t="s">
        <v>18598</v>
      </c>
      <c r="B9075" s="2" t="s">
        <v>18599</v>
      </c>
      <c r="C9075" s="2" t="s">
        <v>18600</v>
      </c>
    </row>
    <row r="9076">
      <c r="A9076" s="2" t="s">
        <v>18601</v>
      </c>
      <c r="B9076" s="2" t="s">
        <v>18602</v>
      </c>
      <c r="C9076" s="2" t="s">
        <v>18600</v>
      </c>
    </row>
    <row r="9077">
      <c r="A9077" s="2" t="s">
        <v>18603</v>
      </c>
      <c r="B9077" s="2" t="s">
        <v>18604</v>
      </c>
      <c r="C9077" s="2" t="s">
        <v>18600</v>
      </c>
    </row>
    <row r="9078">
      <c r="A9078" s="2" t="s">
        <v>18605</v>
      </c>
      <c r="B9078" s="2" t="s">
        <v>18606</v>
      </c>
      <c r="C9078" s="2" t="s">
        <v>18600</v>
      </c>
    </row>
    <row r="9079">
      <c r="A9079" s="2" t="s">
        <v>18607</v>
      </c>
      <c r="B9079" s="2" t="s">
        <v>18608</v>
      </c>
      <c r="C9079" s="2" t="s">
        <v>18600</v>
      </c>
    </row>
    <row r="9080">
      <c r="A9080" s="2" t="s">
        <v>18609</v>
      </c>
      <c r="B9080" s="2" t="s">
        <v>18610</v>
      </c>
      <c r="C9080" s="2" t="s">
        <v>18600</v>
      </c>
    </row>
    <row r="9081">
      <c r="A9081" s="2" t="s">
        <v>18611</v>
      </c>
      <c r="B9081" s="2" t="s">
        <v>18612</v>
      </c>
      <c r="C9081" s="2" t="s">
        <v>18600</v>
      </c>
    </row>
    <row r="9082">
      <c r="A9082" s="2" t="s">
        <v>18613</v>
      </c>
      <c r="B9082" s="2" t="s">
        <v>18614</v>
      </c>
      <c r="C9082" s="2" t="s">
        <v>18600</v>
      </c>
    </row>
    <row r="9083">
      <c r="A9083" s="2" t="s">
        <v>18615</v>
      </c>
      <c r="B9083" s="2" t="s">
        <v>18616</v>
      </c>
      <c r="C9083" s="2" t="s">
        <v>18600</v>
      </c>
    </row>
    <row r="9084">
      <c r="A9084" s="2" t="s">
        <v>18617</v>
      </c>
      <c r="B9084" s="2" t="s">
        <v>18618</v>
      </c>
      <c r="C9084" s="2" t="s">
        <v>18600</v>
      </c>
    </row>
    <row r="9085">
      <c r="A9085" s="2" t="s">
        <v>18619</v>
      </c>
      <c r="B9085" s="2" t="s">
        <v>18618</v>
      </c>
      <c r="C9085" s="2" t="s">
        <v>18600</v>
      </c>
    </row>
    <row r="9086">
      <c r="A9086" s="2" t="s">
        <v>18620</v>
      </c>
      <c r="B9086" s="2" t="s">
        <v>18621</v>
      </c>
      <c r="C9086" s="2" t="s">
        <v>18600</v>
      </c>
    </row>
    <row r="9087">
      <c r="A9087" s="2" t="s">
        <v>18622</v>
      </c>
      <c r="B9087" s="2" t="s">
        <v>18623</v>
      </c>
      <c r="C9087" s="2" t="s">
        <v>18600</v>
      </c>
    </row>
    <row r="9088">
      <c r="A9088" s="2" t="s">
        <v>18624</v>
      </c>
      <c r="B9088" s="2" t="s">
        <v>18625</v>
      </c>
      <c r="C9088" s="2" t="s">
        <v>18600</v>
      </c>
    </row>
    <row r="9089">
      <c r="A9089" s="2" t="s">
        <v>18626</v>
      </c>
      <c r="B9089" s="2" t="s">
        <v>18627</v>
      </c>
      <c r="C9089" s="2" t="s">
        <v>18600</v>
      </c>
    </row>
    <row r="9090">
      <c r="A9090" s="2" t="s">
        <v>18628</v>
      </c>
      <c r="B9090" s="2" t="s">
        <v>18629</v>
      </c>
      <c r="C9090" s="2" t="s">
        <v>18600</v>
      </c>
    </row>
    <row r="9091">
      <c r="A9091" s="2" t="s">
        <v>18630</v>
      </c>
      <c r="B9091" s="2" t="s">
        <v>18631</v>
      </c>
      <c r="C9091" s="2" t="s">
        <v>18600</v>
      </c>
    </row>
    <row r="9092">
      <c r="A9092" s="2" t="s">
        <v>18632</v>
      </c>
      <c r="B9092" s="2" t="s">
        <v>18633</v>
      </c>
      <c r="C9092" s="2" t="s">
        <v>18600</v>
      </c>
    </row>
    <row r="9093">
      <c r="A9093" s="2" t="s">
        <v>18634</v>
      </c>
      <c r="B9093" s="2" t="s">
        <v>18635</v>
      </c>
      <c r="C9093" s="2" t="s">
        <v>18600</v>
      </c>
    </row>
    <row r="9094">
      <c r="A9094" s="2" t="s">
        <v>18636</v>
      </c>
      <c r="B9094" s="2" t="s">
        <v>18637</v>
      </c>
      <c r="C9094" s="2" t="s">
        <v>18600</v>
      </c>
    </row>
    <row r="9095">
      <c r="A9095" s="2" t="s">
        <v>18638</v>
      </c>
      <c r="B9095" s="2" t="s">
        <v>18639</v>
      </c>
      <c r="C9095" s="2" t="s">
        <v>18600</v>
      </c>
    </row>
    <row r="9096">
      <c r="A9096" s="2" t="s">
        <v>18640</v>
      </c>
      <c r="B9096" s="2" t="s">
        <v>18641</v>
      </c>
      <c r="C9096" s="2" t="s">
        <v>18600</v>
      </c>
    </row>
    <row r="9097">
      <c r="A9097" s="2" t="s">
        <v>18642</v>
      </c>
      <c r="B9097" s="2" t="s">
        <v>18643</v>
      </c>
      <c r="C9097" s="2" t="s">
        <v>18600</v>
      </c>
    </row>
    <row r="9098">
      <c r="A9098" s="2" t="s">
        <v>18644</v>
      </c>
      <c r="B9098" s="2" t="s">
        <v>18645</v>
      </c>
      <c r="C9098" s="2" t="s">
        <v>18600</v>
      </c>
    </row>
    <row r="9099">
      <c r="A9099" s="2" t="s">
        <v>18646</v>
      </c>
      <c r="B9099" s="2" t="s">
        <v>18647</v>
      </c>
      <c r="C9099" s="2" t="s">
        <v>18600</v>
      </c>
    </row>
    <row r="9100">
      <c r="A9100" s="2" t="s">
        <v>18648</v>
      </c>
      <c r="B9100" s="2" t="s">
        <v>18649</v>
      </c>
      <c r="C9100" s="2" t="s">
        <v>18600</v>
      </c>
    </row>
    <row r="9101">
      <c r="A9101" s="2" t="s">
        <v>18650</v>
      </c>
      <c r="B9101" s="2" t="s">
        <v>18651</v>
      </c>
      <c r="C9101" s="2" t="s">
        <v>18600</v>
      </c>
    </row>
    <row r="9102">
      <c r="A9102" s="2" t="s">
        <v>18652</v>
      </c>
      <c r="B9102" s="2" t="s">
        <v>18653</v>
      </c>
      <c r="C9102" s="2" t="s">
        <v>18600</v>
      </c>
    </row>
    <row r="9103">
      <c r="A9103" s="2" t="s">
        <v>18654</v>
      </c>
      <c r="B9103" s="2" t="s">
        <v>18655</v>
      </c>
      <c r="C9103" s="2" t="s">
        <v>18600</v>
      </c>
    </row>
    <row r="9104">
      <c r="A9104" s="2" t="s">
        <v>18656</v>
      </c>
      <c r="B9104" s="2" t="s">
        <v>18657</v>
      </c>
      <c r="C9104" s="2" t="s">
        <v>18600</v>
      </c>
    </row>
    <row r="9105">
      <c r="A9105" s="2" t="s">
        <v>18658</v>
      </c>
      <c r="B9105" s="2" t="s">
        <v>18659</v>
      </c>
      <c r="C9105" s="2" t="s">
        <v>18600</v>
      </c>
    </row>
    <row r="9106">
      <c r="A9106" s="2" t="s">
        <v>18660</v>
      </c>
      <c r="B9106" s="2" t="s">
        <v>18661</v>
      </c>
      <c r="C9106" s="2" t="s">
        <v>18600</v>
      </c>
    </row>
    <row r="9107">
      <c r="A9107" s="2" t="s">
        <v>18662</v>
      </c>
      <c r="B9107" s="2" t="s">
        <v>18663</v>
      </c>
      <c r="C9107" s="2" t="s">
        <v>18664</v>
      </c>
    </row>
    <row r="9108">
      <c r="A9108" s="2" t="s">
        <v>18665</v>
      </c>
      <c r="B9108" s="2" t="s">
        <v>18666</v>
      </c>
      <c r="C9108" s="2" t="s">
        <v>18664</v>
      </c>
    </row>
    <row r="9109">
      <c r="A9109" s="2" t="s">
        <v>18667</v>
      </c>
      <c r="B9109" s="2" t="s">
        <v>18668</v>
      </c>
      <c r="C9109" s="2" t="s">
        <v>18664</v>
      </c>
    </row>
    <row r="9110">
      <c r="A9110" s="2" t="s">
        <v>18669</v>
      </c>
      <c r="B9110" s="2" t="s">
        <v>18670</v>
      </c>
      <c r="C9110" s="2" t="s">
        <v>18664</v>
      </c>
    </row>
    <row r="9111">
      <c r="A9111" s="2" t="s">
        <v>18671</v>
      </c>
      <c r="B9111" s="2" t="s">
        <v>18672</v>
      </c>
      <c r="C9111" s="2" t="s">
        <v>18664</v>
      </c>
    </row>
    <row r="9112">
      <c r="A9112" s="2" t="s">
        <v>18673</v>
      </c>
      <c r="B9112" s="2" t="s">
        <v>18674</v>
      </c>
      <c r="C9112" s="2" t="s">
        <v>18664</v>
      </c>
    </row>
    <row r="9113">
      <c r="A9113" s="2" t="s">
        <v>18675</v>
      </c>
      <c r="B9113" s="2" t="s">
        <v>18676</v>
      </c>
      <c r="C9113" s="2" t="s">
        <v>18664</v>
      </c>
    </row>
    <row r="9114">
      <c r="A9114" s="2" t="s">
        <v>18677</v>
      </c>
      <c r="B9114" s="2" t="s">
        <v>7674</v>
      </c>
      <c r="C9114" s="2" t="s">
        <v>18664</v>
      </c>
    </row>
    <row r="9115">
      <c r="A9115" s="2" t="s">
        <v>18678</v>
      </c>
      <c r="B9115" s="2" t="s">
        <v>18679</v>
      </c>
      <c r="C9115" s="2" t="s">
        <v>18664</v>
      </c>
    </row>
    <row r="9116">
      <c r="A9116" s="2" t="s">
        <v>18680</v>
      </c>
      <c r="B9116" s="2" t="s">
        <v>18681</v>
      </c>
      <c r="C9116" s="2" t="s">
        <v>18664</v>
      </c>
    </row>
    <row r="9117">
      <c r="A9117" s="2" t="s">
        <v>18682</v>
      </c>
      <c r="B9117" s="2" t="s">
        <v>18683</v>
      </c>
      <c r="C9117" s="2" t="s">
        <v>18664</v>
      </c>
    </row>
    <row r="9118">
      <c r="A9118" s="2" t="s">
        <v>18684</v>
      </c>
      <c r="B9118" s="2" t="s">
        <v>18685</v>
      </c>
      <c r="C9118" s="2" t="s">
        <v>18664</v>
      </c>
    </row>
    <row r="9119">
      <c r="A9119" s="2" t="s">
        <v>18686</v>
      </c>
      <c r="B9119" s="2" t="s">
        <v>18687</v>
      </c>
      <c r="C9119" s="2" t="s">
        <v>18664</v>
      </c>
    </row>
    <row r="9120">
      <c r="A9120" s="2" t="s">
        <v>18688</v>
      </c>
      <c r="B9120" s="2" t="s">
        <v>18689</v>
      </c>
      <c r="C9120" s="2" t="s">
        <v>18664</v>
      </c>
    </row>
    <row r="9121">
      <c r="A9121" s="2" t="s">
        <v>18690</v>
      </c>
      <c r="B9121" s="2" t="s">
        <v>18691</v>
      </c>
      <c r="C9121" s="2" t="s">
        <v>18664</v>
      </c>
    </row>
    <row r="9122">
      <c r="A9122" s="2" t="s">
        <v>18692</v>
      </c>
      <c r="B9122" s="2" t="s">
        <v>18693</v>
      </c>
      <c r="C9122" s="2" t="s">
        <v>18664</v>
      </c>
    </row>
    <row r="9123">
      <c r="A9123" s="2" t="s">
        <v>18694</v>
      </c>
      <c r="B9123" s="2" t="s">
        <v>18693</v>
      </c>
      <c r="C9123" s="2" t="s">
        <v>18664</v>
      </c>
    </row>
    <row r="9124">
      <c r="A9124" s="2" t="s">
        <v>18695</v>
      </c>
      <c r="B9124" s="2" t="s">
        <v>18693</v>
      </c>
      <c r="C9124" s="2" t="s">
        <v>18664</v>
      </c>
    </row>
    <row r="9125">
      <c r="A9125" s="2" t="s">
        <v>18696</v>
      </c>
      <c r="B9125" s="2" t="s">
        <v>18693</v>
      </c>
      <c r="C9125" s="2" t="s">
        <v>18664</v>
      </c>
    </row>
    <row r="9126">
      <c r="A9126" s="2" t="s">
        <v>18697</v>
      </c>
      <c r="B9126" s="2" t="s">
        <v>18693</v>
      </c>
      <c r="C9126" s="2" t="s">
        <v>18664</v>
      </c>
    </row>
    <row r="9127">
      <c r="A9127" s="2" t="s">
        <v>18698</v>
      </c>
      <c r="B9127" s="2" t="s">
        <v>18699</v>
      </c>
      <c r="C9127" s="2" t="s">
        <v>18664</v>
      </c>
    </row>
    <row r="9128">
      <c r="A9128" s="2" t="s">
        <v>18700</v>
      </c>
      <c r="B9128" s="2" t="s">
        <v>18701</v>
      </c>
      <c r="C9128" s="2" t="s">
        <v>18664</v>
      </c>
    </row>
    <row r="9129">
      <c r="A9129" s="2" t="s">
        <v>18702</v>
      </c>
      <c r="B9129" s="2" t="s">
        <v>18703</v>
      </c>
      <c r="C9129" s="2" t="s">
        <v>18664</v>
      </c>
    </row>
    <row r="9130">
      <c r="A9130" s="2" t="s">
        <v>18704</v>
      </c>
      <c r="B9130" s="2" t="s">
        <v>18705</v>
      </c>
      <c r="C9130" s="2" t="s">
        <v>18664</v>
      </c>
    </row>
    <row r="9131">
      <c r="A9131" s="2" t="s">
        <v>18706</v>
      </c>
      <c r="B9131" s="2" t="s">
        <v>18707</v>
      </c>
      <c r="C9131" s="2" t="s">
        <v>18664</v>
      </c>
    </row>
    <row r="9132">
      <c r="A9132" s="2" t="s">
        <v>18708</v>
      </c>
      <c r="B9132" s="2" t="s">
        <v>18707</v>
      </c>
      <c r="C9132" s="2" t="s">
        <v>18664</v>
      </c>
    </row>
    <row r="9133">
      <c r="A9133" s="2" t="s">
        <v>18709</v>
      </c>
      <c r="B9133" s="2" t="s">
        <v>18707</v>
      </c>
      <c r="C9133" s="2" t="s">
        <v>18664</v>
      </c>
    </row>
    <row r="9134">
      <c r="A9134" s="2" t="s">
        <v>18710</v>
      </c>
      <c r="B9134" s="2" t="s">
        <v>18707</v>
      </c>
      <c r="C9134" s="2" t="s">
        <v>18664</v>
      </c>
    </row>
    <row r="9135">
      <c r="A9135" s="2" t="s">
        <v>18711</v>
      </c>
      <c r="B9135" s="2" t="s">
        <v>18712</v>
      </c>
      <c r="C9135" s="2" t="s">
        <v>18664</v>
      </c>
    </row>
    <row r="9136">
      <c r="A9136" s="2" t="s">
        <v>18713</v>
      </c>
      <c r="B9136" s="2" t="s">
        <v>18714</v>
      </c>
      <c r="C9136" s="2" t="s">
        <v>18664</v>
      </c>
    </row>
    <row r="9137">
      <c r="A9137" s="2" t="s">
        <v>18715</v>
      </c>
      <c r="B9137" s="2" t="s">
        <v>18716</v>
      </c>
      <c r="C9137" s="2" t="s">
        <v>18664</v>
      </c>
    </row>
    <row r="9138">
      <c r="A9138" s="2" t="s">
        <v>18717</v>
      </c>
      <c r="B9138" s="2" t="s">
        <v>18718</v>
      </c>
      <c r="C9138" s="2" t="s">
        <v>18664</v>
      </c>
    </row>
    <row r="9139">
      <c r="A9139" s="2" t="s">
        <v>18719</v>
      </c>
      <c r="B9139" s="2" t="s">
        <v>18720</v>
      </c>
      <c r="C9139" s="2" t="s">
        <v>18664</v>
      </c>
    </row>
    <row r="9140">
      <c r="A9140" s="2" t="s">
        <v>18721</v>
      </c>
      <c r="B9140" s="2" t="s">
        <v>18722</v>
      </c>
      <c r="C9140" s="2" t="s">
        <v>18664</v>
      </c>
    </row>
    <row r="9141">
      <c r="A9141" s="2" t="s">
        <v>18723</v>
      </c>
      <c r="B9141" s="2" t="s">
        <v>18724</v>
      </c>
      <c r="C9141" s="2" t="s">
        <v>18664</v>
      </c>
    </row>
    <row r="9142">
      <c r="A9142" s="2" t="s">
        <v>18725</v>
      </c>
      <c r="B9142" s="2" t="s">
        <v>18724</v>
      </c>
      <c r="C9142" s="2" t="s">
        <v>18664</v>
      </c>
    </row>
    <row r="9143">
      <c r="A9143" s="2" t="s">
        <v>18726</v>
      </c>
      <c r="B9143" s="2" t="s">
        <v>18724</v>
      </c>
      <c r="C9143" s="2" t="s">
        <v>18664</v>
      </c>
    </row>
    <row r="9144">
      <c r="A9144" s="2" t="s">
        <v>18727</v>
      </c>
      <c r="B9144" s="2" t="s">
        <v>18724</v>
      </c>
      <c r="C9144" s="2" t="s">
        <v>18664</v>
      </c>
    </row>
    <row r="9145">
      <c r="A9145" s="2" t="s">
        <v>18728</v>
      </c>
      <c r="B9145" s="2" t="s">
        <v>18724</v>
      </c>
      <c r="C9145" s="2" t="s">
        <v>18664</v>
      </c>
    </row>
    <row r="9146">
      <c r="A9146" s="2" t="s">
        <v>18729</v>
      </c>
      <c r="B9146" s="2" t="s">
        <v>18724</v>
      </c>
      <c r="C9146" s="2" t="s">
        <v>18664</v>
      </c>
    </row>
    <row r="9147">
      <c r="A9147" s="2" t="s">
        <v>18730</v>
      </c>
      <c r="B9147" s="2" t="s">
        <v>18731</v>
      </c>
      <c r="C9147" s="2" t="s">
        <v>18664</v>
      </c>
    </row>
    <row r="9148">
      <c r="A9148" s="2" t="s">
        <v>18732</v>
      </c>
      <c r="B9148" s="2" t="s">
        <v>18731</v>
      </c>
      <c r="C9148" s="2" t="s">
        <v>18664</v>
      </c>
    </row>
    <row r="9149">
      <c r="A9149" s="2" t="s">
        <v>18733</v>
      </c>
      <c r="B9149" s="2" t="s">
        <v>18731</v>
      </c>
      <c r="C9149" s="2" t="s">
        <v>18664</v>
      </c>
    </row>
    <row r="9150">
      <c r="A9150" s="2" t="s">
        <v>18734</v>
      </c>
      <c r="B9150" s="2" t="s">
        <v>18735</v>
      </c>
      <c r="C9150" s="2" t="s">
        <v>18664</v>
      </c>
    </row>
    <row r="9151">
      <c r="A9151" s="2" t="s">
        <v>18736</v>
      </c>
      <c r="B9151" s="2" t="s">
        <v>18737</v>
      </c>
      <c r="C9151" s="2" t="s">
        <v>18664</v>
      </c>
    </row>
    <row r="9152">
      <c r="A9152" s="2" t="s">
        <v>18738</v>
      </c>
      <c r="B9152" s="2" t="s">
        <v>18737</v>
      </c>
      <c r="C9152" s="2" t="s">
        <v>18664</v>
      </c>
    </row>
    <row r="9153">
      <c r="A9153" s="2" t="s">
        <v>18739</v>
      </c>
      <c r="B9153" s="2" t="s">
        <v>18737</v>
      </c>
      <c r="C9153" s="2" t="s">
        <v>18664</v>
      </c>
    </row>
    <row r="9154">
      <c r="A9154" s="2" t="s">
        <v>18740</v>
      </c>
      <c r="B9154" s="2" t="s">
        <v>18741</v>
      </c>
      <c r="C9154" s="2" t="s">
        <v>18664</v>
      </c>
    </row>
    <row r="9155">
      <c r="A9155" s="2" t="s">
        <v>18742</v>
      </c>
      <c r="B9155" s="2" t="s">
        <v>18743</v>
      </c>
      <c r="C9155" s="2" t="s">
        <v>18664</v>
      </c>
    </row>
    <row r="9156">
      <c r="A9156" s="2" t="s">
        <v>18744</v>
      </c>
      <c r="B9156" s="2" t="s">
        <v>18745</v>
      </c>
      <c r="C9156" s="2" t="s">
        <v>18664</v>
      </c>
    </row>
    <row r="9157">
      <c r="A9157" s="2" t="s">
        <v>18746</v>
      </c>
      <c r="B9157" s="2" t="s">
        <v>18747</v>
      </c>
      <c r="C9157" s="2" t="s">
        <v>18664</v>
      </c>
    </row>
    <row r="9158">
      <c r="A9158" s="2" t="s">
        <v>18748</v>
      </c>
      <c r="B9158" s="2" t="s">
        <v>18747</v>
      </c>
      <c r="C9158" s="2" t="s">
        <v>18664</v>
      </c>
    </row>
    <row r="9159">
      <c r="A9159" s="2" t="s">
        <v>18749</v>
      </c>
      <c r="B9159" s="2" t="s">
        <v>18747</v>
      </c>
      <c r="C9159" s="2" t="s">
        <v>18664</v>
      </c>
    </row>
    <row r="9160">
      <c r="A9160" s="2" t="s">
        <v>18750</v>
      </c>
      <c r="B9160" s="2" t="s">
        <v>18751</v>
      </c>
      <c r="C9160" s="2" t="s">
        <v>18664</v>
      </c>
    </row>
    <row r="9161">
      <c r="A9161" s="2" t="s">
        <v>18752</v>
      </c>
      <c r="B9161" s="2" t="s">
        <v>18753</v>
      </c>
      <c r="C9161" s="2" t="s">
        <v>18664</v>
      </c>
    </row>
    <row r="9162">
      <c r="A9162" s="2" t="s">
        <v>18754</v>
      </c>
      <c r="B9162" s="2" t="s">
        <v>18753</v>
      </c>
      <c r="C9162" s="2" t="s">
        <v>18664</v>
      </c>
    </row>
    <row r="9163">
      <c r="A9163" s="2" t="s">
        <v>18755</v>
      </c>
      <c r="B9163" s="2" t="s">
        <v>18753</v>
      </c>
      <c r="C9163" s="2" t="s">
        <v>18664</v>
      </c>
    </row>
    <row r="9164">
      <c r="A9164" s="2" t="s">
        <v>18756</v>
      </c>
      <c r="B9164" s="2" t="s">
        <v>18753</v>
      </c>
      <c r="C9164" s="2" t="s">
        <v>18664</v>
      </c>
    </row>
    <row r="9165">
      <c r="A9165" s="2" t="s">
        <v>18757</v>
      </c>
      <c r="B9165" s="2" t="s">
        <v>18753</v>
      </c>
      <c r="C9165" s="2" t="s">
        <v>18664</v>
      </c>
    </row>
    <row r="9166">
      <c r="A9166" s="2" t="s">
        <v>18758</v>
      </c>
      <c r="B9166" s="2" t="s">
        <v>18753</v>
      </c>
      <c r="C9166" s="2" t="s">
        <v>18664</v>
      </c>
    </row>
    <row r="9167">
      <c r="A9167" s="2" t="s">
        <v>18759</v>
      </c>
      <c r="B9167" s="2" t="s">
        <v>18753</v>
      </c>
      <c r="C9167" s="2" t="s">
        <v>18664</v>
      </c>
    </row>
    <row r="9168">
      <c r="A9168" s="2" t="s">
        <v>18760</v>
      </c>
      <c r="B9168" s="2" t="s">
        <v>18761</v>
      </c>
      <c r="C9168" s="2" t="s">
        <v>18664</v>
      </c>
    </row>
    <row r="9169">
      <c r="A9169" s="2" t="s">
        <v>18762</v>
      </c>
      <c r="B9169" s="2" t="s">
        <v>18763</v>
      </c>
      <c r="C9169" s="2" t="s">
        <v>18664</v>
      </c>
    </row>
    <row r="9170">
      <c r="A9170" s="2" t="s">
        <v>18764</v>
      </c>
      <c r="B9170" s="2" t="s">
        <v>18765</v>
      </c>
      <c r="C9170" s="2" t="s">
        <v>18664</v>
      </c>
    </row>
    <row r="9171">
      <c r="A9171" s="2" t="s">
        <v>18766</v>
      </c>
      <c r="B9171" s="2" t="s">
        <v>18767</v>
      </c>
      <c r="C9171" s="2" t="s">
        <v>18664</v>
      </c>
    </row>
    <row r="9172">
      <c r="A9172" s="2" t="s">
        <v>18768</v>
      </c>
      <c r="B9172" s="2" t="s">
        <v>18769</v>
      </c>
      <c r="C9172" s="2" t="s">
        <v>18664</v>
      </c>
    </row>
    <row r="9173">
      <c r="A9173" s="2" t="s">
        <v>18770</v>
      </c>
      <c r="B9173" s="2" t="s">
        <v>18771</v>
      </c>
      <c r="C9173" s="2" t="s">
        <v>18664</v>
      </c>
    </row>
    <row r="9174">
      <c r="A9174" s="2" t="s">
        <v>18772</v>
      </c>
      <c r="B9174" s="2" t="s">
        <v>18771</v>
      </c>
      <c r="C9174" s="2" t="s">
        <v>18664</v>
      </c>
    </row>
    <row r="9175">
      <c r="A9175" s="2" t="s">
        <v>18773</v>
      </c>
      <c r="B9175" s="2" t="s">
        <v>18774</v>
      </c>
      <c r="C9175" s="2" t="s">
        <v>18664</v>
      </c>
    </row>
    <row r="9176">
      <c r="A9176" s="2" t="s">
        <v>18775</v>
      </c>
      <c r="B9176" s="2" t="s">
        <v>18776</v>
      </c>
      <c r="C9176" s="2" t="s">
        <v>18664</v>
      </c>
    </row>
    <row r="9177">
      <c r="A9177" s="2" t="s">
        <v>18777</v>
      </c>
      <c r="B9177" s="2" t="s">
        <v>18778</v>
      </c>
      <c r="C9177" s="2" t="s">
        <v>18664</v>
      </c>
    </row>
    <row r="9178">
      <c r="A9178" s="2" t="s">
        <v>18779</v>
      </c>
      <c r="B9178" s="2" t="s">
        <v>18780</v>
      </c>
      <c r="C9178" s="2" t="s">
        <v>18664</v>
      </c>
    </row>
    <row r="9179">
      <c r="A9179" s="2" t="s">
        <v>18781</v>
      </c>
      <c r="B9179" s="2" t="s">
        <v>18782</v>
      </c>
      <c r="C9179" s="2" t="s">
        <v>18664</v>
      </c>
    </row>
    <row r="9180">
      <c r="A9180" s="2" t="s">
        <v>18783</v>
      </c>
      <c r="B9180" s="2" t="s">
        <v>18782</v>
      </c>
      <c r="C9180" s="2" t="s">
        <v>18664</v>
      </c>
    </row>
    <row r="9181">
      <c r="A9181" s="2" t="s">
        <v>18784</v>
      </c>
      <c r="B9181" s="2" t="s">
        <v>18785</v>
      </c>
      <c r="C9181" s="2" t="s">
        <v>18664</v>
      </c>
    </row>
    <row r="9182">
      <c r="A9182" s="2" t="s">
        <v>18786</v>
      </c>
      <c r="B9182" s="2" t="s">
        <v>18787</v>
      </c>
      <c r="C9182" s="2" t="s">
        <v>18664</v>
      </c>
    </row>
    <row r="9183">
      <c r="A9183" s="2" t="s">
        <v>18788</v>
      </c>
      <c r="B9183" s="2" t="s">
        <v>18789</v>
      </c>
      <c r="C9183" s="2" t="s">
        <v>18664</v>
      </c>
    </row>
    <row r="9184">
      <c r="A9184" s="2" t="s">
        <v>18790</v>
      </c>
      <c r="B9184" s="2" t="s">
        <v>18791</v>
      </c>
      <c r="C9184" s="2" t="s">
        <v>18664</v>
      </c>
    </row>
    <row r="9185">
      <c r="A9185" s="2" t="s">
        <v>18792</v>
      </c>
      <c r="B9185" s="2" t="s">
        <v>18793</v>
      </c>
      <c r="C9185" s="2" t="s">
        <v>18664</v>
      </c>
    </row>
    <row r="9186">
      <c r="A9186" s="2" t="s">
        <v>18794</v>
      </c>
      <c r="B9186" s="2" t="s">
        <v>18795</v>
      </c>
      <c r="C9186" s="2" t="s">
        <v>18664</v>
      </c>
    </row>
    <row r="9187">
      <c r="A9187" s="2" t="s">
        <v>18796</v>
      </c>
      <c r="B9187" s="2" t="s">
        <v>18797</v>
      </c>
      <c r="C9187" s="2" t="s">
        <v>18664</v>
      </c>
    </row>
    <row r="9188">
      <c r="A9188" s="2" t="s">
        <v>18798</v>
      </c>
      <c r="B9188" s="2" t="s">
        <v>18799</v>
      </c>
      <c r="C9188" s="2" t="s">
        <v>18664</v>
      </c>
    </row>
    <row r="9189">
      <c r="A9189" s="2" t="s">
        <v>18800</v>
      </c>
      <c r="B9189" s="2" t="s">
        <v>18801</v>
      </c>
      <c r="C9189" s="2" t="s">
        <v>18664</v>
      </c>
    </row>
    <row r="9190">
      <c r="A9190" s="2" t="s">
        <v>18802</v>
      </c>
      <c r="B9190" s="2" t="s">
        <v>18803</v>
      </c>
      <c r="C9190" s="2" t="s">
        <v>18664</v>
      </c>
    </row>
    <row r="9191">
      <c r="A9191" s="2" t="s">
        <v>18804</v>
      </c>
      <c r="B9191" s="2" t="s">
        <v>18805</v>
      </c>
      <c r="C9191" s="2" t="s">
        <v>18664</v>
      </c>
    </row>
    <row r="9192">
      <c r="A9192" s="2" t="s">
        <v>18806</v>
      </c>
      <c r="B9192" s="2" t="s">
        <v>18807</v>
      </c>
      <c r="C9192" s="2" t="s">
        <v>18664</v>
      </c>
    </row>
    <row r="9193">
      <c r="A9193" s="2" t="s">
        <v>18808</v>
      </c>
      <c r="B9193" s="2" t="s">
        <v>18809</v>
      </c>
      <c r="C9193" s="2" t="s">
        <v>18664</v>
      </c>
    </row>
    <row r="9194">
      <c r="A9194" s="2" t="s">
        <v>18810</v>
      </c>
      <c r="B9194" s="2" t="s">
        <v>18809</v>
      </c>
      <c r="C9194" s="2" t="s">
        <v>18664</v>
      </c>
    </row>
    <row r="9195">
      <c r="A9195" s="2" t="s">
        <v>18811</v>
      </c>
      <c r="B9195" s="2" t="s">
        <v>16219</v>
      </c>
      <c r="C9195" s="2" t="s">
        <v>18664</v>
      </c>
    </row>
    <row r="9196">
      <c r="A9196" s="2" t="s">
        <v>18812</v>
      </c>
      <c r="B9196" s="2" t="s">
        <v>18813</v>
      </c>
      <c r="C9196" s="2" t="s">
        <v>18664</v>
      </c>
    </row>
    <row r="9197">
      <c r="A9197" s="2" t="s">
        <v>18814</v>
      </c>
      <c r="B9197" s="2" t="s">
        <v>18815</v>
      </c>
      <c r="C9197" s="2" t="s">
        <v>18664</v>
      </c>
    </row>
    <row r="9198">
      <c r="A9198" s="2" t="s">
        <v>18816</v>
      </c>
      <c r="B9198" s="2" t="s">
        <v>18817</v>
      </c>
      <c r="C9198" s="2" t="s">
        <v>18664</v>
      </c>
    </row>
    <row r="9199">
      <c r="A9199" s="2" t="s">
        <v>18818</v>
      </c>
      <c r="B9199" s="2" t="s">
        <v>18819</v>
      </c>
      <c r="C9199" s="2" t="s">
        <v>18664</v>
      </c>
    </row>
    <row r="9200">
      <c r="A9200" s="2" t="s">
        <v>18820</v>
      </c>
      <c r="B9200" s="2" t="s">
        <v>18821</v>
      </c>
      <c r="C9200" s="2" t="s">
        <v>18664</v>
      </c>
    </row>
    <row r="9201">
      <c r="A9201" s="2" t="s">
        <v>18822</v>
      </c>
      <c r="B9201" s="2" t="s">
        <v>18823</v>
      </c>
      <c r="C9201" s="2" t="s">
        <v>18664</v>
      </c>
    </row>
    <row r="9202">
      <c r="A9202" s="2" t="s">
        <v>18824</v>
      </c>
      <c r="B9202" s="2" t="s">
        <v>18825</v>
      </c>
      <c r="C9202" s="2" t="s">
        <v>18664</v>
      </c>
    </row>
    <row r="9203">
      <c r="A9203" s="2" t="s">
        <v>18826</v>
      </c>
      <c r="B9203" s="2" t="s">
        <v>18827</v>
      </c>
      <c r="C9203" s="2" t="s">
        <v>18664</v>
      </c>
    </row>
    <row r="9204">
      <c r="A9204" s="2" t="s">
        <v>18828</v>
      </c>
      <c r="B9204" s="2" t="s">
        <v>18829</v>
      </c>
      <c r="C9204" s="2" t="s">
        <v>18664</v>
      </c>
    </row>
    <row r="9205">
      <c r="A9205" s="2" t="s">
        <v>18830</v>
      </c>
      <c r="B9205" s="2" t="s">
        <v>18831</v>
      </c>
      <c r="C9205" s="2" t="s">
        <v>18664</v>
      </c>
    </row>
    <row r="9206">
      <c r="A9206" s="2" t="s">
        <v>18832</v>
      </c>
      <c r="B9206" s="2" t="s">
        <v>18833</v>
      </c>
      <c r="C9206" s="2" t="s">
        <v>18664</v>
      </c>
    </row>
    <row r="9207">
      <c r="A9207" s="2" t="s">
        <v>18834</v>
      </c>
      <c r="B9207" s="2" t="s">
        <v>18835</v>
      </c>
      <c r="C9207" s="2" t="s">
        <v>18664</v>
      </c>
    </row>
    <row r="9208">
      <c r="A9208" s="2" t="s">
        <v>18836</v>
      </c>
      <c r="B9208" s="2" t="s">
        <v>18837</v>
      </c>
      <c r="C9208" s="2" t="s">
        <v>18664</v>
      </c>
    </row>
    <row r="9209">
      <c r="A9209" s="2" t="s">
        <v>18838</v>
      </c>
      <c r="B9209" s="2" t="s">
        <v>18839</v>
      </c>
      <c r="C9209" s="2" t="s">
        <v>18664</v>
      </c>
    </row>
    <row r="9210">
      <c r="A9210" s="2" t="s">
        <v>18840</v>
      </c>
      <c r="B9210" s="2" t="s">
        <v>18839</v>
      </c>
      <c r="C9210" s="2" t="s">
        <v>18664</v>
      </c>
    </row>
    <row r="9211">
      <c r="A9211" s="2" t="s">
        <v>18841</v>
      </c>
      <c r="B9211" s="2" t="s">
        <v>18839</v>
      </c>
      <c r="C9211" s="2" t="s">
        <v>18664</v>
      </c>
    </row>
    <row r="9212">
      <c r="A9212" s="2" t="s">
        <v>18842</v>
      </c>
      <c r="B9212" s="2" t="s">
        <v>18843</v>
      </c>
      <c r="C9212" s="2" t="s">
        <v>18664</v>
      </c>
    </row>
    <row r="9213">
      <c r="A9213" s="2" t="s">
        <v>18844</v>
      </c>
      <c r="B9213" s="2" t="s">
        <v>18843</v>
      </c>
      <c r="C9213" s="2" t="s">
        <v>18664</v>
      </c>
    </row>
    <row r="9214">
      <c r="A9214" s="2" t="s">
        <v>18845</v>
      </c>
      <c r="B9214" s="2" t="s">
        <v>1671</v>
      </c>
      <c r="C9214" s="2" t="s">
        <v>18664</v>
      </c>
    </row>
    <row r="9215">
      <c r="A9215" s="2" t="s">
        <v>18846</v>
      </c>
      <c r="B9215" s="2" t="s">
        <v>18847</v>
      </c>
      <c r="C9215" s="2" t="s">
        <v>18664</v>
      </c>
    </row>
    <row r="9216">
      <c r="A9216" s="2" t="s">
        <v>18848</v>
      </c>
      <c r="B9216" s="2" t="s">
        <v>18849</v>
      </c>
      <c r="C9216" s="2" t="s">
        <v>18664</v>
      </c>
    </row>
    <row r="9217">
      <c r="A9217" s="2" t="s">
        <v>18850</v>
      </c>
      <c r="B9217" s="2" t="s">
        <v>18849</v>
      </c>
      <c r="C9217" s="2" t="s">
        <v>18664</v>
      </c>
    </row>
    <row r="9218">
      <c r="A9218" s="2" t="s">
        <v>18851</v>
      </c>
      <c r="B9218" s="2" t="s">
        <v>18852</v>
      </c>
      <c r="C9218" s="2" t="s">
        <v>18664</v>
      </c>
    </row>
    <row r="9219">
      <c r="A9219" s="2" t="s">
        <v>18853</v>
      </c>
      <c r="B9219" s="2" t="s">
        <v>18854</v>
      </c>
      <c r="C9219" s="2" t="s">
        <v>18664</v>
      </c>
    </row>
    <row r="9220">
      <c r="A9220" s="2" t="s">
        <v>18855</v>
      </c>
      <c r="B9220" s="2" t="s">
        <v>18854</v>
      </c>
      <c r="C9220" s="2" t="s">
        <v>18664</v>
      </c>
    </row>
    <row r="9221">
      <c r="A9221" s="2" t="s">
        <v>18856</v>
      </c>
      <c r="B9221" s="2" t="s">
        <v>18857</v>
      </c>
      <c r="C9221" s="2" t="s">
        <v>18664</v>
      </c>
    </row>
    <row r="9222">
      <c r="A9222" s="2" t="s">
        <v>18858</v>
      </c>
      <c r="B9222" s="2" t="s">
        <v>18859</v>
      </c>
      <c r="C9222" s="2" t="s">
        <v>18664</v>
      </c>
    </row>
    <row r="9223">
      <c r="A9223" s="2" t="s">
        <v>18860</v>
      </c>
      <c r="B9223" s="2" t="s">
        <v>18861</v>
      </c>
      <c r="C9223" s="2" t="s">
        <v>18664</v>
      </c>
    </row>
    <row r="9224">
      <c r="A9224" s="2" t="s">
        <v>18862</v>
      </c>
      <c r="B9224" s="2" t="s">
        <v>18863</v>
      </c>
      <c r="C9224" s="2" t="s">
        <v>18664</v>
      </c>
    </row>
    <row r="9225">
      <c r="A9225" s="2" t="s">
        <v>18864</v>
      </c>
      <c r="B9225" s="2" t="s">
        <v>18865</v>
      </c>
      <c r="C9225" s="2" t="s">
        <v>18664</v>
      </c>
    </row>
    <row r="9226">
      <c r="A9226" s="2" t="s">
        <v>18866</v>
      </c>
      <c r="B9226" s="2" t="s">
        <v>18867</v>
      </c>
      <c r="C9226" s="2" t="s">
        <v>18664</v>
      </c>
    </row>
    <row r="9227">
      <c r="A9227" s="2" t="s">
        <v>18868</v>
      </c>
      <c r="B9227" s="2" t="s">
        <v>18869</v>
      </c>
      <c r="C9227" s="2" t="s">
        <v>18664</v>
      </c>
    </row>
    <row r="9228">
      <c r="A9228" s="2" t="s">
        <v>18870</v>
      </c>
      <c r="B9228" s="2" t="s">
        <v>18871</v>
      </c>
      <c r="C9228" s="2" t="s">
        <v>18664</v>
      </c>
    </row>
    <row r="9229">
      <c r="A9229" s="2" t="s">
        <v>18872</v>
      </c>
      <c r="B9229" s="2" t="s">
        <v>18873</v>
      </c>
      <c r="C9229" s="2" t="s">
        <v>18664</v>
      </c>
    </row>
    <row r="9230">
      <c r="A9230" s="2" t="s">
        <v>18874</v>
      </c>
      <c r="B9230" s="2" t="s">
        <v>18875</v>
      </c>
      <c r="C9230" s="2" t="s">
        <v>18664</v>
      </c>
    </row>
    <row r="9231">
      <c r="A9231" s="2" t="s">
        <v>18876</v>
      </c>
      <c r="B9231" s="2" t="s">
        <v>18875</v>
      </c>
      <c r="C9231" s="2" t="s">
        <v>18664</v>
      </c>
    </row>
    <row r="9232">
      <c r="A9232" s="2" t="s">
        <v>18877</v>
      </c>
      <c r="B9232" s="2" t="s">
        <v>18878</v>
      </c>
      <c r="C9232" s="2" t="s">
        <v>18664</v>
      </c>
    </row>
    <row r="9233">
      <c r="A9233" s="2" t="s">
        <v>18879</v>
      </c>
      <c r="B9233" s="2" t="s">
        <v>18880</v>
      </c>
      <c r="C9233" s="2" t="s">
        <v>18664</v>
      </c>
    </row>
    <row r="9234">
      <c r="A9234" s="2" t="s">
        <v>18881</v>
      </c>
      <c r="B9234" s="2" t="s">
        <v>18882</v>
      </c>
      <c r="C9234" s="2" t="s">
        <v>18664</v>
      </c>
    </row>
    <row r="9235">
      <c r="A9235" s="2" t="s">
        <v>18883</v>
      </c>
      <c r="B9235" s="2" t="s">
        <v>18884</v>
      </c>
      <c r="C9235" s="2" t="s">
        <v>18664</v>
      </c>
    </row>
    <row r="9236">
      <c r="A9236" s="2" t="s">
        <v>18885</v>
      </c>
      <c r="B9236" s="2" t="s">
        <v>18886</v>
      </c>
      <c r="C9236" s="2" t="s">
        <v>18664</v>
      </c>
    </row>
    <row r="9237">
      <c r="A9237" s="2" t="s">
        <v>18887</v>
      </c>
      <c r="B9237" s="2" t="s">
        <v>18888</v>
      </c>
      <c r="C9237" s="2" t="s">
        <v>18664</v>
      </c>
    </row>
    <row r="9238">
      <c r="A9238" s="2" t="s">
        <v>18889</v>
      </c>
      <c r="B9238" s="2" t="s">
        <v>18890</v>
      </c>
      <c r="C9238" s="2" t="s">
        <v>18664</v>
      </c>
    </row>
    <row r="9239">
      <c r="A9239" s="2" t="s">
        <v>18891</v>
      </c>
      <c r="B9239" s="2" t="s">
        <v>18892</v>
      </c>
      <c r="C9239" s="2" t="s">
        <v>18664</v>
      </c>
    </row>
    <row r="9240">
      <c r="A9240" s="2" t="s">
        <v>18893</v>
      </c>
      <c r="B9240" s="2" t="s">
        <v>18894</v>
      </c>
      <c r="C9240" s="2" t="s">
        <v>18664</v>
      </c>
    </row>
    <row r="9241">
      <c r="A9241" s="2" t="s">
        <v>18895</v>
      </c>
      <c r="B9241" s="2" t="s">
        <v>18896</v>
      </c>
      <c r="C9241" s="2" t="s">
        <v>18664</v>
      </c>
    </row>
    <row r="9242">
      <c r="A9242" s="2" t="s">
        <v>18897</v>
      </c>
      <c r="B9242" s="2" t="s">
        <v>16233</v>
      </c>
      <c r="C9242" s="2" t="s">
        <v>18664</v>
      </c>
    </row>
    <row r="9243">
      <c r="A9243" s="2" t="s">
        <v>18898</v>
      </c>
      <c r="B9243" s="2" t="s">
        <v>18899</v>
      </c>
      <c r="C9243" s="2" t="s">
        <v>18664</v>
      </c>
    </row>
    <row r="9244">
      <c r="A9244" s="2" t="s">
        <v>18900</v>
      </c>
      <c r="B9244" s="2" t="s">
        <v>18901</v>
      </c>
      <c r="C9244" s="2" t="s">
        <v>18664</v>
      </c>
    </row>
    <row r="9245">
      <c r="A9245" s="2" t="s">
        <v>18902</v>
      </c>
      <c r="B9245" s="2" t="s">
        <v>18903</v>
      </c>
      <c r="C9245" s="2" t="s">
        <v>18664</v>
      </c>
    </row>
    <row r="9246">
      <c r="A9246" s="2" t="s">
        <v>18904</v>
      </c>
      <c r="B9246" s="2" t="s">
        <v>18905</v>
      </c>
      <c r="C9246" s="2" t="s">
        <v>18664</v>
      </c>
    </row>
    <row r="9247">
      <c r="A9247" s="2" t="s">
        <v>18906</v>
      </c>
      <c r="B9247" s="2" t="s">
        <v>18905</v>
      </c>
      <c r="C9247" s="2" t="s">
        <v>18664</v>
      </c>
    </row>
    <row r="9248">
      <c r="A9248" s="2" t="s">
        <v>18907</v>
      </c>
      <c r="B9248" s="2" t="s">
        <v>18905</v>
      </c>
      <c r="C9248" s="2" t="s">
        <v>18664</v>
      </c>
    </row>
    <row r="9249">
      <c r="A9249" s="2" t="s">
        <v>18908</v>
      </c>
      <c r="B9249" s="2" t="s">
        <v>18905</v>
      </c>
      <c r="C9249" s="2" t="s">
        <v>18664</v>
      </c>
    </row>
    <row r="9250">
      <c r="A9250" s="2" t="s">
        <v>18909</v>
      </c>
      <c r="B9250" s="2" t="s">
        <v>18910</v>
      </c>
      <c r="C9250" s="2" t="s">
        <v>18664</v>
      </c>
    </row>
    <row r="9251">
      <c r="A9251" s="2" t="s">
        <v>18911</v>
      </c>
      <c r="B9251" s="2" t="s">
        <v>18912</v>
      </c>
      <c r="C9251" s="2" t="s">
        <v>18664</v>
      </c>
    </row>
    <row r="9252">
      <c r="A9252" s="2" t="s">
        <v>18913</v>
      </c>
      <c r="B9252" s="2" t="s">
        <v>18914</v>
      </c>
      <c r="C9252" s="2" t="s">
        <v>18664</v>
      </c>
    </row>
    <row r="9253">
      <c r="A9253" s="2" t="s">
        <v>18915</v>
      </c>
      <c r="B9253" s="2" t="s">
        <v>18914</v>
      </c>
      <c r="C9253" s="2" t="s">
        <v>18664</v>
      </c>
    </row>
    <row r="9254">
      <c r="A9254" s="2" t="s">
        <v>18916</v>
      </c>
      <c r="B9254" s="2" t="s">
        <v>18917</v>
      </c>
      <c r="C9254" s="2" t="s">
        <v>18664</v>
      </c>
    </row>
    <row r="9255">
      <c r="A9255" s="2" t="s">
        <v>18918</v>
      </c>
      <c r="B9255" s="2" t="s">
        <v>18919</v>
      </c>
      <c r="C9255" s="2" t="s">
        <v>18664</v>
      </c>
    </row>
    <row r="9256">
      <c r="A9256" s="2" t="s">
        <v>18920</v>
      </c>
      <c r="B9256" s="2" t="s">
        <v>18921</v>
      </c>
      <c r="C9256" s="2" t="s">
        <v>18664</v>
      </c>
    </row>
    <row r="9257">
      <c r="A9257" s="2" t="s">
        <v>18922</v>
      </c>
      <c r="B9257" s="2" t="s">
        <v>18923</v>
      </c>
      <c r="C9257" s="2" t="s">
        <v>18664</v>
      </c>
    </row>
    <row r="9258">
      <c r="A9258" s="2" t="s">
        <v>18924</v>
      </c>
      <c r="B9258" s="2" t="s">
        <v>18925</v>
      </c>
      <c r="C9258" s="2" t="s">
        <v>18664</v>
      </c>
    </row>
    <row r="9259">
      <c r="A9259" s="2" t="s">
        <v>18926</v>
      </c>
      <c r="B9259" s="2" t="s">
        <v>18927</v>
      </c>
      <c r="C9259" s="2" t="s">
        <v>18664</v>
      </c>
    </row>
    <row r="9260">
      <c r="A9260" s="2" t="s">
        <v>18928</v>
      </c>
      <c r="B9260" s="2" t="s">
        <v>18927</v>
      </c>
      <c r="C9260" s="2" t="s">
        <v>18664</v>
      </c>
    </row>
    <row r="9261">
      <c r="A9261" s="2" t="s">
        <v>18929</v>
      </c>
      <c r="B9261" s="2" t="s">
        <v>18930</v>
      </c>
      <c r="C9261" s="2" t="s">
        <v>18664</v>
      </c>
    </row>
    <row r="9262">
      <c r="A9262" s="2" t="s">
        <v>18931</v>
      </c>
      <c r="B9262" s="2" t="s">
        <v>18932</v>
      </c>
      <c r="C9262" s="2" t="s">
        <v>18664</v>
      </c>
    </row>
    <row r="9263">
      <c r="A9263" s="2" t="s">
        <v>18933</v>
      </c>
      <c r="B9263" s="2" t="s">
        <v>18934</v>
      </c>
      <c r="C9263" s="2" t="s">
        <v>18664</v>
      </c>
    </row>
    <row r="9264">
      <c r="A9264" s="2" t="s">
        <v>18935</v>
      </c>
      <c r="B9264" s="2" t="s">
        <v>18936</v>
      </c>
      <c r="C9264" s="2" t="s">
        <v>18664</v>
      </c>
    </row>
    <row r="9265">
      <c r="A9265" s="2" t="s">
        <v>18937</v>
      </c>
      <c r="B9265" s="2" t="s">
        <v>18938</v>
      </c>
      <c r="C9265" s="2" t="s">
        <v>18664</v>
      </c>
    </row>
    <row r="9266">
      <c r="A9266" s="2" t="s">
        <v>18939</v>
      </c>
      <c r="B9266" s="2" t="s">
        <v>18940</v>
      </c>
      <c r="C9266" s="2" t="s">
        <v>18664</v>
      </c>
    </row>
    <row r="9267">
      <c r="A9267" s="2" t="s">
        <v>18941</v>
      </c>
      <c r="B9267" s="2" t="s">
        <v>18942</v>
      </c>
      <c r="C9267" s="2" t="s">
        <v>18664</v>
      </c>
    </row>
    <row r="9268">
      <c r="A9268" s="2" t="s">
        <v>18943</v>
      </c>
      <c r="B9268" s="2" t="s">
        <v>18944</v>
      </c>
      <c r="C9268" s="2" t="s">
        <v>18664</v>
      </c>
    </row>
    <row r="9269">
      <c r="A9269" s="2" t="s">
        <v>18945</v>
      </c>
      <c r="B9269" s="2" t="s">
        <v>18946</v>
      </c>
      <c r="C9269" s="2" t="s">
        <v>18664</v>
      </c>
    </row>
    <row r="9270">
      <c r="A9270" s="2" t="s">
        <v>18947</v>
      </c>
      <c r="B9270" s="2" t="s">
        <v>18948</v>
      </c>
      <c r="C9270" s="2" t="s">
        <v>18664</v>
      </c>
    </row>
    <row r="9271">
      <c r="A9271" s="2" t="s">
        <v>18949</v>
      </c>
      <c r="B9271" s="2" t="s">
        <v>18950</v>
      </c>
      <c r="C9271" s="2" t="s">
        <v>18664</v>
      </c>
    </row>
    <row r="9272">
      <c r="A9272" s="2" t="s">
        <v>18951</v>
      </c>
      <c r="B9272" s="2" t="s">
        <v>18952</v>
      </c>
      <c r="C9272" s="2" t="s">
        <v>18664</v>
      </c>
    </row>
    <row r="9273">
      <c r="A9273" s="2" t="s">
        <v>18953</v>
      </c>
      <c r="B9273" s="2" t="s">
        <v>18954</v>
      </c>
      <c r="C9273" s="2" t="s">
        <v>18664</v>
      </c>
    </row>
    <row r="9274">
      <c r="A9274" s="2" t="s">
        <v>18955</v>
      </c>
      <c r="B9274" s="2" t="s">
        <v>18956</v>
      </c>
      <c r="C9274" s="2" t="s">
        <v>18664</v>
      </c>
    </row>
    <row r="9275">
      <c r="A9275" s="2" t="s">
        <v>18957</v>
      </c>
      <c r="B9275" s="2" t="s">
        <v>18958</v>
      </c>
      <c r="C9275" s="2" t="s">
        <v>18664</v>
      </c>
    </row>
    <row r="9276">
      <c r="A9276" s="2" t="s">
        <v>18959</v>
      </c>
      <c r="B9276" s="2" t="s">
        <v>18960</v>
      </c>
      <c r="C9276" s="2" t="s">
        <v>18664</v>
      </c>
    </row>
    <row r="9277">
      <c r="A9277" s="2" t="s">
        <v>18961</v>
      </c>
      <c r="B9277" s="2" t="s">
        <v>18962</v>
      </c>
      <c r="C9277" s="2" t="s">
        <v>18664</v>
      </c>
    </row>
    <row r="9278">
      <c r="A9278" s="2" t="s">
        <v>18963</v>
      </c>
      <c r="B9278" s="2" t="s">
        <v>18964</v>
      </c>
      <c r="C9278" s="2" t="s">
        <v>18664</v>
      </c>
    </row>
    <row r="9279">
      <c r="A9279" s="2" t="s">
        <v>18965</v>
      </c>
      <c r="B9279" s="2" t="s">
        <v>18966</v>
      </c>
      <c r="C9279" s="2" t="s">
        <v>18664</v>
      </c>
    </row>
    <row r="9280">
      <c r="A9280" s="2" t="s">
        <v>18967</v>
      </c>
      <c r="B9280" s="2" t="s">
        <v>18968</v>
      </c>
      <c r="C9280" s="2" t="s">
        <v>18664</v>
      </c>
    </row>
    <row r="9281">
      <c r="A9281" s="2" t="s">
        <v>18969</v>
      </c>
      <c r="B9281" s="2" t="s">
        <v>18968</v>
      </c>
      <c r="C9281" s="2" t="s">
        <v>18664</v>
      </c>
    </row>
    <row r="9282">
      <c r="A9282" s="2" t="s">
        <v>18970</v>
      </c>
      <c r="B9282" s="2" t="s">
        <v>18971</v>
      </c>
      <c r="C9282" s="2" t="s">
        <v>18664</v>
      </c>
    </row>
    <row r="9283">
      <c r="A9283" s="2" t="s">
        <v>18972</v>
      </c>
      <c r="B9283" s="2" t="s">
        <v>18971</v>
      </c>
      <c r="C9283" s="2" t="s">
        <v>18664</v>
      </c>
    </row>
    <row r="9284">
      <c r="A9284" s="2" t="s">
        <v>18973</v>
      </c>
      <c r="B9284" s="2" t="s">
        <v>4341</v>
      </c>
      <c r="C9284" s="2" t="s">
        <v>18664</v>
      </c>
    </row>
    <row r="9285">
      <c r="A9285" s="2" t="s">
        <v>18974</v>
      </c>
      <c r="B9285" s="2" t="s">
        <v>18975</v>
      </c>
      <c r="C9285" s="2" t="s">
        <v>18664</v>
      </c>
    </row>
    <row r="9286">
      <c r="A9286" s="2" t="s">
        <v>18976</v>
      </c>
      <c r="B9286" s="2" t="s">
        <v>18977</v>
      </c>
      <c r="C9286" s="2" t="s">
        <v>18664</v>
      </c>
    </row>
    <row r="9287">
      <c r="A9287" s="2" t="s">
        <v>18978</v>
      </c>
      <c r="B9287" s="2" t="s">
        <v>18977</v>
      </c>
      <c r="C9287" s="2" t="s">
        <v>18664</v>
      </c>
    </row>
    <row r="9288">
      <c r="A9288" s="2" t="s">
        <v>18979</v>
      </c>
      <c r="B9288" s="2" t="s">
        <v>18980</v>
      </c>
      <c r="C9288" s="2" t="s">
        <v>18664</v>
      </c>
    </row>
    <row r="9289">
      <c r="A9289" s="2" t="s">
        <v>18981</v>
      </c>
      <c r="B9289" s="2" t="s">
        <v>18980</v>
      </c>
      <c r="C9289" s="2" t="s">
        <v>18664</v>
      </c>
    </row>
    <row r="9290">
      <c r="A9290" s="2" t="s">
        <v>18982</v>
      </c>
      <c r="B9290" s="2" t="s">
        <v>18980</v>
      </c>
      <c r="C9290" s="2" t="s">
        <v>18664</v>
      </c>
    </row>
    <row r="9291">
      <c r="A9291" s="2" t="s">
        <v>18983</v>
      </c>
      <c r="B9291" s="2" t="s">
        <v>18980</v>
      </c>
      <c r="C9291" s="2" t="s">
        <v>18664</v>
      </c>
    </row>
    <row r="9292">
      <c r="A9292" s="2" t="s">
        <v>18984</v>
      </c>
      <c r="B9292" s="2" t="s">
        <v>18985</v>
      </c>
      <c r="C9292" s="2" t="s">
        <v>18664</v>
      </c>
    </row>
    <row r="9293">
      <c r="A9293" s="2" t="s">
        <v>18986</v>
      </c>
      <c r="B9293" s="2" t="s">
        <v>18985</v>
      </c>
      <c r="C9293" s="2" t="s">
        <v>18664</v>
      </c>
    </row>
    <row r="9294">
      <c r="A9294" s="2" t="s">
        <v>18987</v>
      </c>
      <c r="B9294" s="2" t="s">
        <v>18985</v>
      </c>
      <c r="C9294" s="2" t="s">
        <v>18664</v>
      </c>
    </row>
    <row r="9295">
      <c r="A9295" s="2" t="s">
        <v>18988</v>
      </c>
      <c r="B9295" s="2" t="s">
        <v>18989</v>
      </c>
      <c r="C9295" s="2" t="s">
        <v>18664</v>
      </c>
    </row>
    <row r="9296">
      <c r="A9296" s="2" t="s">
        <v>18990</v>
      </c>
      <c r="B9296" s="2" t="s">
        <v>18989</v>
      </c>
      <c r="C9296" s="2" t="s">
        <v>18664</v>
      </c>
    </row>
    <row r="9297">
      <c r="A9297" s="2" t="s">
        <v>18991</v>
      </c>
      <c r="B9297" s="2" t="s">
        <v>18989</v>
      </c>
      <c r="C9297" s="2" t="s">
        <v>18664</v>
      </c>
    </row>
    <row r="9298">
      <c r="A9298" s="2" t="s">
        <v>18992</v>
      </c>
      <c r="B9298" s="2" t="s">
        <v>18989</v>
      </c>
      <c r="C9298" s="2" t="s">
        <v>18664</v>
      </c>
    </row>
    <row r="9299">
      <c r="A9299" s="2" t="s">
        <v>18993</v>
      </c>
      <c r="B9299" s="2" t="s">
        <v>18989</v>
      </c>
      <c r="C9299" s="2" t="s">
        <v>18664</v>
      </c>
    </row>
    <row r="9300">
      <c r="A9300" s="2" t="s">
        <v>18994</v>
      </c>
      <c r="B9300" s="2" t="s">
        <v>18995</v>
      </c>
      <c r="C9300" s="2" t="s">
        <v>18664</v>
      </c>
    </row>
    <row r="9301">
      <c r="A9301" s="2" t="s">
        <v>18996</v>
      </c>
      <c r="B9301" s="2" t="s">
        <v>18995</v>
      </c>
      <c r="C9301" s="2" t="s">
        <v>18664</v>
      </c>
    </row>
    <row r="9302">
      <c r="A9302" s="2" t="s">
        <v>18997</v>
      </c>
      <c r="B9302" s="2" t="s">
        <v>18995</v>
      </c>
      <c r="C9302" s="2" t="s">
        <v>18664</v>
      </c>
    </row>
    <row r="9303">
      <c r="A9303" s="2" t="s">
        <v>18998</v>
      </c>
      <c r="B9303" s="2" t="s">
        <v>18995</v>
      </c>
      <c r="C9303" s="2" t="s">
        <v>18664</v>
      </c>
    </row>
    <row r="9304">
      <c r="A9304" s="2" t="s">
        <v>18999</v>
      </c>
      <c r="B9304" s="2" t="s">
        <v>18995</v>
      </c>
      <c r="C9304" s="2" t="s">
        <v>18664</v>
      </c>
    </row>
    <row r="9305">
      <c r="A9305" s="2" t="s">
        <v>19000</v>
      </c>
      <c r="B9305" s="2" t="s">
        <v>18995</v>
      </c>
      <c r="C9305" s="2" t="s">
        <v>18664</v>
      </c>
    </row>
    <row r="9306">
      <c r="A9306" s="2" t="s">
        <v>19001</v>
      </c>
      <c r="B9306" s="2" t="s">
        <v>18995</v>
      </c>
      <c r="C9306" s="2" t="s">
        <v>18664</v>
      </c>
    </row>
    <row r="9307">
      <c r="A9307" s="2" t="s">
        <v>19002</v>
      </c>
      <c r="B9307" s="2" t="s">
        <v>18995</v>
      </c>
      <c r="C9307" s="2" t="s">
        <v>18664</v>
      </c>
    </row>
    <row r="9308">
      <c r="A9308" s="2" t="s">
        <v>19003</v>
      </c>
      <c r="B9308" s="2" t="s">
        <v>18995</v>
      </c>
      <c r="C9308" s="2" t="s">
        <v>18664</v>
      </c>
    </row>
    <row r="9309">
      <c r="A9309" s="2" t="s">
        <v>19004</v>
      </c>
      <c r="B9309" s="2" t="s">
        <v>18995</v>
      </c>
      <c r="C9309" s="2" t="s">
        <v>18664</v>
      </c>
    </row>
    <row r="9310">
      <c r="A9310" s="2" t="s">
        <v>19005</v>
      </c>
      <c r="B9310" s="2" t="s">
        <v>18995</v>
      </c>
      <c r="C9310" s="2" t="s">
        <v>18664</v>
      </c>
    </row>
    <row r="9311">
      <c r="A9311" s="2" t="s">
        <v>19006</v>
      </c>
      <c r="B9311" s="2" t="s">
        <v>18995</v>
      </c>
      <c r="C9311" s="2" t="s">
        <v>18664</v>
      </c>
    </row>
    <row r="9312">
      <c r="A9312" s="2" t="s">
        <v>19007</v>
      </c>
      <c r="B9312" s="2" t="s">
        <v>19008</v>
      </c>
      <c r="C9312" s="2" t="s">
        <v>18664</v>
      </c>
    </row>
    <row r="9313">
      <c r="A9313" s="2" t="s">
        <v>19009</v>
      </c>
      <c r="B9313" s="2" t="s">
        <v>19010</v>
      </c>
      <c r="C9313" s="2" t="s">
        <v>18664</v>
      </c>
    </row>
    <row r="9314">
      <c r="A9314" s="2" t="s">
        <v>19011</v>
      </c>
      <c r="B9314" s="2" t="s">
        <v>19012</v>
      </c>
      <c r="C9314" s="2" t="s">
        <v>18664</v>
      </c>
    </row>
    <row r="9315">
      <c r="A9315" s="2" t="s">
        <v>19013</v>
      </c>
      <c r="B9315" s="2" t="s">
        <v>19014</v>
      </c>
      <c r="C9315" s="2" t="s">
        <v>18664</v>
      </c>
    </row>
    <row r="9316">
      <c r="A9316" s="2" t="s">
        <v>19015</v>
      </c>
      <c r="B9316" s="2" t="s">
        <v>19016</v>
      </c>
      <c r="C9316" s="2" t="s">
        <v>18664</v>
      </c>
    </row>
    <row r="9317">
      <c r="A9317" s="2" t="s">
        <v>19017</v>
      </c>
      <c r="B9317" s="2" t="s">
        <v>19018</v>
      </c>
      <c r="C9317" s="2" t="s">
        <v>18664</v>
      </c>
    </row>
    <row r="9318">
      <c r="A9318" s="2" t="s">
        <v>19019</v>
      </c>
      <c r="B9318" s="2" t="s">
        <v>19018</v>
      </c>
      <c r="C9318" s="2" t="s">
        <v>18664</v>
      </c>
    </row>
    <row r="9319">
      <c r="A9319" s="2" t="s">
        <v>19020</v>
      </c>
      <c r="B9319" s="2" t="s">
        <v>19018</v>
      </c>
      <c r="C9319" s="2" t="s">
        <v>18664</v>
      </c>
    </row>
    <row r="9320">
      <c r="A9320" s="2" t="s">
        <v>19021</v>
      </c>
      <c r="B9320" s="2" t="s">
        <v>19018</v>
      </c>
      <c r="C9320" s="2" t="s">
        <v>18664</v>
      </c>
    </row>
    <row r="9321">
      <c r="A9321" s="2" t="s">
        <v>19022</v>
      </c>
      <c r="B9321" s="2" t="s">
        <v>19018</v>
      </c>
      <c r="C9321" s="2" t="s">
        <v>18664</v>
      </c>
    </row>
    <row r="9322">
      <c r="A9322" s="2" t="s">
        <v>19023</v>
      </c>
      <c r="B9322" s="2" t="s">
        <v>19024</v>
      </c>
      <c r="C9322" s="2" t="s">
        <v>18664</v>
      </c>
    </row>
    <row r="9323">
      <c r="A9323" s="2" t="s">
        <v>19025</v>
      </c>
      <c r="B9323" s="2" t="s">
        <v>19026</v>
      </c>
      <c r="C9323" s="2" t="s">
        <v>18664</v>
      </c>
    </row>
    <row r="9324">
      <c r="A9324" s="2" t="s">
        <v>19027</v>
      </c>
      <c r="B9324" s="2" t="s">
        <v>16143</v>
      </c>
      <c r="C9324" s="2" t="s">
        <v>18664</v>
      </c>
    </row>
    <row r="9325">
      <c r="A9325" s="2" t="s">
        <v>19028</v>
      </c>
      <c r="B9325" s="2" t="s">
        <v>19029</v>
      </c>
      <c r="C9325" s="2" t="s">
        <v>18664</v>
      </c>
    </row>
    <row r="9326">
      <c r="A9326" s="2" t="s">
        <v>19030</v>
      </c>
      <c r="B9326" s="2" t="s">
        <v>19031</v>
      </c>
      <c r="C9326" s="2" t="s">
        <v>18664</v>
      </c>
    </row>
    <row r="9327">
      <c r="A9327" s="2" t="s">
        <v>19032</v>
      </c>
      <c r="B9327" s="2" t="s">
        <v>19031</v>
      </c>
      <c r="C9327" s="2" t="s">
        <v>18664</v>
      </c>
    </row>
    <row r="9328">
      <c r="A9328" s="2" t="s">
        <v>19033</v>
      </c>
      <c r="B9328" s="2" t="s">
        <v>19031</v>
      </c>
      <c r="C9328" s="2" t="s">
        <v>18664</v>
      </c>
    </row>
    <row r="9329">
      <c r="A9329" s="2" t="s">
        <v>19034</v>
      </c>
      <c r="B9329" s="2" t="s">
        <v>19031</v>
      </c>
      <c r="C9329" s="2" t="s">
        <v>18664</v>
      </c>
    </row>
    <row r="9330">
      <c r="A9330" s="2" t="s">
        <v>19035</v>
      </c>
      <c r="B9330" s="2" t="s">
        <v>19031</v>
      </c>
      <c r="C9330" s="2" t="s">
        <v>18664</v>
      </c>
    </row>
    <row r="9331">
      <c r="A9331" s="2" t="s">
        <v>19036</v>
      </c>
      <c r="B9331" s="2" t="s">
        <v>19031</v>
      </c>
      <c r="C9331" s="2" t="s">
        <v>18664</v>
      </c>
    </row>
    <row r="9332">
      <c r="A9332" s="2" t="s">
        <v>19037</v>
      </c>
      <c r="B9332" s="2" t="s">
        <v>19038</v>
      </c>
      <c r="C9332" s="2" t="s">
        <v>18664</v>
      </c>
    </row>
    <row r="9333">
      <c r="A9333" s="2" t="s">
        <v>19039</v>
      </c>
      <c r="B9333" s="2" t="s">
        <v>19040</v>
      </c>
      <c r="C9333" s="2" t="s">
        <v>18664</v>
      </c>
    </row>
    <row r="9334">
      <c r="A9334" s="2" t="s">
        <v>19041</v>
      </c>
      <c r="B9334" s="2" t="s">
        <v>19042</v>
      </c>
      <c r="C9334" s="2" t="s">
        <v>18664</v>
      </c>
    </row>
    <row r="9335">
      <c r="A9335" s="2" t="s">
        <v>19043</v>
      </c>
      <c r="B9335" s="2" t="s">
        <v>19044</v>
      </c>
      <c r="C9335" s="2" t="s">
        <v>18664</v>
      </c>
    </row>
    <row r="9336">
      <c r="A9336" s="2" t="s">
        <v>19045</v>
      </c>
      <c r="B9336" s="2" t="s">
        <v>19044</v>
      </c>
      <c r="C9336" s="2" t="s">
        <v>18664</v>
      </c>
    </row>
    <row r="9337">
      <c r="A9337" s="2" t="s">
        <v>19046</v>
      </c>
      <c r="B9337" s="2" t="s">
        <v>19044</v>
      </c>
      <c r="C9337" s="2" t="s">
        <v>18664</v>
      </c>
    </row>
    <row r="9338">
      <c r="A9338" s="2" t="s">
        <v>19047</v>
      </c>
      <c r="B9338" s="2" t="s">
        <v>19044</v>
      </c>
      <c r="C9338" s="2" t="s">
        <v>18664</v>
      </c>
    </row>
    <row r="9339">
      <c r="A9339" s="2" t="s">
        <v>19048</v>
      </c>
      <c r="B9339" s="2" t="s">
        <v>19049</v>
      </c>
      <c r="C9339" s="2" t="s">
        <v>18664</v>
      </c>
    </row>
    <row r="9340">
      <c r="A9340" s="2" t="s">
        <v>19050</v>
      </c>
      <c r="B9340" s="2" t="s">
        <v>19049</v>
      </c>
      <c r="C9340" s="2" t="s">
        <v>18664</v>
      </c>
    </row>
    <row r="9341">
      <c r="A9341" s="2" t="s">
        <v>19051</v>
      </c>
      <c r="B9341" s="2" t="s">
        <v>19052</v>
      </c>
      <c r="C9341" s="2" t="s">
        <v>18664</v>
      </c>
    </row>
    <row r="9342">
      <c r="A9342" s="2" t="s">
        <v>19053</v>
      </c>
      <c r="B9342" s="2" t="s">
        <v>19054</v>
      </c>
      <c r="C9342" s="2" t="s">
        <v>18664</v>
      </c>
    </row>
    <row r="9343">
      <c r="A9343" s="2" t="s">
        <v>19055</v>
      </c>
      <c r="B9343" s="2" t="s">
        <v>19056</v>
      </c>
      <c r="C9343" s="2" t="s">
        <v>18664</v>
      </c>
    </row>
    <row r="9344">
      <c r="A9344" s="2" t="s">
        <v>19057</v>
      </c>
      <c r="B9344" s="2" t="s">
        <v>19058</v>
      </c>
      <c r="C9344" s="2" t="s">
        <v>18664</v>
      </c>
    </row>
    <row r="9345">
      <c r="A9345" s="2" t="s">
        <v>19059</v>
      </c>
      <c r="B9345" s="2" t="s">
        <v>19060</v>
      </c>
      <c r="C9345" s="2" t="s">
        <v>18664</v>
      </c>
    </row>
    <row r="9346">
      <c r="A9346" s="2" t="s">
        <v>19061</v>
      </c>
      <c r="B9346" s="2" t="s">
        <v>19062</v>
      </c>
      <c r="C9346" s="2" t="s">
        <v>18664</v>
      </c>
    </row>
    <row r="9347">
      <c r="A9347" s="2" t="s">
        <v>19063</v>
      </c>
      <c r="B9347" s="2" t="s">
        <v>19064</v>
      </c>
      <c r="C9347" s="2" t="s">
        <v>18664</v>
      </c>
    </row>
    <row r="9348">
      <c r="A9348" s="2" t="s">
        <v>19065</v>
      </c>
      <c r="B9348" s="2" t="s">
        <v>19066</v>
      </c>
      <c r="C9348" s="2" t="s">
        <v>18664</v>
      </c>
    </row>
    <row r="9349">
      <c r="A9349" s="2" t="s">
        <v>19067</v>
      </c>
      <c r="B9349" s="2" t="s">
        <v>19068</v>
      </c>
      <c r="C9349" s="2" t="s">
        <v>18664</v>
      </c>
    </row>
    <row r="9350">
      <c r="A9350" s="2" t="s">
        <v>19069</v>
      </c>
      <c r="B9350" s="2" t="s">
        <v>19068</v>
      </c>
      <c r="C9350" s="2" t="s">
        <v>18664</v>
      </c>
    </row>
    <row r="9351">
      <c r="A9351" s="2" t="s">
        <v>19070</v>
      </c>
      <c r="B9351" s="2" t="s">
        <v>19071</v>
      </c>
      <c r="C9351" s="2" t="s">
        <v>18664</v>
      </c>
    </row>
    <row r="9352">
      <c r="A9352" s="2" t="s">
        <v>19072</v>
      </c>
      <c r="B9352" s="2" t="s">
        <v>19073</v>
      </c>
      <c r="C9352" s="2" t="s">
        <v>18664</v>
      </c>
    </row>
    <row r="9353">
      <c r="A9353" s="2" t="s">
        <v>19074</v>
      </c>
      <c r="B9353" s="2" t="s">
        <v>19075</v>
      </c>
      <c r="C9353" s="2" t="s">
        <v>18664</v>
      </c>
    </row>
    <row r="9354">
      <c r="A9354" s="2" t="s">
        <v>19076</v>
      </c>
      <c r="B9354" s="2" t="s">
        <v>19077</v>
      </c>
      <c r="C9354" s="2" t="s">
        <v>18664</v>
      </c>
    </row>
    <row r="9355">
      <c r="A9355" s="2" t="s">
        <v>19078</v>
      </c>
      <c r="B9355" s="2" t="s">
        <v>19079</v>
      </c>
      <c r="C9355" s="2" t="s">
        <v>18664</v>
      </c>
    </row>
    <row r="9356">
      <c r="A9356" s="2" t="s">
        <v>19080</v>
      </c>
      <c r="B9356" s="2" t="s">
        <v>19081</v>
      </c>
      <c r="C9356" s="2" t="s">
        <v>18664</v>
      </c>
    </row>
    <row r="9357">
      <c r="A9357" s="2" t="s">
        <v>19082</v>
      </c>
      <c r="B9357" s="2" t="s">
        <v>19083</v>
      </c>
      <c r="C9357" s="2" t="s">
        <v>18664</v>
      </c>
    </row>
    <row r="9358">
      <c r="A9358" s="2" t="s">
        <v>19084</v>
      </c>
      <c r="B9358" s="2" t="s">
        <v>19085</v>
      </c>
      <c r="C9358" s="2" t="s">
        <v>18664</v>
      </c>
    </row>
    <row r="9359">
      <c r="A9359" s="2" t="s">
        <v>19086</v>
      </c>
      <c r="B9359" s="2" t="s">
        <v>19087</v>
      </c>
      <c r="C9359" s="2" t="s">
        <v>18664</v>
      </c>
    </row>
    <row r="9360">
      <c r="A9360" s="2" t="s">
        <v>19088</v>
      </c>
      <c r="B9360" s="2" t="s">
        <v>19089</v>
      </c>
      <c r="C9360" s="2" t="s">
        <v>18664</v>
      </c>
    </row>
    <row r="9361">
      <c r="A9361" s="2" t="s">
        <v>19090</v>
      </c>
      <c r="B9361" s="2" t="s">
        <v>19091</v>
      </c>
      <c r="C9361" s="2" t="s">
        <v>18664</v>
      </c>
    </row>
    <row r="9362">
      <c r="A9362" s="2" t="s">
        <v>19092</v>
      </c>
      <c r="B9362" s="2" t="s">
        <v>19093</v>
      </c>
      <c r="C9362" s="2" t="s">
        <v>18664</v>
      </c>
    </row>
    <row r="9363">
      <c r="A9363" s="2" t="s">
        <v>19094</v>
      </c>
      <c r="B9363" s="2" t="s">
        <v>19095</v>
      </c>
      <c r="C9363" s="2" t="s">
        <v>18664</v>
      </c>
    </row>
    <row r="9364">
      <c r="A9364" s="2" t="s">
        <v>19096</v>
      </c>
      <c r="B9364" s="2" t="s">
        <v>19097</v>
      </c>
      <c r="C9364" s="2" t="s">
        <v>18664</v>
      </c>
    </row>
    <row r="9365">
      <c r="A9365" s="2" t="s">
        <v>19098</v>
      </c>
      <c r="B9365" s="2" t="s">
        <v>19099</v>
      </c>
      <c r="C9365" s="2" t="s">
        <v>18664</v>
      </c>
    </row>
    <row r="9366">
      <c r="A9366" s="2" t="s">
        <v>19100</v>
      </c>
      <c r="B9366" s="2" t="s">
        <v>19101</v>
      </c>
      <c r="C9366" s="2" t="s">
        <v>18664</v>
      </c>
    </row>
    <row r="9367">
      <c r="A9367" s="2" t="s">
        <v>19102</v>
      </c>
      <c r="B9367" s="2" t="s">
        <v>19103</v>
      </c>
      <c r="C9367" s="2" t="s">
        <v>18664</v>
      </c>
    </row>
    <row r="9368">
      <c r="A9368" s="2" t="s">
        <v>19104</v>
      </c>
      <c r="B9368" s="2" t="s">
        <v>19105</v>
      </c>
      <c r="C9368" s="2" t="s">
        <v>18664</v>
      </c>
    </row>
    <row r="9369">
      <c r="A9369" s="2" t="s">
        <v>19106</v>
      </c>
      <c r="B9369" s="2" t="s">
        <v>19105</v>
      </c>
      <c r="C9369" s="2" t="s">
        <v>18664</v>
      </c>
    </row>
    <row r="9370">
      <c r="A9370" s="2" t="s">
        <v>19107</v>
      </c>
      <c r="B9370" s="2" t="s">
        <v>19105</v>
      </c>
      <c r="C9370" s="2" t="s">
        <v>18664</v>
      </c>
    </row>
    <row r="9371">
      <c r="A9371" s="2" t="s">
        <v>19108</v>
      </c>
      <c r="B9371" s="2" t="s">
        <v>19109</v>
      </c>
      <c r="C9371" s="2" t="s">
        <v>18664</v>
      </c>
    </row>
    <row r="9372">
      <c r="A9372" s="2" t="s">
        <v>19110</v>
      </c>
      <c r="B9372" s="2" t="s">
        <v>19111</v>
      </c>
      <c r="C9372" s="2" t="s">
        <v>18664</v>
      </c>
    </row>
    <row r="9373">
      <c r="A9373" s="2" t="s">
        <v>19112</v>
      </c>
      <c r="B9373" s="2" t="s">
        <v>19113</v>
      </c>
      <c r="C9373" s="2" t="s">
        <v>18664</v>
      </c>
    </row>
    <row r="9374">
      <c r="A9374" s="2" t="s">
        <v>19114</v>
      </c>
      <c r="B9374" s="2" t="s">
        <v>19115</v>
      </c>
      <c r="C9374" s="2" t="s">
        <v>18664</v>
      </c>
    </row>
    <row r="9375">
      <c r="A9375" s="2" t="s">
        <v>19116</v>
      </c>
      <c r="B9375" s="2" t="s">
        <v>19117</v>
      </c>
      <c r="C9375" s="2" t="s">
        <v>18664</v>
      </c>
    </row>
    <row r="9376">
      <c r="A9376" s="2" t="s">
        <v>19118</v>
      </c>
      <c r="B9376" s="2" t="s">
        <v>19119</v>
      </c>
      <c r="C9376" s="2" t="s">
        <v>18664</v>
      </c>
    </row>
    <row r="9377">
      <c r="A9377" s="2" t="s">
        <v>19120</v>
      </c>
      <c r="B9377" s="2" t="s">
        <v>19121</v>
      </c>
      <c r="C9377" s="2" t="s">
        <v>18664</v>
      </c>
    </row>
    <row r="9378">
      <c r="A9378" s="2" t="s">
        <v>19122</v>
      </c>
      <c r="B9378" s="2" t="s">
        <v>19123</v>
      </c>
      <c r="C9378" s="2" t="s">
        <v>18664</v>
      </c>
    </row>
    <row r="9379">
      <c r="A9379" s="2" t="s">
        <v>19124</v>
      </c>
      <c r="B9379" s="2" t="s">
        <v>19125</v>
      </c>
      <c r="C9379" s="2" t="s">
        <v>18664</v>
      </c>
    </row>
    <row r="9380">
      <c r="A9380" s="2" t="s">
        <v>19126</v>
      </c>
      <c r="B9380" s="2" t="s">
        <v>19127</v>
      </c>
      <c r="C9380" s="2" t="s">
        <v>18664</v>
      </c>
    </row>
    <row r="9381">
      <c r="A9381" s="2" t="s">
        <v>19128</v>
      </c>
      <c r="B9381" s="2" t="s">
        <v>19129</v>
      </c>
      <c r="C9381" s="2" t="s">
        <v>18664</v>
      </c>
    </row>
    <row r="9382">
      <c r="A9382" s="2" t="s">
        <v>19130</v>
      </c>
      <c r="B9382" s="2" t="s">
        <v>19131</v>
      </c>
      <c r="C9382" s="2" t="s">
        <v>18664</v>
      </c>
    </row>
    <row r="9383">
      <c r="A9383" s="2" t="s">
        <v>19132</v>
      </c>
      <c r="B9383" s="2" t="s">
        <v>19133</v>
      </c>
      <c r="C9383" s="2" t="s">
        <v>18664</v>
      </c>
    </row>
    <row r="9384">
      <c r="A9384" s="2" t="s">
        <v>19134</v>
      </c>
      <c r="B9384" s="2" t="s">
        <v>19135</v>
      </c>
      <c r="C9384" s="2" t="s">
        <v>18664</v>
      </c>
    </row>
    <row r="9385">
      <c r="A9385" s="2" t="s">
        <v>19136</v>
      </c>
      <c r="B9385" s="2" t="s">
        <v>19137</v>
      </c>
      <c r="C9385" s="2" t="s">
        <v>18664</v>
      </c>
    </row>
    <row r="9386">
      <c r="A9386" s="2" t="s">
        <v>19138</v>
      </c>
      <c r="B9386" s="2" t="s">
        <v>19139</v>
      </c>
      <c r="C9386" s="2" t="s">
        <v>18664</v>
      </c>
    </row>
    <row r="9387">
      <c r="A9387" s="2" t="s">
        <v>19140</v>
      </c>
      <c r="B9387" s="2" t="s">
        <v>19141</v>
      </c>
      <c r="C9387" s="2" t="s">
        <v>18664</v>
      </c>
    </row>
    <row r="9388">
      <c r="A9388" s="2" t="s">
        <v>19142</v>
      </c>
      <c r="B9388" s="2" t="s">
        <v>19143</v>
      </c>
      <c r="C9388" s="2" t="s">
        <v>18664</v>
      </c>
    </row>
    <row r="9389">
      <c r="A9389" s="2" t="s">
        <v>19144</v>
      </c>
      <c r="B9389" s="2" t="s">
        <v>19145</v>
      </c>
      <c r="C9389" s="2" t="s">
        <v>18664</v>
      </c>
    </row>
    <row r="9390">
      <c r="A9390" s="2" t="s">
        <v>19146</v>
      </c>
      <c r="B9390" s="2" t="s">
        <v>19145</v>
      </c>
      <c r="C9390" s="2" t="s">
        <v>18664</v>
      </c>
    </row>
    <row r="9391">
      <c r="A9391" s="2" t="s">
        <v>19147</v>
      </c>
      <c r="B9391" s="2" t="s">
        <v>19148</v>
      </c>
      <c r="C9391" s="2" t="s">
        <v>18664</v>
      </c>
    </row>
    <row r="9392">
      <c r="A9392" s="2" t="s">
        <v>19149</v>
      </c>
      <c r="B9392" s="2" t="s">
        <v>19150</v>
      </c>
      <c r="C9392" s="2" t="s">
        <v>18664</v>
      </c>
    </row>
    <row r="9393">
      <c r="A9393" s="2" t="s">
        <v>19151</v>
      </c>
      <c r="B9393" s="2" t="s">
        <v>19152</v>
      </c>
      <c r="C9393" s="2" t="s">
        <v>18664</v>
      </c>
    </row>
    <row r="9394">
      <c r="A9394" s="2" t="s">
        <v>19153</v>
      </c>
      <c r="B9394" s="2" t="s">
        <v>19154</v>
      </c>
      <c r="C9394" s="2" t="s">
        <v>18664</v>
      </c>
    </row>
    <row r="9395">
      <c r="A9395" s="2" t="s">
        <v>19155</v>
      </c>
      <c r="B9395" s="2" t="s">
        <v>19154</v>
      </c>
      <c r="C9395" s="2" t="s">
        <v>18664</v>
      </c>
    </row>
    <row r="9396">
      <c r="A9396" s="2" t="s">
        <v>19156</v>
      </c>
      <c r="B9396" s="2" t="s">
        <v>19157</v>
      </c>
      <c r="C9396" s="2" t="s">
        <v>18664</v>
      </c>
    </row>
    <row r="9397">
      <c r="A9397" s="2" t="s">
        <v>19158</v>
      </c>
      <c r="B9397" s="2" t="s">
        <v>19159</v>
      </c>
      <c r="C9397" s="2" t="s">
        <v>18664</v>
      </c>
    </row>
    <row r="9398">
      <c r="A9398" s="2" t="s">
        <v>19160</v>
      </c>
      <c r="B9398" s="2" t="s">
        <v>19161</v>
      </c>
      <c r="C9398" s="2" t="s">
        <v>18664</v>
      </c>
    </row>
    <row r="9399">
      <c r="A9399" s="2" t="s">
        <v>19162</v>
      </c>
      <c r="B9399" s="2" t="s">
        <v>19163</v>
      </c>
      <c r="C9399" s="2" t="s">
        <v>18664</v>
      </c>
    </row>
    <row r="9400">
      <c r="A9400" s="2" t="s">
        <v>19164</v>
      </c>
      <c r="B9400" s="2" t="s">
        <v>19165</v>
      </c>
      <c r="C9400" s="2" t="s">
        <v>18664</v>
      </c>
    </row>
    <row r="9401">
      <c r="A9401" s="2" t="s">
        <v>19166</v>
      </c>
      <c r="B9401" s="2" t="s">
        <v>19167</v>
      </c>
      <c r="C9401" s="2" t="s">
        <v>18664</v>
      </c>
    </row>
    <row r="9402">
      <c r="A9402" s="2" t="s">
        <v>19168</v>
      </c>
      <c r="B9402" s="2" t="s">
        <v>19169</v>
      </c>
      <c r="C9402" s="2" t="s">
        <v>18664</v>
      </c>
    </row>
    <row r="9403">
      <c r="A9403" s="2" t="s">
        <v>19170</v>
      </c>
      <c r="B9403" s="2" t="s">
        <v>19171</v>
      </c>
      <c r="C9403" s="2" t="s">
        <v>18664</v>
      </c>
    </row>
    <row r="9404">
      <c r="A9404" s="2" t="s">
        <v>19172</v>
      </c>
      <c r="B9404" s="2" t="s">
        <v>19173</v>
      </c>
      <c r="C9404" s="2" t="s">
        <v>18664</v>
      </c>
    </row>
    <row r="9405">
      <c r="A9405" s="2" t="s">
        <v>19174</v>
      </c>
      <c r="B9405" s="2" t="s">
        <v>19175</v>
      </c>
      <c r="C9405" s="2" t="s">
        <v>18664</v>
      </c>
    </row>
    <row r="9406">
      <c r="A9406" s="2" t="s">
        <v>19176</v>
      </c>
      <c r="B9406" s="2" t="s">
        <v>19177</v>
      </c>
      <c r="C9406" s="2" t="s">
        <v>18664</v>
      </c>
    </row>
    <row r="9407">
      <c r="A9407" s="2" t="s">
        <v>19178</v>
      </c>
      <c r="B9407" s="2" t="s">
        <v>19179</v>
      </c>
      <c r="C9407" s="2" t="s">
        <v>18664</v>
      </c>
    </row>
    <row r="9408">
      <c r="A9408" s="2" t="s">
        <v>19180</v>
      </c>
      <c r="B9408" s="2" t="s">
        <v>19181</v>
      </c>
      <c r="C9408" s="2" t="s">
        <v>18664</v>
      </c>
    </row>
    <row r="9409">
      <c r="A9409" s="2" t="s">
        <v>19182</v>
      </c>
      <c r="B9409" s="2" t="s">
        <v>19183</v>
      </c>
      <c r="C9409" s="2" t="s">
        <v>18664</v>
      </c>
    </row>
    <row r="9410">
      <c r="A9410" s="2" t="s">
        <v>19184</v>
      </c>
      <c r="B9410" s="2" t="s">
        <v>19185</v>
      </c>
      <c r="C9410" s="2" t="s">
        <v>18664</v>
      </c>
    </row>
    <row r="9411">
      <c r="A9411" s="2" t="s">
        <v>19186</v>
      </c>
      <c r="B9411" s="2" t="s">
        <v>19187</v>
      </c>
      <c r="C9411" s="2" t="s">
        <v>18664</v>
      </c>
    </row>
    <row r="9412">
      <c r="A9412" s="2" t="s">
        <v>19188</v>
      </c>
      <c r="B9412" s="2" t="s">
        <v>19187</v>
      </c>
      <c r="C9412" s="2" t="s">
        <v>18664</v>
      </c>
    </row>
    <row r="9413">
      <c r="A9413" s="2" t="s">
        <v>19189</v>
      </c>
      <c r="B9413" s="2" t="s">
        <v>19190</v>
      </c>
      <c r="C9413" s="2" t="s">
        <v>18664</v>
      </c>
    </row>
    <row r="9414">
      <c r="A9414" s="2" t="s">
        <v>19191</v>
      </c>
      <c r="B9414" s="2" t="s">
        <v>19192</v>
      </c>
      <c r="C9414" s="2" t="s">
        <v>18664</v>
      </c>
    </row>
    <row r="9415">
      <c r="A9415" s="2" t="s">
        <v>19193</v>
      </c>
      <c r="B9415" s="2" t="s">
        <v>19194</v>
      </c>
      <c r="C9415" s="2" t="s">
        <v>18664</v>
      </c>
    </row>
    <row r="9416">
      <c r="A9416" s="2" t="s">
        <v>19195</v>
      </c>
      <c r="B9416" s="2" t="s">
        <v>19196</v>
      </c>
      <c r="C9416" s="2" t="s">
        <v>18664</v>
      </c>
    </row>
    <row r="9417">
      <c r="A9417" s="2" t="s">
        <v>19197</v>
      </c>
      <c r="B9417" s="2" t="s">
        <v>19198</v>
      </c>
      <c r="C9417" s="2" t="s">
        <v>18664</v>
      </c>
    </row>
    <row r="9418">
      <c r="A9418" s="2" t="s">
        <v>19199</v>
      </c>
      <c r="B9418" s="2" t="s">
        <v>19200</v>
      </c>
      <c r="C9418" s="2" t="s">
        <v>18664</v>
      </c>
    </row>
    <row r="9419">
      <c r="A9419" s="2" t="s">
        <v>19201</v>
      </c>
      <c r="B9419" s="2" t="s">
        <v>19202</v>
      </c>
      <c r="C9419" s="2" t="s">
        <v>18664</v>
      </c>
    </row>
    <row r="9420">
      <c r="A9420" s="2" t="s">
        <v>19203</v>
      </c>
      <c r="B9420" s="2" t="s">
        <v>19204</v>
      </c>
      <c r="C9420" s="2" t="s">
        <v>18664</v>
      </c>
    </row>
    <row r="9421">
      <c r="A9421" s="2" t="s">
        <v>19205</v>
      </c>
      <c r="B9421" s="2" t="s">
        <v>19206</v>
      </c>
      <c r="C9421" s="2" t="s">
        <v>18664</v>
      </c>
    </row>
    <row r="9422">
      <c r="A9422" s="2" t="s">
        <v>19207</v>
      </c>
      <c r="B9422" s="2" t="s">
        <v>19208</v>
      </c>
      <c r="C9422" s="2" t="s">
        <v>18664</v>
      </c>
    </row>
    <row r="9423">
      <c r="A9423" s="2" t="s">
        <v>19209</v>
      </c>
      <c r="B9423" s="2" t="s">
        <v>19210</v>
      </c>
      <c r="C9423" s="2" t="s">
        <v>18664</v>
      </c>
    </row>
    <row r="9424">
      <c r="A9424" s="2" t="s">
        <v>19211</v>
      </c>
      <c r="B9424" s="2" t="s">
        <v>19212</v>
      </c>
      <c r="C9424" s="2" t="s">
        <v>18664</v>
      </c>
    </row>
    <row r="9425">
      <c r="A9425" s="2" t="s">
        <v>19213</v>
      </c>
      <c r="B9425" s="2" t="s">
        <v>19214</v>
      </c>
      <c r="C9425" s="2" t="s">
        <v>18664</v>
      </c>
    </row>
    <row r="9426">
      <c r="A9426" s="2" t="s">
        <v>19215</v>
      </c>
      <c r="B9426" s="2" t="s">
        <v>19214</v>
      </c>
      <c r="C9426" s="2" t="s">
        <v>18664</v>
      </c>
    </row>
    <row r="9427">
      <c r="A9427" s="2" t="s">
        <v>19216</v>
      </c>
      <c r="B9427" s="2" t="s">
        <v>19214</v>
      </c>
      <c r="C9427" s="2" t="s">
        <v>18664</v>
      </c>
    </row>
    <row r="9428">
      <c r="A9428" s="2" t="s">
        <v>19217</v>
      </c>
      <c r="B9428" s="2" t="s">
        <v>19214</v>
      </c>
      <c r="C9428" s="2" t="s">
        <v>18664</v>
      </c>
    </row>
    <row r="9429">
      <c r="A9429" s="2" t="s">
        <v>19218</v>
      </c>
      <c r="B9429" s="2" t="s">
        <v>19219</v>
      </c>
      <c r="C9429" s="2" t="s">
        <v>18664</v>
      </c>
    </row>
    <row r="9430">
      <c r="A9430" s="2" t="s">
        <v>19220</v>
      </c>
      <c r="B9430" s="2" t="s">
        <v>19221</v>
      </c>
      <c r="C9430" s="2" t="s">
        <v>18664</v>
      </c>
    </row>
    <row r="9431">
      <c r="A9431" s="2" t="s">
        <v>19222</v>
      </c>
      <c r="B9431" s="2" t="s">
        <v>19221</v>
      </c>
      <c r="C9431" s="2" t="s">
        <v>18664</v>
      </c>
    </row>
    <row r="9432">
      <c r="A9432" s="2" t="s">
        <v>19223</v>
      </c>
      <c r="B9432" s="2" t="s">
        <v>19221</v>
      </c>
      <c r="C9432" s="2" t="s">
        <v>18664</v>
      </c>
    </row>
    <row r="9433">
      <c r="A9433" s="2" t="s">
        <v>19224</v>
      </c>
      <c r="B9433" s="2" t="s">
        <v>19221</v>
      </c>
      <c r="C9433" s="2" t="s">
        <v>18664</v>
      </c>
    </row>
    <row r="9434">
      <c r="A9434" s="2" t="s">
        <v>19225</v>
      </c>
      <c r="B9434" s="2" t="s">
        <v>19221</v>
      </c>
      <c r="C9434" s="2" t="s">
        <v>18664</v>
      </c>
    </row>
    <row r="9435">
      <c r="A9435" s="2" t="s">
        <v>19226</v>
      </c>
      <c r="B9435" s="2" t="s">
        <v>19221</v>
      </c>
      <c r="C9435" s="2" t="s">
        <v>18664</v>
      </c>
    </row>
    <row r="9436">
      <c r="A9436" s="2" t="s">
        <v>19227</v>
      </c>
      <c r="B9436" s="2" t="s">
        <v>19221</v>
      </c>
      <c r="C9436" s="2" t="s">
        <v>18664</v>
      </c>
    </row>
    <row r="9437">
      <c r="A9437" s="2" t="s">
        <v>19228</v>
      </c>
      <c r="B9437" s="2" t="s">
        <v>19221</v>
      </c>
      <c r="C9437" s="2" t="s">
        <v>18664</v>
      </c>
    </row>
    <row r="9438">
      <c r="A9438" s="2" t="s">
        <v>19229</v>
      </c>
      <c r="B9438" s="2" t="s">
        <v>19230</v>
      </c>
      <c r="C9438" s="2" t="s">
        <v>18664</v>
      </c>
    </row>
    <row r="9439">
      <c r="A9439" s="2" t="s">
        <v>19231</v>
      </c>
      <c r="B9439" s="2" t="s">
        <v>19232</v>
      </c>
      <c r="C9439" s="2" t="s">
        <v>18664</v>
      </c>
    </row>
    <row r="9440">
      <c r="A9440" s="2" t="s">
        <v>19233</v>
      </c>
      <c r="B9440" s="2" t="s">
        <v>19234</v>
      </c>
      <c r="C9440" s="2" t="s">
        <v>18664</v>
      </c>
    </row>
    <row r="9441">
      <c r="A9441" s="2" t="s">
        <v>19235</v>
      </c>
      <c r="B9441" s="2" t="s">
        <v>19236</v>
      </c>
      <c r="C9441" s="2" t="s">
        <v>18664</v>
      </c>
    </row>
    <row r="9442">
      <c r="A9442" s="2" t="s">
        <v>19237</v>
      </c>
      <c r="B9442" s="2" t="s">
        <v>19238</v>
      </c>
      <c r="C9442" s="2" t="s">
        <v>18664</v>
      </c>
    </row>
    <row r="9443">
      <c r="A9443" s="2" t="s">
        <v>19239</v>
      </c>
      <c r="B9443" s="2" t="s">
        <v>19240</v>
      </c>
      <c r="C9443" s="2" t="s">
        <v>18664</v>
      </c>
    </row>
    <row r="9444">
      <c r="A9444" s="2" t="s">
        <v>19241</v>
      </c>
      <c r="B9444" s="2" t="s">
        <v>19242</v>
      </c>
      <c r="C9444" s="2" t="s">
        <v>18664</v>
      </c>
    </row>
    <row r="9445">
      <c r="A9445" s="2" t="s">
        <v>19243</v>
      </c>
      <c r="B9445" s="2" t="s">
        <v>19244</v>
      </c>
      <c r="C9445" s="2" t="s">
        <v>18664</v>
      </c>
    </row>
    <row r="9446">
      <c r="A9446" s="2" t="s">
        <v>19245</v>
      </c>
      <c r="B9446" s="2" t="s">
        <v>19246</v>
      </c>
      <c r="C9446" s="2" t="s">
        <v>18664</v>
      </c>
    </row>
    <row r="9447">
      <c r="A9447" s="2" t="s">
        <v>19247</v>
      </c>
      <c r="B9447" s="2" t="s">
        <v>19248</v>
      </c>
      <c r="C9447" s="2" t="s">
        <v>18664</v>
      </c>
    </row>
    <row r="9448">
      <c r="A9448" s="2" t="s">
        <v>19249</v>
      </c>
      <c r="B9448" s="2" t="s">
        <v>19250</v>
      </c>
      <c r="C9448" s="2" t="s">
        <v>18664</v>
      </c>
    </row>
    <row r="9449">
      <c r="A9449" s="2" t="s">
        <v>19251</v>
      </c>
      <c r="B9449" s="2" t="s">
        <v>19252</v>
      </c>
      <c r="C9449" s="2" t="s">
        <v>18664</v>
      </c>
    </row>
    <row r="9450">
      <c r="A9450" s="2" t="s">
        <v>19253</v>
      </c>
      <c r="B9450" s="2" t="s">
        <v>19254</v>
      </c>
      <c r="C9450" s="2" t="s">
        <v>18664</v>
      </c>
    </row>
    <row r="9451">
      <c r="A9451" s="2" t="s">
        <v>19255</v>
      </c>
      <c r="B9451" s="2" t="s">
        <v>19254</v>
      </c>
      <c r="C9451" s="2" t="s">
        <v>18664</v>
      </c>
    </row>
    <row r="9452">
      <c r="A9452" s="2" t="s">
        <v>19256</v>
      </c>
      <c r="B9452" s="2" t="s">
        <v>19257</v>
      </c>
      <c r="C9452" s="2" t="s">
        <v>18664</v>
      </c>
    </row>
    <row r="9453">
      <c r="A9453" s="2" t="s">
        <v>19258</v>
      </c>
      <c r="B9453" s="2" t="s">
        <v>19259</v>
      </c>
      <c r="C9453" s="2" t="s">
        <v>18664</v>
      </c>
    </row>
    <row r="9454">
      <c r="A9454" s="2" t="s">
        <v>19260</v>
      </c>
      <c r="B9454" s="2" t="s">
        <v>19261</v>
      </c>
      <c r="C9454" s="2" t="s">
        <v>18664</v>
      </c>
    </row>
    <row r="9455">
      <c r="A9455" s="2" t="s">
        <v>19262</v>
      </c>
      <c r="B9455" s="2" t="s">
        <v>19263</v>
      </c>
      <c r="C9455" s="2" t="s">
        <v>18664</v>
      </c>
    </row>
    <row r="9456">
      <c r="A9456" s="2" t="s">
        <v>19264</v>
      </c>
      <c r="B9456" s="2" t="s">
        <v>19265</v>
      </c>
      <c r="C9456" s="2" t="s">
        <v>18664</v>
      </c>
    </row>
    <row r="9457">
      <c r="A9457" s="2" t="s">
        <v>19266</v>
      </c>
      <c r="B9457" s="2" t="s">
        <v>19267</v>
      </c>
      <c r="C9457" s="2" t="s">
        <v>18664</v>
      </c>
    </row>
    <row r="9458">
      <c r="A9458" s="2" t="s">
        <v>19268</v>
      </c>
      <c r="B9458" s="2" t="s">
        <v>19269</v>
      </c>
      <c r="C9458" s="2" t="s">
        <v>18664</v>
      </c>
    </row>
    <row r="9459">
      <c r="A9459" s="2" t="s">
        <v>19270</v>
      </c>
      <c r="B9459" s="2" t="s">
        <v>19271</v>
      </c>
      <c r="C9459" s="2" t="s">
        <v>18664</v>
      </c>
    </row>
    <row r="9460">
      <c r="A9460" s="2" t="s">
        <v>19272</v>
      </c>
      <c r="B9460" s="2" t="s">
        <v>19273</v>
      </c>
      <c r="C9460" s="2" t="s">
        <v>18664</v>
      </c>
    </row>
    <row r="9461">
      <c r="A9461" s="2" t="s">
        <v>19274</v>
      </c>
      <c r="B9461" s="2" t="s">
        <v>19275</v>
      </c>
      <c r="C9461" s="2" t="s">
        <v>18664</v>
      </c>
    </row>
    <row r="9462">
      <c r="A9462" s="2" t="s">
        <v>19276</v>
      </c>
      <c r="B9462" s="2" t="s">
        <v>19277</v>
      </c>
      <c r="C9462" s="2" t="s">
        <v>18664</v>
      </c>
    </row>
    <row r="9463">
      <c r="A9463" s="2" t="s">
        <v>19278</v>
      </c>
      <c r="B9463" s="2" t="s">
        <v>19279</v>
      </c>
      <c r="C9463" s="2" t="s">
        <v>18664</v>
      </c>
    </row>
    <row r="9464">
      <c r="A9464" s="2" t="s">
        <v>19280</v>
      </c>
      <c r="B9464" s="2" t="s">
        <v>19279</v>
      </c>
      <c r="C9464" s="2" t="s">
        <v>18664</v>
      </c>
    </row>
    <row r="9465">
      <c r="A9465" s="2" t="s">
        <v>19281</v>
      </c>
      <c r="B9465" s="2" t="s">
        <v>14222</v>
      </c>
      <c r="C9465" s="2" t="s">
        <v>18664</v>
      </c>
    </row>
    <row r="9466">
      <c r="A9466" s="2" t="s">
        <v>19282</v>
      </c>
      <c r="B9466" s="2" t="s">
        <v>19283</v>
      </c>
      <c r="C9466" s="2" t="s">
        <v>18664</v>
      </c>
    </row>
    <row r="9467">
      <c r="A9467" s="2" t="s">
        <v>19284</v>
      </c>
      <c r="B9467" s="2" t="s">
        <v>19285</v>
      </c>
      <c r="C9467" s="2" t="s">
        <v>18664</v>
      </c>
    </row>
    <row r="9468">
      <c r="A9468" s="2" t="s">
        <v>19286</v>
      </c>
      <c r="B9468" s="2" t="s">
        <v>19287</v>
      </c>
      <c r="C9468" s="2" t="s">
        <v>18664</v>
      </c>
    </row>
    <row r="9469">
      <c r="A9469" s="2" t="s">
        <v>19288</v>
      </c>
      <c r="B9469" s="2" t="s">
        <v>19289</v>
      </c>
      <c r="C9469" s="2" t="s">
        <v>18664</v>
      </c>
    </row>
    <row r="9470">
      <c r="A9470" s="2" t="s">
        <v>19290</v>
      </c>
      <c r="B9470" s="2" t="s">
        <v>19291</v>
      </c>
      <c r="C9470" s="2" t="s">
        <v>18664</v>
      </c>
    </row>
    <row r="9471">
      <c r="A9471" s="2" t="s">
        <v>19292</v>
      </c>
      <c r="B9471" s="2" t="s">
        <v>19293</v>
      </c>
      <c r="C9471" s="2" t="s">
        <v>18664</v>
      </c>
    </row>
    <row r="9472">
      <c r="A9472" s="2" t="s">
        <v>19294</v>
      </c>
      <c r="B9472" s="2" t="s">
        <v>19293</v>
      </c>
      <c r="C9472" s="2" t="s">
        <v>18664</v>
      </c>
    </row>
    <row r="9473">
      <c r="A9473" s="2" t="s">
        <v>19295</v>
      </c>
      <c r="B9473" s="2" t="s">
        <v>19293</v>
      </c>
      <c r="C9473" s="2" t="s">
        <v>18664</v>
      </c>
    </row>
    <row r="9474">
      <c r="A9474" s="2" t="s">
        <v>19296</v>
      </c>
      <c r="B9474" s="2" t="s">
        <v>19293</v>
      </c>
      <c r="C9474" s="2" t="s">
        <v>18664</v>
      </c>
    </row>
    <row r="9475">
      <c r="A9475" s="2" t="s">
        <v>19297</v>
      </c>
      <c r="B9475" s="2" t="s">
        <v>19293</v>
      </c>
      <c r="C9475" s="2" t="s">
        <v>18664</v>
      </c>
    </row>
    <row r="9476">
      <c r="A9476" s="2" t="s">
        <v>19298</v>
      </c>
      <c r="B9476" s="2" t="s">
        <v>19293</v>
      </c>
      <c r="C9476" s="2" t="s">
        <v>18664</v>
      </c>
    </row>
    <row r="9477">
      <c r="A9477" s="2" t="s">
        <v>19299</v>
      </c>
      <c r="B9477" s="2" t="s">
        <v>19300</v>
      </c>
      <c r="C9477" s="2" t="s">
        <v>18664</v>
      </c>
    </row>
    <row r="9478">
      <c r="A9478" s="2" t="s">
        <v>19301</v>
      </c>
      <c r="B9478" s="2" t="s">
        <v>19302</v>
      </c>
      <c r="C9478" s="2" t="s">
        <v>18664</v>
      </c>
    </row>
    <row r="9479">
      <c r="A9479" s="2" t="s">
        <v>19303</v>
      </c>
      <c r="B9479" s="2" t="s">
        <v>19304</v>
      </c>
      <c r="C9479" s="2" t="s">
        <v>18664</v>
      </c>
    </row>
    <row r="9480">
      <c r="A9480" s="2" t="s">
        <v>19305</v>
      </c>
      <c r="B9480" s="2" t="s">
        <v>19304</v>
      </c>
      <c r="C9480" s="2" t="s">
        <v>18664</v>
      </c>
    </row>
    <row r="9481">
      <c r="A9481" s="2" t="s">
        <v>19306</v>
      </c>
      <c r="B9481" s="2" t="s">
        <v>19307</v>
      </c>
      <c r="C9481" s="2" t="s">
        <v>18664</v>
      </c>
    </row>
    <row r="9482">
      <c r="A9482" s="2" t="s">
        <v>19308</v>
      </c>
      <c r="B9482" s="2" t="s">
        <v>19309</v>
      </c>
      <c r="C9482" s="2" t="s">
        <v>18664</v>
      </c>
    </row>
    <row r="9483">
      <c r="A9483" s="2" t="s">
        <v>19310</v>
      </c>
      <c r="B9483" s="2" t="s">
        <v>19311</v>
      </c>
      <c r="C9483" s="2" t="s">
        <v>18664</v>
      </c>
    </row>
    <row r="9484">
      <c r="A9484" s="2" t="s">
        <v>19312</v>
      </c>
      <c r="B9484" s="2" t="s">
        <v>19313</v>
      </c>
      <c r="C9484" s="2" t="s">
        <v>18664</v>
      </c>
    </row>
    <row r="9485">
      <c r="A9485" s="2" t="s">
        <v>19314</v>
      </c>
      <c r="B9485" s="2" t="s">
        <v>19315</v>
      </c>
      <c r="C9485" s="2" t="s">
        <v>18664</v>
      </c>
    </row>
    <row r="9486">
      <c r="A9486" s="2" t="s">
        <v>19316</v>
      </c>
      <c r="B9486" s="2" t="s">
        <v>19315</v>
      </c>
      <c r="C9486" s="2" t="s">
        <v>18664</v>
      </c>
    </row>
    <row r="9487">
      <c r="A9487" s="2" t="s">
        <v>19317</v>
      </c>
      <c r="B9487" s="2" t="s">
        <v>19318</v>
      </c>
      <c r="C9487" s="2" t="s">
        <v>18664</v>
      </c>
    </row>
    <row r="9488">
      <c r="A9488" s="2" t="s">
        <v>19319</v>
      </c>
      <c r="B9488" s="2" t="s">
        <v>19320</v>
      </c>
      <c r="C9488" s="2" t="s">
        <v>18664</v>
      </c>
    </row>
    <row r="9489">
      <c r="A9489" s="2" t="s">
        <v>19321</v>
      </c>
      <c r="B9489" s="2" t="s">
        <v>19322</v>
      </c>
      <c r="C9489" s="2" t="s">
        <v>18664</v>
      </c>
    </row>
    <row r="9490">
      <c r="A9490" s="2" t="s">
        <v>19323</v>
      </c>
      <c r="B9490" s="2" t="s">
        <v>19324</v>
      </c>
      <c r="C9490" s="2" t="s">
        <v>18664</v>
      </c>
    </row>
    <row r="9491">
      <c r="A9491" s="2" t="s">
        <v>19325</v>
      </c>
      <c r="B9491" s="2" t="s">
        <v>19326</v>
      </c>
      <c r="C9491" s="2" t="s">
        <v>18664</v>
      </c>
    </row>
    <row r="9492">
      <c r="A9492" s="2" t="s">
        <v>19327</v>
      </c>
      <c r="B9492" s="2" t="s">
        <v>19328</v>
      </c>
      <c r="C9492" s="2" t="s">
        <v>18664</v>
      </c>
    </row>
    <row r="9493">
      <c r="A9493" s="2" t="s">
        <v>19329</v>
      </c>
      <c r="B9493" s="2" t="s">
        <v>19330</v>
      </c>
      <c r="C9493" s="2" t="s">
        <v>18664</v>
      </c>
    </row>
    <row r="9494">
      <c r="A9494" s="2" t="s">
        <v>19331</v>
      </c>
      <c r="B9494" s="2" t="s">
        <v>19332</v>
      </c>
      <c r="C9494" s="2" t="s">
        <v>18664</v>
      </c>
    </row>
    <row r="9495">
      <c r="A9495" s="2" t="s">
        <v>19333</v>
      </c>
      <c r="B9495" s="2" t="s">
        <v>19334</v>
      </c>
      <c r="C9495" s="2" t="s">
        <v>18664</v>
      </c>
    </row>
    <row r="9496">
      <c r="A9496" s="2" t="s">
        <v>19335</v>
      </c>
      <c r="B9496" s="2" t="s">
        <v>19336</v>
      </c>
      <c r="C9496" s="2" t="s">
        <v>18664</v>
      </c>
    </row>
    <row r="9497">
      <c r="A9497" s="2" t="s">
        <v>19337</v>
      </c>
      <c r="B9497" s="2" t="s">
        <v>19336</v>
      </c>
      <c r="C9497" s="2" t="s">
        <v>18664</v>
      </c>
    </row>
    <row r="9498">
      <c r="A9498" s="2" t="s">
        <v>19338</v>
      </c>
      <c r="B9498" s="2" t="s">
        <v>19339</v>
      </c>
      <c r="C9498" s="2" t="s">
        <v>18664</v>
      </c>
    </row>
    <row r="9499">
      <c r="A9499" s="2" t="s">
        <v>19340</v>
      </c>
      <c r="B9499" s="2" t="s">
        <v>19341</v>
      </c>
      <c r="C9499" s="2" t="s">
        <v>18664</v>
      </c>
    </row>
    <row r="9500">
      <c r="A9500" s="2" t="s">
        <v>19342</v>
      </c>
      <c r="B9500" s="2" t="s">
        <v>19343</v>
      </c>
      <c r="C9500" s="2" t="s">
        <v>18664</v>
      </c>
    </row>
    <row r="9501">
      <c r="A9501" s="2" t="s">
        <v>19344</v>
      </c>
      <c r="B9501" s="2" t="s">
        <v>19345</v>
      </c>
      <c r="C9501" s="2" t="s">
        <v>18664</v>
      </c>
    </row>
    <row r="9502">
      <c r="A9502" s="2" t="s">
        <v>19346</v>
      </c>
      <c r="B9502" s="2" t="s">
        <v>19345</v>
      </c>
      <c r="C9502" s="2" t="s">
        <v>18664</v>
      </c>
    </row>
    <row r="9503">
      <c r="A9503" s="2" t="s">
        <v>19347</v>
      </c>
      <c r="B9503" s="2" t="s">
        <v>19348</v>
      </c>
      <c r="C9503" s="2" t="s">
        <v>18664</v>
      </c>
    </row>
    <row r="9504">
      <c r="A9504" s="2" t="s">
        <v>19349</v>
      </c>
      <c r="B9504" s="2" t="s">
        <v>19350</v>
      </c>
      <c r="C9504" s="2" t="s">
        <v>18664</v>
      </c>
    </row>
    <row r="9505">
      <c r="A9505" s="2" t="s">
        <v>19351</v>
      </c>
      <c r="B9505" s="2" t="s">
        <v>19352</v>
      </c>
      <c r="C9505" s="2" t="s">
        <v>18664</v>
      </c>
    </row>
    <row r="9506">
      <c r="A9506" s="2" t="s">
        <v>19353</v>
      </c>
      <c r="B9506" s="2" t="s">
        <v>19354</v>
      </c>
      <c r="C9506" s="2" t="s">
        <v>18664</v>
      </c>
    </row>
    <row r="9507">
      <c r="A9507" s="2" t="s">
        <v>19355</v>
      </c>
      <c r="B9507" s="2" t="s">
        <v>19356</v>
      </c>
      <c r="C9507" s="2" t="s">
        <v>18664</v>
      </c>
    </row>
    <row r="9508">
      <c r="A9508" s="2" t="s">
        <v>19357</v>
      </c>
      <c r="B9508" s="2" t="s">
        <v>19358</v>
      </c>
      <c r="C9508" s="2" t="s">
        <v>18664</v>
      </c>
    </row>
    <row r="9509">
      <c r="A9509" s="2" t="s">
        <v>19359</v>
      </c>
      <c r="B9509" s="2" t="s">
        <v>19358</v>
      </c>
      <c r="C9509" s="2" t="s">
        <v>18664</v>
      </c>
    </row>
    <row r="9510">
      <c r="A9510" s="2" t="s">
        <v>19360</v>
      </c>
      <c r="B9510" s="2" t="s">
        <v>19361</v>
      </c>
      <c r="C9510" s="2" t="s">
        <v>18664</v>
      </c>
    </row>
    <row r="9511">
      <c r="A9511" s="2" t="s">
        <v>19362</v>
      </c>
      <c r="B9511" s="2" t="s">
        <v>19363</v>
      </c>
      <c r="C9511" s="2" t="s">
        <v>18664</v>
      </c>
    </row>
    <row r="9512">
      <c r="A9512" s="2" t="s">
        <v>19364</v>
      </c>
      <c r="B9512" s="2" t="s">
        <v>19365</v>
      </c>
      <c r="C9512" s="2" t="s">
        <v>18664</v>
      </c>
    </row>
    <row r="9513">
      <c r="A9513" s="2" t="s">
        <v>19366</v>
      </c>
      <c r="B9513" s="2" t="s">
        <v>19365</v>
      </c>
      <c r="C9513" s="2" t="s">
        <v>18664</v>
      </c>
    </row>
    <row r="9514">
      <c r="A9514" s="2" t="s">
        <v>19367</v>
      </c>
      <c r="B9514" s="2" t="s">
        <v>19368</v>
      </c>
      <c r="C9514" s="2" t="s">
        <v>18664</v>
      </c>
    </row>
    <row r="9515">
      <c r="A9515" s="2" t="s">
        <v>19369</v>
      </c>
      <c r="B9515" s="2" t="s">
        <v>19370</v>
      </c>
      <c r="C9515" s="2" t="s">
        <v>18664</v>
      </c>
    </row>
    <row r="9516">
      <c r="A9516" s="2" t="s">
        <v>19371</v>
      </c>
      <c r="B9516" s="2" t="s">
        <v>19370</v>
      </c>
      <c r="C9516" s="2" t="s">
        <v>18664</v>
      </c>
    </row>
    <row r="9517">
      <c r="A9517" s="2" t="s">
        <v>19372</v>
      </c>
      <c r="B9517" s="2" t="s">
        <v>19370</v>
      </c>
      <c r="C9517" s="2" t="s">
        <v>18664</v>
      </c>
    </row>
    <row r="9518">
      <c r="A9518" s="2" t="s">
        <v>19373</v>
      </c>
      <c r="B9518" s="2" t="s">
        <v>19370</v>
      </c>
      <c r="C9518" s="2" t="s">
        <v>18664</v>
      </c>
    </row>
    <row r="9519">
      <c r="A9519" s="2" t="s">
        <v>19374</v>
      </c>
      <c r="B9519" s="2" t="s">
        <v>19375</v>
      </c>
      <c r="C9519" s="2" t="s">
        <v>18664</v>
      </c>
    </row>
    <row r="9520">
      <c r="A9520" s="2" t="s">
        <v>19376</v>
      </c>
      <c r="B9520" s="2" t="s">
        <v>19377</v>
      </c>
      <c r="C9520" s="2" t="s">
        <v>18664</v>
      </c>
    </row>
    <row r="9521">
      <c r="A9521" s="2" t="s">
        <v>19378</v>
      </c>
      <c r="B9521" s="2" t="s">
        <v>19377</v>
      </c>
      <c r="C9521" s="2" t="s">
        <v>18664</v>
      </c>
    </row>
    <row r="9522">
      <c r="A9522" s="2" t="s">
        <v>19379</v>
      </c>
      <c r="B9522" s="2" t="s">
        <v>19380</v>
      </c>
      <c r="C9522" s="2" t="s">
        <v>18664</v>
      </c>
    </row>
    <row r="9523">
      <c r="A9523" s="2" t="s">
        <v>19381</v>
      </c>
      <c r="B9523" s="2" t="s">
        <v>19382</v>
      </c>
      <c r="C9523" s="2" t="s">
        <v>18664</v>
      </c>
    </row>
    <row r="9524">
      <c r="A9524" s="2" t="s">
        <v>19383</v>
      </c>
      <c r="B9524" s="2" t="s">
        <v>19384</v>
      </c>
      <c r="C9524" s="2" t="s">
        <v>18664</v>
      </c>
    </row>
    <row r="9525">
      <c r="A9525" s="2" t="s">
        <v>19385</v>
      </c>
      <c r="B9525" s="2" t="s">
        <v>19386</v>
      </c>
      <c r="C9525" s="2" t="s">
        <v>18664</v>
      </c>
    </row>
    <row r="9526">
      <c r="A9526" s="2" t="s">
        <v>19387</v>
      </c>
      <c r="B9526" s="2" t="s">
        <v>16361</v>
      </c>
      <c r="C9526" s="2" t="s">
        <v>18664</v>
      </c>
    </row>
    <row r="9527">
      <c r="A9527" s="2" t="s">
        <v>19388</v>
      </c>
      <c r="B9527" s="2" t="s">
        <v>19389</v>
      </c>
      <c r="C9527" s="2" t="s">
        <v>18664</v>
      </c>
    </row>
    <row r="9528">
      <c r="A9528" s="2" t="s">
        <v>19390</v>
      </c>
      <c r="B9528" s="2" t="s">
        <v>19391</v>
      </c>
      <c r="C9528" s="2" t="s">
        <v>18664</v>
      </c>
    </row>
    <row r="9529">
      <c r="A9529" s="2" t="s">
        <v>19392</v>
      </c>
      <c r="B9529" s="2" t="s">
        <v>19391</v>
      </c>
      <c r="C9529" s="2" t="s">
        <v>18664</v>
      </c>
    </row>
    <row r="9530">
      <c r="A9530" s="2" t="s">
        <v>19393</v>
      </c>
      <c r="B9530" s="2" t="s">
        <v>19391</v>
      </c>
      <c r="C9530" s="2" t="s">
        <v>18664</v>
      </c>
    </row>
    <row r="9531">
      <c r="A9531" s="2" t="s">
        <v>19394</v>
      </c>
      <c r="B9531" s="2" t="s">
        <v>19395</v>
      </c>
      <c r="C9531" s="2" t="s">
        <v>18664</v>
      </c>
    </row>
    <row r="9532">
      <c r="A9532" s="2" t="s">
        <v>19396</v>
      </c>
      <c r="B9532" s="2" t="s">
        <v>19397</v>
      </c>
      <c r="C9532" s="2" t="s">
        <v>18664</v>
      </c>
    </row>
    <row r="9533">
      <c r="A9533" s="2" t="s">
        <v>19398</v>
      </c>
      <c r="B9533" s="2" t="s">
        <v>19399</v>
      </c>
      <c r="C9533" s="2" t="s">
        <v>18664</v>
      </c>
    </row>
    <row r="9534">
      <c r="A9534" s="2" t="s">
        <v>19400</v>
      </c>
      <c r="B9534" s="2" t="s">
        <v>19401</v>
      </c>
      <c r="C9534" s="2" t="s">
        <v>18664</v>
      </c>
    </row>
    <row r="9535">
      <c r="A9535" s="2" t="s">
        <v>19402</v>
      </c>
      <c r="B9535" s="2" t="s">
        <v>19403</v>
      </c>
      <c r="C9535" s="2" t="s">
        <v>18664</v>
      </c>
    </row>
    <row r="9536">
      <c r="A9536" s="2" t="s">
        <v>19404</v>
      </c>
      <c r="B9536" s="2" t="s">
        <v>19405</v>
      </c>
      <c r="C9536" s="2" t="s">
        <v>18664</v>
      </c>
    </row>
    <row r="9537">
      <c r="A9537" s="2" t="s">
        <v>19406</v>
      </c>
      <c r="B9537" s="2" t="s">
        <v>19407</v>
      </c>
      <c r="C9537" s="2" t="s">
        <v>18664</v>
      </c>
    </row>
    <row r="9538">
      <c r="A9538" s="2" t="s">
        <v>19408</v>
      </c>
      <c r="B9538" s="2" t="s">
        <v>19409</v>
      </c>
      <c r="C9538" s="2" t="s">
        <v>18664</v>
      </c>
    </row>
    <row r="9539">
      <c r="A9539" s="2" t="s">
        <v>19410</v>
      </c>
      <c r="B9539" s="2" t="s">
        <v>19411</v>
      </c>
      <c r="C9539" s="2" t="s">
        <v>18664</v>
      </c>
    </row>
    <row r="9540">
      <c r="A9540" s="2" t="s">
        <v>19412</v>
      </c>
      <c r="B9540" s="2" t="s">
        <v>19413</v>
      </c>
      <c r="C9540" s="2" t="s">
        <v>18664</v>
      </c>
    </row>
    <row r="9541">
      <c r="A9541" s="2" t="s">
        <v>19414</v>
      </c>
      <c r="B9541" s="2" t="s">
        <v>19415</v>
      </c>
      <c r="C9541" s="2" t="s">
        <v>18664</v>
      </c>
    </row>
    <row r="9542">
      <c r="A9542" s="2" t="s">
        <v>19416</v>
      </c>
      <c r="B9542" s="2" t="s">
        <v>19417</v>
      </c>
      <c r="C9542" s="2" t="s">
        <v>18664</v>
      </c>
    </row>
    <row r="9543">
      <c r="A9543" s="2" t="s">
        <v>19418</v>
      </c>
      <c r="B9543" s="2" t="s">
        <v>19419</v>
      </c>
      <c r="C9543" s="2" t="s">
        <v>18664</v>
      </c>
    </row>
    <row r="9544">
      <c r="A9544" s="2" t="s">
        <v>19420</v>
      </c>
      <c r="B9544" s="2" t="s">
        <v>19421</v>
      </c>
      <c r="C9544" s="2" t="s">
        <v>18664</v>
      </c>
    </row>
    <row r="9545">
      <c r="A9545" s="2" t="s">
        <v>19422</v>
      </c>
      <c r="B9545" s="2" t="s">
        <v>19423</v>
      </c>
      <c r="C9545" s="2" t="s">
        <v>18664</v>
      </c>
    </row>
    <row r="9546">
      <c r="A9546" s="2" t="s">
        <v>19424</v>
      </c>
      <c r="B9546" s="2" t="s">
        <v>19425</v>
      </c>
      <c r="C9546" s="2" t="s">
        <v>18664</v>
      </c>
    </row>
    <row r="9547">
      <c r="A9547" s="2" t="s">
        <v>19426</v>
      </c>
      <c r="B9547" s="2" t="s">
        <v>19427</v>
      </c>
      <c r="C9547" s="2" t="s">
        <v>18664</v>
      </c>
    </row>
    <row r="9548">
      <c r="A9548" s="2" t="s">
        <v>19428</v>
      </c>
      <c r="B9548" s="2" t="s">
        <v>19429</v>
      </c>
      <c r="C9548" s="2" t="s">
        <v>18664</v>
      </c>
    </row>
    <row r="9549">
      <c r="A9549" s="2" t="s">
        <v>19430</v>
      </c>
      <c r="B9549" s="2" t="s">
        <v>19431</v>
      </c>
      <c r="C9549" s="2" t="s">
        <v>18664</v>
      </c>
    </row>
    <row r="9550">
      <c r="A9550" s="2" t="s">
        <v>19432</v>
      </c>
      <c r="B9550" s="2" t="s">
        <v>19433</v>
      </c>
      <c r="C9550" s="2" t="s">
        <v>18664</v>
      </c>
    </row>
    <row r="9551">
      <c r="A9551" s="2" t="s">
        <v>19434</v>
      </c>
      <c r="B9551" s="2" t="s">
        <v>19435</v>
      </c>
      <c r="C9551" s="2" t="s">
        <v>18664</v>
      </c>
    </row>
    <row r="9552">
      <c r="A9552" s="2" t="s">
        <v>19436</v>
      </c>
      <c r="B9552" s="2" t="s">
        <v>19437</v>
      </c>
      <c r="C9552" s="2" t="s">
        <v>18664</v>
      </c>
    </row>
    <row r="9553">
      <c r="A9553" s="2" t="s">
        <v>19438</v>
      </c>
      <c r="B9553" s="2" t="s">
        <v>19439</v>
      </c>
      <c r="C9553" s="2" t="s">
        <v>18664</v>
      </c>
    </row>
    <row r="9554">
      <c r="A9554" s="2" t="s">
        <v>19440</v>
      </c>
      <c r="B9554" s="2" t="s">
        <v>19439</v>
      </c>
      <c r="C9554" s="2" t="s">
        <v>18664</v>
      </c>
    </row>
    <row r="9555">
      <c r="A9555" s="2" t="s">
        <v>19441</v>
      </c>
      <c r="B9555" s="2" t="s">
        <v>19439</v>
      </c>
      <c r="C9555" s="2" t="s">
        <v>18664</v>
      </c>
    </row>
    <row r="9556">
      <c r="A9556" s="2" t="s">
        <v>19442</v>
      </c>
      <c r="B9556" s="2" t="s">
        <v>19443</v>
      </c>
      <c r="C9556" s="2" t="s">
        <v>18664</v>
      </c>
    </row>
    <row r="9557">
      <c r="A9557" s="2" t="s">
        <v>19444</v>
      </c>
      <c r="B9557" s="2" t="s">
        <v>19445</v>
      </c>
      <c r="C9557" s="2" t="s">
        <v>18664</v>
      </c>
    </row>
    <row r="9558">
      <c r="A9558" s="2" t="s">
        <v>19446</v>
      </c>
      <c r="B9558" s="2" t="s">
        <v>19447</v>
      </c>
      <c r="C9558" s="2" t="s">
        <v>18664</v>
      </c>
    </row>
    <row r="9559">
      <c r="A9559" s="2" t="s">
        <v>19448</v>
      </c>
      <c r="B9559" s="2" t="s">
        <v>19449</v>
      </c>
      <c r="C9559" s="2" t="s">
        <v>18664</v>
      </c>
    </row>
    <row r="9560">
      <c r="A9560" s="2" t="s">
        <v>19450</v>
      </c>
      <c r="B9560" s="2" t="s">
        <v>19451</v>
      </c>
      <c r="C9560" s="2" t="s">
        <v>18664</v>
      </c>
    </row>
    <row r="9561">
      <c r="A9561" s="2" t="s">
        <v>19452</v>
      </c>
      <c r="B9561" s="2" t="s">
        <v>19453</v>
      </c>
      <c r="C9561" s="2" t="s">
        <v>18664</v>
      </c>
    </row>
    <row r="9562">
      <c r="A9562" s="2" t="s">
        <v>19454</v>
      </c>
      <c r="B9562" s="2" t="s">
        <v>19455</v>
      </c>
      <c r="C9562" s="2" t="s">
        <v>18664</v>
      </c>
    </row>
    <row r="9563">
      <c r="A9563" s="2" t="s">
        <v>19456</v>
      </c>
      <c r="B9563" s="2" t="s">
        <v>19457</v>
      </c>
      <c r="C9563" s="2" t="s">
        <v>18664</v>
      </c>
    </row>
    <row r="9564">
      <c r="A9564" s="2" t="s">
        <v>19458</v>
      </c>
      <c r="B9564" s="2" t="s">
        <v>19459</v>
      </c>
      <c r="C9564" s="2" t="s">
        <v>18664</v>
      </c>
    </row>
    <row r="9565">
      <c r="A9565" s="2" t="s">
        <v>19460</v>
      </c>
      <c r="B9565" s="2" t="s">
        <v>19461</v>
      </c>
      <c r="C9565" s="2" t="s">
        <v>18664</v>
      </c>
    </row>
    <row r="9566">
      <c r="A9566" s="2" t="s">
        <v>19462</v>
      </c>
      <c r="B9566" s="2" t="s">
        <v>19461</v>
      </c>
      <c r="C9566" s="2" t="s">
        <v>18664</v>
      </c>
    </row>
    <row r="9567">
      <c r="A9567" s="2" t="s">
        <v>19463</v>
      </c>
      <c r="B9567" s="2" t="s">
        <v>19461</v>
      </c>
      <c r="C9567" s="2" t="s">
        <v>18664</v>
      </c>
    </row>
    <row r="9568">
      <c r="A9568" s="2" t="s">
        <v>19464</v>
      </c>
      <c r="B9568" s="2" t="s">
        <v>19461</v>
      </c>
      <c r="C9568" s="2" t="s">
        <v>18664</v>
      </c>
    </row>
    <row r="9569">
      <c r="A9569" s="2" t="s">
        <v>19465</v>
      </c>
      <c r="B9569" s="2" t="s">
        <v>19466</v>
      </c>
      <c r="C9569" s="2" t="s">
        <v>18664</v>
      </c>
    </row>
    <row r="9570">
      <c r="A9570" s="2" t="s">
        <v>19467</v>
      </c>
      <c r="B9570" s="2" t="s">
        <v>19468</v>
      </c>
      <c r="C9570" s="2" t="s">
        <v>18664</v>
      </c>
    </row>
    <row r="9571">
      <c r="A9571" s="2" t="s">
        <v>19469</v>
      </c>
      <c r="B9571" s="2" t="s">
        <v>19470</v>
      </c>
      <c r="C9571" s="2" t="s">
        <v>18664</v>
      </c>
    </row>
    <row r="9572">
      <c r="A9572" s="2" t="s">
        <v>19471</v>
      </c>
      <c r="B9572" s="2" t="s">
        <v>19472</v>
      </c>
      <c r="C9572" s="2" t="s">
        <v>18664</v>
      </c>
    </row>
    <row r="9573">
      <c r="A9573" s="2" t="s">
        <v>19473</v>
      </c>
      <c r="B9573" s="2" t="s">
        <v>19474</v>
      </c>
      <c r="C9573" s="2" t="s">
        <v>18664</v>
      </c>
    </row>
    <row r="9574">
      <c r="A9574" s="2" t="s">
        <v>19475</v>
      </c>
      <c r="B9574" s="2" t="s">
        <v>19476</v>
      </c>
      <c r="C9574" s="2" t="s">
        <v>18664</v>
      </c>
    </row>
    <row r="9575">
      <c r="A9575" s="2" t="s">
        <v>19477</v>
      </c>
      <c r="B9575" s="2" t="s">
        <v>19478</v>
      </c>
      <c r="C9575" s="2" t="s">
        <v>18664</v>
      </c>
    </row>
    <row r="9576">
      <c r="A9576" s="2" t="s">
        <v>19479</v>
      </c>
      <c r="B9576" s="2" t="s">
        <v>19480</v>
      </c>
      <c r="C9576" s="2" t="s">
        <v>18664</v>
      </c>
    </row>
    <row r="9577">
      <c r="A9577" s="2" t="s">
        <v>19481</v>
      </c>
      <c r="B9577" s="2" t="s">
        <v>19480</v>
      </c>
      <c r="C9577" s="2" t="s">
        <v>18664</v>
      </c>
    </row>
    <row r="9578">
      <c r="A9578" s="2" t="s">
        <v>19482</v>
      </c>
      <c r="B9578" s="2" t="s">
        <v>19483</v>
      </c>
      <c r="C9578" s="2" t="s">
        <v>18664</v>
      </c>
    </row>
    <row r="9579">
      <c r="A9579" s="2" t="s">
        <v>19484</v>
      </c>
      <c r="B9579" s="2" t="s">
        <v>19485</v>
      </c>
      <c r="C9579" s="2" t="s">
        <v>18664</v>
      </c>
    </row>
    <row r="9580">
      <c r="A9580" s="2" t="s">
        <v>19486</v>
      </c>
      <c r="B9580" s="2" t="s">
        <v>19487</v>
      </c>
      <c r="C9580" s="2" t="s">
        <v>18664</v>
      </c>
    </row>
    <row r="9581">
      <c r="A9581" s="2" t="s">
        <v>19488</v>
      </c>
      <c r="B9581" s="2" t="s">
        <v>19489</v>
      </c>
      <c r="C9581" s="2" t="s">
        <v>18664</v>
      </c>
    </row>
    <row r="9582">
      <c r="A9582" s="2" t="s">
        <v>19490</v>
      </c>
      <c r="B9582" s="2" t="s">
        <v>19491</v>
      </c>
      <c r="C9582" s="2" t="s">
        <v>18664</v>
      </c>
    </row>
    <row r="9583">
      <c r="A9583" s="2" t="s">
        <v>19492</v>
      </c>
      <c r="B9583" s="2" t="s">
        <v>19493</v>
      </c>
      <c r="C9583" s="2" t="s">
        <v>18664</v>
      </c>
    </row>
    <row r="9584">
      <c r="A9584" s="2" t="s">
        <v>19494</v>
      </c>
      <c r="B9584" s="2" t="s">
        <v>19495</v>
      </c>
      <c r="C9584" s="2" t="s">
        <v>18664</v>
      </c>
    </row>
    <row r="9585">
      <c r="A9585" s="2" t="s">
        <v>19496</v>
      </c>
      <c r="B9585" s="2" t="s">
        <v>19497</v>
      </c>
      <c r="C9585" s="2" t="s">
        <v>18664</v>
      </c>
    </row>
    <row r="9586">
      <c r="A9586" s="2" t="s">
        <v>19498</v>
      </c>
      <c r="B9586" s="2" t="s">
        <v>19499</v>
      </c>
      <c r="C9586" s="2" t="s">
        <v>18664</v>
      </c>
    </row>
    <row r="9587">
      <c r="A9587" s="2" t="s">
        <v>19500</v>
      </c>
      <c r="B9587" s="2" t="s">
        <v>19501</v>
      </c>
      <c r="C9587" s="2" t="s">
        <v>18664</v>
      </c>
    </row>
    <row r="9588">
      <c r="A9588" s="2" t="s">
        <v>19502</v>
      </c>
      <c r="B9588" s="2" t="s">
        <v>19503</v>
      </c>
      <c r="C9588" s="2" t="s">
        <v>18664</v>
      </c>
    </row>
    <row r="9589">
      <c r="A9589" s="2" t="s">
        <v>19504</v>
      </c>
      <c r="B9589" s="2" t="s">
        <v>19503</v>
      </c>
      <c r="C9589" s="2" t="s">
        <v>18664</v>
      </c>
    </row>
    <row r="9590">
      <c r="A9590" s="2" t="s">
        <v>19505</v>
      </c>
      <c r="B9590" s="2" t="s">
        <v>19503</v>
      </c>
      <c r="C9590" s="2" t="s">
        <v>18664</v>
      </c>
    </row>
    <row r="9591">
      <c r="A9591" s="2" t="s">
        <v>19506</v>
      </c>
      <c r="B9591" s="2" t="s">
        <v>19507</v>
      </c>
      <c r="C9591" s="2" t="s">
        <v>18664</v>
      </c>
    </row>
    <row r="9592">
      <c r="A9592" s="2" t="s">
        <v>19508</v>
      </c>
      <c r="B9592" s="2" t="s">
        <v>19509</v>
      </c>
      <c r="C9592" s="2" t="s">
        <v>18664</v>
      </c>
    </row>
    <row r="9593">
      <c r="A9593" s="2" t="s">
        <v>19510</v>
      </c>
      <c r="B9593" s="2" t="s">
        <v>19511</v>
      </c>
      <c r="C9593" s="2" t="s">
        <v>18664</v>
      </c>
    </row>
    <row r="9594">
      <c r="A9594" s="2" t="s">
        <v>19512</v>
      </c>
      <c r="B9594" s="2" t="s">
        <v>19513</v>
      </c>
      <c r="C9594" s="2" t="s">
        <v>18664</v>
      </c>
    </row>
    <row r="9595">
      <c r="A9595" s="2" t="s">
        <v>19514</v>
      </c>
      <c r="B9595" s="2" t="s">
        <v>19515</v>
      </c>
      <c r="C9595" s="2" t="s">
        <v>18664</v>
      </c>
    </row>
    <row r="9596">
      <c r="A9596" s="2" t="s">
        <v>19516</v>
      </c>
      <c r="B9596" s="2" t="s">
        <v>19517</v>
      </c>
      <c r="C9596" s="2" t="s">
        <v>18664</v>
      </c>
    </row>
    <row r="9597">
      <c r="A9597" s="2" t="s">
        <v>19518</v>
      </c>
      <c r="B9597" s="2" t="s">
        <v>19519</v>
      </c>
      <c r="C9597" s="2" t="s">
        <v>18664</v>
      </c>
    </row>
    <row r="9598">
      <c r="A9598" s="2" t="s">
        <v>19520</v>
      </c>
      <c r="B9598" s="2" t="s">
        <v>19521</v>
      </c>
      <c r="C9598" s="2" t="s">
        <v>18664</v>
      </c>
    </row>
    <row r="9599">
      <c r="A9599" s="2" t="s">
        <v>19522</v>
      </c>
      <c r="B9599" s="2" t="s">
        <v>19523</v>
      </c>
      <c r="C9599" s="2" t="s">
        <v>18664</v>
      </c>
    </row>
    <row r="9600">
      <c r="A9600" s="2" t="s">
        <v>19524</v>
      </c>
      <c r="B9600" s="2" t="s">
        <v>19525</v>
      </c>
      <c r="C9600" s="2" t="s">
        <v>18664</v>
      </c>
    </row>
    <row r="9601">
      <c r="A9601" s="2" t="s">
        <v>19526</v>
      </c>
      <c r="B9601" s="2" t="s">
        <v>19527</v>
      </c>
      <c r="C9601" s="2" t="s">
        <v>19528</v>
      </c>
    </row>
    <row r="9602">
      <c r="A9602" s="2" t="s">
        <v>19529</v>
      </c>
      <c r="B9602" s="2" t="s">
        <v>19530</v>
      </c>
      <c r="C9602" s="2" t="s">
        <v>19528</v>
      </c>
    </row>
    <row r="9603">
      <c r="A9603" s="2" t="s">
        <v>19531</v>
      </c>
      <c r="B9603" s="2" t="s">
        <v>19532</v>
      </c>
      <c r="C9603" s="2" t="s">
        <v>19528</v>
      </c>
    </row>
    <row r="9604">
      <c r="A9604" s="2" t="s">
        <v>19533</v>
      </c>
      <c r="B9604" s="2" t="s">
        <v>19534</v>
      </c>
      <c r="C9604" s="2" t="s">
        <v>19528</v>
      </c>
    </row>
    <row r="9605">
      <c r="A9605" s="2" t="s">
        <v>19535</v>
      </c>
      <c r="B9605" s="2" t="s">
        <v>19536</v>
      </c>
      <c r="C9605" s="2" t="s">
        <v>19528</v>
      </c>
    </row>
    <row r="9606">
      <c r="A9606" s="2" t="s">
        <v>19537</v>
      </c>
      <c r="B9606" s="2" t="s">
        <v>19538</v>
      </c>
      <c r="C9606" s="2" t="s">
        <v>19528</v>
      </c>
    </row>
    <row r="9607">
      <c r="A9607" s="2" t="s">
        <v>19539</v>
      </c>
      <c r="B9607" s="2" t="s">
        <v>19540</v>
      </c>
      <c r="C9607" s="2" t="s">
        <v>19528</v>
      </c>
    </row>
    <row r="9608">
      <c r="A9608" s="2" t="s">
        <v>19541</v>
      </c>
      <c r="B9608" s="2" t="s">
        <v>19540</v>
      </c>
      <c r="C9608" s="2" t="s">
        <v>19528</v>
      </c>
    </row>
    <row r="9609">
      <c r="A9609" s="2" t="s">
        <v>19542</v>
      </c>
      <c r="B9609" s="2" t="s">
        <v>19540</v>
      </c>
      <c r="C9609" s="2" t="s">
        <v>19528</v>
      </c>
    </row>
    <row r="9610">
      <c r="A9610" s="2" t="s">
        <v>19543</v>
      </c>
      <c r="B9610" s="2" t="s">
        <v>19540</v>
      </c>
      <c r="C9610" s="2" t="s">
        <v>19528</v>
      </c>
    </row>
    <row r="9611">
      <c r="A9611" s="2" t="s">
        <v>19544</v>
      </c>
      <c r="B9611" s="2" t="s">
        <v>19540</v>
      </c>
      <c r="C9611" s="2" t="s">
        <v>19528</v>
      </c>
    </row>
    <row r="9612">
      <c r="A9612" s="2" t="s">
        <v>19545</v>
      </c>
      <c r="B9612" s="2" t="s">
        <v>19540</v>
      </c>
      <c r="C9612" s="2" t="s">
        <v>19528</v>
      </c>
    </row>
    <row r="9613">
      <c r="A9613" s="2" t="s">
        <v>19546</v>
      </c>
      <c r="B9613" s="2" t="s">
        <v>19547</v>
      </c>
      <c r="C9613" s="2" t="s">
        <v>19528</v>
      </c>
    </row>
    <row r="9614">
      <c r="A9614" s="2" t="s">
        <v>19548</v>
      </c>
      <c r="B9614" s="2" t="s">
        <v>19549</v>
      </c>
      <c r="C9614" s="2" t="s">
        <v>19528</v>
      </c>
    </row>
    <row r="9615">
      <c r="A9615" s="2" t="s">
        <v>19550</v>
      </c>
      <c r="B9615" s="2" t="s">
        <v>19551</v>
      </c>
      <c r="C9615" s="2" t="s">
        <v>19528</v>
      </c>
    </row>
    <row r="9616">
      <c r="A9616" s="2" t="s">
        <v>19552</v>
      </c>
      <c r="B9616" s="2" t="s">
        <v>19553</v>
      </c>
      <c r="C9616" s="2" t="s">
        <v>19528</v>
      </c>
    </row>
    <row r="9617">
      <c r="A9617" s="2" t="s">
        <v>19554</v>
      </c>
      <c r="B9617" s="2" t="s">
        <v>19555</v>
      </c>
      <c r="C9617" s="2" t="s">
        <v>19528</v>
      </c>
    </row>
    <row r="9618">
      <c r="A9618" s="2" t="s">
        <v>19556</v>
      </c>
      <c r="B9618" s="2" t="s">
        <v>19557</v>
      </c>
      <c r="C9618" s="2" t="s">
        <v>19528</v>
      </c>
    </row>
    <row r="9619">
      <c r="A9619" s="2" t="s">
        <v>19558</v>
      </c>
      <c r="B9619" s="2" t="s">
        <v>19559</v>
      </c>
      <c r="C9619" s="2" t="s">
        <v>19528</v>
      </c>
    </row>
    <row r="9620">
      <c r="A9620" s="2" t="s">
        <v>19560</v>
      </c>
      <c r="B9620" s="2" t="s">
        <v>19561</v>
      </c>
      <c r="C9620" s="2" t="s">
        <v>19528</v>
      </c>
    </row>
    <row r="9621">
      <c r="A9621" s="2" t="s">
        <v>19562</v>
      </c>
      <c r="B9621" s="2" t="s">
        <v>19563</v>
      </c>
      <c r="C9621" s="2" t="s">
        <v>19528</v>
      </c>
    </row>
    <row r="9622">
      <c r="A9622" s="2" t="s">
        <v>19564</v>
      </c>
      <c r="B9622" s="2" t="s">
        <v>19565</v>
      </c>
      <c r="C9622" s="2" t="s">
        <v>19528</v>
      </c>
    </row>
    <row r="9623">
      <c r="A9623" s="2" t="s">
        <v>19566</v>
      </c>
      <c r="B9623" s="2" t="s">
        <v>19567</v>
      </c>
      <c r="C9623" s="2" t="s">
        <v>19528</v>
      </c>
    </row>
    <row r="9624">
      <c r="A9624" s="2" t="s">
        <v>19568</v>
      </c>
      <c r="B9624" s="2" t="s">
        <v>19569</v>
      </c>
      <c r="C9624" s="2" t="s">
        <v>19528</v>
      </c>
    </row>
    <row r="9625">
      <c r="A9625" s="2" t="s">
        <v>19570</v>
      </c>
      <c r="B9625" s="2" t="s">
        <v>19571</v>
      </c>
      <c r="C9625" s="2" t="s">
        <v>19528</v>
      </c>
    </row>
    <row r="9626">
      <c r="A9626" s="2" t="s">
        <v>19572</v>
      </c>
      <c r="B9626" s="2" t="s">
        <v>19573</v>
      </c>
      <c r="C9626" s="2" t="s">
        <v>19528</v>
      </c>
    </row>
    <row r="9627">
      <c r="A9627" s="2" t="s">
        <v>19574</v>
      </c>
      <c r="B9627" s="2" t="s">
        <v>19575</v>
      </c>
      <c r="C9627" s="2" t="s">
        <v>19528</v>
      </c>
    </row>
    <row r="9628">
      <c r="A9628" s="2" t="s">
        <v>19576</v>
      </c>
      <c r="B9628" s="2" t="s">
        <v>19577</v>
      </c>
      <c r="C9628" s="2" t="s">
        <v>19528</v>
      </c>
    </row>
    <row r="9629">
      <c r="A9629" s="2" t="s">
        <v>19578</v>
      </c>
      <c r="B9629" s="2" t="s">
        <v>19579</v>
      </c>
      <c r="C9629" s="2" t="s">
        <v>19528</v>
      </c>
    </row>
    <row r="9630">
      <c r="A9630" s="2" t="s">
        <v>19580</v>
      </c>
      <c r="B9630" s="2" t="s">
        <v>19581</v>
      </c>
      <c r="C9630" s="2" t="s">
        <v>19528</v>
      </c>
    </row>
    <row r="9631">
      <c r="A9631" s="2" t="s">
        <v>19582</v>
      </c>
      <c r="B9631" s="2" t="s">
        <v>19583</v>
      </c>
      <c r="C9631" s="2" t="s">
        <v>19528</v>
      </c>
    </row>
    <row r="9632">
      <c r="A9632" s="2" t="s">
        <v>19584</v>
      </c>
      <c r="B9632" s="2" t="s">
        <v>19585</v>
      </c>
      <c r="C9632" s="2" t="s">
        <v>19528</v>
      </c>
    </row>
    <row r="9633">
      <c r="A9633" s="2" t="s">
        <v>19586</v>
      </c>
      <c r="B9633" s="2" t="s">
        <v>19587</v>
      </c>
      <c r="C9633" s="2" t="s">
        <v>19528</v>
      </c>
    </row>
    <row r="9634">
      <c r="A9634" s="2" t="s">
        <v>19588</v>
      </c>
      <c r="B9634" s="2" t="s">
        <v>19589</v>
      </c>
      <c r="C9634" s="2" t="s">
        <v>19528</v>
      </c>
    </row>
    <row r="9635">
      <c r="A9635" s="2" t="s">
        <v>19590</v>
      </c>
      <c r="B9635" s="2" t="s">
        <v>19591</v>
      </c>
      <c r="C9635" s="2" t="s">
        <v>19528</v>
      </c>
    </row>
    <row r="9636">
      <c r="A9636" s="2" t="s">
        <v>19592</v>
      </c>
      <c r="B9636" s="2" t="s">
        <v>19593</v>
      </c>
      <c r="C9636" s="2" t="s">
        <v>19528</v>
      </c>
    </row>
    <row r="9637">
      <c r="A9637" s="2" t="s">
        <v>19594</v>
      </c>
      <c r="B9637" s="2" t="s">
        <v>19595</v>
      </c>
      <c r="C9637" s="2" t="s">
        <v>19528</v>
      </c>
    </row>
    <row r="9638">
      <c r="A9638" s="2" t="s">
        <v>19596</v>
      </c>
      <c r="B9638" s="2" t="s">
        <v>19597</v>
      </c>
      <c r="C9638" s="2" t="s">
        <v>19528</v>
      </c>
    </row>
    <row r="9639">
      <c r="A9639" s="2" t="s">
        <v>19598</v>
      </c>
      <c r="B9639" s="2" t="s">
        <v>19599</v>
      </c>
      <c r="C9639" s="2" t="s">
        <v>19528</v>
      </c>
    </row>
    <row r="9640">
      <c r="A9640" s="2" t="s">
        <v>19600</v>
      </c>
      <c r="B9640" s="2" t="s">
        <v>19601</v>
      </c>
      <c r="C9640" s="2" t="s">
        <v>19528</v>
      </c>
    </row>
    <row r="9641">
      <c r="A9641" s="2" t="s">
        <v>19602</v>
      </c>
      <c r="B9641" s="2" t="s">
        <v>19603</v>
      </c>
      <c r="C9641" s="2" t="s">
        <v>19528</v>
      </c>
    </row>
    <row r="9642">
      <c r="A9642" s="2" t="s">
        <v>19604</v>
      </c>
      <c r="B9642" s="2" t="s">
        <v>19605</v>
      </c>
      <c r="C9642" s="2" t="s">
        <v>19528</v>
      </c>
    </row>
    <row r="9643">
      <c r="A9643" s="2" t="s">
        <v>19606</v>
      </c>
      <c r="B9643" s="2" t="s">
        <v>19607</v>
      </c>
      <c r="C9643" s="2" t="s">
        <v>19528</v>
      </c>
    </row>
    <row r="9644">
      <c r="A9644" s="2" t="s">
        <v>19608</v>
      </c>
      <c r="B9644" s="2" t="s">
        <v>19609</v>
      </c>
      <c r="C9644" s="2" t="s">
        <v>19528</v>
      </c>
    </row>
    <row r="9645">
      <c r="A9645" s="2" t="s">
        <v>19610</v>
      </c>
      <c r="B9645" s="2" t="s">
        <v>19611</v>
      </c>
      <c r="C9645" s="2" t="s">
        <v>19528</v>
      </c>
    </row>
    <row r="9646">
      <c r="A9646" s="2" t="s">
        <v>19612</v>
      </c>
      <c r="B9646" s="2" t="s">
        <v>19613</v>
      </c>
      <c r="C9646" s="2" t="s">
        <v>19528</v>
      </c>
    </row>
    <row r="9647">
      <c r="A9647" s="2" t="s">
        <v>19614</v>
      </c>
      <c r="B9647" s="2" t="s">
        <v>19615</v>
      </c>
      <c r="C9647" s="2" t="s">
        <v>19528</v>
      </c>
    </row>
    <row r="9648">
      <c r="A9648" s="2" t="s">
        <v>19616</v>
      </c>
      <c r="B9648" s="2" t="s">
        <v>19617</v>
      </c>
      <c r="C9648" s="2" t="s">
        <v>19528</v>
      </c>
    </row>
    <row r="9649">
      <c r="A9649" s="2" t="s">
        <v>19618</v>
      </c>
      <c r="B9649" s="2" t="s">
        <v>19619</v>
      </c>
      <c r="C9649" s="2" t="s">
        <v>19528</v>
      </c>
    </row>
    <row r="9650">
      <c r="A9650" s="2" t="s">
        <v>19620</v>
      </c>
      <c r="B9650" s="2" t="s">
        <v>19621</v>
      </c>
      <c r="C9650" s="2" t="s">
        <v>19528</v>
      </c>
    </row>
    <row r="9651">
      <c r="A9651" s="2" t="s">
        <v>19622</v>
      </c>
      <c r="B9651" s="2" t="s">
        <v>19623</v>
      </c>
      <c r="C9651" s="2" t="s">
        <v>19528</v>
      </c>
    </row>
    <row r="9652">
      <c r="A9652" s="2" t="s">
        <v>19624</v>
      </c>
      <c r="B9652" s="2" t="s">
        <v>19625</v>
      </c>
      <c r="C9652" s="2" t="s">
        <v>19528</v>
      </c>
    </row>
    <row r="9653">
      <c r="A9653" s="2" t="s">
        <v>19626</v>
      </c>
      <c r="B9653" s="2" t="s">
        <v>19627</v>
      </c>
      <c r="C9653" s="2" t="s">
        <v>19528</v>
      </c>
    </row>
    <row r="9654">
      <c r="A9654" s="2" t="s">
        <v>19628</v>
      </c>
      <c r="B9654" s="2" t="s">
        <v>19629</v>
      </c>
      <c r="C9654" s="2" t="s">
        <v>19528</v>
      </c>
    </row>
    <row r="9655">
      <c r="A9655" s="2" t="s">
        <v>19630</v>
      </c>
      <c r="B9655" s="2" t="s">
        <v>19631</v>
      </c>
      <c r="C9655" s="2" t="s">
        <v>19528</v>
      </c>
    </row>
    <row r="9656">
      <c r="A9656" s="2" t="s">
        <v>19632</v>
      </c>
      <c r="B9656" s="2" t="s">
        <v>19633</v>
      </c>
      <c r="C9656" s="2" t="s">
        <v>19528</v>
      </c>
    </row>
    <row r="9657">
      <c r="A9657" s="2" t="s">
        <v>19634</v>
      </c>
      <c r="B9657" s="2" t="s">
        <v>19635</v>
      </c>
      <c r="C9657" s="2" t="s">
        <v>19528</v>
      </c>
    </row>
    <row r="9658">
      <c r="A9658" s="2" t="s">
        <v>19636</v>
      </c>
      <c r="B9658" s="2" t="s">
        <v>19637</v>
      </c>
      <c r="C9658" s="2" t="s">
        <v>19528</v>
      </c>
    </row>
    <row r="9659">
      <c r="A9659" s="2" t="s">
        <v>19638</v>
      </c>
      <c r="B9659" s="2" t="s">
        <v>19639</v>
      </c>
      <c r="C9659" s="2" t="s">
        <v>19528</v>
      </c>
    </row>
    <row r="9660">
      <c r="A9660" s="2" t="s">
        <v>19640</v>
      </c>
      <c r="B9660" s="2" t="s">
        <v>19641</v>
      </c>
      <c r="C9660" s="2" t="s">
        <v>19528</v>
      </c>
    </row>
    <row r="9661">
      <c r="A9661" s="2" t="s">
        <v>19642</v>
      </c>
      <c r="B9661" s="2" t="s">
        <v>19643</v>
      </c>
      <c r="C9661" s="2" t="s">
        <v>19528</v>
      </c>
    </row>
    <row r="9662">
      <c r="A9662" s="2" t="s">
        <v>19644</v>
      </c>
      <c r="B9662" s="2" t="s">
        <v>19645</v>
      </c>
      <c r="C9662" s="2" t="s">
        <v>19528</v>
      </c>
    </row>
    <row r="9663">
      <c r="A9663" s="2" t="s">
        <v>19646</v>
      </c>
      <c r="B9663" s="2" t="s">
        <v>19647</v>
      </c>
      <c r="C9663" s="2" t="s">
        <v>19528</v>
      </c>
    </row>
    <row r="9664">
      <c r="A9664" s="2" t="s">
        <v>19648</v>
      </c>
      <c r="B9664" s="2" t="s">
        <v>19649</v>
      </c>
      <c r="C9664" s="2" t="s">
        <v>19528</v>
      </c>
    </row>
    <row r="9665">
      <c r="A9665" s="2" t="s">
        <v>19650</v>
      </c>
      <c r="B9665" s="2" t="s">
        <v>19651</v>
      </c>
      <c r="C9665" s="2" t="s">
        <v>19528</v>
      </c>
    </row>
    <row r="9666">
      <c r="A9666" s="2" t="s">
        <v>19652</v>
      </c>
      <c r="B9666" s="2" t="s">
        <v>19653</v>
      </c>
      <c r="C9666" s="2" t="s">
        <v>19528</v>
      </c>
    </row>
    <row r="9667">
      <c r="A9667" s="2" t="s">
        <v>19654</v>
      </c>
      <c r="B9667" s="2" t="s">
        <v>19655</v>
      </c>
      <c r="C9667" s="2" t="s">
        <v>19528</v>
      </c>
    </row>
    <row r="9668">
      <c r="A9668" s="2" t="s">
        <v>19656</v>
      </c>
      <c r="B9668" s="2" t="s">
        <v>19657</v>
      </c>
      <c r="C9668" s="2" t="s">
        <v>19528</v>
      </c>
    </row>
    <row r="9669">
      <c r="A9669" s="2" t="s">
        <v>19658</v>
      </c>
      <c r="B9669" s="2" t="s">
        <v>19659</v>
      </c>
      <c r="C9669" s="2" t="s">
        <v>19528</v>
      </c>
    </row>
    <row r="9670">
      <c r="A9670" s="2" t="s">
        <v>19660</v>
      </c>
      <c r="B9670" s="2" t="s">
        <v>19661</v>
      </c>
      <c r="C9670" s="2" t="s">
        <v>19528</v>
      </c>
    </row>
    <row r="9671">
      <c r="A9671" s="2" t="s">
        <v>19662</v>
      </c>
      <c r="B9671" s="2" t="s">
        <v>19663</v>
      </c>
      <c r="C9671" s="2" t="s">
        <v>19528</v>
      </c>
    </row>
    <row r="9672">
      <c r="A9672" s="2" t="s">
        <v>19664</v>
      </c>
      <c r="B9672" s="2" t="s">
        <v>19665</v>
      </c>
      <c r="C9672" s="2" t="s">
        <v>19528</v>
      </c>
    </row>
    <row r="9673">
      <c r="A9673" s="2" t="s">
        <v>19666</v>
      </c>
      <c r="B9673" s="2" t="s">
        <v>19667</v>
      </c>
      <c r="C9673" s="2" t="s">
        <v>19528</v>
      </c>
    </row>
    <row r="9674">
      <c r="A9674" s="2" t="s">
        <v>19668</v>
      </c>
      <c r="B9674" s="2" t="s">
        <v>19669</v>
      </c>
      <c r="C9674" s="2" t="s">
        <v>19528</v>
      </c>
    </row>
    <row r="9675">
      <c r="A9675" s="2" t="s">
        <v>19670</v>
      </c>
      <c r="B9675" s="2" t="s">
        <v>19671</v>
      </c>
      <c r="C9675" s="2" t="s">
        <v>19528</v>
      </c>
    </row>
    <row r="9676">
      <c r="A9676" s="2" t="s">
        <v>19672</v>
      </c>
      <c r="B9676" s="2" t="s">
        <v>19673</v>
      </c>
      <c r="C9676" s="2" t="s">
        <v>19528</v>
      </c>
    </row>
    <row r="9677">
      <c r="A9677" s="2" t="s">
        <v>19674</v>
      </c>
      <c r="B9677" s="2" t="s">
        <v>19675</v>
      </c>
      <c r="C9677" s="2" t="s">
        <v>19528</v>
      </c>
    </row>
    <row r="9678">
      <c r="A9678" s="2" t="s">
        <v>19676</v>
      </c>
      <c r="B9678" s="2" t="s">
        <v>19677</v>
      </c>
      <c r="C9678" s="2" t="s">
        <v>19528</v>
      </c>
    </row>
    <row r="9679">
      <c r="A9679" s="2" t="s">
        <v>19678</v>
      </c>
      <c r="B9679" s="2" t="s">
        <v>19679</v>
      </c>
      <c r="C9679" s="2" t="s">
        <v>19528</v>
      </c>
    </row>
    <row r="9680">
      <c r="A9680" s="2" t="s">
        <v>19680</v>
      </c>
      <c r="B9680" s="2" t="s">
        <v>19681</v>
      </c>
      <c r="C9680" s="2" t="s">
        <v>19528</v>
      </c>
    </row>
    <row r="9681">
      <c r="A9681" s="2" t="s">
        <v>19682</v>
      </c>
      <c r="B9681" s="2" t="s">
        <v>19683</v>
      </c>
      <c r="C9681" s="2" t="s">
        <v>19528</v>
      </c>
    </row>
    <row r="9682">
      <c r="A9682" s="2" t="s">
        <v>19684</v>
      </c>
      <c r="B9682" s="2" t="s">
        <v>19685</v>
      </c>
      <c r="C9682" s="2" t="s">
        <v>19528</v>
      </c>
    </row>
    <row r="9683">
      <c r="A9683" s="2" t="s">
        <v>19686</v>
      </c>
      <c r="B9683" s="2" t="s">
        <v>19687</v>
      </c>
      <c r="C9683" s="2" t="s">
        <v>19528</v>
      </c>
    </row>
    <row r="9684">
      <c r="A9684" s="2" t="s">
        <v>19688</v>
      </c>
      <c r="B9684" s="2" t="s">
        <v>19689</v>
      </c>
      <c r="C9684" s="2" t="s">
        <v>19528</v>
      </c>
    </row>
    <row r="9685">
      <c r="A9685" s="2" t="s">
        <v>19690</v>
      </c>
      <c r="B9685" s="2" t="s">
        <v>19691</v>
      </c>
      <c r="C9685" s="2" t="s">
        <v>19528</v>
      </c>
    </row>
    <row r="9686">
      <c r="A9686" s="2" t="s">
        <v>19692</v>
      </c>
      <c r="B9686" s="2" t="s">
        <v>19693</v>
      </c>
      <c r="C9686" s="2" t="s">
        <v>19528</v>
      </c>
    </row>
    <row r="9687">
      <c r="A9687" s="2" t="s">
        <v>19694</v>
      </c>
      <c r="B9687" s="2" t="s">
        <v>19695</v>
      </c>
      <c r="C9687" s="2" t="s">
        <v>19528</v>
      </c>
    </row>
    <row r="9688">
      <c r="A9688" s="2" t="s">
        <v>19696</v>
      </c>
      <c r="B9688" s="2" t="s">
        <v>19697</v>
      </c>
      <c r="C9688" s="2" t="s">
        <v>19528</v>
      </c>
    </row>
    <row r="9689">
      <c r="A9689" s="2" t="s">
        <v>19698</v>
      </c>
      <c r="B9689" s="2" t="s">
        <v>19699</v>
      </c>
      <c r="C9689" s="2" t="s">
        <v>19528</v>
      </c>
    </row>
    <row r="9690">
      <c r="A9690" s="2" t="s">
        <v>19700</v>
      </c>
      <c r="B9690" s="2" t="s">
        <v>19701</v>
      </c>
      <c r="C9690" s="2" t="s">
        <v>19528</v>
      </c>
    </row>
    <row r="9691">
      <c r="A9691" s="2" t="s">
        <v>19702</v>
      </c>
      <c r="B9691" s="2" t="s">
        <v>19703</v>
      </c>
      <c r="C9691" s="2" t="s">
        <v>19528</v>
      </c>
    </row>
    <row r="9692">
      <c r="A9692" s="2" t="s">
        <v>19704</v>
      </c>
      <c r="B9692" s="2" t="s">
        <v>19705</v>
      </c>
      <c r="C9692" s="2" t="s">
        <v>19528</v>
      </c>
    </row>
    <row r="9693">
      <c r="A9693" s="2" t="s">
        <v>19706</v>
      </c>
      <c r="B9693" s="2" t="s">
        <v>19707</v>
      </c>
      <c r="C9693" s="2" t="s">
        <v>19528</v>
      </c>
    </row>
    <row r="9694">
      <c r="A9694" s="2" t="s">
        <v>19708</v>
      </c>
      <c r="B9694" s="2" t="s">
        <v>19709</v>
      </c>
      <c r="C9694" s="2" t="s">
        <v>19528</v>
      </c>
    </row>
    <row r="9695">
      <c r="A9695" s="2" t="s">
        <v>19710</v>
      </c>
      <c r="B9695" s="2" t="s">
        <v>19711</v>
      </c>
      <c r="C9695" s="2" t="s">
        <v>19528</v>
      </c>
    </row>
    <row r="9696">
      <c r="A9696" s="2" t="s">
        <v>19712</v>
      </c>
      <c r="B9696" s="2" t="s">
        <v>19713</v>
      </c>
      <c r="C9696" s="2" t="s">
        <v>19528</v>
      </c>
    </row>
    <row r="9697">
      <c r="A9697" s="2" t="s">
        <v>19714</v>
      </c>
      <c r="B9697" s="2" t="s">
        <v>19715</v>
      </c>
      <c r="C9697" s="2" t="s">
        <v>19716</v>
      </c>
    </row>
    <row r="9698">
      <c r="A9698" s="2" t="s">
        <v>19717</v>
      </c>
      <c r="B9698" s="2" t="s">
        <v>19718</v>
      </c>
      <c r="C9698" s="2" t="s">
        <v>19716</v>
      </c>
    </row>
    <row r="9699">
      <c r="A9699" s="2" t="s">
        <v>19719</v>
      </c>
      <c r="B9699" s="2" t="s">
        <v>19720</v>
      </c>
      <c r="C9699" s="2" t="s">
        <v>19716</v>
      </c>
    </row>
    <row r="9700">
      <c r="A9700" s="2" t="s">
        <v>19721</v>
      </c>
      <c r="B9700" s="2" t="s">
        <v>19722</v>
      </c>
      <c r="C9700" s="2" t="s">
        <v>19716</v>
      </c>
    </row>
    <row r="9701">
      <c r="A9701" s="2" t="s">
        <v>19723</v>
      </c>
      <c r="B9701" s="2" t="s">
        <v>19724</v>
      </c>
      <c r="C9701" s="2" t="s">
        <v>19716</v>
      </c>
    </row>
    <row r="9702">
      <c r="A9702" s="2" t="s">
        <v>19725</v>
      </c>
      <c r="B9702" s="2" t="s">
        <v>19726</v>
      </c>
      <c r="C9702" s="2" t="s">
        <v>19716</v>
      </c>
    </row>
    <row r="9703">
      <c r="A9703" s="2" t="s">
        <v>19727</v>
      </c>
      <c r="B9703" s="2" t="s">
        <v>19728</v>
      </c>
      <c r="C9703" s="2" t="s">
        <v>19716</v>
      </c>
    </row>
    <row r="9704">
      <c r="A9704" s="2" t="s">
        <v>19729</v>
      </c>
      <c r="B9704" s="2" t="s">
        <v>19730</v>
      </c>
      <c r="C9704" s="2" t="s">
        <v>19716</v>
      </c>
    </row>
    <row r="9705">
      <c r="A9705" s="2" t="s">
        <v>19731</v>
      </c>
      <c r="B9705" s="2" t="s">
        <v>19732</v>
      </c>
      <c r="C9705" s="2" t="s">
        <v>19716</v>
      </c>
    </row>
    <row r="9706">
      <c r="A9706" s="2" t="s">
        <v>19733</v>
      </c>
      <c r="B9706" s="2" t="s">
        <v>19734</v>
      </c>
      <c r="C9706" s="2" t="s">
        <v>19716</v>
      </c>
    </row>
    <row r="9707">
      <c r="A9707" s="2" t="s">
        <v>19735</v>
      </c>
      <c r="B9707" s="2" t="s">
        <v>2548</v>
      </c>
      <c r="C9707" s="2" t="s">
        <v>19716</v>
      </c>
    </row>
    <row r="9708">
      <c r="A9708" s="2" t="s">
        <v>19736</v>
      </c>
      <c r="B9708" s="2" t="s">
        <v>19737</v>
      </c>
      <c r="C9708" s="2" t="s">
        <v>19716</v>
      </c>
    </row>
    <row r="9709">
      <c r="A9709" s="2" t="s">
        <v>19738</v>
      </c>
      <c r="B9709" s="2" t="s">
        <v>19739</v>
      </c>
      <c r="C9709" s="2" t="s">
        <v>19716</v>
      </c>
    </row>
    <row r="9710">
      <c r="A9710" s="2" t="s">
        <v>19740</v>
      </c>
      <c r="B9710" s="2" t="s">
        <v>19741</v>
      </c>
      <c r="C9710" s="2" t="s">
        <v>19716</v>
      </c>
    </row>
    <row r="9711">
      <c r="A9711" s="2" t="s">
        <v>19742</v>
      </c>
      <c r="B9711" s="2" t="s">
        <v>19743</v>
      </c>
      <c r="C9711" s="2" t="s">
        <v>19716</v>
      </c>
    </row>
    <row r="9712">
      <c r="A9712" s="2" t="s">
        <v>19744</v>
      </c>
      <c r="B9712" s="2" t="s">
        <v>19745</v>
      </c>
      <c r="C9712" s="2" t="s">
        <v>19716</v>
      </c>
    </row>
    <row r="9713">
      <c r="A9713" s="2" t="s">
        <v>19746</v>
      </c>
      <c r="B9713" s="2" t="s">
        <v>19747</v>
      </c>
      <c r="C9713" s="2" t="s">
        <v>19716</v>
      </c>
    </row>
    <row r="9714">
      <c r="A9714" s="2" t="s">
        <v>19748</v>
      </c>
      <c r="B9714" s="2" t="s">
        <v>19749</v>
      </c>
      <c r="C9714" s="2" t="s">
        <v>19716</v>
      </c>
    </row>
    <row r="9715">
      <c r="A9715" s="2" t="s">
        <v>19750</v>
      </c>
      <c r="B9715" s="2" t="s">
        <v>19751</v>
      </c>
      <c r="C9715" s="2" t="s">
        <v>19716</v>
      </c>
    </row>
    <row r="9716">
      <c r="A9716" s="2" t="s">
        <v>19752</v>
      </c>
      <c r="B9716" s="2" t="s">
        <v>19753</v>
      </c>
      <c r="C9716" s="2" t="s">
        <v>19716</v>
      </c>
    </row>
    <row r="9717">
      <c r="A9717" s="2" t="s">
        <v>19754</v>
      </c>
      <c r="B9717" s="2" t="s">
        <v>19753</v>
      </c>
      <c r="C9717" s="2" t="s">
        <v>19716</v>
      </c>
    </row>
    <row r="9718">
      <c r="A9718" s="2" t="s">
        <v>19755</v>
      </c>
      <c r="B9718" s="2" t="s">
        <v>19753</v>
      </c>
      <c r="C9718" s="2" t="s">
        <v>19716</v>
      </c>
    </row>
    <row r="9719">
      <c r="A9719" s="2" t="s">
        <v>19756</v>
      </c>
      <c r="B9719" s="2" t="s">
        <v>19757</v>
      </c>
      <c r="C9719" s="2" t="s">
        <v>19716</v>
      </c>
    </row>
    <row r="9720">
      <c r="A9720" s="2" t="s">
        <v>19758</v>
      </c>
      <c r="B9720" s="2" t="s">
        <v>19759</v>
      </c>
      <c r="C9720" s="2" t="s">
        <v>19716</v>
      </c>
    </row>
    <row r="9721">
      <c r="A9721" s="2" t="s">
        <v>19760</v>
      </c>
      <c r="B9721" s="2" t="s">
        <v>19761</v>
      </c>
      <c r="C9721" s="2" t="s">
        <v>19716</v>
      </c>
    </row>
    <row r="9722">
      <c r="A9722" s="2" t="s">
        <v>19762</v>
      </c>
      <c r="B9722" s="2" t="s">
        <v>19763</v>
      </c>
      <c r="C9722" s="2" t="s">
        <v>19716</v>
      </c>
    </row>
    <row r="9723">
      <c r="A9723" s="2" t="s">
        <v>19764</v>
      </c>
      <c r="B9723" s="2" t="s">
        <v>19765</v>
      </c>
      <c r="C9723" s="2" t="s">
        <v>19716</v>
      </c>
    </row>
    <row r="9724">
      <c r="A9724" s="2" t="s">
        <v>19766</v>
      </c>
      <c r="B9724" s="2" t="s">
        <v>19767</v>
      </c>
      <c r="C9724" s="2" t="s">
        <v>19716</v>
      </c>
    </row>
    <row r="9725">
      <c r="A9725" s="2" t="s">
        <v>19768</v>
      </c>
      <c r="B9725" s="2" t="s">
        <v>19769</v>
      </c>
      <c r="C9725" s="2" t="s">
        <v>19716</v>
      </c>
    </row>
    <row r="9726">
      <c r="A9726" s="2" t="s">
        <v>19770</v>
      </c>
      <c r="B9726" s="2" t="s">
        <v>19771</v>
      </c>
      <c r="C9726" s="2" t="s">
        <v>19716</v>
      </c>
    </row>
    <row r="9727">
      <c r="A9727" s="2" t="s">
        <v>19772</v>
      </c>
      <c r="B9727" s="2" t="s">
        <v>19773</v>
      </c>
      <c r="C9727" s="2" t="s">
        <v>19716</v>
      </c>
    </row>
    <row r="9728">
      <c r="A9728" s="2" t="s">
        <v>19774</v>
      </c>
      <c r="B9728" s="2" t="s">
        <v>19775</v>
      </c>
      <c r="C9728" s="2" t="s">
        <v>19716</v>
      </c>
    </row>
    <row r="9729">
      <c r="A9729" s="2" t="s">
        <v>19776</v>
      </c>
      <c r="B9729" s="2" t="s">
        <v>19777</v>
      </c>
      <c r="C9729" s="2" t="s">
        <v>19716</v>
      </c>
    </row>
    <row r="9730">
      <c r="A9730" s="2" t="s">
        <v>19778</v>
      </c>
      <c r="B9730" s="2" t="s">
        <v>19779</v>
      </c>
      <c r="C9730" s="2" t="s">
        <v>19716</v>
      </c>
    </row>
    <row r="9731">
      <c r="A9731" s="2" t="s">
        <v>19780</v>
      </c>
      <c r="B9731" s="2" t="s">
        <v>19781</v>
      </c>
      <c r="C9731" s="2" t="s">
        <v>19716</v>
      </c>
    </row>
    <row r="9732">
      <c r="A9732" s="2" t="s">
        <v>19782</v>
      </c>
      <c r="B9732" s="2" t="s">
        <v>19783</v>
      </c>
      <c r="C9732" s="2" t="s">
        <v>19716</v>
      </c>
    </row>
    <row r="9733">
      <c r="A9733" s="2" t="s">
        <v>19784</v>
      </c>
      <c r="B9733" s="2" t="s">
        <v>19785</v>
      </c>
      <c r="C9733" s="2" t="s">
        <v>19716</v>
      </c>
    </row>
    <row r="9734">
      <c r="A9734" s="2" t="s">
        <v>19786</v>
      </c>
      <c r="B9734" s="2" t="s">
        <v>19787</v>
      </c>
      <c r="C9734" s="2" t="s">
        <v>19716</v>
      </c>
    </row>
    <row r="9735">
      <c r="A9735" s="2" t="s">
        <v>19788</v>
      </c>
      <c r="B9735" s="2" t="s">
        <v>19789</v>
      </c>
      <c r="C9735" s="2" t="s">
        <v>19716</v>
      </c>
    </row>
    <row r="9736">
      <c r="A9736" s="2" t="s">
        <v>19790</v>
      </c>
      <c r="B9736" s="2" t="s">
        <v>19791</v>
      </c>
      <c r="C9736" s="2" t="s">
        <v>19716</v>
      </c>
    </row>
    <row r="9737">
      <c r="A9737" s="2" t="s">
        <v>19792</v>
      </c>
      <c r="B9737" s="2" t="s">
        <v>19793</v>
      </c>
      <c r="C9737" s="2" t="s">
        <v>19716</v>
      </c>
    </row>
    <row r="9738">
      <c r="A9738" s="2" t="s">
        <v>19794</v>
      </c>
      <c r="B9738" s="2" t="s">
        <v>19795</v>
      </c>
      <c r="C9738" s="2" t="s">
        <v>19716</v>
      </c>
    </row>
    <row r="9739">
      <c r="A9739" s="2" t="s">
        <v>19796</v>
      </c>
      <c r="B9739" s="2" t="s">
        <v>19797</v>
      </c>
      <c r="C9739" s="2" t="s">
        <v>19716</v>
      </c>
    </row>
    <row r="9740">
      <c r="A9740" s="2" t="s">
        <v>19798</v>
      </c>
      <c r="B9740" s="2" t="s">
        <v>19799</v>
      </c>
      <c r="C9740" s="2" t="s">
        <v>19716</v>
      </c>
    </row>
    <row r="9741">
      <c r="A9741" s="2" t="s">
        <v>19800</v>
      </c>
      <c r="B9741" s="2" t="s">
        <v>19801</v>
      </c>
      <c r="C9741" s="2" t="s">
        <v>19716</v>
      </c>
    </row>
    <row r="9742">
      <c r="A9742" s="2" t="s">
        <v>19802</v>
      </c>
      <c r="B9742" s="2" t="s">
        <v>19803</v>
      </c>
      <c r="C9742" s="2" t="s">
        <v>19716</v>
      </c>
    </row>
    <row r="9743">
      <c r="A9743" s="2" t="s">
        <v>19804</v>
      </c>
      <c r="B9743" s="2" t="s">
        <v>19805</v>
      </c>
      <c r="C9743" s="2" t="s">
        <v>19716</v>
      </c>
    </row>
    <row r="9744">
      <c r="A9744" s="2" t="s">
        <v>19806</v>
      </c>
      <c r="B9744" s="2" t="s">
        <v>19807</v>
      </c>
      <c r="C9744" s="2" t="s">
        <v>19716</v>
      </c>
    </row>
    <row r="9745">
      <c r="A9745" s="2" t="s">
        <v>19808</v>
      </c>
      <c r="B9745" s="2" t="s">
        <v>19809</v>
      </c>
      <c r="C9745" s="2" t="s">
        <v>19716</v>
      </c>
    </row>
    <row r="9746">
      <c r="A9746" s="2" t="s">
        <v>19810</v>
      </c>
      <c r="B9746" s="2" t="s">
        <v>19811</v>
      </c>
      <c r="C9746" s="2" t="s">
        <v>19716</v>
      </c>
    </row>
    <row r="9747">
      <c r="A9747" s="2" t="s">
        <v>19812</v>
      </c>
      <c r="B9747" s="2" t="s">
        <v>19813</v>
      </c>
      <c r="C9747" s="2" t="s">
        <v>19716</v>
      </c>
    </row>
    <row r="9748">
      <c r="A9748" s="2" t="s">
        <v>19814</v>
      </c>
      <c r="B9748" s="2" t="s">
        <v>19815</v>
      </c>
      <c r="C9748" s="2" t="s">
        <v>19716</v>
      </c>
    </row>
    <row r="9749">
      <c r="A9749" s="2" t="s">
        <v>19816</v>
      </c>
      <c r="B9749" s="2" t="s">
        <v>19817</v>
      </c>
      <c r="C9749" s="2" t="s">
        <v>19716</v>
      </c>
    </row>
    <row r="9750">
      <c r="A9750" s="2" t="s">
        <v>19818</v>
      </c>
      <c r="B9750" s="2" t="s">
        <v>19819</v>
      </c>
      <c r="C9750" s="2" t="s">
        <v>19716</v>
      </c>
    </row>
    <row r="9751">
      <c r="A9751" s="2" t="s">
        <v>19820</v>
      </c>
      <c r="B9751" s="2" t="s">
        <v>19821</v>
      </c>
      <c r="C9751" s="2" t="s">
        <v>19716</v>
      </c>
    </row>
    <row r="9752">
      <c r="A9752" s="2" t="s">
        <v>19822</v>
      </c>
      <c r="B9752" s="2" t="s">
        <v>19823</v>
      </c>
      <c r="C9752" s="2" t="s">
        <v>19716</v>
      </c>
    </row>
    <row r="9753">
      <c r="A9753" s="2" t="s">
        <v>19824</v>
      </c>
      <c r="B9753" s="2" t="s">
        <v>19825</v>
      </c>
      <c r="C9753" s="2" t="s">
        <v>19716</v>
      </c>
    </row>
    <row r="9754">
      <c r="A9754" s="2" t="s">
        <v>19826</v>
      </c>
      <c r="B9754" s="2" t="s">
        <v>19827</v>
      </c>
      <c r="C9754" s="2" t="s">
        <v>19716</v>
      </c>
    </row>
    <row r="9755">
      <c r="A9755" s="2" t="s">
        <v>19828</v>
      </c>
      <c r="B9755" s="2" t="s">
        <v>19829</v>
      </c>
      <c r="C9755" s="2" t="s">
        <v>19716</v>
      </c>
    </row>
    <row r="9756">
      <c r="A9756" s="2" t="s">
        <v>19830</v>
      </c>
      <c r="B9756" s="2" t="s">
        <v>19831</v>
      </c>
      <c r="C9756" s="2" t="s">
        <v>19716</v>
      </c>
    </row>
    <row r="9757">
      <c r="A9757" s="2" t="s">
        <v>19832</v>
      </c>
      <c r="B9757" s="2" t="s">
        <v>19833</v>
      </c>
      <c r="C9757" s="2" t="s">
        <v>19716</v>
      </c>
    </row>
    <row r="9758">
      <c r="A9758" s="2" t="s">
        <v>19834</v>
      </c>
      <c r="B9758" s="2" t="s">
        <v>19835</v>
      </c>
      <c r="C9758" s="2" t="s">
        <v>19716</v>
      </c>
    </row>
    <row r="9759">
      <c r="A9759" s="2" t="s">
        <v>19836</v>
      </c>
      <c r="B9759" s="2" t="s">
        <v>19837</v>
      </c>
      <c r="C9759" s="2" t="s">
        <v>19716</v>
      </c>
    </row>
    <row r="9760">
      <c r="A9760" s="2" t="s">
        <v>19838</v>
      </c>
      <c r="B9760" s="2" t="s">
        <v>19839</v>
      </c>
      <c r="C9760" s="2" t="s">
        <v>19716</v>
      </c>
    </row>
    <row r="9761">
      <c r="A9761" s="2" t="s">
        <v>19840</v>
      </c>
      <c r="B9761" s="2" t="s">
        <v>19841</v>
      </c>
      <c r="C9761" s="2" t="s">
        <v>19716</v>
      </c>
    </row>
    <row r="9762">
      <c r="A9762" s="2" t="s">
        <v>19842</v>
      </c>
      <c r="B9762" s="2" t="s">
        <v>19843</v>
      </c>
      <c r="C9762" s="2" t="s">
        <v>19716</v>
      </c>
    </row>
    <row r="9763">
      <c r="A9763" s="2" t="s">
        <v>19844</v>
      </c>
      <c r="B9763" s="2" t="s">
        <v>19845</v>
      </c>
      <c r="C9763" s="2" t="s">
        <v>19716</v>
      </c>
    </row>
    <row r="9764">
      <c r="A9764" s="2" t="s">
        <v>19846</v>
      </c>
      <c r="B9764" s="2" t="s">
        <v>19847</v>
      </c>
      <c r="C9764" s="2" t="s">
        <v>19716</v>
      </c>
    </row>
    <row r="9765">
      <c r="A9765" s="2" t="s">
        <v>19848</v>
      </c>
      <c r="B9765" s="2" t="s">
        <v>19849</v>
      </c>
      <c r="C9765" s="2" t="s">
        <v>19716</v>
      </c>
    </row>
    <row r="9766">
      <c r="A9766" s="2" t="s">
        <v>19850</v>
      </c>
      <c r="B9766" s="2" t="s">
        <v>19851</v>
      </c>
      <c r="C9766" s="2" t="s">
        <v>19716</v>
      </c>
    </row>
    <row r="9767">
      <c r="A9767" s="2" t="s">
        <v>19852</v>
      </c>
      <c r="B9767" s="2" t="s">
        <v>19853</v>
      </c>
      <c r="C9767" s="2" t="s">
        <v>19716</v>
      </c>
    </row>
    <row r="9768">
      <c r="A9768" s="2" t="s">
        <v>19854</v>
      </c>
      <c r="B9768" s="2" t="s">
        <v>19855</v>
      </c>
      <c r="C9768" s="2" t="s">
        <v>19716</v>
      </c>
    </row>
    <row r="9769">
      <c r="A9769" s="2" t="s">
        <v>19856</v>
      </c>
      <c r="B9769" s="2" t="s">
        <v>19857</v>
      </c>
      <c r="C9769" s="2" t="s">
        <v>19716</v>
      </c>
    </row>
    <row r="9770">
      <c r="A9770" s="2" t="s">
        <v>19858</v>
      </c>
      <c r="B9770" s="2" t="s">
        <v>19859</v>
      </c>
      <c r="C9770" s="2" t="s">
        <v>19716</v>
      </c>
    </row>
    <row r="9771">
      <c r="A9771" s="2" t="s">
        <v>19860</v>
      </c>
      <c r="B9771" s="2" t="s">
        <v>19861</v>
      </c>
      <c r="C9771" s="2" t="s">
        <v>19716</v>
      </c>
    </row>
    <row r="9772">
      <c r="A9772" s="2" t="s">
        <v>19862</v>
      </c>
      <c r="B9772" s="2" t="s">
        <v>19863</v>
      </c>
      <c r="C9772" s="2" t="s">
        <v>19716</v>
      </c>
    </row>
    <row r="9773">
      <c r="A9773" s="2" t="s">
        <v>19864</v>
      </c>
      <c r="B9773" s="2" t="s">
        <v>19865</v>
      </c>
      <c r="C9773" s="2" t="s">
        <v>19716</v>
      </c>
    </row>
    <row r="9774">
      <c r="A9774" s="2" t="s">
        <v>19866</v>
      </c>
      <c r="B9774" s="2" t="s">
        <v>19867</v>
      </c>
      <c r="C9774" s="2" t="s">
        <v>19716</v>
      </c>
    </row>
    <row r="9775">
      <c r="A9775" s="2" t="s">
        <v>19868</v>
      </c>
      <c r="B9775" s="2" t="s">
        <v>19869</v>
      </c>
      <c r="C9775" s="2" t="s">
        <v>19716</v>
      </c>
    </row>
    <row r="9776">
      <c r="A9776" s="2" t="s">
        <v>19870</v>
      </c>
      <c r="B9776" s="2" t="s">
        <v>19871</v>
      </c>
      <c r="C9776" s="2" t="s">
        <v>19716</v>
      </c>
    </row>
    <row r="9777">
      <c r="A9777" s="2" t="s">
        <v>19872</v>
      </c>
      <c r="B9777" s="2" t="s">
        <v>19873</v>
      </c>
      <c r="C9777" s="2" t="s">
        <v>19716</v>
      </c>
    </row>
    <row r="9778">
      <c r="A9778" s="2" t="s">
        <v>19874</v>
      </c>
      <c r="B9778" s="2" t="s">
        <v>19875</v>
      </c>
      <c r="C9778" s="2" t="s">
        <v>19716</v>
      </c>
    </row>
    <row r="9779">
      <c r="A9779" s="2" t="s">
        <v>19876</v>
      </c>
      <c r="B9779" s="2" t="s">
        <v>19877</v>
      </c>
      <c r="C9779" s="2" t="s">
        <v>19716</v>
      </c>
    </row>
    <row r="9780">
      <c r="A9780" s="2" t="s">
        <v>19878</v>
      </c>
      <c r="B9780" s="2" t="s">
        <v>19879</v>
      </c>
      <c r="C9780" s="2" t="s">
        <v>19716</v>
      </c>
    </row>
    <row r="9781">
      <c r="A9781" s="2" t="s">
        <v>19880</v>
      </c>
      <c r="B9781" s="2" t="s">
        <v>19881</v>
      </c>
      <c r="C9781" s="2" t="s">
        <v>19716</v>
      </c>
    </row>
    <row r="9782">
      <c r="A9782" s="2" t="s">
        <v>19882</v>
      </c>
      <c r="B9782" s="2" t="s">
        <v>19883</v>
      </c>
      <c r="C9782" s="2" t="s">
        <v>19716</v>
      </c>
    </row>
    <row r="9783">
      <c r="A9783" s="2" t="s">
        <v>19884</v>
      </c>
      <c r="B9783" s="2" t="s">
        <v>19885</v>
      </c>
      <c r="C9783" s="2" t="s">
        <v>19716</v>
      </c>
    </row>
    <row r="9784">
      <c r="A9784" s="2" t="s">
        <v>19886</v>
      </c>
      <c r="B9784" s="2" t="s">
        <v>19887</v>
      </c>
      <c r="C9784" s="2" t="s">
        <v>19716</v>
      </c>
    </row>
    <row r="9785">
      <c r="A9785" s="2" t="s">
        <v>19888</v>
      </c>
      <c r="B9785" s="2" t="s">
        <v>19889</v>
      </c>
      <c r="C9785" s="2" t="s">
        <v>19716</v>
      </c>
    </row>
    <row r="9786">
      <c r="A9786" s="2" t="s">
        <v>19890</v>
      </c>
      <c r="B9786" s="2" t="s">
        <v>19891</v>
      </c>
      <c r="C9786" s="2" t="s">
        <v>19716</v>
      </c>
    </row>
    <row r="9787">
      <c r="A9787" s="2" t="s">
        <v>19892</v>
      </c>
      <c r="B9787" s="2" t="s">
        <v>19893</v>
      </c>
      <c r="C9787" s="2" t="s">
        <v>19716</v>
      </c>
    </row>
    <row r="9788">
      <c r="A9788" s="2" t="s">
        <v>19894</v>
      </c>
      <c r="B9788" s="2" t="s">
        <v>19895</v>
      </c>
      <c r="C9788" s="2" t="s">
        <v>19716</v>
      </c>
    </row>
    <row r="9789">
      <c r="A9789" s="2" t="s">
        <v>19896</v>
      </c>
      <c r="B9789" s="2" t="s">
        <v>19897</v>
      </c>
      <c r="C9789" s="2" t="s">
        <v>19716</v>
      </c>
    </row>
    <row r="9790">
      <c r="A9790" s="2" t="s">
        <v>19898</v>
      </c>
      <c r="B9790" s="2" t="s">
        <v>19899</v>
      </c>
      <c r="C9790" s="2" t="s">
        <v>19716</v>
      </c>
    </row>
    <row r="9791">
      <c r="A9791" s="2" t="s">
        <v>19900</v>
      </c>
      <c r="B9791" s="2" t="s">
        <v>19901</v>
      </c>
      <c r="C9791" s="2" t="s">
        <v>19716</v>
      </c>
    </row>
    <row r="9792">
      <c r="A9792" s="2" t="s">
        <v>19902</v>
      </c>
      <c r="B9792" s="2" t="s">
        <v>19903</v>
      </c>
      <c r="C9792" s="2" t="s">
        <v>19716</v>
      </c>
    </row>
    <row r="9793">
      <c r="A9793" s="2" t="s">
        <v>19904</v>
      </c>
      <c r="B9793" s="2" t="s">
        <v>19905</v>
      </c>
      <c r="C9793" s="2" t="s">
        <v>19716</v>
      </c>
    </row>
    <row r="9794">
      <c r="A9794" s="2" t="s">
        <v>19906</v>
      </c>
      <c r="B9794" s="2" t="s">
        <v>19907</v>
      </c>
      <c r="C9794" s="2" t="s">
        <v>19716</v>
      </c>
    </row>
    <row r="9795">
      <c r="A9795" s="2" t="s">
        <v>19908</v>
      </c>
      <c r="B9795" s="2" t="s">
        <v>19909</v>
      </c>
      <c r="C9795" s="2" t="s">
        <v>19716</v>
      </c>
    </row>
    <row r="9796">
      <c r="A9796" s="2" t="s">
        <v>19910</v>
      </c>
      <c r="B9796" s="2" t="s">
        <v>19911</v>
      </c>
      <c r="C9796" s="2" t="s">
        <v>19716</v>
      </c>
    </row>
    <row r="9797">
      <c r="A9797" s="2" t="s">
        <v>19912</v>
      </c>
      <c r="B9797" s="2" t="s">
        <v>19913</v>
      </c>
      <c r="C9797" s="2" t="s">
        <v>19716</v>
      </c>
    </row>
    <row r="9798">
      <c r="A9798" s="2" t="s">
        <v>19914</v>
      </c>
      <c r="B9798" s="2" t="s">
        <v>19915</v>
      </c>
      <c r="C9798" s="2" t="s">
        <v>19716</v>
      </c>
    </row>
    <row r="9799">
      <c r="A9799" s="2" t="s">
        <v>19916</v>
      </c>
      <c r="B9799" s="2" t="s">
        <v>19917</v>
      </c>
      <c r="C9799" s="2" t="s">
        <v>19716</v>
      </c>
    </row>
    <row r="9800">
      <c r="A9800" s="2" t="s">
        <v>19918</v>
      </c>
      <c r="B9800" s="2" t="s">
        <v>19919</v>
      </c>
      <c r="C9800" s="2" t="s">
        <v>19716</v>
      </c>
    </row>
    <row r="9801">
      <c r="A9801" s="2" t="s">
        <v>19920</v>
      </c>
      <c r="B9801" s="2" t="s">
        <v>19921</v>
      </c>
      <c r="C9801" s="2" t="s">
        <v>19716</v>
      </c>
    </row>
    <row r="9802">
      <c r="A9802" s="2" t="s">
        <v>19922</v>
      </c>
      <c r="B9802" s="2" t="s">
        <v>19923</v>
      </c>
      <c r="C9802" s="2" t="s">
        <v>19716</v>
      </c>
    </row>
    <row r="9803">
      <c r="A9803" s="2" t="s">
        <v>19924</v>
      </c>
      <c r="B9803" s="2" t="s">
        <v>19925</v>
      </c>
      <c r="C9803" s="2" t="s">
        <v>19716</v>
      </c>
    </row>
    <row r="9804">
      <c r="A9804" s="2" t="s">
        <v>19926</v>
      </c>
      <c r="B9804" s="2" t="s">
        <v>19927</v>
      </c>
      <c r="C9804" s="2" t="s">
        <v>19716</v>
      </c>
    </row>
    <row r="9805">
      <c r="A9805" s="2" t="s">
        <v>19928</v>
      </c>
      <c r="B9805" s="2" t="s">
        <v>19929</v>
      </c>
      <c r="C9805" s="2" t="s">
        <v>19716</v>
      </c>
    </row>
    <row r="9806">
      <c r="A9806" s="2" t="s">
        <v>19930</v>
      </c>
      <c r="B9806" s="2" t="s">
        <v>19931</v>
      </c>
      <c r="C9806" s="2" t="s">
        <v>19716</v>
      </c>
    </row>
    <row r="9807">
      <c r="A9807" s="2" t="s">
        <v>19932</v>
      </c>
      <c r="B9807" s="2" t="s">
        <v>19933</v>
      </c>
      <c r="C9807" s="2" t="s">
        <v>19716</v>
      </c>
    </row>
    <row r="9808">
      <c r="A9808" s="2" t="s">
        <v>19934</v>
      </c>
      <c r="B9808" s="2" t="s">
        <v>19935</v>
      </c>
      <c r="C9808" s="2" t="s">
        <v>19716</v>
      </c>
    </row>
    <row r="9809">
      <c r="A9809" s="2" t="s">
        <v>19936</v>
      </c>
      <c r="B9809" s="2" t="s">
        <v>19937</v>
      </c>
      <c r="C9809" s="2" t="s">
        <v>19716</v>
      </c>
    </row>
    <row r="9810">
      <c r="A9810" s="2" t="s">
        <v>19938</v>
      </c>
      <c r="B9810" s="2" t="s">
        <v>19939</v>
      </c>
      <c r="C9810" s="2" t="s">
        <v>19716</v>
      </c>
    </row>
    <row r="9811">
      <c r="A9811" s="2" t="s">
        <v>19940</v>
      </c>
      <c r="B9811" s="2" t="s">
        <v>19941</v>
      </c>
      <c r="C9811" s="2" t="s">
        <v>19716</v>
      </c>
    </row>
    <row r="9812">
      <c r="A9812" s="2" t="s">
        <v>19942</v>
      </c>
      <c r="B9812" s="2" t="s">
        <v>19943</v>
      </c>
      <c r="C9812" s="2" t="s">
        <v>19716</v>
      </c>
    </row>
    <row r="9813">
      <c r="A9813" s="2" t="s">
        <v>19944</v>
      </c>
      <c r="B9813" s="2" t="s">
        <v>19945</v>
      </c>
      <c r="C9813" s="2" t="s">
        <v>19716</v>
      </c>
    </row>
    <row r="9814">
      <c r="A9814" s="2" t="s">
        <v>19946</v>
      </c>
      <c r="B9814" s="2" t="s">
        <v>19947</v>
      </c>
      <c r="C9814" s="2" t="s">
        <v>19716</v>
      </c>
    </row>
    <row r="9815">
      <c r="A9815" s="2" t="s">
        <v>19948</v>
      </c>
      <c r="B9815" s="2" t="s">
        <v>19949</v>
      </c>
      <c r="C9815" s="2" t="s">
        <v>19716</v>
      </c>
    </row>
    <row r="9816">
      <c r="A9816" s="2" t="s">
        <v>19950</v>
      </c>
      <c r="B9816" s="2" t="s">
        <v>19951</v>
      </c>
      <c r="C9816" s="2" t="s">
        <v>19716</v>
      </c>
    </row>
    <row r="9817">
      <c r="A9817" s="2" t="s">
        <v>19952</v>
      </c>
      <c r="B9817" s="2" t="s">
        <v>19953</v>
      </c>
      <c r="C9817" s="2" t="s">
        <v>19716</v>
      </c>
    </row>
    <row r="9818">
      <c r="A9818" s="2" t="s">
        <v>19954</v>
      </c>
      <c r="B9818" s="2" t="s">
        <v>19955</v>
      </c>
      <c r="C9818" s="2" t="s">
        <v>19716</v>
      </c>
    </row>
    <row r="9819">
      <c r="A9819" s="2" t="s">
        <v>19956</v>
      </c>
      <c r="B9819" s="2" t="s">
        <v>19957</v>
      </c>
      <c r="C9819" s="2" t="s">
        <v>19716</v>
      </c>
    </row>
    <row r="9820">
      <c r="A9820" s="2" t="s">
        <v>19958</v>
      </c>
      <c r="B9820" s="2" t="s">
        <v>19959</v>
      </c>
      <c r="C9820" s="2" t="s">
        <v>19716</v>
      </c>
    </row>
    <row r="9821">
      <c r="A9821" s="2" t="s">
        <v>19960</v>
      </c>
      <c r="B9821" s="2" t="s">
        <v>19959</v>
      </c>
      <c r="C9821" s="2" t="s">
        <v>19716</v>
      </c>
    </row>
    <row r="9822">
      <c r="A9822" s="2" t="s">
        <v>19961</v>
      </c>
      <c r="B9822" s="2" t="s">
        <v>19962</v>
      </c>
      <c r="C9822" s="2" t="s">
        <v>19716</v>
      </c>
    </row>
    <row r="9823">
      <c r="A9823" s="2" t="s">
        <v>19963</v>
      </c>
      <c r="B9823" s="2" t="s">
        <v>19962</v>
      </c>
      <c r="C9823" s="2" t="s">
        <v>19716</v>
      </c>
    </row>
    <row r="9824">
      <c r="A9824" s="2" t="s">
        <v>19964</v>
      </c>
      <c r="B9824" s="2" t="s">
        <v>19962</v>
      </c>
      <c r="C9824" s="2" t="s">
        <v>19716</v>
      </c>
    </row>
    <row r="9825">
      <c r="A9825" s="2" t="s">
        <v>19965</v>
      </c>
      <c r="B9825" s="2" t="s">
        <v>19962</v>
      </c>
      <c r="C9825" s="2" t="s">
        <v>19716</v>
      </c>
    </row>
    <row r="9826">
      <c r="A9826" s="2" t="s">
        <v>19966</v>
      </c>
      <c r="B9826" s="2" t="s">
        <v>19962</v>
      </c>
      <c r="C9826" s="2" t="s">
        <v>19716</v>
      </c>
    </row>
    <row r="9827">
      <c r="A9827" s="2" t="s">
        <v>19967</v>
      </c>
      <c r="B9827" s="2" t="s">
        <v>19962</v>
      </c>
      <c r="C9827" s="2" t="s">
        <v>19716</v>
      </c>
    </row>
    <row r="9828">
      <c r="A9828" s="2" t="s">
        <v>19968</v>
      </c>
      <c r="B9828" s="2" t="s">
        <v>19969</v>
      </c>
      <c r="C9828" s="2" t="s">
        <v>19716</v>
      </c>
    </row>
    <row r="9829">
      <c r="A9829" s="2" t="s">
        <v>19970</v>
      </c>
      <c r="B9829" s="2" t="s">
        <v>19971</v>
      </c>
      <c r="C9829" s="2" t="s">
        <v>19716</v>
      </c>
    </row>
    <row r="9830">
      <c r="A9830" s="2" t="s">
        <v>19972</v>
      </c>
      <c r="B9830" s="2" t="s">
        <v>19973</v>
      </c>
      <c r="C9830" s="2" t="s">
        <v>19716</v>
      </c>
    </row>
    <row r="9831">
      <c r="A9831" s="2" t="s">
        <v>19974</v>
      </c>
      <c r="B9831" s="2" t="s">
        <v>19975</v>
      </c>
      <c r="C9831" s="2" t="s">
        <v>19716</v>
      </c>
    </row>
    <row r="9832">
      <c r="A9832" s="2" t="s">
        <v>19976</v>
      </c>
      <c r="B9832" s="2" t="s">
        <v>19977</v>
      </c>
      <c r="C9832" s="2" t="s">
        <v>19716</v>
      </c>
    </row>
    <row r="9833">
      <c r="A9833" s="2" t="s">
        <v>19978</v>
      </c>
      <c r="B9833" s="2" t="s">
        <v>19979</v>
      </c>
      <c r="C9833" s="2" t="s">
        <v>19716</v>
      </c>
    </row>
    <row r="9834">
      <c r="A9834" s="2" t="s">
        <v>19980</v>
      </c>
      <c r="B9834" s="2" t="s">
        <v>19981</v>
      </c>
      <c r="C9834" s="2" t="s">
        <v>19716</v>
      </c>
    </row>
    <row r="9835">
      <c r="A9835" s="2" t="s">
        <v>19982</v>
      </c>
      <c r="B9835" s="2" t="s">
        <v>19983</v>
      </c>
      <c r="C9835" s="2" t="s">
        <v>19716</v>
      </c>
    </row>
    <row r="9836">
      <c r="A9836" s="2" t="s">
        <v>19984</v>
      </c>
      <c r="B9836" s="2" t="s">
        <v>19985</v>
      </c>
      <c r="C9836" s="2" t="s">
        <v>19716</v>
      </c>
    </row>
    <row r="9837">
      <c r="A9837" s="2" t="s">
        <v>19986</v>
      </c>
      <c r="B9837" s="2" t="s">
        <v>19987</v>
      </c>
      <c r="C9837" s="2" t="s">
        <v>19716</v>
      </c>
    </row>
    <row r="9838">
      <c r="A9838" s="2" t="s">
        <v>19988</v>
      </c>
      <c r="B9838" s="2" t="s">
        <v>19989</v>
      </c>
      <c r="C9838" s="2" t="s">
        <v>19716</v>
      </c>
    </row>
    <row r="9839">
      <c r="A9839" s="2" t="s">
        <v>19990</v>
      </c>
      <c r="B9839" s="2" t="s">
        <v>19991</v>
      </c>
      <c r="C9839" s="2" t="s">
        <v>19716</v>
      </c>
    </row>
    <row r="9840">
      <c r="A9840" s="2" t="s">
        <v>19992</v>
      </c>
      <c r="B9840" s="2" t="s">
        <v>19993</v>
      </c>
      <c r="C9840" s="2" t="s">
        <v>19716</v>
      </c>
    </row>
    <row r="9841">
      <c r="A9841" s="2" t="s">
        <v>19994</v>
      </c>
      <c r="B9841" s="2" t="s">
        <v>19995</v>
      </c>
      <c r="C9841" s="2" t="s">
        <v>19716</v>
      </c>
    </row>
    <row r="9842">
      <c r="A9842" s="2" t="s">
        <v>19996</v>
      </c>
      <c r="B9842" s="2" t="s">
        <v>19997</v>
      </c>
      <c r="C9842" s="2" t="s">
        <v>19716</v>
      </c>
    </row>
    <row r="9843">
      <c r="A9843" s="2" t="s">
        <v>19998</v>
      </c>
      <c r="B9843" s="2" t="s">
        <v>19999</v>
      </c>
      <c r="C9843" s="2" t="s">
        <v>19716</v>
      </c>
    </row>
    <row r="9844">
      <c r="A9844" s="2" t="s">
        <v>20000</v>
      </c>
      <c r="B9844" s="2" t="s">
        <v>20001</v>
      </c>
      <c r="C9844" s="2" t="s">
        <v>19716</v>
      </c>
    </row>
    <row r="9845">
      <c r="A9845" s="2" t="s">
        <v>20002</v>
      </c>
      <c r="B9845" s="2" t="s">
        <v>20003</v>
      </c>
      <c r="C9845" s="2" t="s">
        <v>19716</v>
      </c>
    </row>
    <row r="9846">
      <c r="A9846" s="2" t="s">
        <v>20004</v>
      </c>
      <c r="B9846" s="2" t="s">
        <v>20005</v>
      </c>
      <c r="C9846" s="2" t="s">
        <v>19716</v>
      </c>
    </row>
    <row r="9847">
      <c r="A9847" s="2" t="s">
        <v>20006</v>
      </c>
      <c r="B9847" s="2" t="s">
        <v>20007</v>
      </c>
      <c r="C9847" s="2" t="s">
        <v>19716</v>
      </c>
    </row>
    <row r="9848">
      <c r="A9848" s="2" t="s">
        <v>20008</v>
      </c>
      <c r="B9848" s="2" t="s">
        <v>20009</v>
      </c>
      <c r="C9848" s="2" t="s">
        <v>19716</v>
      </c>
    </row>
    <row r="9849">
      <c r="A9849" s="2" t="s">
        <v>20010</v>
      </c>
      <c r="B9849" s="2" t="s">
        <v>20011</v>
      </c>
      <c r="C9849" s="2" t="s">
        <v>19716</v>
      </c>
    </row>
    <row r="9850">
      <c r="A9850" s="2" t="s">
        <v>20012</v>
      </c>
      <c r="B9850" s="2" t="s">
        <v>20013</v>
      </c>
      <c r="C9850" s="2" t="s">
        <v>19716</v>
      </c>
    </row>
    <row r="9851">
      <c r="A9851" s="2" t="s">
        <v>20014</v>
      </c>
      <c r="B9851" s="2" t="s">
        <v>20015</v>
      </c>
      <c r="C9851" s="2" t="s">
        <v>19716</v>
      </c>
    </row>
    <row r="9852">
      <c r="A9852" s="2" t="s">
        <v>20016</v>
      </c>
      <c r="B9852" s="2" t="s">
        <v>20017</v>
      </c>
      <c r="C9852" s="2" t="s">
        <v>19716</v>
      </c>
    </row>
    <row r="9853">
      <c r="A9853" s="2" t="s">
        <v>20018</v>
      </c>
      <c r="B9853" s="2" t="s">
        <v>20019</v>
      </c>
      <c r="C9853" s="2" t="s">
        <v>19716</v>
      </c>
    </row>
    <row r="9854">
      <c r="A9854" s="2" t="s">
        <v>20020</v>
      </c>
      <c r="B9854" s="2" t="s">
        <v>20021</v>
      </c>
      <c r="C9854" s="2" t="s">
        <v>19716</v>
      </c>
    </row>
    <row r="9855">
      <c r="A9855" s="2" t="s">
        <v>20022</v>
      </c>
      <c r="B9855" s="2" t="s">
        <v>20023</v>
      </c>
      <c r="C9855" s="2" t="s">
        <v>19716</v>
      </c>
    </row>
    <row r="9856">
      <c r="A9856" s="2" t="s">
        <v>20024</v>
      </c>
      <c r="B9856" s="2" t="s">
        <v>20025</v>
      </c>
      <c r="C9856" s="2" t="s">
        <v>19716</v>
      </c>
    </row>
    <row r="9857">
      <c r="A9857" s="2" t="s">
        <v>20026</v>
      </c>
      <c r="B9857" s="2" t="s">
        <v>20027</v>
      </c>
      <c r="C9857" s="2" t="s">
        <v>19716</v>
      </c>
    </row>
    <row r="9858">
      <c r="A9858" s="2" t="s">
        <v>20028</v>
      </c>
      <c r="B9858" s="2" t="s">
        <v>20029</v>
      </c>
      <c r="C9858" s="2" t="s">
        <v>19716</v>
      </c>
    </row>
    <row r="9859">
      <c r="A9859" s="2" t="s">
        <v>20030</v>
      </c>
      <c r="B9859" s="2" t="s">
        <v>20031</v>
      </c>
      <c r="C9859" s="2" t="s">
        <v>19716</v>
      </c>
    </row>
    <row r="9860">
      <c r="A9860" s="2" t="s">
        <v>20032</v>
      </c>
      <c r="B9860" s="2" t="s">
        <v>20033</v>
      </c>
      <c r="C9860" s="2" t="s">
        <v>19716</v>
      </c>
    </row>
    <row r="9861">
      <c r="A9861" s="2" t="s">
        <v>20034</v>
      </c>
      <c r="B9861" s="2" t="s">
        <v>20035</v>
      </c>
      <c r="C9861" s="2" t="s">
        <v>19716</v>
      </c>
    </row>
    <row r="9862">
      <c r="A9862" s="2" t="s">
        <v>20036</v>
      </c>
      <c r="B9862" s="2" t="s">
        <v>20037</v>
      </c>
      <c r="C9862" s="2" t="s">
        <v>19716</v>
      </c>
    </row>
    <row r="9863">
      <c r="A9863" s="2" t="s">
        <v>20038</v>
      </c>
      <c r="B9863" s="2" t="s">
        <v>20039</v>
      </c>
      <c r="C9863" s="2" t="s">
        <v>19716</v>
      </c>
    </row>
    <row r="9864">
      <c r="A9864" s="2" t="s">
        <v>20040</v>
      </c>
      <c r="B9864" s="2" t="s">
        <v>20041</v>
      </c>
      <c r="C9864" s="2" t="s">
        <v>19716</v>
      </c>
    </row>
    <row r="9865">
      <c r="A9865" s="2" t="s">
        <v>20042</v>
      </c>
      <c r="B9865" s="2" t="s">
        <v>20043</v>
      </c>
      <c r="C9865" s="2" t="s">
        <v>19716</v>
      </c>
    </row>
    <row r="9866">
      <c r="A9866" s="2" t="s">
        <v>20044</v>
      </c>
      <c r="B9866" s="2" t="s">
        <v>20045</v>
      </c>
      <c r="C9866" s="2" t="s">
        <v>19716</v>
      </c>
    </row>
    <row r="9867">
      <c r="A9867" s="2" t="s">
        <v>20046</v>
      </c>
      <c r="B9867" s="2" t="s">
        <v>20047</v>
      </c>
      <c r="C9867" s="2" t="s">
        <v>19716</v>
      </c>
    </row>
    <row r="9868">
      <c r="A9868" s="2" t="s">
        <v>20048</v>
      </c>
      <c r="B9868" s="2" t="s">
        <v>20049</v>
      </c>
      <c r="C9868" s="2" t="s">
        <v>19716</v>
      </c>
    </row>
    <row r="9869">
      <c r="A9869" s="2" t="s">
        <v>20050</v>
      </c>
      <c r="B9869" s="2" t="s">
        <v>20051</v>
      </c>
      <c r="C9869" s="2" t="s">
        <v>19716</v>
      </c>
    </row>
    <row r="9870">
      <c r="A9870" s="2" t="s">
        <v>20052</v>
      </c>
      <c r="B9870" s="2" t="s">
        <v>20053</v>
      </c>
      <c r="C9870" s="2" t="s">
        <v>19716</v>
      </c>
    </row>
    <row r="9871">
      <c r="A9871" s="2" t="s">
        <v>20054</v>
      </c>
      <c r="B9871" s="2" t="s">
        <v>20055</v>
      </c>
      <c r="C9871" s="2" t="s">
        <v>19716</v>
      </c>
    </row>
    <row r="9872">
      <c r="A9872" s="2" t="s">
        <v>20056</v>
      </c>
      <c r="B9872" s="2" t="s">
        <v>20057</v>
      </c>
      <c r="C9872" s="2" t="s">
        <v>19716</v>
      </c>
    </row>
    <row r="9873">
      <c r="A9873" s="2" t="s">
        <v>20058</v>
      </c>
      <c r="B9873" s="2" t="s">
        <v>20059</v>
      </c>
      <c r="C9873" s="2" t="s">
        <v>19716</v>
      </c>
    </row>
    <row r="9874">
      <c r="A9874" s="2" t="s">
        <v>20060</v>
      </c>
      <c r="B9874" s="2" t="s">
        <v>20061</v>
      </c>
      <c r="C9874" s="2" t="s">
        <v>19716</v>
      </c>
    </row>
    <row r="9875">
      <c r="A9875" s="2" t="s">
        <v>20062</v>
      </c>
      <c r="B9875" s="2" t="s">
        <v>20063</v>
      </c>
      <c r="C9875" s="2" t="s">
        <v>19716</v>
      </c>
    </row>
    <row r="9876">
      <c r="A9876" s="2" t="s">
        <v>20064</v>
      </c>
      <c r="B9876" s="2" t="s">
        <v>20065</v>
      </c>
      <c r="C9876" s="2" t="s">
        <v>19716</v>
      </c>
    </row>
    <row r="9877">
      <c r="A9877" s="2" t="s">
        <v>20066</v>
      </c>
      <c r="B9877" s="2" t="s">
        <v>20067</v>
      </c>
      <c r="C9877" s="2" t="s">
        <v>19716</v>
      </c>
    </row>
    <row r="9878">
      <c r="A9878" s="2" t="s">
        <v>20068</v>
      </c>
      <c r="B9878" s="2" t="s">
        <v>20069</v>
      </c>
      <c r="C9878" s="2" t="s">
        <v>19716</v>
      </c>
    </row>
    <row r="9879">
      <c r="A9879" s="2" t="s">
        <v>20070</v>
      </c>
      <c r="B9879" s="2" t="s">
        <v>20071</v>
      </c>
      <c r="C9879" s="2" t="s">
        <v>19716</v>
      </c>
    </row>
    <row r="9880">
      <c r="A9880" s="2" t="s">
        <v>20072</v>
      </c>
      <c r="B9880" s="2" t="s">
        <v>20073</v>
      </c>
      <c r="C9880" s="2" t="s">
        <v>19716</v>
      </c>
    </row>
    <row r="9881">
      <c r="A9881" s="2" t="s">
        <v>20074</v>
      </c>
      <c r="B9881" s="2" t="s">
        <v>20075</v>
      </c>
      <c r="C9881" s="2" t="s">
        <v>19716</v>
      </c>
    </row>
    <row r="9882">
      <c r="A9882" s="2" t="s">
        <v>20076</v>
      </c>
      <c r="B9882" s="2" t="s">
        <v>20077</v>
      </c>
      <c r="C9882" s="2" t="s">
        <v>19716</v>
      </c>
    </row>
    <row r="9883">
      <c r="A9883" s="2" t="s">
        <v>20078</v>
      </c>
      <c r="B9883" s="2" t="s">
        <v>20079</v>
      </c>
      <c r="C9883" s="2" t="s">
        <v>19716</v>
      </c>
    </row>
    <row r="9884">
      <c r="A9884" s="2" t="s">
        <v>20080</v>
      </c>
      <c r="B9884" s="2" t="s">
        <v>20081</v>
      </c>
      <c r="C9884" s="2" t="s">
        <v>19716</v>
      </c>
    </row>
    <row r="9885">
      <c r="A9885" s="2" t="s">
        <v>20082</v>
      </c>
      <c r="B9885" s="2" t="s">
        <v>20083</v>
      </c>
      <c r="C9885" s="2" t="s">
        <v>19716</v>
      </c>
    </row>
    <row r="9886">
      <c r="A9886" s="2" t="s">
        <v>20084</v>
      </c>
      <c r="B9886" s="2" t="s">
        <v>20085</v>
      </c>
      <c r="C9886" s="2" t="s">
        <v>19716</v>
      </c>
    </row>
    <row r="9887">
      <c r="A9887" s="2" t="s">
        <v>20086</v>
      </c>
      <c r="B9887" s="2" t="s">
        <v>20087</v>
      </c>
      <c r="C9887" s="2" t="s">
        <v>19716</v>
      </c>
    </row>
    <row r="9888">
      <c r="A9888" s="2" t="s">
        <v>20088</v>
      </c>
      <c r="B9888" s="2" t="s">
        <v>20089</v>
      </c>
      <c r="C9888" s="2" t="s">
        <v>19716</v>
      </c>
    </row>
    <row r="9889">
      <c r="A9889" s="2" t="s">
        <v>20090</v>
      </c>
      <c r="B9889" s="2" t="s">
        <v>20091</v>
      </c>
      <c r="C9889" s="2" t="s">
        <v>19716</v>
      </c>
    </row>
    <row r="9890">
      <c r="A9890" s="2" t="s">
        <v>20092</v>
      </c>
      <c r="B9890" s="2" t="s">
        <v>20093</v>
      </c>
      <c r="C9890" s="2" t="s">
        <v>19716</v>
      </c>
    </row>
    <row r="9891">
      <c r="A9891" s="2" t="s">
        <v>20094</v>
      </c>
      <c r="B9891" s="2" t="s">
        <v>20095</v>
      </c>
      <c r="C9891" s="2" t="s">
        <v>19716</v>
      </c>
    </row>
    <row r="9892">
      <c r="A9892" s="2" t="s">
        <v>20096</v>
      </c>
      <c r="B9892" s="2" t="s">
        <v>20097</v>
      </c>
      <c r="C9892" s="2" t="s">
        <v>19716</v>
      </c>
    </row>
    <row r="9893">
      <c r="A9893" s="2" t="s">
        <v>20098</v>
      </c>
      <c r="B9893" s="2" t="s">
        <v>20099</v>
      </c>
      <c r="C9893" s="2" t="s">
        <v>19716</v>
      </c>
    </row>
    <row r="9894">
      <c r="A9894" s="2" t="s">
        <v>20100</v>
      </c>
      <c r="B9894" s="2" t="s">
        <v>20101</v>
      </c>
      <c r="C9894" s="2" t="s">
        <v>19716</v>
      </c>
    </row>
    <row r="9895">
      <c r="A9895" s="2" t="s">
        <v>20102</v>
      </c>
      <c r="B9895" s="2" t="s">
        <v>20103</v>
      </c>
      <c r="C9895" s="2" t="s">
        <v>19716</v>
      </c>
    </row>
    <row r="9896">
      <c r="A9896" s="2" t="s">
        <v>20104</v>
      </c>
      <c r="B9896" s="2" t="s">
        <v>20105</v>
      </c>
      <c r="C9896" s="2" t="s">
        <v>19716</v>
      </c>
    </row>
    <row r="9897">
      <c r="A9897" s="2" t="s">
        <v>20106</v>
      </c>
      <c r="B9897" s="2" t="s">
        <v>20107</v>
      </c>
      <c r="C9897" s="2" t="s">
        <v>19716</v>
      </c>
    </row>
    <row r="9898">
      <c r="A9898" s="2" t="s">
        <v>20108</v>
      </c>
      <c r="B9898" s="2" t="s">
        <v>20109</v>
      </c>
      <c r="C9898" s="2" t="s">
        <v>19716</v>
      </c>
    </row>
    <row r="9899">
      <c r="A9899" s="2" t="s">
        <v>20110</v>
      </c>
      <c r="B9899" s="2" t="s">
        <v>20111</v>
      </c>
      <c r="C9899" s="2" t="s">
        <v>19716</v>
      </c>
    </row>
    <row r="9900">
      <c r="A9900" s="2" t="s">
        <v>20112</v>
      </c>
      <c r="B9900" s="2" t="s">
        <v>20113</v>
      </c>
      <c r="C9900" s="2" t="s">
        <v>19716</v>
      </c>
    </row>
    <row r="9901">
      <c r="A9901" s="2" t="s">
        <v>20114</v>
      </c>
      <c r="B9901" s="2" t="s">
        <v>20115</v>
      </c>
      <c r="C9901" s="2" t="s">
        <v>19716</v>
      </c>
    </row>
    <row r="9902">
      <c r="A9902" s="2" t="s">
        <v>20116</v>
      </c>
      <c r="B9902" s="2" t="s">
        <v>20117</v>
      </c>
      <c r="C9902" s="2" t="s">
        <v>19716</v>
      </c>
    </row>
    <row r="9903">
      <c r="A9903" s="2" t="s">
        <v>20118</v>
      </c>
      <c r="B9903" s="2" t="s">
        <v>20119</v>
      </c>
      <c r="C9903" s="2" t="s">
        <v>19716</v>
      </c>
    </row>
    <row r="9904">
      <c r="A9904" s="2" t="s">
        <v>20120</v>
      </c>
      <c r="B9904" s="2" t="s">
        <v>20121</v>
      </c>
      <c r="C9904" s="2" t="s">
        <v>19716</v>
      </c>
    </row>
    <row r="9905">
      <c r="A9905" s="2" t="s">
        <v>20122</v>
      </c>
      <c r="B9905" s="2" t="s">
        <v>20123</v>
      </c>
      <c r="C9905" s="2" t="s">
        <v>19716</v>
      </c>
    </row>
    <row r="9906">
      <c r="A9906" s="2" t="s">
        <v>20124</v>
      </c>
      <c r="B9906" s="2" t="s">
        <v>20125</v>
      </c>
      <c r="C9906" s="2" t="s">
        <v>19716</v>
      </c>
    </row>
    <row r="9907">
      <c r="A9907" s="2" t="s">
        <v>20126</v>
      </c>
      <c r="B9907" s="2" t="s">
        <v>20127</v>
      </c>
      <c r="C9907" s="2" t="s">
        <v>19716</v>
      </c>
    </row>
    <row r="9908">
      <c r="A9908" s="2" t="s">
        <v>20128</v>
      </c>
      <c r="B9908" s="2" t="s">
        <v>20129</v>
      </c>
      <c r="C9908" s="2" t="s">
        <v>19716</v>
      </c>
    </row>
    <row r="9909">
      <c r="A9909" s="2" t="s">
        <v>20130</v>
      </c>
      <c r="B9909" s="2" t="s">
        <v>20131</v>
      </c>
      <c r="C9909" s="2" t="s">
        <v>19716</v>
      </c>
    </row>
    <row r="9910">
      <c r="A9910" s="2" t="s">
        <v>20132</v>
      </c>
      <c r="B9910" s="2" t="s">
        <v>20133</v>
      </c>
      <c r="C9910" s="2" t="s">
        <v>19716</v>
      </c>
    </row>
    <row r="9911">
      <c r="A9911" s="2" t="s">
        <v>20134</v>
      </c>
      <c r="B9911" s="2" t="s">
        <v>20135</v>
      </c>
      <c r="C9911" s="2" t="s">
        <v>19716</v>
      </c>
    </row>
    <row r="9912">
      <c r="A9912" s="2" t="s">
        <v>20136</v>
      </c>
      <c r="B9912" s="2" t="s">
        <v>20137</v>
      </c>
      <c r="C9912" s="2" t="s">
        <v>19716</v>
      </c>
    </row>
    <row r="9913">
      <c r="A9913" s="2" t="s">
        <v>20138</v>
      </c>
      <c r="B9913" s="2" t="s">
        <v>20139</v>
      </c>
      <c r="C9913" s="2" t="s">
        <v>19716</v>
      </c>
    </row>
    <row r="9914">
      <c r="A9914" s="2" t="s">
        <v>20140</v>
      </c>
      <c r="B9914" s="2" t="s">
        <v>20141</v>
      </c>
      <c r="C9914" s="2" t="s">
        <v>19716</v>
      </c>
    </row>
    <row r="9915">
      <c r="A9915" s="2" t="s">
        <v>20142</v>
      </c>
      <c r="B9915" s="2" t="s">
        <v>20143</v>
      </c>
      <c r="C9915" s="2" t="s">
        <v>19716</v>
      </c>
    </row>
    <row r="9916">
      <c r="A9916" s="2" t="s">
        <v>20144</v>
      </c>
      <c r="B9916" s="2" t="s">
        <v>20145</v>
      </c>
      <c r="C9916" s="2" t="s">
        <v>19716</v>
      </c>
    </row>
    <row r="9917">
      <c r="A9917" s="2" t="s">
        <v>20146</v>
      </c>
      <c r="B9917" s="2" t="s">
        <v>20147</v>
      </c>
      <c r="C9917" s="2" t="s">
        <v>19716</v>
      </c>
    </row>
    <row r="9918">
      <c r="A9918" s="2" t="s">
        <v>20148</v>
      </c>
      <c r="B9918" s="2" t="s">
        <v>20149</v>
      </c>
      <c r="C9918" s="2" t="s">
        <v>19716</v>
      </c>
    </row>
    <row r="9919">
      <c r="A9919" s="2" t="s">
        <v>20150</v>
      </c>
      <c r="B9919" s="2" t="s">
        <v>20151</v>
      </c>
      <c r="C9919" s="2" t="s">
        <v>19716</v>
      </c>
    </row>
    <row r="9920">
      <c r="A9920" s="2" t="s">
        <v>20152</v>
      </c>
      <c r="B9920" s="2" t="s">
        <v>20153</v>
      </c>
      <c r="C9920" s="2" t="s">
        <v>19716</v>
      </c>
    </row>
    <row r="9921">
      <c r="A9921" s="2" t="s">
        <v>20154</v>
      </c>
      <c r="B9921" s="2" t="s">
        <v>20155</v>
      </c>
      <c r="C9921" s="2" t="s">
        <v>19716</v>
      </c>
    </row>
    <row r="9922">
      <c r="A9922" s="2" t="s">
        <v>20156</v>
      </c>
      <c r="B9922" s="2" t="s">
        <v>20157</v>
      </c>
      <c r="C9922" s="2" t="s">
        <v>19716</v>
      </c>
    </row>
    <row r="9923">
      <c r="A9923" s="2" t="s">
        <v>20158</v>
      </c>
      <c r="B9923" s="2" t="s">
        <v>20159</v>
      </c>
      <c r="C9923" s="2" t="s">
        <v>19716</v>
      </c>
    </row>
    <row r="9924">
      <c r="A9924" s="2" t="s">
        <v>20160</v>
      </c>
      <c r="B9924" s="2" t="s">
        <v>20161</v>
      </c>
      <c r="C9924" s="2" t="s">
        <v>19716</v>
      </c>
    </row>
    <row r="9925">
      <c r="A9925" s="2" t="s">
        <v>20162</v>
      </c>
      <c r="B9925" s="2" t="s">
        <v>20163</v>
      </c>
      <c r="C9925" s="2" t="s">
        <v>19716</v>
      </c>
    </row>
    <row r="9926">
      <c r="A9926" s="2" t="s">
        <v>20164</v>
      </c>
      <c r="B9926" s="2" t="s">
        <v>20165</v>
      </c>
      <c r="C9926" s="2" t="s">
        <v>19716</v>
      </c>
    </row>
    <row r="9927">
      <c r="A9927" s="2" t="s">
        <v>20166</v>
      </c>
      <c r="B9927" s="2" t="s">
        <v>20167</v>
      </c>
      <c r="C9927" s="2" t="s">
        <v>19716</v>
      </c>
    </row>
    <row r="9928">
      <c r="A9928" s="2" t="s">
        <v>20168</v>
      </c>
      <c r="B9928" s="2" t="s">
        <v>20169</v>
      </c>
      <c r="C9928" s="2" t="s">
        <v>19716</v>
      </c>
    </row>
    <row r="9929">
      <c r="A9929" s="2" t="s">
        <v>20170</v>
      </c>
      <c r="B9929" s="2" t="s">
        <v>20171</v>
      </c>
      <c r="C9929" s="2" t="s">
        <v>19716</v>
      </c>
    </row>
    <row r="9930">
      <c r="A9930" s="2" t="s">
        <v>20172</v>
      </c>
      <c r="B9930" s="2" t="s">
        <v>20173</v>
      </c>
      <c r="C9930" s="2" t="s">
        <v>19716</v>
      </c>
    </row>
    <row r="9931">
      <c r="A9931" s="2" t="s">
        <v>20174</v>
      </c>
      <c r="B9931" s="2" t="s">
        <v>20175</v>
      </c>
      <c r="C9931" s="2" t="s">
        <v>19716</v>
      </c>
    </row>
    <row r="9932">
      <c r="A9932" s="2" t="s">
        <v>20176</v>
      </c>
      <c r="B9932" s="2" t="s">
        <v>20177</v>
      </c>
      <c r="C9932" s="2" t="s">
        <v>19716</v>
      </c>
    </row>
    <row r="9933">
      <c r="A9933" s="2" t="s">
        <v>20178</v>
      </c>
      <c r="B9933" s="2" t="s">
        <v>20179</v>
      </c>
      <c r="C9933" s="2" t="s">
        <v>19716</v>
      </c>
    </row>
    <row r="9934">
      <c r="A9934" s="2" t="s">
        <v>20180</v>
      </c>
      <c r="B9934" s="2" t="s">
        <v>20181</v>
      </c>
      <c r="C9934" s="2" t="s">
        <v>19716</v>
      </c>
    </row>
    <row r="9935">
      <c r="A9935" s="2" t="s">
        <v>20182</v>
      </c>
      <c r="B9935" s="2" t="s">
        <v>20183</v>
      </c>
      <c r="C9935" s="2" t="s">
        <v>19716</v>
      </c>
    </row>
    <row r="9936">
      <c r="A9936" s="2" t="s">
        <v>20184</v>
      </c>
      <c r="B9936" s="2" t="s">
        <v>20185</v>
      </c>
      <c r="C9936" s="2" t="s">
        <v>19716</v>
      </c>
    </row>
    <row r="9937">
      <c r="A9937" s="2" t="s">
        <v>20186</v>
      </c>
      <c r="B9937" s="2" t="s">
        <v>20187</v>
      </c>
      <c r="C9937" s="2" t="s">
        <v>19716</v>
      </c>
    </row>
    <row r="9938">
      <c r="A9938" s="2" t="s">
        <v>20188</v>
      </c>
      <c r="B9938" s="2" t="s">
        <v>20189</v>
      </c>
      <c r="C9938" s="2" t="s">
        <v>19716</v>
      </c>
    </row>
    <row r="9939">
      <c r="A9939" s="2" t="s">
        <v>20190</v>
      </c>
      <c r="B9939" s="2" t="s">
        <v>20191</v>
      </c>
      <c r="C9939" s="2" t="s">
        <v>19716</v>
      </c>
    </row>
    <row r="9940">
      <c r="A9940" s="2" t="s">
        <v>20192</v>
      </c>
      <c r="B9940" s="2" t="s">
        <v>20193</v>
      </c>
      <c r="C9940" s="2" t="s">
        <v>19716</v>
      </c>
    </row>
    <row r="9941">
      <c r="A9941" s="2" t="s">
        <v>20194</v>
      </c>
      <c r="B9941" s="2" t="s">
        <v>20195</v>
      </c>
      <c r="C9941" s="2" t="s">
        <v>19716</v>
      </c>
    </row>
    <row r="9942">
      <c r="A9942" s="2" t="s">
        <v>20196</v>
      </c>
      <c r="B9942" s="2" t="s">
        <v>20197</v>
      </c>
      <c r="C9942" s="2" t="s">
        <v>19716</v>
      </c>
    </row>
    <row r="9943">
      <c r="A9943" s="2" t="s">
        <v>20198</v>
      </c>
      <c r="B9943" s="2" t="s">
        <v>20199</v>
      </c>
      <c r="C9943" s="2" t="s">
        <v>19716</v>
      </c>
    </row>
    <row r="9944">
      <c r="A9944" s="2" t="s">
        <v>20200</v>
      </c>
      <c r="B9944" s="2" t="s">
        <v>20201</v>
      </c>
      <c r="C9944" s="2" t="s">
        <v>19716</v>
      </c>
    </row>
    <row r="9945">
      <c r="A9945" s="2" t="s">
        <v>20202</v>
      </c>
      <c r="B9945" s="2" t="s">
        <v>20203</v>
      </c>
      <c r="C9945" s="2" t="s">
        <v>19716</v>
      </c>
    </row>
    <row r="9946">
      <c r="A9946" s="2" t="s">
        <v>20204</v>
      </c>
      <c r="B9946" s="2" t="s">
        <v>20205</v>
      </c>
      <c r="C9946" s="2" t="s">
        <v>19716</v>
      </c>
    </row>
    <row r="9947">
      <c r="A9947" s="2" t="s">
        <v>20206</v>
      </c>
      <c r="B9947" s="2" t="s">
        <v>20207</v>
      </c>
      <c r="C9947" s="2" t="s">
        <v>19716</v>
      </c>
    </row>
    <row r="9948">
      <c r="A9948" s="2" t="s">
        <v>20208</v>
      </c>
      <c r="B9948" s="2" t="s">
        <v>20209</v>
      </c>
      <c r="C9948" s="2" t="s">
        <v>19716</v>
      </c>
    </row>
    <row r="9949">
      <c r="A9949" s="2" t="s">
        <v>20210</v>
      </c>
      <c r="B9949" s="2" t="s">
        <v>20211</v>
      </c>
      <c r="C9949" s="2" t="s">
        <v>19716</v>
      </c>
    </row>
    <row r="9950">
      <c r="A9950" s="2" t="s">
        <v>20212</v>
      </c>
      <c r="B9950" s="2" t="s">
        <v>20213</v>
      </c>
      <c r="C9950" s="2" t="s">
        <v>19716</v>
      </c>
    </row>
    <row r="9951">
      <c r="A9951" s="2" t="s">
        <v>20214</v>
      </c>
      <c r="B9951" s="2" t="s">
        <v>20215</v>
      </c>
      <c r="C9951" s="2" t="s">
        <v>19716</v>
      </c>
    </row>
    <row r="9952">
      <c r="A9952" s="2" t="s">
        <v>20216</v>
      </c>
      <c r="B9952" s="2" t="s">
        <v>20217</v>
      </c>
      <c r="C9952" s="2" t="s">
        <v>19716</v>
      </c>
    </row>
    <row r="9953">
      <c r="A9953" s="2" t="s">
        <v>20218</v>
      </c>
      <c r="B9953" s="2" t="s">
        <v>20219</v>
      </c>
      <c r="C9953" s="2" t="s">
        <v>19716</v>
      </c>
    </row>
    <row r="9954">
      <c r="A9954" s="2" t="s">
        <v>20220</v>
      </c>
      <c r="B9954" s="2" t="s">
        <v>20221</v>
      </c>
      <c r="C9954" s="2" t="s">
        <v>19716</v>
      </c>
    </row>
    <row r="9955">
      <c r="A9955" s="2" t="s">
        <v>20222</v>
      </c>
      <c r="B9955" s="2" t="s">
        <v>20223</v>
      </c>
      <c r="C9955" s="2" t="s">
        <v>19716</v>
      </c>
    </row>
    <row r="9956">
      <c r="A9956" s="2" t="s">
        <v>20224</v>
      </c>
      <c r="B9956" s="2" t="s">
        <v>20225</v>
      </c>
      <c r="C9956" s="2" t="s">
        <v>19716</v>
      </c>
    </row>
    <row r="9957">
      <c r="A9957" s="2" t="s">
        <v>20226</v>
      </c>
      <c r="B9957" s="2" t="s">
        <v>20227</v>
      </c>
      <c r="C9957" s="2" t="s">
        <v>19716</v>
      </c>
    </row>
    <row r="9958">
      <c r="A9958" s="2" t="s">
        <v>20228</v>
      </c>
      <c r="B9958" s="2" t="s">
        <v>20229</v>
      </c>
      <c r="C9958" s="2" t="s">
        <v>19716</v>
      </c>
    </row>
    <row r="9959">
      <c r="A9959" s="2" t="s">
        <v>20230</v>
      </c>
      <c r="B9959" s="2" t="s">
        <v>20231</v>
      </c>
      <c r="C9959" s="2" t="s">
        <v>19716</v>
      </c>
    </row>
    <row r="9960">
      <c r="A9960" s="2" t="s">
        <v>20232</v>
      </c>
      <c r="B9960" s="2" t="s">
        <v>20233</v>
      </c>
      <c r="C9960" s="2" t="s">
        <v>19716</v>
      </c>
    </row>
    <row r="9961">
      <c r="A9961" s="2" t="s">
        <v>20234</v>
      </c>
      <c r="B9961" s="2" t="s">
        <v>20235</v>
      </c>
      <c r="C9961" s="2" t="s">
        <v>19716</v>
      </c>
    </row>
    <row r="9962">
      <c r="A9962" s="2" t="s">
        <v>20236</v>
      </c>
      <c r="B9962" s="2" t="s">
        <v>20237</v>
      </c>
      <c r="C9962" s="2" t="s">
        <v>19716</v>
      </c>
    </row>
    <row r="9963">
      <c r="A9963" s="2" t="s">
        <v>20238</v>
      </c>
      <c r="B9963" s="2" t="s">
        <v>20239</v>
      </c>
      <c r="C9963" s="2" t="s">
        <v>19716</v>
      </c>
    </row>
    <row r="9964">
      <c r="A9964" s="2" t="s">
        <v>20240</v>
      </c>
      <c r="B9964" s="2" t="s">
        <v>20241</v>
      </c>
      <c r="C9964" s="2" t="s">
        <v>19716</v>
      </c>
    </row>
    <row r="9965">
      <c r="A9965" s="2" t="s">
        <v>20242</v>
      </c>
      <c r="B9965" s="2" t="s">
        <v>20243</v>
      </c>
      <c r="C9965" s="2" t="s">
        <v>19716</v>
      </c>
    </row>
    <row r="9966">
      <c r="A9966" s="2" t="s">
        <v>20244</v>
      </c>
      <c r="B9966" s="2" t="s">
        <v>20245</v>
      </c>
      <c r="C9966" s="2" t="s">
        <v>19716</v>
      </c>
    </row>
    <row r="9967">
      <c r="A9967" s="2" t="s">
        <v>20246</v>
      </c>
      <c r="B9967" s="2" t="s">
        <v>20247</v>
      </c>
      <c r="C9967" s="2" t="s">
        <v>19716</v>
      </c>
    </row>
    <row r="9968">
      <c r="A9968" s="2" t="s">
        <v>20248</v>
      </c>
      <c r="B9968" s="2" t="s">
        <v>20249</v>
      </c>
      <c r="C9968" s="2" t="s">
        <v>19716</v>
      </c>
    </row>
    <row r="9969">
      <c r="A9969" s="2" t="s">
        <v>20250</v>
      </c>
      <c r="B9969" s="2" t="s">
        <v>20251</v>
      </c>
      <c r="C9969" s="2" t="s">
        <v>19716</v>
      </c>
    </row>
    <row r="9970">
      <c r="A9970" s="2" t="s">
        <v>20252</v>
      </c>
      <c r="B9970" s="2" t="s">
        <v>20253</v>
      </c>
      <c r="C9970" s="2" t="s">
        <v>19716</v>
      </c>
    </row>
    <row r="9971">
      <c r="A9971" s="2" t="s">
        <v>20254</v>
      </c>
      <c r="B9971" s="2" t="s">
        <v>20255</v>
      </c>
      <c r="C9971" s="2" t="s">
        <v>19716</v>
      </c>
    </row>
    <row r="9972">
      <c r="A9972" s="2" t="s">
        <v>20256</v>
      </c>
      <c r="B9972" s="2" t="s">
        <v>20257</v>
      </c>
      <c r="C9972" s="2" t="s">
        <v>19716</v>
      </c>
    </row>
    <row r="9973">
      <c r="A9973" s="2" t="s">
        <v>20258</v>
      </c>
      <c r="B9973" s="2" t="s">
        <v>20259</v>
      </c>
      <c r="C9973" s="2" t="s">
        <v>19716</v>
      </c>
    </row>
    <row r="9974">
      <c r="A9974" s="2" t="s">
        <v>20260</v>
      </c>
      <c r="B9974" s="2" t="s">
        <v>20261</v>
      </c>
      <c r="C9974" s="2" t="s">
        <v>19716</v>
      </c>
    </row>
    <row r="9975">
      <c r="A9975" s="2" t="s">
        <v>20262</v>
      </c>
      <c r="B9975" s="2" t="s">
        <v>20263</v>
      </c>
      <c r="C9975" s="2" t="s">
        <v>19716</v>
      </c>
    </row>
    <row r="9976">
      <c r="A9976" s="2" t="s">
        <v>20264</v>
      </c>
      <c r="B9976" s="2" t="s">
        <v>20265</v>
      </c>
      <c r="C9976" s="2" t="s">
        <v>19716</v>
      </c>
    </row>
    <row r="9977">
      <c r="A9977" s="2" t="s">
        <v>20266</v>
      </c>
      <c r="B9977" s="2" t="s">
        <v>20267</v>
      </c>
      <c r="C9977" s="2" t="s">
        <v>19716</v>
      </c>
    </row>
    <row r="9978">
      <c r="A9978" s="2" t="s">
        <v>20268</v>
      </c>
      <c r="B9978" s="2" t="s">
        <v>20269</v>
      </c>
      <c r="C9978" s="2" t="s">
        <v>19716</v>
      </c>
    </row>
    <row r="9979">
      <c r="A9979" s="2" t="s">
        <v>20270</v>
      </c>
      <c r="B9979" s="2" t="s">
        <v>20271</v>
      </c>
      <c r="C9979" s="2" t="s">
        <v>19716</v>
      </c>
    </row>
    <row r="9980">
      <c r="A9980" s="2" t="s">
        <v>20272</v>
      </c>
      <c r="B9980" s="2" t="s">
        <v>20273</v>
      </c>
      <c r="C9980" s="2" t="s">
        <v>19716</v>
      </c>
    </row>
    <row r="9981">
      <c r="A9981" s="2" t="s">
        <v>20274</v>
      </c>
      <c r="B9981" s="2" t="s">
        <v>20275</v>
      </c>
      <c r="C9981" s="2" t="s">
        <v>19716</v>
      </c>
    </row>
    <row r="9982">
      <c r="A9982" s="2" t="s">
        <v>20276</v>
      </c>
      <c r="B9982" s="2" t="s">
        <v>20277</v>
      </c>
      <c r="C9982" s="2" t="s">
        <v>19716</v>
      </c>
    </row>
    <row r="9983">
      <c r="A9983" s="2" t="s">
        <v>20278</v>
      </c>
      <c r="B9983" s="2" t="s">
        <v>20279</v>
      </c>
      <c r="C9983" s="2" t="s">
        <v>19716</v>
      </c>
    </row>
    <row r="9984">
      <c r="A9984" s="2" t="s">
        <v>20280</v>
      </c>
      <c r="B9984" s="2" t="s">
        <v>20281</v>
      </c>
      <c r="C9984" s="2" t="s">
        <v>19716</v>
      </c>
    </row>
    <row r="9985">
      <c r="A9985" s="2" t="s">
        <v>20282</v>
      </c>
      <c r="B9985" s="2" t="s">
        <v>20283</v>
      </c>
      <c r="C9985" s="2" t="s">
        <v>19716</v>
      </c>
    </row>
    <row r="9986">
      <c r="A9986" s="2" t="s">
        <v>20284</v>
      </c>
      <c r="B9986" s="2" t="s">
        <v>20285</v>
      </c>
      <c r="C9986" s="2" t="s">
        <v>19716</v>
      </c>
    </row>
    <row r="9987">
      <c r="A9987" s="2" t="s">
        <v>20286</v>
      </c>
      <c r="B9987" s="2" t="s">
        <v>20287</v>
      </c>
      <c r="C9987" s="2" t="s">
        <v>19716</v>
      </c>
    </row>
    <row r="9988">
      <c r="A9988" s="2" t="s">
        <v>20288</v>
      </c>
      <c r="B9988" s="2" t="s">
        <v>20289</v>
      </c>
      <c r="C9988" s="2" t="s">
        <v>19716</v>
      </c>
    </row>
    <row r="9989">
      <c r="A9989" s="2" t="s">
        <v>20290</v>
      </c>
      <c r="B9989" s="2" t="s">
        <v>20291</v>
      </c>
      <c r="C9989" s="2" t="s">
        <v>19716</v>
      </c>
    </row>
    <row r="9990">
      <c r="A9990" s="2" t="s">
        <v>20292</v>
      </c>
      <c r="B9990" s="2" t="s">
        <v>20293</v>
      </c>
      <c r="C9990" s="2" t="s">
        <v>19716</v>
      </c>
    </row>
    <row r="9991">
      <c r="A9991" s="2" t="s">
        <v>20294</v>
      </c>
      <c r="B9991" s="2" t="s">
        <v>20295</v>
      </c>
      <c r="C9991" s="2" t="s">
        <v>19716</v>
      </c>
    </row>
    <row r="9992">
      <c r="A9992" s="2" t="s">
        <v>20296</v>
      </c>
      <c r="B9992" s="2" t="s">
        <v>20297</v>
      </c>
      <c r="C9992" s="2" t="s">
        <v>19716</v>
      </c>
    </row>
    <row r="9993">
      <c r="A9993" s="2" t="s">
        <v>20298</v>
      </c>
      <c r="B9993" s="2" t="s">
        <v>20299</v>
      </c>
      <c r="C9993" s="2" t="s">
        <v>19716</v>
      </c>
    </row>
    <row r="9994">
      <c r="A9994" s="2" t="s">
        <v>20300</v>
      </c>
      <c r="B9994" s="2" t="s">
        <v>20301</v>
      </c>
      <c r="C9994" s="2" t="s">
        <v>19716</v>
      </c>
    </row>
    <row r="9995">
      <c r="A9995" s="2" t="s">
        <v>20302</v>
      </c>
      <c r="B9995" s="2" t="s">
        <v>20303</v>
      </c>
      <c r="C9995" s="2" t="s">
        <v>19716</v>
      </c>
    </row>
    <row r="9996">
      <c r="A9996" s="2" t="s">
        <v>20304</v>
      </c>
      <c r="B9996" s="2" t="s">
        <v>20305</v>
      </c>
      <c r="C9996" s="2" t="s">
        <v>19716</v>
      </c>
    </row>
    <row r="9997">
      <c r="A9997" s="2" t="s">
        <v>20306</v>
      </c>
      <c r="B9997" s="2" t="s">
        <v>20307</v>
      </c>
      <c r="C9997" s="2" t="s">
        <v>19716</v>
      </c>
    </row>
    <row r="9998">
      <c r="A9998" s="2" t="s">
        <v>20308</v>
      </c>
      <c r="B9998" s="2" t="s">
        <v>20309</v>
      </c>
      <c r="C9998" s="2" t="s">
        <v>19716</v>
      </c>
    </row>
    <row r="9999">
      <c r="A9999" s="2" t="s">
        <v>20310</v>
      </c>
      <c r="B9999" s="2" t="s">
        <v>20311</v>
      </c>
      <c r="C9999" s="2" t="s">
        <v>19716</v>
      </c>
    </row>
    <row r="10000">
      <c r="A10000" s="2" t="s">
        <v>20312</v>
      </c>
      <c r="B10000" s="2" t="s">
        <v>20313</v>
      </c>
      <c r="C10000" s="2" t="s">
        <v>19716</v>
      </c>
    </row>
    <row r="10001">
      <c r="A10001" s="2" t="s">
        <v>20314</v>
      </c>
      <c r="B10001" s="2" t="s">
        <v>20315</v>
      </c>
      <c r="C10001" s="2" t="s">
        <v>19716</v>
      </c>
    </row>
    <row r="10002">
      <c r="A10002" s="2" t="s">
        <v>20316</v>
      </c>
      <c r="B10002" s="2" t="s">
        <v>20317</v>
      </c>
      <c r="C10002" s="2" t="s">
        <v>19716</v>
      </c>
    </row>
    <row r="10003">
      <c r="A10003" s="2" t="s">
        <v>20318</v>
      </c>
      <c r="B10003" s="2" t="s">
        <v>20319</v>
      </c>
      <c r="C10003" s="2" t="s">
        <v>19716</v>
      </c>
    </row>
    <row r="10004">
      <c r="A10004" s="2" t="s">
        <v>20320</v>
      </c>
      <c r="B10004" s="2" t="s">
        <v>20321</v>
      </c>
      <c r="C10004" s="2" t="s">
        <v>19716</v>
      </c>
    </row>
    <row r="10005">
      <c r="A10005" s="2" t="s">
        <v>20322</v>
      </c>
      <c r="B10005" s="2" t="s">
        <v>20323</v>
      </c>
      <c r="C10005" s="2" t="s">
        <v>19716</v>
      </c>
    </row>
    <row r="10006">
      <c r="A10006" s="2" t="s">
        <v>20324</v>
      </c>
      <c r="B10006" s="2" t="s">
        <v>20325</v>
      </c>
      <c r="C10006" s="2" t="s">
        <v>19716</v>
      </c>
    </row>
    <row r="10007">
      <c r="A10007" s="2" t="s">
        <v>20326</v>
      </c>
      <c r="B10007" s="2" t="s">
        <v>20327</v>
      </c>
      <c r="C10007" s="2" t="s">
        <v>19716</v>
      </c>
    </row>
    <row r="10008">
      <c r="A10008" s="2" t="s">
        <v>20328</v>
      </c>
      <c r="B10008" s="2" t="s">
        <v>20329</v>
      </c>
      <c r="C10008" s="2" t="s">
        <v>19716</v>
      </c>
    </row>
    <row r="10009">
      <c r="A10009" s="2" t="s">
        <v>20330</v>
      </c>
      <c r="B10009" s="2" t="s">
        <v>20331</v>
      </c>
      <c r="C10009" s="2" t="s">
        <v>19716</v>
      </c>
    </row>
    <row r="10010">
      <c r="A10010" s="2" t="s">
        <v>20332</v>
      </c>
      <c r="B10010" s="2" t="s">
        <v>20333</v>
      </c>
      <c r="C10010" s="2" t="s">
        <v>19716</v>
      </c>
    </row>
    <row r="10011">
      <c r="A10011" s="2" t="s">
        <v>20334</v>
      </c>
      <c r="B10011" s="2" t="s">
        <v>20335</v>
      </c>
      <c r="C10011" s="2" t="s">
        <v>19716</v>
      </c>
    </row>
    <row r="10012">
      <c r="A10012" s="2" t="s">
        <v>20336</v>
      </c>
      <c r="B10012" s="2" t="s">
        <v>20337</v>
      </c>
      <c r="C10012" s="2" t="s">
        <v>19716</v>
      </c>
    </row>
    <row r="10013">
      <c r="A10013" s="2" t="s">
        <v>20338</v>
      </c>
      <c r="B10013" s="2" t="s">
        <v>20339</v>
      </c>
      <c r="C10013" s="2" t="s">
        <v>19716</v>
      </c>
    </row>
    <row r="10014">
      <c r="A10014" s="2" t="s">
        <v>20340</v>
      </c>
      <c r="B10014" s="2" t="s">
        <v>20341</v>
      </c>
      <c r="C10014" s="2" t="s">
        <v>19716</v>
      </c>
    </row>
    <row r="10015">
      <c r="A10015" s="2" t="s">
        <v>20342</v>
      </c>
      <c r="B10015" s="2" t="s">
        <v>20343</v>
      </c>
      <c r="C10015" s="2" t="s">
        <v>19716</v>
      </c>
    </row>
    <row r="10016">
      <c r="A10016" s="2" t="s">
        <v>20344</v>
      </c>
      <c r="B10016" s="2" t="s">
        <v>20345</v>
      </c>
      <c r="C10016" s="2" t="s">
        <v>19716</v>
      </c>
    </row>
    <row r="10017">
      <c r="A10017" s="2" t="s">
        <v>20346</v>
      </c>
      <c r="B10017" s="2" t="s">
        <v>20347</v>
      </c>
      <c r="C10017" s="2" t="s">
        <v>19716</v>
      </c>
    </row>
    <row r="10018">
      <c r="A10018" s="2" t="s">
        <v>20348</v>
      </c>
      <c r="B10018" s="2" t="s">
        <v>20349</v>
      </c>
      <c r="C10018" s="2" t="s">
        <v>19716</v>
      </c>
    </row>
    <row r="10019">
      <c r="A10019" s="2" t="s">
        <v>20350</v>
      </c>
      <c r="B10019" s="2" t="s">
        <v>20351</v>
      </c>
      <c r="C10019" s="2" t="s">
        <v>19716</v>
      </c>
    </row>
    <row r="10020">
      <c r="A10020" s="2" t="s">
        <v>20352</v>
      </c>
      <c r="B10020" s="2" t="s">
        <v>20353</v>
      </c>
      <c r="C10020" s="2" t="s">
        <v>19716</v>
      </c>
    </row>
    <row r="10021">
      <c r="A10021" s="2" t="s">
        <v>20354</v>
      </c>
      <c r="B10021" s="2" t="s">
        <v>20355</v>
      </c>
      <c r="C10021" s="2" t="s">
        <v>19716</v>
      </c>
    </row>
    <row r="10022">
      <c r="A10022" s="2" t="s">
        <v>20356</v>
      </c>
      <c r="B10022" s="2" t="s">
        <v>20357</v>
      </c>
      <c r="C10022" s="2" t="s">
        <v>19716</v>
      </c>
    </row>
    <row r="10023">
      <c r="A10023" s="2" t="s">
        <v>20358</v>
      </c>
      <c r="B10023" s="2" t="s">
        <v>20359</v>
      </c>
      <c r="C10023" s="2" t="s">
        <v>19716</v>
      </c>
    </row>
    <row r="10024">
      <c r="A10024" s="2" t="s">
        <v>20360</v>
      </c>
      <c r="B10024" s="2" t="s">
        <v>20361</v>
      </c>
      <c r="C10024" s="2" t="s">
        <v>19716</v>
      </c>
    </row>
    <row r="10025">
      <c r="A10025" s="2" t="s">
        <v>20362</v>
      </c>
      <c r="B10025" s="2" t="s">
        <v>20363</v>
      </c>
      <c r="C10025" s="2" t="s">
        <v>19716</v>
      </c>
    </row>
    <row r="10026">
      <c r="A10026" s="2" t="s">
        <v>20364</v>
      </c>
      <c r="B10026" s="2" t="s">
        <v>20365</v>
      </c>
      <c r="C10026" s="2" t="s">
        <v>19716</v>
      </c>
    </row>
    <row r="10027">
      <c r="A10027" s="2" t="s">
        <v>20366</v>
      </c>
      <c r="B10027" s="2" t="s">
        <v>20367</v>
      </c>
      <c r="C10027" s="2" t="s">
        <v>19716</v>
      </c>
    </row>
    <row r="10028">
      <c r="A10028" s="2" t="s">
        <v>20368</v>
      </c>
      <c r="B10028" s="2" t="s">
        <v>20369</v>
      </c>
      <c r="C10028" s="2" t="s">
        <v>19716</v>
      </c>
    </row>
    <row r="10029">
      <c r="A10029" s="2" t="s">
        <v>20370</v>
      </c>
      <c r="B10029" s="2" t="s">
        <v>20371</v>
      </c>
      <c r="C10029" s="2" t="s">
        <v>19716</v>
      </c>
    </row>
    <row r="10030">
      <c r="A10030" s="2" t="s">
        <v>20372</v>
      </c>
      <c r="B10030" s="2" t="s">
        <v>20373</v>
      </c>
      <c r="C10030" s="2" t="s">
        <v>19716</v>
      </c>
    </row>
    <row r="10031">
      <c r="A10031" s="2" t="s">
        <v>20374</v>
      </c>
      <c r="B10031" s="2" t="s">
        <v>20375</v>
      </c>
      <c r="C10031" s="2" t="s">
        <v>19716</v>
      </c>
    </row>
    <row r="10032">
      <c r="A10032" s="2" t="s">
        <v>20376</v>
      </c>
      <c r="B10032" s="2" t="s">
        <v>20377</v>
      </c>
      <c r="C10032" s="2" t="s">
        <v>19716</v>
      </c>
    </row>
    <row r="10033">
      <c r="A10033" s="2" t="s">
        <v>20378</v>
      </c>
      <c r="B10033" s="2" t="s">
        <v>20379</v>
      </c>
      <c r="C10033" s="2" t="s">
        <v>19716</v>
      </c>
    </row>
    <row r="10034">
      <c r="A10034" s="2" t="s">
        <v>20380</v>
      </c>
      <c r="B10034" s="2" t="s">
        <v>20381</v>
      </c>
      <c r="C10034" s="2" t="s">
        <v>19716</v>
      </c>
    </row>
    <row r="10035">
      <c r="A10035" s="2" t="s">
        <v>20382</v>
      </c>
      <c r="B10035" s="2" t="s">
        <v>20383</v>
      </c>
      <c r="C10035" s="2" t="s">
        <v>19716</v>
      </c>
    </row>
    <row r="10036">
      <c r="A10036" s="2" t="s">
        <v>20384</v>
      </c>
      <c r="B10036" s="2" t="s">
        <v>20385</v>
      </c>
      <c r="C10036" s="2" t="s">
        <v>19716</v>
      </c>
    </row>
    <row r="10037">
      <c r="A10037" s="2" t="s">
        <v>20386</v>
      </c>
      <c r="B10037" s="2" t="s">
        <v>20387</v>
      </c>
      <c r="C10037" s="2" t="s">
        <v>19716</v>
      </c>
    </row>
    <row r="10038">
      <c r="A10038" s="2" t="s">
        <v>20388</v>
      </c>
      <c r="B10038" s="2" t="s">
        <v>20389</v>
      </c>
      <c r="C10038" s="2" t="s">
        <v>19716</v>
      </c>
    </row>
    <row r="10039">
      <c r="A10039" s="2" t="s">
        <v>20390</v>
      </c>
      <c r="B10039" s="2" t="s">
        <v>20391</v>
      </c>
      <c r="C10039" s="2" t="s">
        <v>19716</v>
      </c>
    </row>
    <row r="10040">
      <c r="A10040" s="2" t="s">
        <v>20392</v>
      </c>
      <c r="B10040" s="2" t="s">
        <v>20393</v>
      </c>
      <c r="C10040" s="2" t="s">
        <v>19716</v>
      </c>
    </row>
    <row r="10041">
      <c r="A10041" s="2" t="s">
        <v>20394</v>
      </c>
      <c r="B10041" s="2" t="s">
        <v>20395</v>
      </c>
      <c r="C10041" s="2" t="s">
        <v>19716</v>
      </c>
    </row>
    <row r="10042">
      <c r="A10042" s="2" t="s">
        <v>20396</v>
      </c>
      <c r="B10042" s="2" t="s">
        <v>20397</v>
      </c>
      <c r="C10042" s="2" t="s">
        <v>19716</v>
      </c>
    </row>
    <row r="10043">
      <c r="A10043" s="2" t="s">
        <v>20398</v>
      </c>
      <c r="B10043" s="2" t="s">
        <v>20399</v>
      </c>
      <c r="C10043" s="2" t="s">
        <v>19716</v>
      </c>
    </row>
    <row r="10044">
      <c r="A10044" s="2" t="s">
        <v>20400</v>
      </c>
      <c r="B10044" s="2" t="s">
        <v>20401</v>
      </c>
      <c r="C10044" s="2" t="s">
        <v>19716</v>
      </c>
    </row>
    <row r="10045">
      <c r="A10045" s="2" t="s">
        <v>20402</v>
      </c>
      <c r="B10045" s="2" t="s">
        <v>20403</v>
      </c>
      <c r="C10045" s="2" t="s">
        <v>19716</v>
      </c>
    </row>
    <row r="10046">
      <c r="A10046" s="2" t="s">
        <v>20404</v>
      </c>
      <c r="B10046" s="2" t="s">
        <v>20405</v>
      </c>
      <c r="C10046" s="2" t="s">
        <v>19716</v>
      </c>
    </row>
    <row r="10047">
      <c r="A10047" s="2" t="s">
        <v>20406</v>
      </c>
      <c r="B10047" s="2" t="s">
        <v>20407</v>
      </c>
      <c r="C10047" s="2" t="s">
        <v>19716</v>
      </c>
    </row>
    <row r="10048">
      <c r="A10048" s="2" t="s">
        <v>20408</v>
      </c>
      <c r="B10048" s="2" t="s">
        <v>20409</v>
      </c>
      <c r="C10048" s="2" t="s">
        <v>19716</v>
      </c>
    </row>
    <row r="10049">
      <c r="A10049" s="2" t="s">
        <v>20410</v>
      </c>
      <c r="B10049" s="2" t="s">
        <v>20411</v>
      </c>
      <c r="C10049" s="2" t="s">
        <v>19716</v>
      </c>
    </row>
    <row r="10050">
      <c r="A10050" s="2" t="s">
        <v>20412</v>
      </c>
      <c r="B10050" s="2" t="s">
        <v>20413</v>
      </c>
      <c r="C10050" s="2" t="s">
        <v>19716</v>
      </c>
    </row>
    <row r="10051">
      <c r="A10051" s="2" t="s">
        <v>20414</v>
      </c>
      <c r="B10051" s="2" t="s">
        <v>20415</v>
      </c>
      <c r="C10051" s="2" t="s">
        <v>19716</v>
      </c>
    </row>
    <row r="10052">
      <c r="A10052" s="2" t="s">
        <v>20416</v>
      </c>
      <c r="B10052" s="2" t="s">
        <v>20417</v>
      </c>
      <c r="C10052" s="2" t="s">
        <v>19716</v>
      </c>
    </row>
    <row r="10053">
      <c r="A10053" s="2" t="s">
        <v>20418</v>
      </c>
      <c r="B10053" s="2" t="s">
        <v>20419</v>
      </c>
      <c r="C10053" s="2" t="s">
        <v>19716</v>
      </c>
    </row>
    <row r="10054">
      <c r="A10054" s="2" t="s">
        <v>20420</v>
      </c>
      <c r="B10054" s="2" t="s">
        <v>20421</v>
      </c>
      <c r="C10054" s="2" t="s">
        <v>19716</v>
      </c>
    </row>
    <row r="10055">
      <c r="A10055" s="2" t="s">
        <v>20422</v>
      </c>
      <c r="B10055" s="2" t="s">
        <v>20423</v>
      </c>
      <c r="C10055" s="2" t="s">
        <v>19716</v>
      </c>
    </row>
    <row r="10056">
      <c r="A10056" s="2" t="s">
        <v>20424</v>
      </c>
      <c r="B10056" s="2" t="s">
        <v>20423</v>
      </c>
      <c r="C10056" s="2" t="s">
        <v>19716</v>
      </c>
    </row>
    <row r="10057">
      <c r="A10057" s="2" t="s">
        <v>20425</v>
      </c>
      <c r="B10057" s="2" t="s">
        <v>20426</v>
      </c>
      <c r="C10057" s="2" t="s">
        <v>19716</v>
      </c>
    </row>
    <row r="10058">
      <c r="A10058" s="2" t="s">
        <v>20427</v>
      </c>
      <c r="B10058" s="2" t="s">
        <v>20428</v>
      </c>
      <c r="C10058" s="2" t="s">
        <v>19716</v>
      </c>
    </row>
    <row r="10059">
      <c r="A10059" s="2" t="s">
        <v>20429</v>
      </c>
      <c r="B10059" s="2" t="s">
        <v>20430</v>
      </c>
      <c r="C10059" s="2" t="s">
        <v>19716</v>
      </c>
    </row>
    <row r="10060">
      <c r="A10060" s="2" t="s">
        <v>20431</v>
      </c>
      <c r="B10060" s="2" t="s">
        <v>20432</v>
      </c>
      <c r="C10060" s="2" t="s">
        <v>19716</v>
      </c>
    </row>
    <row r="10061">
      <c r="A10061" s="2" t="s">
        <v>20433</v>
      </c>
      <c r="B10061" s="2" t="s">
        <v>20434</v>
      </c>
      <c r="C10061" s="2" t="s">
        <v>19716</v>
      </c>
    </row>
    <row r="10062">
      <c r="A10062" s="2" t="s">
        <v>20435</v>
      </c>
      <c r="B10062" s="2" t="s">
        <v>20436</v>
      </c>
      <c r="C10062" s="2" t="s">
        <v>19716</v>
      </c>
    </row>
    <row r="10063">
      <c r="A10063" s="2" t="s">
        <v>20437</v>
      </c>
      <c r="B10063" s="2" t="s">
        <v>20438</v>
      </c>
      <c r="C10063" s="2" t="s">
        <v>19716</v>
      </c>
    </row>
    <row r="10064">
      <c r="A10064" s="2" t="s">
        <v>20439</v>
      </c>
      <c r="B10064" s="2" t="s">
        <v>20440</v>
      </c>
      <c r="C10064" s="2" t="s">
        <v>19716</v>
      </c>
    </row>
    <row r="10065">
      <c r="A10065" s="2" t="s">
        <v>20441</v>
      </c>
      <c r="B10065" s="2" t="s">
        <v>20442</v>
      </c>
      <c r="C10065" s="2" t="s">
        <v>19716</v>
      </c>
    </row>
    <row r="10066">
      <c r="A10066" s="2" t="s">
        <v>20443</v>
      </c>
      <c r="B10066" s="2" t="s">
        <v>20444</v>
      </c>
      <c r="C10066" s="2" t="s">
        <v>19716</v>
      </c>
    </row>
    <row r="10067">
      <c r="A10067" s="2" t="s">
        <v>20445</v>
      </c>
      <c r="B10067" s="2" t="s">
        <v>20446</v>
      </c>
      <c r="C10067" s="2" t="s">
        <v>19716</v>
      </c>
    </row>
    <row r="10068">
      <c r="A10068" s="2" t="s">
        <v>20447</v>
      </c>
      <c r="B10068" s="2" t="s">
        <v>20448</v>
      </c>
      <c r="C10068" s="2" t="s">
        <v>19716</v>
      </c>
    </row>
    <row r="10069">
      <c r="A10069" s="2" t="s">
        <v>20449</v>
      </c>
      <c r="B10069" s="2" t="s">
        <v>20450</v>
      </c>
      <c r="C10069" s="2" t="s">
        <v>19716</v>
      </c>
    </row>
    <row r="10070">
      <c r="A10070" s="2" t="s">
        <v>20451</v>
      </c>
      <c r="B10070" s="2" t="s">
        <v>20452</v>
      </c>
      <c r="C10070" s="2" t="s">
        <v>19716</v>
      </c>
    </row>
    <row r="10071">
      <c r="A10071" s="2" t="s">
        <v>20453</v>
      </c>
      <c r="B10071" s="2" t="s">
        <v>20454</v>
      </c>
      <c r="C10071" s="2" t="s">
        <v>19716</v>
      </c>
    </row>
    <row r="10072">
      <c r="A10072" s="2" t="s">
        <v>20455</v>
      </c>
      <c r="B10072" s="2" t="s">
        <v>20456</v>
      </c>
      <c r="C10072" s="2" t="s">
        <v>19716</v>
      </c>
    </row>
    <row r="10073">
      <c r="A10073" s="2" t="s">
        <v>20457</v>
      </c>
      <c r="B10073" s="2" t="s">
        <v>20458</v>
      </c>
      <c r="C10073" s="2" t="s">
        <v>19716</v>
      </c>
    </row>
    <row r="10074">
      <c r="A10074" s="2" t="s">
        <v>20459</v>
      </c>
      <c r="B10074" s="2" t="s">
        <v>20460</v>
      </c>
      <c r="C10074" s="2" t="s">
        <v>19716</v>
      </c>
    </row>
    <row r="10075">
      <c r="A10075" s="2" t="s">
        <v>20461</v>
      </c>
      <c r="B10075" s="2" t="s">
        <v>20462</v>
      </c>
      <c r="C10075" s="2" t="s">
        <v>19716</v>
      </c>
    </row>
    <row r="10076">
      <c r="A10076" s="2" t="s">
        <v>20463</v>
      </c>
      <c r="B10076" s="2" t="s">
        <v>20464</v>
      </c>
      <c r="C10076" s="2" t="s">
        <v>19716</v>
      </c>
    </row>
    <row r="10077">
      <c r="A10077" s="2" t="s">
        <v>20465</v>
      </c>
      <c r="B10077" s="2" t="s">
        <v>20466</v>
      </c>
      <c r="C10077" s="2" t="s">
        <v>19716</v>
      </c>
    </row>
    <row r="10078">
      <c r="A10078" s="2" t="s">
        <v>20467</v>
      </c>
      <c r="B10078" s="2" t="s">
        <v>20468</v>
      </c>
      <c r="C10078" s="2" t="s">
        <v>19716</v>
      </c>
    </row>
    <row r="10079">
      <c r="A10079" s="2" t="s">
        <v>20469</v>
      </c>
      <c r="B10079" s="2" t="s">
        <v>20470</v>
      </c>
      <c r="C10079" s="2" t="s">
        <v>19716</v>
      </c>
    </row>
    <row r="10080">
      <c r="A10080" s="2" t="s">
        <v>20471</v>
      </c>
      <c r="B10080" s="2" t="s">
        <v>20472</v>
      </c>
      <c r="C10080" s="2" t="s">
        <v>19716</v>
      </c>
    </row>
    <row r="10081">
      <c r="A10081" s="2" t="s">
        <v>20473</v>
      </c>
      <c r="B10081" s="2" t="s">
        <v>20474</v>
      </c>
      <c r="C10081" s="2" t="s">
        <v>19716</v>
      </c>
    </row>
    <row r="10082">
      <c r="A10082" s="2" t="s">
        <v>20475</v>
      </c>
      <c r="B10082" s="2" t="s">
        <v>20476</v>
      </c>
      <c r="C10082" s="2" t="s">
        <v>19716</v>
      </c>
    </row>
    <row r="10083">
      <c r="A10083" s="2" t="s">
        <v>20477</v>
      </c>
      <c r="B10083" s="2" t="s">
        <v>20478</v>
      </c>
      <c r="C10083" s="2" t="s">
        <v>19716</v>
      </c>
    </row>
    <row r="10084">
      <c r="A10084" s="2" t="s">
        <v>20479</v>
      </c>
      <c r="B10084" s="2" t="s">
        <v>20480</v>
      </c>
      <c r="C10084" s="2" t="s">
        <v>19716</v>
      </c>
    </row>
    <row r="10085">
      <c r="A10085" s="2" t="s">
        <v>20481</v>
      </c>
      <c r="B10085" s="2" t="s">
        <v>20482</v>
      </c>
      <c r="C10085" s="2" t="s">
        <v>19716</v>
      </c>
    </row>
    <row r="10086">
      <c r="A10086" s="2" t="s">
        <v>20483</v>
      </c>
      <c r="B10086" s="2" t="s">
        <v>20484</v>
      </c>
      <c r="C10086" s="2" t="s">
        <v>19716</v>
      </c>
    </row>
    <row r="10087">
      <c r="A10087" s="2" t="s">
        <v>20485</v>
      </c>
      <c r="B10087" s="2" t="s">
        <v>20486</v>
      </c>
      <c r="C10087" s="2" t="s">
        <v>19716</v>
      </c>
    </row>
    <row r="10088">
      <c r="A10088" s="2" t="s">
        <v>20487</v>
      </c>
      <c r="B10088" s="2" t="s">
        <v>20488</v>
      </c>
      <c r="C10088" s="2" t="s">
        <v>19716</v>
      </c>
    </row>
    <row r="10089">
      <c r="A10089" s="2" t="s">
        <v>20489</v>
      </c>
      <c r="B10089" s="2" t="s">
        <v>20490</v>
      </c>
      <c r="C10089" s="2" t="s">
        <v>19716</v>
      </c>
    </row>
    <row r="10090">
      <c r="A10090" s="2" t="s">
        <v>20491</v>
      </c>
      <c r="B10090" s="2" t="s">
        <v>20492</v>
      </c>
      <c r="C10090" s="2" t="s">
        <v>19716</v>
      </c>
    </row>
    <row r="10091">
      <c r="A10091" s="2" t="s">
        <v>20493</v>
      </c>
      <c r="B10091" s="2" t="s">
        <v>20494</v>
      </c>
      <c r="C10091" s="2" t="s">
        <v>19716</v>
      </c>
    </row>
    <row r="10092">
      <c r="A10092" s="2" t="s">
        <v>20495</v>
      </c>
      <c r="B10092" s="2" t="s">
        <v>20496</v>
      </c>
      <c r="C10092" s="2" t="s">
        <v>19716</v>
      </c>
    </row>
    <row r="10093">
      <c r="A10093" s="2" t="s">
        <v>20497</v>
      </c>
      <c r="B10093" s="2" t="s">
        <v>20498</v>
      </c>
      <c r="C10093" s="2" t="s">
        <v>19716</v>
      </c>
    </row>
    <row r="10094">
      <c r="A10094" s="2" t="s">
        <v>20499</v>
      </c>
      <c r="B10094" s="2" t="s">
        <v>20500</v>
      </c>
      <c r="C10094" s="2" t="s">
        <v>19716</v>
      </c>
    </row>
    <row r="10095">
      <c r="A10095" s="2" t="s">
        <v>20501</v>
      </c>
      <c r="B10095" s="2" t="s">
        <v>20502</v>
      </c>
      <c r="C10095" s="2" t="s">
        <v>19716</v>
      </c>
    </row>
    <row r="10096">
      <c r="A10096" s="2" t="s">
        <v>20503</v>
      </c>
      <c r="B10096" s="2" t="s">
        <v>20504</v>
      </c>
      <c r="C10096" s="2" t="s">
        <v>19716</v>
      </c>
    </row>
    <row r="10097">
      <c r="A10097" s="2" t="s">
        <v>20505</v>
      </c>
      <c r="B10097" s="2" t="s">
        <v>20506</v>
      </c>
      <c r="C10097" s="2" t="s">
        <v>19716</v>
      </c>
    </row>
    <row r="10098">
      <c r="A10098" s="2" t="s">
        <v>20507</v>
      </c>
      <c r="B10098" s="2" t="s">
        <v>20508</v>
      </c>
      <c r="C10098" s="2" t="s">
        <v>19716</v>
      </c>
    </row>
    <row r="10099">
      <c r="A10099" s="2" t="s">
        <v>20509</v>
      </c>
      <c r="B10099" s="2" t="s">
        <v>20510</v>
      </c>
      <c r="C10099" s="2" t="s">
        <v>19716</v>
      </c>
    </row>
    <row r="10100">
      <c r="A10100" s="2" t="s">
        <v>20511</v>
      </c>
      <c r="B10100" s="2" t="s">
        <v>20512</v>
      </c>
      <c r="C10100" s="2" t="s">
        <v>19716</v>
      </c>
    </row>
    <row r="10101">
      <c r="A10101" s="2" t="s">
        <v>20513</v>
      </c>
      <c r="B10101" s="2" t="s">
        <v>20514</v>
      </c>
      <c r="C10101" s="2" t="s">
        <v>19716</v>
      </c>
    </row>
    <row r="10102">
      <c r="A10102" s="2" t="s">
        <v>20515</v>
      </c>
      <c r="B10102" s="2" t="s">
        <v>20516</v>
      </c>
      <c r="C10102" s="2" t="s">
        <v>19716</v>
      </c>
    </row>
    <row r="10103">
      <c r="A10103" s="2" t="s">
        <v>20517</v>
      </c>
      <c r="B10103" s="2" t="s">
        <v>20518</v>
      </c>
      <c r="C10103" s="2" t="s">
        <v>19716</v>
      </c>
    </row>
    <row r="10104">
      <c r="A10104" s="2" t="s">
        <v>20519</v>
      </c>
      <c r="B10104" s="2" t="s">
        <v>20520</v>
      </c>
      <c r="C10104" s="2" t="s">
        <v>19716</v>
      </c>
    </row>
    <row r="10105">
      <c r="A10105" s="2" t="s">
        <v>20521</v>
      </c>
      <c r="B10105" s="2" t="s">
        <v>20522</v>
      </c>
      <c r="C10105" s="2" t="s">
        <v>19716</v>
      </c>
    </row>
    <row r="10106">
      <c r="A10106" s="2" t="s">
        <v>20523</v>
      </c>
      <c r="B10106" s="2" t="s">
        <v>20522</v>
      </c>
      <c r="C10106" s="2" t="s">
        <v>19716</v>
      </c>
    </row>
    <row r="10107">
      <c r="A10107" s="2" t="s">
        <v>20524</v>
      </c>
      <c r="B10107" s="2" t="s">
        <v>20525</v>
      </c>
      <c r="C10107" s="2" t="s">
        <v>19716</v>
      </c>
    </row>
    <row r="10108">
      <c r="A10108" s="2" t="s">
        <v>20526</v>
      </c>
      <c r="B10108" s="2" t="s">
        <v>20527</v>
      </c>
      <c r="C10108" s="2" t="s">
        <v>19716</v>
      </c>
    </row>
    <row r="10109">
      <c r="A10109" s="2" t="s">
        <v>20528</v>
      </c>
      <c r="B10109" s="2" t="s">
        <v>20529</v>
      </c>
      <c r="C10109" s="2" t="s">
        <v>19716</v>
      </c>
    </row>
    <row r="10110">
      <c r="A10110" s="2" t="s">
        <v>20530</v>
      </c>
      <c r="B10110" s="2" t="s">
        <v>2551</v>
      </c>
      <c r="C10110" s="2" t="s">
        <v>19716</v>
      </c>
    </row>
    <row r="10111">
      <c r="A10111" s="2" t="s">
        <v>20531</v>
      </c>
      <c r="B10111" s="2" t="s">
        <v>20532</v>
      </c>
      <c r="C10111" s="2" t="s">
        <v>19716</v>
      </c>
    </row>
    <row r="10112">
      <c r="A10112" s="2" t="s">
        <v>20533</v>
      </c>
      <c r="B10112" s="2" t="s">
        <v>20534</v>
      </c>
      <c r="C10112" s="2" t="s">
        <v>19716</v>
      </c>
    </row>
    <row r="10113">
      <c r="A10113" s="2" t="s">
        <v>20535</v>
      </c>
      <c r="B10113" s="2" t="s">
        <v>20536</v>
      </c>
      <c r="C10113" s="2" t="s">
        <v>19716</v>
      </c>
    </row>
    <row r="10114">
      <c r="A10114" s="2" t="s">
        <v>20537</v>
      </c>
      <c r="B10114" s="2" t="s">
        <v>20538</v>
      </c>
      <c r="C10114" s="2" t="s">
        <v>19716</v>
      </c>
    </row>
    <row r="10115">
      <c r="A10115" s="2" t="s">
        <v>20539</v>
      </c>
      <c r="B10115" s="2" t="s">
        <v>20540</v>
      </c>
      <c r="C10115" s="2" t="s">
        <v>19716</v>
      </c>
    </row>
    <row r="10116">
      <c r="A10116" s="2" t="s">
        <v>20541</v>
      </c>
      <c r="B10116" s="2" t="s">
        <v>20542</v>
      </c>
      <c r="C10116" s="2" t="s">
        <v>19716</v>
      </c>
    </row>
    <row r="10117">
      <c r="A10117" s="2" t="s">
        <v>20543</v>
      </c>
      <c r="B10117" s="2" t="s">
        <v>20544</v>
      </c>
      <c r="C10117" s="2" t="s">
        <v>19716</v>
      </c>
    </row>
    <row r="10118">
      <c r="A10118" s="2" t="s">
        <v>20545</v>
      </c>
      <c r="B10118" s="2" t="s">
        <v>20546</v>
      </c>
      <c r="C10118" s="2" t="s">
        <v>19716</v>
      </c>
    </row>
    <row r="10119">
      <c r="A10119" s="2" t="s">
        <v>20547</v>
      </c>
      <c r="B10119" s="2" t="s">
        <v>20548</v>
      </c>
      <c r="C10119" s="2" t="s">
        <v>19716</v>
      </c>
    </row>
    <row r="10120">
      <c r="A10120" s="2" t="s">
        <v>20549</v>
      </c>
      <c r="B10120" s="2" t="s">
        <v>20550</v>
      </c>
      <c r="C10120" s="2" t="s">
        <v>19716</v>
      </c>
    </row>
    <row r="10121">
      <c r="A10121" s="2" t="s">
        <v>20551</v>
      </c>
      <c r="B10121" s="2" t="s">
        <v>20550</v>
      </c>
      <c r="C10121" s="2" t="s">
        <v>19716</v>
      </c>
    </row>
    <row r="10122">
      <c r="A10122" s="2" t="s">
        <v>20552</v>
      </c>
      <c r="B10122" s="2" t="s">
        <v>20553</v>
      </c>
      <c r="C10122" s="2" t="s">
        <v>19716</v>
      </c>
    </row>
    <row r="10123">
      <c r="A10123" s="2" t="s">
        <v>20554</v>
      </c>
      <c r="B10123" s="2" t="s">
        <v>20555</v>
      </c>
      <c r="C10123" s="2" t="s">
        <v>19716</v>
      </c>
    </row>
    <row r="10124">
      <c r="A10124" s="2" t="s">
        <v>20556</v>
      </c>
      <c r="B10124" s="2" t="s">
        <v>20557</v>
      </c>
      <c r="C10124" s="2" t="s">
        <v>19716</v>
      </c>
    </row>
    <row r="10125">
      <c r="A10125" s="2" t="s">
        <v>20558</v>
      </c>
      <c r="B10125" s="2" t="s">
        <v>20559</v>
      </c>
      <c r="C10125" s="2" t="s">
        <v>19716</v>
      </c>
    </row>
    <row r="10126">
      <c r="A10126" s="2" t="s">
        <v>20560</v>
      </c>
      <c r="B10126" s="2" t="s">
        <v>20561</v>
      </c>
      <c r="C10126" s="2" t="s">
        <v>19716</v>
      </c>
    </row>
    <row r="10127">
      <c r="A10127" s="2" t="s">
        <v>20562</v>
      </c>
      <c r="B10127" s="2" t="s">
        <v>20563</v>
      </c>
      <c r="C10127" s="2" t="s">
        <v>19716</v>
      </c>
    </row>
    <row r="10128">
      <c r="A10128" s="2" t="s">
        <v>20564</v>
      </c>
      <c r="B10128" s="2" t="s">
        <v>20565</v>
      </c>
      <c r="C10128" s="2" t="s">
        <v>19716</v>
      </c>
    </row>
    <row r="10129">
      <c r="A10129" s="2" t="s">
        <v>20566</v>
      </c>
      <c r="B10129" s="2" t="s">
        <v>20567</v>
      </c>
      <c r="C10129" s="2" t="s">
        <v>19716</v>
      </c>
    </row>
    <row r="10130">
      <c r="A10130" s="2" t="s">
        <v>20568</v>
      </c>
      <c r="B10130" s="2" t="s">
        <v>20569</v>
      </c>
      <c r="C10130" s="2" t="s">
        <v>19716</v>
      </c>
    </row>
    <row r="10131">
      <c r="A10131" s="2" t="s">
        <v>20570</v>
      </c>
      <c r="B10131" s="2" t="s">
        <v>20569</v>
      </c>
      <c r="C10131" s="2" t="s">
        <v>19716</v>
      </c>
    </row>
    <row r="10132">
      <c r="A10132" s="2" t="s">
        <v>20571</v>
      </c>
      <c r="B10132" s="2" t="s">
        <v>20572</v>
      </c>
      <c r="C10132" s="2" t="s">
        <v>19716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9</v>
      </c>
      <c r="B1" s="4" t="s">
        <v>21</v>
      </c>
    </row>
    <row r="2">
      <c r="A2" s="4" t="s">
        <v>22</v>
      </c>
      <c r="B2" s="5">
        <v>50.0</v>
      </c>
    </row>
    <row r="3">
      <c r="A3" s="4" t="s">
        <v>25</v>
      </c>
      <c r="B3" s="4">
        <v>100.0</v>
      </c>
    </row>
    <row r="4">
      <c r="A4" s="4" t="s">
        <v>28</v>
      </c>
      <c r="B4" s="5">
        <v>100.0</v>
      </c>
    </row>
    <row r="5">
      <c r="A5" s="4" t="s">
        <v>30</v>
      </c>
      <c r="B5" s="4">
        <v>75.0</v>
      </c>
    </row>
    <row r="6">
      <c r="A6" s="4" t="s">
        <v>35</v>
      </c>
      <c r="B6" s="5">
        <v>50.0</v>
      </c>
    </row>
    <row r="7">
      <c r="A7" s="4" t="s">
        <v>37</v>
      </c>
      <c r="B7" s="5">
        <v>50.0</v>
      </c>
    </row>
    <row r="8">
      <c r="A8" s="4" t="s">
        <v>42</v>
      </c>
      <c r="B8" s="5">
        <v>50.0</v>
      </c>
    </row>
    <row r="9">
      <c r="A9" s="4" t="s">
        <v>43</v>
      </c>
      <c r="B9" s="5">
        <v>50.0</v>
      </c>
    </row>
    <row r="10">
      <c r="A10" s="4" t="s">
        <v>47</v>
      </c>
      <c r="B10" s="5">
        <v>50.0</v>
      </c>
    </row>
    <row r="11">
      <c r="A11" s="4" t="s">
        <v>49</v>
      </c>
      <c r="B11" s="5">
        <v>50.0</v>
      </c>
    </row>
    <row r="12">
      <c r="A12" s="4" t="s">
        <v>52</v>
      </c>
      <c r="B12" s="5">
        <v>50.0</v>
      </c>
    </row>
    <row r="13">
      <c r="A13" s="4" t="s">
        <v>55</v>
      </c>
      <c r="B13" s="5">
        <v>50.0</v>
      </c>
    </row>
    <row r="14">
      <c r="A14" s="4" t="s">
        <v>58</v>
      </c>
      <c r="B14" s="4">
        <v>25.0</v>
      </c>
    </row>
    <row r="15">
      <c r="A15" s="4" t="s">
        <v>61</v>
      </c>
      <c r="B15" s="5">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274</v>
      </c>
      <c r="B1" s="4" t="s">
        <v>276</v>
      </c>
      <c r="C1" s="4" t="s">
        <v>278</v>
      </c>
      <c r="D1" s="4" t="s">
        <v>26</v>
      </c>
      <c r="E1" s="4" t="s">
        <v>2</v>
      </c>
      <c r="F1" s="4" t="s">
        <v>281</v>
      </c>
      <c r="G1" s="4" t="s">
        <v>284</v>
      </c>
      <c r="H1" s="4" t="s">
        <v>286</v>
      </c>
    </row>
    <row r="2">
      <c r="A2" s="4" t="s">
        <v>287</v>
      </c>
      <c r="B2" s="4" t="s">
        <v>289</v>
      </c>
      <c r="D2" s="4" t="s">
        <v>291</v>
      </c>
      <c r="F2" s="4" t="s">
        <v>293</v>
      </c>
      <c r="G2" s="4" t="s">
        <v>294</v>
      </c>
      <c r="H2" s="4" t="s">
        <v>295</v>
      </c>
    </row>
    <row r="3">
      <c r="A3" s="4" t="s">
        <v>298</v>
      </c>
      <c r="B3" s="4" t="s">
        <v>289</v>
      </c>
      <c r="C3" s="4" t="s">
        <v>301</v>
      </c>
      <c r="D3" s="4" t="s">
        <v>303</v>
      </c>
      <c r="E3" s="4" t="s">
        <v>304</v>
      </c>
      <c r="F3" s="4" t="s">
        <v>293</v>
      </c>
      <c r="G3" s="4" t="s">
        <v>306</v>
      </c>
      <c r="H3" s="4" t="s">
        <v>295</v>
      </c>
    </row>
    <row r="4">
      <c r="A4" s="4" t="s">
        <v>308</v>
      </c>
      <c r="B4" s="4" t="s">
        <v>289</v>
      </c>
      <c r="C4" s="4" t="s">
        <v>310</v>
      </c>
      <c r="D4" s="4" t="s">
        <v>303</v>
      </c>
      <c r="E4" s="4" t="s">
        <v>312</v>
      </c>
      <c r="F4" s="4" t="s">
        <v>293</v>
      </c>
      <c r="G4" s="4" t="s">
        <v>313</v>
      </c>
      <c r="H4" s="4" t="s">
        <v>295</v>
      </c>
    </row>
    <row r="5">
      <c r="A5" s="4" t="s">
        <v>316</v>
      </c>
      <c r="B5" s="4" t="s">
        <v>289</v>
      </c>
      <c r="C5" s="4" t="s">
        <v>317</v>
      </c>
      <c r="D5" s="4" t="s">
        <v>303</v>
      </c>
      <c r="E5" s="4" t="s">
        <v>319</v>
      </c>
      <c r="F5" s="4" t="s">
        <v>293</v>
      </c>
      <c r="G5" s="4" t="s">
        <v>321</v>
      </c>
      <c r="H5" s="4" t="s">
        <v>295</v>
      </c>
    </row>
    <row r="6">
      <c r="A6" s="4" t="s">
        <v>322</v>
      </c>
      <c r="B6" s="4" t="s">
        <v>289</v>
      </c>
      <c r="C6" s="4" t="s">
        <v>324</v>
      </c>
      <c r="D6" s="4" t="s">
        <v>303</v>
      </c>
      <c r="E6" s="4" t="s">
        <v>326</v>
      </c>
      <c r="F6" s="4" t="s">
        <v>293</v>
      </c>
      <c r="G6" s="4" t="s">
        <v>328</v>
      </c>
      <c r="H6" s="4" t="s">
        <v>295</v>
      </c>
    </row>
    <row r="7">
      <c r="A7" s="4" t="s">
        <v>330</v>
      </c>
      <c r="B7" s="4" t="s">
        <v>289</v>
      </c>
      <c r="C7" s="4" t="s">
        <v>333</v>
      </c>
      <c r="D7" s="4" t="s">
        <v>303</v>
      </c>
      <c r="E7" s="4" t="s">
        <v>334</v>
      </c>
      <c r="F7" s="4" t="s">
        <v>293</v>
      </c>
      <c r="G7" s="4" t="s">
        <v>337</v>
      </c>
      <c r="H7" s="4" t="s">
        <v>295</v>
      </c>
    </row>
    <row r="8">
      <c r="A8" s="4" t="s">
        <v>339</v>
      </c>
      <c r="B8" s="4" t="s">
        <v>289</v>
      </c>
      <c r="C8" s="4" t="s">
        <v>341</v>
      </c>
      <c r="D8" s="4" t="s">
        <v>303</v>
      </c>
      <c r="E8" s="4" t="s">
        <v>344</v>
      </c>
      <c r="F8" s="4" t="s">
        <v>293</v>
      </c>
      <c r="G8" s="4" t="s">
        <v>345</v>
      </c>
      <c r="H8" s="4" t="s">
        <v>295</v>
      </c>
    </row>
    <row r="9">
      <c r="A9" s="4" t="s">
        <v>348</v>
      </c>
      <c r="B9" s="4" t="s">
        <v>289</v>
      </c>
      <c r="C9" s="4" t="s">
        <v>350</v>
      </c>
      <c r="D9" s="4" t="s">
        <v>303</v>
      </c>
      <c r="E9" s="4" t="s">
        <v>352</v>
      </c>
      <c r="F9" s="4" t="s">
        <v>293</v>
      </c>
      <c r="G9" s="4" t="s">
        <v>354</v>
      </c>
      <c r="H9" s="4" t="s">
        <v>295</v>
      </c>
    </row>
    <row r="10">
      <c r="A10" s="4" t="s">
        <v>356</v>
      </c>
      <c r="B10" s="4" t="s">
        <v>289</v>
      </c>
      <c r="C10" s="4" t="s">
        <v>359</v>
      </c>
      <c r="D10" s="4" t="s">
        <v>303</v>
      </c>
      <c r="E10" s="4" t="s">
        <v>360</v>
      </c>
      <c r="F10" s="4" t="s">
        <v>293</v>
      </c>
      <c r="G10" s="4" t="s">
        <v>363</v>
      </c>
      <c r="H10" s="4" t="s">
        <v>295</v>
      </c>
    </row>
    <row r="11">
      <c r="A11" s="4" t="s">
        <v>365</v>
      </c>
      <c r="B11" s="4" t="s">
        <v>289</v>
      </c>
      <c r="C11" s="4" t="s">
        <v>366</v>
      </c>
      <c r="D11" s="4" t="s">
        <v>303</v>
      </c>
      <c r="E11" s="4" t="s">
        <v>368</v>
      </c>
      <c r="F11" s="4" t="s">
        <v>293</v>
      </c>
      <c r="G11" s="4" t="s">
        <v>370</v>
      </c>
      <c r="H11" s="4" t="s">
        <v>295</v>
      </c>
    </row>
    <row r="12">
      <c r="A12" s="4" t="s">
        <v>373</v>
      </c>
      <c r="B12" s="4" t="s">
        <v>289</v>
      </c>
      <c r="C12" s="4" t="s">
        <v>374</v>
      </c>
      <c r="D12" s="4" t="s">
        <v>303</v>
      </c>
      <c r="E12" s="4" t="s">
        <v>377</v>
      </c>
      <c r="F12" s="4" t="s">
        <v>293</v>
      </c>
      <c r="G12" s="4" t="s">
        <v>380</v>
      </c>
      <c r="H12" s="4" t="s">
        <v>295</v>
      </c>
    </row>
    <row r="13">
      <c r="A13" s="4" t="s">
        <v>385</v>
      </c>
      <c r="B13" s="4" t="s">
        <v>289</v>
      </c>
      <c r="C13" s="4" t="s">
        <v>387</v>
      </c>
      <c r="D13" s="4" t="s">
        <v>303</v>
      </c>
      <c r="E13" s="4" t="s">
        <v>389</v>
      </c>
      <c r="F13" s="4" t="s">
        <v>293</v>
      </c>
      <c r="G13" s="4" t="s">
        <v>392</v>
      </c>
      <c r="H13" s="4" t="s">
        <v>295</v>
      </c>
    </row>
    <row r="14">
      <c r="A14" s="4" t="s">
        <v>394</v>
      </c>
      <c r="B14" s="4" t="s">
        <v>289</v>
      </c>
      <c r="C14" s="4" t="s">
        <v>396</v>
      </c>
      <c r="D14" s="4" t="s">
        <v>303</v>
      </c>
      <c r="E14" s="4" t="s">
        <v>399</v>
      </c>
      <c r="F14" s="4" t="s">
        <v>293</v>
      </c>
      <c r="G14" s="4" t="s">
        <v>401</v>
      </c>
      <c r="H14" s="4" t="s">
        <v>295</v>
      </c>
    </row>
    <row r="15">
      <c r="A15" s="4" t="s">
        <v>404</v>
      </c>
      <c r="B15" s="4" t="s">
        <v>289</v>
      </c>
      <c r="C15" s="4" t="s">
        <v>406</v>
      </c>
      <c r="D15" s="4" t="s">
        <v>303</v>
      </c>
      <c r="E15" s="4" t="s">
        <v>408</v>
      </c>
      <c r="F15" s="4" t="s">
        <v>293</v>
      </c>
      <c r="G15" s="4" t="s">
        <v>410</v>
      </c>
      <c r="H15" s="4" t="s">
        <v>295</v>
      </c>
    </row>
    <row r="16">
      <c r="A16" s="4" t="s">
        <v>413</v>
      </c>
      <c r="B16" s="4" t="s">
        <v>289</v>
      </c>
      <c r="C16" s="4" t="s">
        <v>414</v>
      </c>
      <c r="D16" s="4" t="s">
        <v>303</v>
      </c>
      <c r="E16" s="4" t="s">
        <v>417</v>
      </c>
      <c r="F16" s="4" t="s">
        <v>293</v>
      </c>
      <c r="G16" s="4" t="s">
        <v>418</v>
      </c>
      <c r="H16" s="4" t="s">
        <v>295</v>
      </c>
    </row>
    <row r="17">
      <c r="A17" s="4" t="s">
        <v>421</v>
      </c>
      <c r="B17" s="4" t="s">
        <v>289</v>
      </c>
      <c r="C17" s="4" t="s">
        <v>424</v>
      </c>
      <c r="D17" s="4" t="s">
        <v>303</v>
      </c>
      <c r="E17" s="4" t="s">
        <v>426</v>
      </c>
      <c r="F17" s="4" t="s">
        <v>293</v>
      </c>
      <c r="G17" s="4" t="s">
        <v>427</v>
      </c>
      <c r="H17" s="4" t="s">
        <v>295</v>
      </c>
    </row>
    <row r="18">
      <c r="A18" s="4" t="s">
        <v>430</v>
      </c>
      <c r="B18" s="4" t="s">
        <v>289</v>
      </c>
      <c r="C18" s="4" t="s">
        <v>433</v>
      </c>
      <c r="D18" s="4" t="s">
        <v>303</v>
      </c>
      <c r="E18" s="4" t="s">
        <v>434</v>
      </c>
      <c r="F18" s="4" t="s">
        <v>293</v>
      </c>
      <c r="G18" s="4" t="s">
        <v>438</v>
      </c>
      <c r="H18" s="4" t="s">
        <v>295</v>
      </c>
    </row>
    <row r="19">
      <c r="A19" s="4" t="s">
        <v>439</v>
      </c>
      <c r="B19" s="4" t="s">
        <v>289</v>
      </c>
      <c r="C19" s="4" t="s">
        <v>441</v>
      </c>
      <c r="D19" s="4" t="s">
        <v>303</v>
      </c>
      <c r="E19" s="4" t="s">
        <v>442</v>
      </c>
      <c r="F19" s="4" t="s">
        <v>293</v>
      </c>
      <c r="G19" s="4" t="s">
        <v>445</v>
      </c>
      <c r="H19" s="4" t="s">
        <v>295</v>
      </c>
    </row>
    <row r="20">
      <c r="A20" s="4" t="s">
        <v>447</v>
      </c>
      <c r="B20" s="4" t="s">
        <v>289</v>
      </c>
      <c r="C20" s="4" t="s">
        <v>450</v>
      </c>
      <c r="D20" s="4" t="s">
        <v>303</v>
      </c>
      <c r="E20" s="4" t="s">
        <v>451</v>
      </c>
      <c r="F20" s="4" t="s">
        <v>293</v>
      </c>
      <c r="G20" s="4" t="s">
        <v>454</v>
      </c>
      <c r="H20" s="4" t="s">
        <v>295</v>
      </c>
    </row>
    <row r="21">
      <c r="A21" s="4" t="s">
        <v>457</v>
      </c>
      <c r="B21" s="4" t="s">
        <v>289</v>
      </c>
      <c r="C21" s="4" t="s">
        <v>459</v>
      </c>
      <c r="D21" s="4" t="s">
        <v>303</v>
      </c>
      <c r="E21" s="4" t="s">
        <v>462</v>
      </c>
      <c r="F21" s="4" t="s">
        <v>293</v>
      </c>
      <c r="G21" s="4" t="s">
        <v>465</v>
      </c>
      <c r="H21" s="4" t="s">
        <v>295</v>
      </c>
    </row>
    <row r="22">
      <c r="A22" s="4" t="s">
        <v>468</v>
      </c>
      <c r="B22" s="4" t="s">
        <v>289</v>
      </c>
      <c r="C22" s="4" t="s">
        <v>471</v>
      </c>
      <c r="D22" s="4" t="s">
        <v>303</v>
      </c>
      <c r="E22" s="4" t="s">
        <v>474</v>
      </c>
      <c r="F22" s="4" t="s">
        <v>293</v>
      </c>
      <c r="G22" s="4" t="s">
        <v>478</v>
      </c>
      <c r="H22" s="4" t="s">
        <v>295</v>
      </c>
    </row>
    <row r="23">
      <c r="A23" s="4" t="s">
        <v>481</v>
      </c>
      <c r="B23" s="4" t="s">
        <v>289</v>
      </c>
      <c r="C23" s="4" t="s">
        <v>483</v>
      </c>
      <c r="D23" s="4" t="s">
        <v>303</v>
      </c>
      <c r="E23" s="4" t="s">
        <v>486</v>
      </c>
      <c r="F23" s="4" t="s">
        <v>293</v>
      </c>
      <c r="G23" s="4" t="s">
        <v>488</v>
      </c>
      <c r="H23" s="4" t="s">
        <v>295</v>
      </c>
    </row>
    <row r="24">
      <c r="A24" s="4" t="s">
        <v>492</v>
      </c>
      <c r="B24" s="4" t="s">
        <v>289</v>
      </c>
      <c r="C24" s="4" t="s">
        <v>493</v>
      </c>
      <c r="D24" s="4" t="s">
        <v>303</v>
      </c>
      <c r="E24" s="4" t="s">
        <v>496</v>
      </c>
      <c r="F24" s="4" t="s">
        <v>293</v>
      </c>
      <c r="G24" s="4" t="s">
        <v>497</v>
      </c>
      <c r="H24" s="4" t="s">
        <v>295</v>
      </c>
    </row>
    <row r="25">
      <c r="A25" s="4" t="s">
        <v>500</v>
      </c>
      <c r="B25" s="4" t="s">
        <v>289</v>
      </c>
      <c r="C25" s="4" t="s">
        <v>504</v>
      </c>
      <c r="D25" s="4" t="s">
        <v>303</v>
      </c>
      <c r="E25" s="4" t="s">
        <v>506</v>
      </c>
      <c r="F25" s="4" t="s">
        <v>293</v>
      </c>
      <c r="G25" s="4" t="s">
        <v>508</v>
      </c>
      <c r="H25" s="4" t="s">
        <v>295</v>
      </c>
    </row>
    <row r="26">
      <c r="A26" s="4" t="s">
        <v>510</v>
      </c>
      <c r="B26" s="4" t="s">
        <v>289</v>
      </c>
      <c r="C26" s="4" t="s">
        <v>513</v>
      </c>
      <c r="D26" s="4" t="s">
        <v>303</v>
      </c>
      <c r="E26" s="4" t="s">
        <v>514</v>
      </c>
      <c r="F26" s="4" t="s">
        <v>293</v>
      </c>
      <c r="G26" s="4" t="s">
        <v>517</v>
      </c>
      <c r="H26" s="4" t="s">
        <v>295</v>
      </c>
    </row>
    <row r="27">
      <c r="A27" s="4" t="s">
        <v>521</v>
      </c>
      <c r="B27" s="4" t="s">
        <v>289</v>
      </c>
      <c r="C27" s="4" t="s">
        <v>523</v>
      </c>
      <c r="D27" s="4" t="s">
        <v>303</v>
      </c>
      <c r="E27" s="4" t="s">
        <v>526</v>
      </c>
      <c r="F27" s="4" t="s">
        <v>293</v>
      </c>
      <c r="G27" s="4" t="s">
        <v>527</v>
      </c>
      <c r="H27" s="4" t="s">
        <v>295</v>
      </c>
    </row>
    <row r="28">
      <c r="A28" s="4" t="s">
        <v>530</v>
      </c>
      <c r="B28" s="4" t="s">
        <v>289</v>
      </c>
      <c r="C28" s="4" t="s">
        <v>533</v>
      </c>
      <c r="D28" s="4" t="s">
        <v>303</v>
      </c>
      <c r="E28" s="4" t="s">
        <v>535</v>
      </c>
      <c r="F28" s="4" t="s">
        <v>293</v>
      </c>
      <c r="G28" s="4" t="s">
        <v>537</v>
      </c>
      <c r="H28" s="4" t="s">
        <v>295</v>
      </c>
    </row>
    <row r="29">
      <c r="A29" s="4" t="s">
        <v>539</v>
      </c>
      <c r="B29" s="4" t="s">
        <v>289</v>
      </c>
      <c r="C29" s="4" t="s">
        <v>542</v>
      </c>
      <c r="D29" s="4" t="s">
        <v>303</v>
      </c>
      <c r="E29" s="4" t="s">
        <v>543</v>
      </c>
      <c r="F29" s="4" t="s">
        <v>293</v>
      </c>
      <c r="G29" s="4" t="s">
        <v>547</v>
      </c>
      <c r="H29" s="4" t="s">
        <v>295</v>
      </c>
    </row>
    <row r="30">
      <c r="A30" s="4" t="s">
        <v>549</v>
      </c>
      <c r="B30" s="4" t="s">
        <v>289</v>
      </c>
      <c r="C30" s="4" t="s">
        <v>553</v>
      </c>
      <c r="D30" s="4" t="s">
        <v>303</v>
      </c>
      <c r="E30" s="4" t="s">
        <v>554</v>
      </c>
      <c r="F30" s="4" t="s">
        <v>293</v>
      </c>
      <c r="G30" s="4" t="s">
        <v>556</v>
      </c>
      <c r="H30" s="4" t="s">
        <v>295</v>
      </c>
    </row>
    <row r="31">
      <c r="A31" s="4" t="s">
        <v>558</v>
      </c>
      <c r="B31" s="4" t="s">
        <v>289</v>
      </c>
      <c r="C31" s="4" t="s">
        <v>560</v>
      </c>
      <c r="D31" s="4" t="s">
        <v>303</v>
      </c>
      <c r="E31" s="4" t="s">
        <v>563</v>
      </c>
      <c r="F31" s="4" t="s">
        <v>293</v>
      </c>
      <c r="G31" s="4" t="s">
        <v>564</v>
      </c>
      <c r="H31" s="4" t="s">
        <v>295</v>
      </c>
    </row>
    <row r="32">
      <c r="A32" s="4" t="s">
        <v>567</v>
      </c>
      <c r="B32" s="4" t="s">
        <v>289</v>
      </c>
      <c r="C32" s="4" t="s">
        <v>571</v>
      </c>
      <c r="D32" s="4" t="s">
        <v>303</v>
      </c>
      <c r="E32" s="4" t="s">
        <v>573</v>
      </c>
      <c r="F32" s="4" t="s">
        <v>293</v>
      </c>
      <c r="G32" s="4" t="s">
        <v>577</v>
      </c>
      <c r="H32" s="4" t="s">
        <v>295</v>
      </c>
    </row>
    <row r="33">
      <c r="A33" s="4" t="s">
        <v>580</v>
      </c>
      <c r="B33" s="4" t="s">
        <v>289</v>
      </c>
      <c r="C33" s="4" t="s">
        <v>582</v>
      </c>
      <c r="D33" s="4" t="s">
        <v>303</v>
      </c>
      <c r="E33" s="4" t="s">
        <v>585</v>
      </c>
      <c r="F33" s="4" t="s">
        <v>293</v>
      </c>
      <c r="G33" s="4" t="s">
        <v>586</v>
      </c>
      <c r="H33" s="4" t="s">
        <v>295</v>
      </c>
    </row>
    <row r="34">
      <c r="A34" s="4" t="s">
        <v>589</v>
      </c>
      <c r="B34" s="4" t="s">
        <v>289</v>
      </c>
      <c r="C34" s="4" t="s">
        <v>590</v>
      </c>
      <c r="D34" s="4" t="s">
        <v>303</v>
      </c>
      <c r="E34" s="4" t="s">
        <v>594</v>
      </c>
      <c r="F34" s="4" t="s">
        <v>293</v>
      </c>
      <c r="G34" s="4" t="s">
        <v>596</v>
      </c>
      <c r="H34" s="4" t="s">
        <v>295</v>
      </c>
    </row>
    <row r="35">
      <c r="A35" s="4" t="s">
        <v>599</v>
      </c>
      <c r="B35" s="4" t="s">
        <v>289</v>
      </c>
      <c r="C35" s="4" t="s">
        <v>602</v>
      </c>
      <c r="D35" s="4" t="s">
        <v>303</v>
      </c>
      <c r="E35" s="4" t="s">
        <v>604</v>
      </c>
      <c r="F35" s="4" t="s">
        <v>293</v>
      </c>
      <c r="G35" s="4" t="s">
        <v>606</v>
      </c>
      <c r="H35" s="4" t="s">
        <v>295</v>
      </c>
    </row>
    <row r="36">
      <c r="A36" s="4" t="s">
        <v>608</v>
      </c>
      <c r="B36" s="4" t="s">
        <v>289</v>
      </c>
      <c r="C36" s="4" t="s">
        <v>610</v>
      </c>
      <c r="D36" s="4" t="s">
        <v>303</v>
      </c>
      <c r="E36" s="4" t="s">
        <v>612</v>
      </c>
      <c r="F36" s="4" t="s">
        <v>293</v>
      </c>
      <c r="G36" s="4" t="s">
        <v>613</v>
      </c>
      <c r="H36" s="4" t="s">
        <v>295</v>
      </c>
    </row>
    <row r="37">
      <c r="A37" s="4" t="s">
        <v>617</v>
      </c>
      <c r="B37" s="4" t="s">
        <v>289</v>
      </c>
      <c r="C37" s="4" t="s">
        <v>620</v>
      </c>
      <c r="D37" s="4" t="s">
        <v>303</v>
      </c>
      <c r="E37" s="4" t="s">
        <v>623</v>
      </c>
      <c r="F37" s="4" t="s">
        <v>293</v>
      </c>
      <c r="G37" s="4" t="s">
        <v>624</v>
      </c>
      <c r="H37" s="4" t="s">
        <v>295</v>
      </c>
    </row>
    <row r="38">
      <c r="A38" s="4" t="s">
        <v>628</v>
      </c>
      <c r="B38" s="4" t="s">
        <v>289</v>
      </c>
      <c r="C38" s="4" t="s">
        <v>629</v>
      </c>
      <c r="D38" s="4" t="s">
        <v>303</v>
      </c>
      <c r="E38" s="4" t="s">
        <v>632</v>
      </c>
      <c r="F38" s="4" t="s">
        <v>293</v>
      </c>
      <c r="G38" s="4" t="s">
        <v>633</v>
      </c>
      <c r="H38" s="4" t="s">
        <v>295</v>
      </c>
    </row>
    <row r="39">
      <c r="A39" s="4" t="s">
        <v>644</v>
      </c>
      <c r="B39" s="4" t="s">
        <v>289</v>
      </c>
      <c r="C39" s="4" t="s">
        <v>645</v>
      </c>
      <c r="D39" s="4" t="s">
        <v>303</v>
      </c>
      <c r="E39" s="4" t="s">
        <v>648</v>
      </c>
      <c r="F39" s="4" t="s">
        <v>293</v>
      </c>
      <c r="G39" s="4" t="s">
        <v>650</v>
      </c>
      <c r="H39" s="4" t="s">
        <v>295</v>
      </c>
    </row>
    <row r="40">
      <c r="A40" s="4" t="s">
        <v>653</v>
      </c>
      <c r="B40" s="4" t="s">
        <v>289</v>
      </c>
      <c r="C40" s="4" t="s">
        <v>656</v>
      </c>
      <c r="D40" s="4" t="s">
        <v>303</v>
      </c>
      <c r="E40" s="4" t="s">
        <v>657</v>
      </c>
      <c r="F40" s="4" t="s">
        <v>293</v>
      </c>
      <c r="G40" s="4" t="s">
        <v>660</v>
      </c>
      <c r="H40" s="4" t="s">
        <v>295</v>
      </c>
    </row>
    <row r="41">
      <c r="A41" s="4" t="s">
        <v>663</v>
      </c>
      <c r="B41" s="4" t="s">
        <v>289</v>
      </c>
      <c r="C41" s="4" t="s">
        <v>665</v>
      </c>
      <c r="D41" s="4" t="s">
        <v>303</v>
      </c>
      <c r="E41" s="4" t="s">
        <v>669</v>
      </c>
      <c r="F41" s="4" t="s">
        <v>293</v>
      </c>
      <c r="G41" s="4" t="s">
        <v>673</v>
      </c>
      <c r="H41" s="4" t="s">
        <v>295</v>
      </c>
    </row>
    <row r="42">
      <c r="A42" s="4" t="s">
        <v>676</v>
      </c>
      <c r="B42" s="4" t="s">
        <v>289</v>
      </c>
      <c r="C42" s="4" t="s">
        <v>679</v>
      </c>
      <c r="D42" s="4" t="s">
        <v>303</v>
      </c>
      <c r="E42" s="4" t="s">
        <v>681</v>
      </c>
      <c r="F42" s="4" t="s">
        <v>293</v>
      </c>
      <c r="G42" s="4" t="s">
        <v>683</v>
      </c>
      <c r="H42" s="4" t="s">
        <v>295</v>
      </c>
    </row>
    <row r="43">
      <c r="A43" s="4" t="s">
        <v>685</v>
      </c>
      <c r="B43" s="4" t="s">
        <v>289</v>
      </c>
      <c r="C43" s="4" t="s">
        <v>688</v>
      </c>
      <c r="D43" s="4" t="s">
        <v>303</v>
      </c>
      <c r="E43" s="4" t="s">
        <v>689</v>
      </c>
      <c r="F43" s="4" t="s">
        <v>293</v>
      </c>
      <c r="G43" s="4" t="s">
        <v>692</v>
      </c>
      <c r="H43" s="4" t="s">
        <v>295</v>
      </c>
    </row>
    <row r="44">
      <c r="A44" s="4" t="s">
        <v>695</v>
      </c>
      <c r="B44" s="4" t="s">
        <v>289</v>
      </c>
      <c r="C44" s="4" t="s">
        <v>696</v>
      </c>
      <c r="D44" s="4" t="s">
        <v>303</v>
      </c>
      <c r="E44" s="4" t="s">
        <v>700</v>
      </c>
      <c r="F44" s="4" t="s">
        <v>293</v>
      </c>
      <c r="G44" s="4" t="s">
        <v>702</v>
      </c>
      <c r="H44" s="4" t="s">
        <v>295</v>
      </c>
    </row>
    <row r="45">
      <c r="A45" s="4" t="s">
        <v>705</v>
      </c>
      <c r="B45" s="4" t="s">
        <v>289</v>
      </c>
      <c r="C45" s="4" t="s">
        <v>706</v>
      </c>
      <c r="D45" s="4" t="s">
        <v>303</v>
      </c>
      <c r="E45" s="4" t="s">
        <v>708</v>
      </c>
      <c r="F45" s="4" t="s">
        <v>293</v>
      </c>
      <c r="G45" s="4" t="s">
        <v>710</v>
      </c>
      <c r="H45" s="4" t="s">
        <v>295</v>
      </c>
    </row>
    <row r="46">
      <c r="A46" s="4" t="s">
        <v>712</v>
      </c>
      <c r="B46" s="4" t="s">
        <v>289</v>
      </c>
      <c r="C46" s="4" t="s">
        <v>714</v>
      </c>
      <c r="D46" s="4" t="s">
        <v>303</v>
      </c>
      <c r="E46" s="4" t="s">
        <v>717</v>
      </c>
      <c r="F46" s="4" t="s">
        <v>293</v>
      </c>
      <c r="G46" s="4" t="s">
        <v>718</v>
      </c>
      <c r="H46" s="4" t="s">
        <v>295</v>
      </c>
    </row>
    <row r="47">
      <c r="A47" s="4" t="s">
        <v>722</v>
      </c>
      <c r="B47" s="4" t="s">
        <v>289</v>
      </c>
      <c r="C47" s="4" t="s">
        <v>724</v>
      </c>
      <c r="D47" s="4" t="s">
        <v>303</v>
      </c>
      <c r="E47" s="4" t="s">
        <v>726</v>
      </c>
      <c r="F47" s="4" t="s">
        <v>293</v>
      </c>
      <c r="G47" s="4" t="s">
        <v>728</v>
      </c>
      <c r="H47" s="4" t="s">
        <v>295</v>
      </c>
    </row>
    <row r="48">
      <c r="A48" s="4" t="s">
        <v>731</v>
      </c>
      <c r="B48" s="4" t="s">
        <v>289</v>
      </c>
      <c r="C48" s="4" t="s">
        <v>732</v>
      </c>
      <c r="D48" s="4" t="s">
        <v>303</v>
      </c>
      <c r="E48" s="4" t="s">
        <v>735</v>
      </c>
      <c r="F48" s="4" t="s">
        <v>293</v>
      </c>
      <c r="G48" s="4" t="s">
        <v>737</v>
      </c>
      <c r="H48" s="4" t="s">
        <v>295</v>
      </c>
    </row>
    <row r="49">
      <c r="A49" s="4" t="s">
        <v>740</v>
      </c>
      <c r="B49" s="4" t="s">
        <v>289</v>
      </c>
      <c r="C49" s="4" t="s">
        <v>742</v>
      </c>
      <c r="D49" s="4" t="s">
        <v>303</v>
      </c>
      <c r="E49" s="4" t="s">
        <v>744</v>
      </c>
      <c r="F49" s="4" t="s">
        <v>293</v>
      </c>
      <c r="G49" s="4" t="s">
        <v>748</v>
      </c>
      <c r="H49" s="4" t="s">
        <v>295</v>
      </c>
    </row>
    <row r="50">
      <c r="A50" s="4" t="s">
        <v>751</v>
      </c>
      <c r="B50" s="4" t="s">
        <v>289</v>
      </c>
      <c r="C50" s="4" t="s">
        <v>753</v>
      </c>
      <c r="D50" s="4" t="s">
        <v>303</v>
      </c>
      <c r="E50" s="4" t="s">
        <v>755</v>
      </c>
      <c r="F50" s="4" t="s">
        <v>293</v>
      </c>
      <c r="G50" s="4" t="s">
        <v>757</v>
      </c>
      <c r="H50" s="4" t="s">
        <v>295</v>
      </c>
    </row>
    <row r="51">
      <c r="A51" s="4" t="s">
        <v>760</v>
      </c>
      <c r="B51" s="4" t="s">
        <v>289</v>
      </c>
      <c r="C51" s="4" t="s">
        <v>762</v>
      </c>
      <c r="D51" s="4" t="s">
        <v>303</v>
      </c>
      <c r="E51" s="4" t="s">
        <v>764</v>
      </c>
      <c r="F51" s="4" t="s">
        <v>293</v>
      </c>
      <c r="G51" s="4" t="s">
        <v>766</v>
      </c>
      <c r="H51" s="4" t="s">
        <v>295</v>
      </c>
    </row>
    <row r="52">
      <c r="A52" s="4" t="s">
        <v>770</v>
      </c>
      <c r="B52" s="4" t="s">
        <v>289</v>
      </c>
      <c r="C52" s="4" t="s">
        <v>771</v>
      </c>
      <c r="D52" s="4" t="s">
        <v>303</v>
      </c>
      <c r="E52" s="4" t="s">
        <v>772</v>
      </c>
      <c r="F52" s="4" t="s">
        <v>293</v>
      </c>
      <c r="G52" s="4" t="s">
        <v>773</v>
      </c>
      <c r="H52" s="4" t="s">
        <v>295</v>
      </c>
    </row>
    <row r="53">
      <c r="A53" s="4" t="s">
        <v>778</v>
      </c>
      <c r="B53" s="4" t="s">
        <v>289</v>
      </c>
      <c r="C53" s="4" t="s">
        <v>779</v>
      </c>
      <c r="D53" s="4" t="s">
        <v>303</v>
      </c>
      <c r="E53" s="4" t="s">
        <v>785</v>
      </c>
      <c r="F53" s="4" t="s">
        <v>293</v>
      </c>
      <c r="G53" s="4" t="s">
        <v>788</v>
      </c>
      <c r="H53" s="4" t="s">
        <v>295</v>
      </c>
    </row>
    <row r="54">
      <c r="A54" s="4" t="s">
        <v>790</v>
      </c>
      <c r="B54" s="4" t="s">
        <v>289</v>
      </c>
      <c r="C54" s="4" t="s">
        <v>792</v>
      </c>
      <c r="D54" s="4" t="s">
        <v>303</v>
      </c>
      <c r="E54" s="4" t="s">
        <v>505</v>
      </c>
      <c r="F54" s="4" t="s">
        <v>293</v>
      </c>
      <c r="G54" s="4" t="s">
        <v>795</v>
      </c>
      <c r="H54" s="4" t="s">
        <v>295</v>
      </c>
    </row>
    <row r="55">
      <c r="A55" s="4" t="s">
        <v>798</v>
      </c>
      <c r="B55" s="4" t="s">
        <v>289</v>
      </c>
      <c r="C55" s="4" t="s">
        <v>800</v>
      </c>
      <c r="D55" s="4" t="s">
        <v>303</v>
      </c>
      <c r="E55" s="4" t="s">
        <v>802</v>
      </c>
      <c r="F55" s="4" t="s">
        <v>293</v>
      </c>
      <c r="G55" s="4" t="s">
        <v>807</v>
      </c>
      <c r="H55" s="4" t="s">
        <v>295</v>
      </c>
    </row>
    <row r="56">
      <c r="A56" s="4" t="s">
        <v>810</v>
      </c>
      <c r="B56" s="4" t="s">
        <v>289</v>
      </c>
      <c r="C56" s="4" t="s">
        <v>811</v>
      </c>
      <c r="D56" s="4" t="s">
        <v>303</v>
      </c>
      <c r="E56" s="4" t="s">
        <v>814</v>
      </c>
      <c r="F56" s="4" t="s">
        <v>293</v>
      </c>
      <c r="G56" s="4" t="s">
        <v>816</v>
      </c>
      <c r="H56" s="4" t="s">
        <v>295</v>
      </c>
    </row>
    <row r="57">
      <c r="A57" s="4" t="s">
        <v>818</v>
      </c>
      <c r="B57" s="4" t="s">
        <v>289</v>
      </c>
      <c r="C57" s="4" t="s">
        <v>821</v>
      </c>
      <c r="D57" s="4" t="s">
        <v>303</v>
      </c>
      <c r="E57" s="4" t="s">
        <v>822</v>
      </c>
      <c r="F57" s="4" t="s">
        <v>293</v>
      </c>
      <c r="G57" s="4" t="s">
        <v>825</v>
      </c>
      <c r="H57" s="4" t="s">
        <v>295</v>
      </c>
    </row>
    <row r="58">
      <c r="A58" s="4" t="s">
        <v>827</v>
      </c>
      <c r="B58" s="4" t="s">
        <v>289</v>
      </c>
      <c r="C58" s="4" t="s">
        <v>829</v>
      </c>
      <c r="D58" s="4" t="s">
        <v>303</v>
      </c>
      <c r="E58" s="4" t="s">
        <v>830</v>
      </c>
      <c r="F58" s="4" t="s">
        <v>293</v>
      </c>
      <c r="G58" s="4" t="s">
        <v>831</v>
      </c>
      <c r="H58" s="4" t="s">
        <v>295</v>
      </c>
    </row>
    <row r="59">
      <c r="A59" s="4" t="s">
        <v>833</v>
      </c>
      <c r="B59" s="4" t="s">
        <v>289</v>
      </c>
      <c r="C59" s="4" t="s">
        <v>835</v>
      </c>
      <c r="D59" s="4" t="s">
        <v>303</v>
      </c>
      <c r="E59" s="4" t="s">
        <v>837</v>
      </c>
      <c r="F59" s="4" t="s">
        <v>293</v>
      </c>
      <c r="G59" s="4" t="s">
        <v>839</v>
      </c>
      <c r="H59" s="4" t="s">
        <v>295</v>
      </c>
    </row>
    <row r="60">
      <c r="A60" s="4" t="s">
        <v>842</v>
      </c>
      <c r="B60" s="4" t="s">
        <v>289</v>
      </c>
      <c r="C60" s="4" t="s">
        <v>845</v>
      </c>
      <c r="D60" s="4" t="s">
        <v>303</v>
      </c>
      <c r="E60" s="4" t="s">
        <v>848</v>
      </c>
      <c r="F60" s="4" t="s">
        <v>293</v>
      </c>
      <c r="G60" s="4" t="s">
        <v>850</v>
      </c>
      <c r="H60" s="4" t="s">
        <v>295</v>
      </c>
    </row>
    <row r="61">
      <c r="A61" s="4" t="s">
        <v>852</v>
      </c>
      <c r="B61" s="4" t="s">
        <v>289</v>
      </c>
      <c r="C61" s="4" t="s">
        <v>855</v>
      </c>
      <c r="D61" s="4" t="s">
        <v>303</v>
      </c>
      <c r="E61" s="4" t="s">
        <v>856</v>
      </c>
      <c r="F61" s="4" t="s">
        <v>293</v>
      </c>
      <c r="G61" s="4" t="s">
        <v>859</v>
      </c>
      <c r="H61" s="4" t="s">
        <v>295</v>
      </c>
    </row>
    <row r="62">
      <c r="A62" s="4" t="s">
        <v>861</v>
      </c>
      <c r="B62" s="4" t="s">
        <v>289</v>
      </c>
      <c r="C62" s="4" t="s">
        <v>863</v>
      </c>
      <c r="D62" s="4" t="s">
        <v>303</v>
      </c>
      <c r="E62" s="4" t="s">
        <v>865</v>
      </c>
      <c r="F62" s="4" t="s">
        <v>293</v>
      </c>
      <c r="G62" s="4" t="s">
        <v>867</v>
      </c>
      <c r="H62" s="4" t="s">
        <v>295</v>
      </c>
    </row>
    <row r="63">
      <c r="A63" s="4" t="s">
        <v>870</v>
      </c>
      <c r="B63" s="4" t="s">
        <v>289</v>
      </c>
      <c r="C63" s="4" t="s">
        <v>871</v>
      </c>
      <c r="D63" s="4" t="s">
        <v>303</v>
      </c>
      <c r="E63" s="4" t="s">
        <v>874</v>
      </c>
      <c r="F63" s="4" t="s">
        <v>293</v>
      </c>
      <c r="G63" s="4" t="s">
        <v>875</v>
      </c>
      <c r="H63" s="4" t="s">
        <v>295</v>
      </c>
    </row>
    <row r="64">
      <c r="A64" s="4" t="s">
        <v>878</v>
      </c>
      <c r="B64" s="4" t="s">
        <v>289</v>
      </c>
      <c r="C64" s="4" t="s">
        <v>879</v>
      </c>
      <c r="D64" s="4" t="s">
        <v>303</v>
      </c>
      <c r="E64" s="4" t="s">
        <v>882</v>
      </c>
      <c r="F64" s="4" t="s">
        <v>293</v>
      </c>
      <c r="G64" s="4" t="s">
        <v>884</v>
      </c>
      <c r="H64" s="4" t="s">
        <v>295</v>
      </c>
    </row>
    <row r="65">
      <c r="A65" s="4" t="s">
        <v>888</v>
      </c>
      <c r="B65" s="4" t="s">
        <v>289</v>
      </c>
      <c r="C65" s="4" t="s">
        <v>890</v>
      </c>
      <c r="D65" s="4" t="s">
        <v>303</v>
      </c>
      <c r="E65" s="4" t="s">
        <v>892</v>
      </c>
      <c r="F65" s="4" t="s">
        <v>293</v>
      </c>
      <c r="G65" s="4" t="s">
        <v>894</v>
      </c>
      <c r="H65" s="4" t="s">
        <v>295</v>
      </c>
    </row>
    <row r="66">
      <c r="A66" s="4" t="s">
        <v>896</v>
      </c>
      <c r="B66" s="4" t="s">
        <v>289</v>
      </c>
      <c r="C66" s="4" t="s">
        <v>898</v>
      </c>
      <c r="D66" s="4" t="s">
        <v>303</v>
      </c>
      <c r="E66" s="4" t="s">
        <v>900</v>
      </c>
      <c r="F66" s="4" t="s">
        <v>293</v>
      </c>
      <c r="G66" s="4" t="s">
        <v>902</v>
      </c>
      <c r="H66" s="4" t="s">
        <v>295</v>
      </c>
    </row>
    <row r="67">
      <c r="A67" s="4" t="s">
        <v>904</v>
      </c>
      <c r="B67" s="4" t="s">
        <v>289</v>
      </c>
      <c r="C67" s="4" t="s">
        <v>906</v>
      </c>
      <c r="D67" s="4" t="s">
        <v>303</v>
      </c>
      <c r="E67" s="4" t="s">
        <v>909</v>
      </c>
      <c r="F67" s="4" t="s">
        <v>293</v>
      </c>
      <c r="G67" s="4" t="s">
        <v>911</v>
      </c>
      <c r="H67" s="4" t="s">
        <v>295</v>
      </c>
    </row>
    <row r="68">
      <c r="A68" s="4" t="s">
        <v>914</v>
      </c>
      <c r="B68" s="4" t="s">
        <v>289</v>
      </c>
      <c r="C68" s="4" t="s">
        <v>916</v>
      </c>
      <c r="D68" s="4" t="s">
        <v>303</v>
      </c>
      <c r="E68" s="4" t="s">
        <v>920</v>
      </c>
      <c r="F68" s="4" t="s">
        <v>293</v>
      </c>
      <c r="G68" s="4" t="s">
        <v>922</v>
      </c>
      <c r="H68" s="4" t="s">
        <v>295</v>
      </c>
    </row>
    <row r="69">
      <c r="A69" s="4" t="s">
        <v>925</v>
      </c>
      <c r="B69" s="4" t="s">
        <v>289</v>
      </c>
      <c r="C69" s="4" t="s">
        <v>929</v>
      </c>
      <c r="D69" s="4" t="s">
        <v>303</v>
      </c>
      <c r="E69" s="4" t="s">
        <v>930</v>
      </c>
      <c r="F69" s="4" t="s">
        <v>293</v>
      </c>
      <c r="G69" s="4" t="s">
        <v>933</v>
      </c>
      <c r="H69" s="4" t="s">
        <v>295</v>
      </c>
    </row>
    <row r="70">
      <c r="A70" s="4" t="s">
        <v>935</v>
      </c>
      <c r="B70" s="4" t="s">
        <v>289</v>
      </c>
      <c r="C70" s="4" t="s">
        <v>939</v>
      </c>
      <c r="D70" s="4" t="s">
        <v>303</v>
      </c>
      <c r="E70" s="4" t="s">
        <v>940</v>
      </c>
      <c r="F70" s="4" t="s">
        <v>293</v>
      </c>
      <c r="G70" s="4" t="s">
        <v>942</v>
      </c>
      <c r="H70" s="4" t="s">
        <v>295</v>
      </c>
    </row>
    <row r="71">
      <c r="A71" s="4" t="s">
        <v>944</v>
      </c>
      <c r="B71" s="4" t="s">
        <v>289</v>
      </c>
      <c r="C71" s="4" t="s">
        <v>947</v>
      </c>
      <c r="D71" s="4" t="s">
        <v>303</v>
      </c>
      <c r="E71" s="4" t="s">
        <v>948</v>
      </c>
      <c r="F71" s="4" t="s">
        <v>293</v>
      </c>
      <c r="G71" s="4" t="s">
        <v>951</v>
      </c>
      <c r="H71" s="4" t="s">
        <v>295</v>
      </c>
    </row>
    <row r="72">
      <c r="A72" s="4" t="s">
        <v>953</v>
      </c>
      <c r="B72" s="4" t="s">
        <v>289</v>
      </c>
      <c r="C72" s="4" t="s">
        <v>955</v>
      </c>
      <c r="D72" s="4" t="s">
        <v>303</v>
      </c>
      <c r="E72" s="4" t="s">
        <v>957</v>
      </c>
      <c r="F72" s="4" t="s">
        <v>293</v>
      </c>
      <c r="G72" s="4" t="s">
        <v>961</v>
      </c>
      <c r="H72" s="4" t="s">
        <v>295</v>
      </c>
    </row>
    <row r="73">
      <c r="A73" s="4" t="s">
        <v>964</v>
      </c>
      <c r="B73" s="4" t="s">
        <v>289</v>
      </c>
      <c r="C73" s="4" t="s">
        <v>968</v>
      </c>
      <c r="D73" s="4" t="s">
        <v>303</v>
      </c>
      <c r="E73" s="4" t="s">
        <v>970</v>
      </c>
      <c r="F73" s="4" t="s">
        <v>293</v>
      </c>
      <c r="G73" s="4" t="s">
        <v>972</v>
      </c>
      <c r="H73" s="4" t="s">
        <v>295</v>
      </c>
    </row>
    <row r="74">
      <c r="A74" s="4" t="s">
        <v>982</v>
      </c>
      <c r="B74" s="4" t="s">
        <v>289</v>
      </c>
      <c r="C74" s="4" t="s">
        <v>987</v>
      </c>
      <c r="D74" s="4" t="s">
        <v>303</v>
      </c>
      <c r="E74" s="4" t="s">
        <v>988</v>
      </c>
      <c r="F74" s="4" t="s">
        <v>293</v>
      </c>
      <c r="G74" s="4" t="s">
        <v>991</v>
      </c>
      <c r="H74" s="4" t="s">
        <v>295</v>
      </c>
    </row>
    <row r="75">
      <c r="A75" s="4" t="s">
        <v>993</v>
      </c>
      <c r="B75" s="4" t="s">
        <v>289</v>
      </c>
      <c r="C75" s="4" t="s">
        <v>994</v>
      </c>
      <c r="D75" s="4" t="s">
        <v>303</v>
      </c>
      <c r="E75" s="4" t="s">
        <v>997</v>
      </c>
      <c r="F75" s="4" t="s">
        <v>293</v>
      </c>
      <c r="G75" s="4" t="s">
        <v>998</v>
      </c>
      <c r="H75" s="4" t="s">
        <v>295</v>
      </c>
    </row>
    <row r="76">
      <c r="A76" s="4" t="s">
        <v>1001</v>
      </c>
      <c r="B76" s="4" t="s">
        <v>289</v>
      </c>
      <c r="C76" s="4" t="s">
        <v>1004</v>
      </c>
      <c r="D76" s="4" t="s">
        <v>303</v>
      </c>
      <c r="E76" s="4" t="s">
        <v>1005</v>
      </c>
      <c r="F76" s="4" t="s">
        <v>293</v>
      </c>
      <c r="G76" s="4" t="s">
        <v>1008</v>
      </c>
      <c r="H76" s="4" t="s">
        <v>295</v>
      </c>
    </row>
    <row r="77">
      <c r="A77" s="4" t="s">
        <v>1011</v>
      </c>
      <c r="B77" s="4" t="s">
        <v>289</v>
      </c>
      <c r="C77" s="4" t="s">
        <v>1013</v>
      </c>
      <c r="D77" s="4" t="s">
        <v>303</v>
      </c>
      <c r="E77" s="4" t="s">
        <v>1015</v>
      </c>
      <c r="F77" s="4" t="s">
        <v>293</v>
      </c>
      <c r="G77" s="4" t="s">
        <v>1017</v>
      </c>
      <c r="H77" s="4" t="s">
        <v>295</v>
      </c>
    </row>
    <row r="78">
      <c r="A78" s="4" t="s">
        <v>1025</v>
      </c>
      <c r="B78" s="4" t="s">
        <v>289</v>
      </c>
      <c r="C78" s="4" t="s">
        <v>1027</v>
      </c>
      <c r="D78" s="4" t="s">
        <v>303</v>
      </c>
      <c r="E78" s="4" t="s">
        <v>1029</v>
      </c>
      <c r="F78" s="4" t="s">
        <v>293</v>
      </c>
      <c r="G78" s="4" t="s">
        <v>1031</v>
      </c>
      <c r="H78" s="4" t="s">
        <v>295</v>
      </c>
    </row>
    <row r="79">
      <c r="A79" s="4" t="s">
        <v>1034</v>
      </c>
      <c r="B79" s="4" t="s">
        <v>289</v>
      </c>
      <c r="C79" s="4" t="s">
        <v>1036</v>
      </c>
      <c r="D79" s="4" t="s">
        <v>303</v>
      </c>
      <c r="E79" s="4" t="s">
        <v>1038</v>
      </c>
      <c r="F79" s="4" t="s">
        <v>293</v>
      </c>
      <c r="G79" s="4" t="s">
        <v>1039</v>
      </c>
      <c r="H79" s="4" t="s">
        <v>295</v>
      </c>
    </row>
    <row r="80">
      <c r="A80" s="4" t="s">
        <v>1042</v>
      </c>
      <c r="B80" s="4" t="s">
        <v>289</v>
      </c>
      <c r="C80" s="4" t="s">
        <v>1044</v>
      </c>
      <c r="D80" s="4" t="s">
        <v>303</v>
      </c>
      <c r="E80" s="4" t="s">
        <v>1046</v>
      </c>
      <c r="F80" s="4" t="s">
        <v>293</v>
      </c>
      <c r="G80" s="4" t="s">
        <v>1052</v>
      </c>
      <c r="H80" s="4" t="s">
        <v>295</v>
      </c>
    </row>
    <row r="81">
      <c r="A81" s="4" t="s">
        <v>1053</v>
      </c>
      <c r="B81" s="4" t="s">
        <v>289</v>
      </c>
      <c r="C81" s="4" t="s">
        <v>1055</v>
      </c>
      <c r="D81" s="4" t="s">
        <v>303</v>
      </c>
      <c r="E81" s="4" t="s">
        <v>1056</v>
      </c>
      <c r="F81" s="4" t="s">
        <v>293</v>
      </c>
      <c r="G81" s="4" t="s">
        <v>1058</v>
      </c>
      <c r="H81" s="4" t="s">
        <v>295</v>
      </c>
    </row>
    <row r="82">
      <c r="A82" s="4" t="s">
        <v>1060</v>
      </c>
      <c r="B82" s="4" t="s">
        <v>289</v>
      </c>
      <c r="C82" s="4" t="s">
        <v>1061</v>
      </c>
      <c r="D82" s="4" t="s">
        <v>303</v>
      </c>
      <c r="E82" s="4" t="s">
        <v>1065</v>
      </c>
      <c r="F82" s="4" t="s">
        <v>293</v>
      </c>
      <c r="G82" s="4" t="s">
        <v>1070</v>
      </c>
      <c r="H82" s="4" t="s">
        <v>295</v>
      </c>
    </row>
    <row r="83">
      <c r="A83" s="4" t="s">
        <v>1071</v>
      </c>
      <c r="B83" s="4" t="s">
        <v>289</v>
      </c>
      <c r="C83" s="4" t="s">
        <v>1074</v>
      </c>
      <c r="D83" s="4" t="s">
        <v>303</v>
      </c>
      <c r="E83" s="4" t="s">
        <v>1075</v>
      </c>
      <c r="F83" s="4" t="s">
        <v>293</v>
      </c>
      <c r="G83" s="4" t="s">
        <v>1078</v>
      </c>
      <c r="H83" s="4" t="s">
        <v>295</v>
      </c>
    </row>
    <row r="84">
      <c r="A84" s="4" t="s">
        <v>1081</v>
      </c>
      <c r="B84" s="4" t="s">
        <v>289</v>
      </c>
      <c r="C84" s="4" t="s">
        <v>1082</v>
      </c>
      <c r="D84" s="4" t="s">
        <v>303</v>
      </c>
      <c r="E84" s="4" t="s">
        <v>1084</v>
      </c>
      <c r="F84" s="4" t="s">
        <v>293</v>
      </c>
      <c r="G84" s="4" t="s">
        <v>1086</v>
      </c>
      <c r="H84" s="4" t="s">
        <v>295</v>
      </c>
    </row>
    <row r="85">
      <c r="A85" s="4" t="s">
        <v>1087</v>
      </c>
      <c r="B85" s="4" t="s">
        <v>289</v>
      </c>
      <c r="C85" s="4" t="s">
        <v>1088</v>
      </c>
      <c r="D85" s="4" t="s">
        <v>303</v>
      </c>
      <c r="E85" s="4" t="s">
        <v>1089</v>
      </c>
      <c r="F85" s="4" t="s">
        <v>293</v>
      </c>
      <c r="G85" s="4" t="s">
        <v>1090</v>
      </c>
      <c r="H85" s="4" t="s">
        <v>295</v>
      </c>
    </row>
    <row r="86">
      <c r="A86" s="4" t="s">
        <v>1092</v>
      </c>
      <c r="B86" s="4" t="s">
        <v>289</v>
      </c>
      <c r="C86" s="4" t="s">
        <v>1094</v>
      </c>
      <c r="D86" s="4" t="s">
        <v>303</v>
      </c>
      <c r="E86" s="4" t="s">
        <v>1096</v>
      </c>
      <c r="F86" s="4" t="s">
        <v>293</v>
      </c>
      <c r="G86" s="4" t="s">
        <v>1098</v>
      </c>
      <c r="H86" s="4" t="s">
        <v>295</v>
      </c>
    </row>
    <row r="87">
      <c r="A87" s="4" t="s">
        <v>1101</v>
      </c>
      <c r="B87" s="4" t="s">
        <v>289</v>
      </c>
      <c r="C87" s="4" t="s">
        <v>1102</v>
      </c>
      <c r="D87" s="4" t="s">
        <v>303</v>
      </c>
      <c r="E87" s="4" t="s">
        <v>1106</v>
      </c>
      <c r="F87" s="4" t="s">
        <v>293</v>
      </c>
      <c r="G87" s="4" t="s">
        <v>1108</v>
      </c>
      <c r="H87" s="4" t="s">
        <v>295</v>
      </c>
    </row>
    <row r="88">
      <c r="A88" s="4" t="s">
        <v>1111</v>
      </c>
      <c r="B88" s="4" t="s">
        <v>289</v>
      </c>
      <c r="C88" s="4" t="s">
        <v>1113</v>
      </c>
      <c r="D88" s="4" t="s">
        <v>303</v>
      </c>
      <c r="E88" s="4" t="s">
        <v>1115</v>
      </c>
      <c r="F88" s="4" t="s">
        <v>293</v>
      </c>
      <c r="G88" s="4" t="s">
        <v>1118</v>
      </c>
      <c r="H88" s="4" t="s">
        <v>295</v>
      </c>
    </row>
    <row r="89">
      <c r="A89" s="4" t="s">
        <v>1120</v>
      </c>
      <c r="B89" s="4" t="s">
        <v>289</v>
      </c>
      <c r="C89" s="4" t="s">
        <v>1122</v>
      </c>
      <c r="D89" s="4" t="s">
        <v>303</v>
      </c>
      <c r="E89" s="4" t="s">
        <v>1123</v>
      </c>
      <c r="F89" s="4" t="s">
        <v>293</v>
      </c>
      <c r="G89" s="4" t="s">
        <v>1124</v>
      </c>
      <c r="H89" s="4" t="s">
        <v>295</v>
      </c>
    </row>
    <row r="90">
      <c r="A90" s="4" t="s">
        <v>1125</v>
      </c>
      <c r="B90" s="4" t="s">
        <v>1126</v>
      </c>
      <c r="C90" s="4" t="s">
        <v>845</v>
      </c>
      <c r="D90" s="4" t="s">
        <v>303</v>
      </c>
      <c r="E90" s="4" t="s">
        <v>848</v>
      </c>
      <c r="F90" s="4" t="s">
        <v>293</v>
      </c>
      <c r="G90" s="4" t="s">
        <v>1129</v>
      </c>
      <c r="H90" s="4" t="s">
        <v>1130</v>
      </c>
    </row>
    <row r="91">
      <c r="A91" s="4" t="s">
        <v>1133</v>
      </c>
      <c r="B91" s="4" t="s">
        <v>1134</v>
      </c>
      <c r="C91" s="4" t="s">
        <v>955</v>
      </c>
      <c r="D91" s="4" t="s">
        <v>1136</v>
      </c>
      <c r="E91" s="4" t="s">
        <v>957</v>
      </c>
      <c r="F91" s="4" t="s">
        <v>1138</v>
      </c>
      <c r="G91" s="4" t="s">
        <v>1139</v>
      </c>
      <c r="H91" s="4" t="s">
        <v>1130</v>
      </c>
    </row>
    <row r="92">
      <c r="A92" s="4" t="s">
        <v>1143</v>
      </c>
      <c r="B92" s="4" t="s">
        <v>1145</v>
      </c>
      <c r="C92" s="4" t="s">
        <v>1147</v>
      </c>
      <c r="D92" s="4" t="s">
        <v>1136</v>
      </c>
      <c r="E92" s="4" t="s">
        <v>1148</v>
      </c>
      <c r="F92" s="4" t="s">
        <v>1150</v>
      </c>
      <c r="G92" s="4" t="s">
        <v>1152</v>
      </c>
      <c r="H92" s="4" t="s">
        <v>1130</v>
      </c>
    </row>
    <row r="93">
      <c r="A93" s="4" t="s">
        <v>1154</v>
      </c>
      <c r="B93" s="4" t="s">
        <v>1156</v>
      </c>
      <c r="C93" s="4" t="s">
        <v>811</v>
      </c>
      <c r="D93" s="4" t="s">
        <v>303</v>
      </c>
      <c r="E93" s="4" t="s">
        <v>814</v>
      </c>
      <c r="F93" s="4" t="s">
        <v>293</v>
      </c>
      <c r="G93" s="4" t="s">
        <v>1160</v>
      </c>
      <c r="H93" s="4" t="s">
        <v>1130</v>
      </c>
    </row>
    <row r="94">
      <c r="A94" s="4" t="s">
        <v>1164</v>
      </c>
      <c r="B94" s="4" t="s">
        <v>1165</v>
      </c>
      <c r="C94" s="4" t="s">
        <v>1167</v>
      </c>
      <c r="D94" s="4" t="s">
        <v>1136</v>
      </c>
      <c r="E94" s="4" t="s">
        <v>1169</v>
      </c>
      <c r="F94" s="4" t="s">
        <v>1170</v>
      </c>
      <c r="G94" s="4" t="s">
        <v>1171</v>
      </c>
      <c r="H94" s="4" t="s">
        <v>1130</v>
      </c>
    </row>
    <row r="95">
      <c r="A95" s="4" t="s">
        <v>1174</v>
      </c>
      <c r="B95" s="4" t="s">
        <v>1175</v>
      </c>
      <c r="C95" s="4" t="s">
        <v>424</v>
      </c>
      <c r="D95" s="4" t="s">
        <v>1136</v>
      </c>
      <c r="E95" s="4" t="s">
        <v>426</v>
      </c>
      <c r="F95" s="4" t="s">
        <v>1178</v>
      </c>
      <c r="G95" s="4" t="s">
        <v>1180</v>
      </c>
      <c r="H95" s="4" t="s">
        <v>1182</v>
      </c>
    </row>
    <row r="96">
      <c r="A96" s="4" t="s">
        <v>1183</v>
      </c>
      <c r="B96" s="4" t="s">
        <v>1185</v>
      </c>
      <c r="C96" s="4" t="s">
        <v>471</v>
      </c>
      <c r="D96" s="4" t="s">
        <v>1136</v>
      </c>
      <c r="E96" s="4" t="s">
        <v>474</v>
      </c>
      <c r="F96" s="4" t="s">
        <v>1188</v>
      </c>
      <c r="G96" s="4" t="s">
        <v>1190</v>
      </c>
      <c r="H96" s="4" t="s">
        <v>1130</v>
      </c>
    </row>
    <row r="97">
      <c r="A97" s="4" t="s">
        <v>1193</v>
      </c>
      <c r="B97" s="4" t="s">
        <v>1195</v>
      </c>
      <c r="C97" s="4" t="s">
        <v>396</v>
      </c>
      <c r="D97" s="4" t="s">
        <v>1136</v>
      </c>
      <c r="E97" s="4" t="s">
        <v>399</v>
      </c>
      <c r="F97" s="4" t="s">
        <v>1198</v>
      </c>
      <c r="G97" s="4" t="s">
        <v>1199</v>
      </c>
      <c r="H97" s="4" t="s">
        <v>1182</v>
      </c>
    </row>
    <row r="98">
      <c r="A98" s="4" t="s">
        <v>1202</v>
      </c>
      <c r="B98" s="4" t="s">
        <v>1204</v>
      </c>
      <c r="C98" s="4" t="s">
        <v>1206</v>
      </c>
      <c r="D98" s="4" t="s">
        <v>1136</v>
      </c>
      <c r="E98" s="4" t="s">
        <v>1207</v>
      </c>
      <c r="F98" s="4" t="s">
        <v>1209</v>
      </c>
      <c r="G98" s="4" t="s">
        <v>1211</v>
      </c>
      <c r="H98" s="4" t="s">
        <v>1130</v>
      </c>
    </row>
    <row r="99">
      <c r="A99" s="4" t="s">
        <v>1213</v>
      </c>
      <c r="B99" s="4" t="s">
        <v>1215</v>
      </c>
      <c r="C99" s="4" t="s">
        <v>1206</v>
      </c>
      <c r="D99" s="4" t="s">
        <v>1136</v>
      </c>
      <c r="E99" s="4" t="s">
        <v>1207</v>
      </c>
      <c r="F99" s="4" t="s">
        <v>1221</v>
      </c>
      <c r="G99" s="4" t="s">
        <v>1223</v>
      </c>
      <c r="H99" s="4" t="s">
        <v>1130</v>
      </c>
    </row>
    <row r="100">
      <c r="A100" s="4" t="s">
        <v>1226</v>
      </c>
      <c r="B100" s="4" t="s">
        <v>1228</v>
      </c>
      <c r="C100" s="4" t="s">
        <v>1206</v>
      </c>
      <c r="D100" s="4" t="s">
        <v>303</v>
      </c>
      <c r="E100" s="4" t="s">
        <v>1207</v>
      </c>
      <c r="F100" s="4" t="s">
        <v>293</v>
      </c>
      <c r="G100" s="4" t="s">
        <v>1231</v>
      </c>
      <c r="H100" s="4" t="s">
        <v>1130</v>
      </c>
    </row>
    <row r="101">
      <c r="A101" s="4" t="s">
        <v>1233</v>
      </c>
      <c r="B101" s="4" t="s">
        <v>1235</v>
      </c>
      <c r="C101" s="4" t="s">
        <v>1044</v>
      </c>
      <c r="D101" s="4" t="s">
        <v>1136</v>
      </c>
      <c r="E101" s="4" t="s">
        <v>1046</v>
      </c>
      <c r="F101" s="4" t="s">
        <v>1238</v>
      </c>
      <c r="G101" s="4" t="s">
        <v>1240</v>
      </c>
      <c r="H101" s="4" t="s">
        <v>1130</v>
      </c>
    </row>
    <row r="102">
      <c r="A102" s="4" t="s">
        <v>1242</v>
      </c>
      <c r="B102" s="4" t="s">
        <v>1244</v>
      </c>
      <c r="C102" s="4" t="s">
        <v>1246</v>
      </c>
      <c r="D102" s="4" t="s">
        <v>1136</v>
      </c>
      <c r="E102" s="4" t="s">
        <v>1248</v>
      </c>
      <c r="F102" s="4" t="s">
        <v>1250</v>
      </c>
      <c r="G102" s="4" t="s">
        <v>1252</v>
      </c>
      <c r="H102" s="4" t="s">
        <v>1130</v>
      </c>
    </row>
    <row r="103">
      <c r="A103" s="4" t="s">
        <v>1256</v>
      </c>
      <c r="B103" s="4" t="s">
        <v>1257</v>
      </c>
      <c r="C103" s="4" t="s">
        <v>1259</v>
      </c>
      <c r="D103" s="4" t="s">
        <v>1136</v>
      </c>
      <c r="E103" s="4" t="s">
        <v>1261</v>
      </c>
      <c r="F103" s="4" t="s">
        <v>1262</v>
      </c>
      <c r="G103" s="4" t="s">
        <v>1264</v>
      </c>
      <c r="H103" s="4" t="s">
        <v>1130</v>
      </c>
    </row>
    <row r="104">
      <c r="A104" s="4" t="s">
        <v>1266</v>
      </c>
      <c r="B104" s="4" t="s">
        <v>1268</v>
      </c>
      <c r="C104" s="4" t="s">
        <v>947</v>
      </c>
      <c r="D104" s="4" t="s">
        <v>1136</v>
      </c>
      <c r="E104" s="4" t="s">
        <v>948</v>
      </c>
      <c r="F104" s="4" t="s">
        <v>1138</v>
      </c>
      <c r="G104" s="4" t="s">
        <v>1272</v>
      </c>
      <c r="H104" s="4" t="s">
        <v>1130</v>
      </c>
    </row>
    <row r="105">
      <c r="A105" s="4" t="s">
        <v>1276</v>
      </c>
      <c r="B105" s="4" t="s">
        <v>1277</v>
      </c>
      <c r="C105" s="4" t="s">
        <v>1013</v>
      </c>
      <c r="D105" s="4" t="s">
        <v>1136</v>
      </c>
      <c r="E105" s="4" t="s">
        <v>1015</v>
      </c>
      <c r="F105" s="4" t="s">
        <v>1198</v>
      </c>
      <c r="G105" s="4" t="s">
        <v>1282</v>
      </c>
      <c r="H105" s="4" t="s">
        <v>1130</v>
      </c>
    </row>
    <row r="106">
      <c r="A106" s="4" t="s">
        <v>1283</v>
      </c>
      <c r="B106" s="4" t="s">
        <v>1285</v>
      </c>
      <c r="C106" s="4" t="s">
        <v>1287</v>
      </c>
      <c r="D106" s="4" t="s">
        <v>1136</v>
      </c>
      <c r="E106" s="4" t="s">
        <v>1289</v>
      </c>
      <c r="F106" s="4" t="s">
        <v>1291</v>
      </c>
      <c r="G106" s="4" t="s">
        <v>1292</v>
      </c>
      <c r="H106" s="4" t="s">
        <v>1130</v>
      </c>
    </row>
    <row r="107">
      <c r="A107" s="4" t="s">
        <v>1295</v>
      </c>
      <c r="B107" s="4" t="s">
        <v>1296</v>
      </c>
      <c r="C107" s="4" t="s">
        <v>1287</v>
      </c>
      <c r="D107" s="4" t="s">
        <v>1136</v>
      </c>
      <c r="E107" s="4" t="s">
        <v>1289</v>
      </c>
      <c r="F107" s="4" t="s">
        <v>1300</v>
      </c>
      <c r="G107" s="4" t="s">
        <v>1302</v>
      </c>
      <c r="H107" s="4" t="s">
        <v>1130</v>
      </c>
    </row>
    <row r="108">
      <c r="A108" s="4" t="s">
        <v>1304</v>
      </c>
      <c r="B108" s="4" t="s">
        <v>1306</v>
      </c>
      <c r="C108" s="4" t="s">
        <v>1308</v>
      </c>
      <c r="D108" s="4" t="s">
        <v>1136</v>
      </c>
      <c r="E108" s="4" t="s">
        <v>1310</v>
      </c>
      <c r="F108" s="4" t="s">
        <v>1311</v>
      </c>
      <c r="G108" s="4" t="s">
        <v>1313</v>
      </c>
      <c r="H108" s="4" t="s">
        <v>1130</v>
      </c>
    </row>
    <row r="109">
      <c r="A109" s="4" t="s">
        <v>1317</v>
      </c>
      <c r="B109" s="4" t="s">
        <v>1319</v>
      </c>
      <c r="C109" s="4" t="s">
        <v>1320</v>
      </c>
      <c r="D109" s="4" t="s">
        <v>1136</v>
      </c>
      <c r="E109" s="4" t="s">
        <v>1322</v>
      </c>
      <c r="F109" s="4" t="s">
        <v>1324</v>
      </c>
      <c r="G109" s="4" t="s">
        <v>1325</v>
      </c>
      <c r="H109" s="4" t="s">
        <v>1130</v>
      </c>
    </row>
    <row r="110">
      <c r="A110" s="4" t="s">
        <v>1327</v>
      </c>
      <c r="B110" s="4" t="s">
        <v>1329</v>
      </c>
      <c r="C110" s="4" t="s">
        <v>513</v>
      </c>
      <c r="D110" s="4" t="s">
        <v>1136</v>
      </c>
      <c r="E110" s="4" t="s">
        <v>514</v>
      </c>
      <c r="F110" s="4" t="s">
        <v>1332</v>
      </c>
      <c r="G110" s="4" t="s">
        <v>1334</v>
      </c>
      <c r="H110" s="4" t="s">
        <v>1130</v>
      </c>
    </row>
    <row r="111">
      <c r="A111" s="4" t="s">
        <v>1336</v>
      </c>
      <c r="B111" s="4" t="s">
        <v>1338</v>
      </c>
      <c r="C111" s="4" t="s">
        <v>350</v>
      </c>
      <c r="D111" s="4" t="s">
        <v>303</v>
      </c>
      <c r="E111" s="4" t="s">
        <v>352</v>
      </c>
      <c r="F111" s="4" t="s">
        <v>293</v>
      </c>
      <c r="G111" s="4" t="s">
        <v>1341</v>
      </c>
      <c r="H111" s="4" t="s">
        <v>1130</v>
      </c>
    </row>
    <row r="112">
      <c r="A112" s="4" t="s">
        <v>1344</v>
      </c>
      <c r="B112" s="4" t="s">
        <v>1345</v>
      </c>
      <c r="C112" s="4" t="s">
        <v>688</v>
      </c>
      <c r="D112" s="4" t="s">
        <v>303</v>
      </c>
      <c r="E112" s="4" t="s">
        <v>689</v>
      </c>
      <c r="F112" s="4" t="s">
        <v>293</v>
      </c>
      <c r="G112" s="4" t="s">
        <v>1351</v>
      </c>
      <c r="H112" s="4" t="s">
        <v>1130</v>
      </c>
    </row>
    <row r="113">
      <c r="A113" s="4" t="s">
        <v>1353</v>
      </c>
      <c r="B113" s="4" t="s">
        <v>1355</v>
      </c>
      <c r="C113" s="4" t="s">
        <v>732</v>
      </c>
      <c r="D113" s="4" t="s">
        <v>303</v>
      </c>
      <c r="E113" s="4" t="s">
        <v>735</v>
      </c>
      <c r="F113" s="4" t="s">
        <v>293</v>
      </c>
      <c r="G113" s="4" t="s">
        <v>1358</v>
      </c>
      <c r="H113" s="4" t="s">
        <v>1130</v>
      </c>
    </row>
    <row r="114">
      <c r="A114" s="4" t="s">
        <v>1360</v>
      </c>
      <c r="B114" s="4" t="s">
        <v>1361</v>
      </c>
      <c r="C114" s="4" t="s">
        <v>696</v>
      </c>
      <c r="D114" s="4" t="s">
        <v>303</v>
      </c>
      <c r="E114" s="4" t="s">
        <v>700</v>
      </c>
      <c r="F114" s="4" t="s">
        <v>293</v>
      </c>
      <c r="G114" s="4" t="s">
        <v>1365</v>
      </c>
      <c r="H114" s="4" t="s">
        <v>1130</v>
      </c>
    </row>
    <row r="115">
      <c r="A115" s="4" t="s">
        <v>1367</v>
      </c>
      <c r="B115" s="4" t="s">
        <v>1368</v>
      </c>
      <c r="C115" s="4" t="s">
        <v>753</v>
      </c>
      <c r="D115" s="4" t="s">
        <v>303</v>
      </c>
      <c r="E115" s="4" t="s">
        <v>755</v>
      </c>
      <c r="F115" s="4" t="s">
        <v>293</v>
      </c>
      <c r="G115" s="4" t="s">
        <v>1371</v>
      </c>
      <c r="H115" s="4" t="s">
        <v>1130</v>
      </c>
    </row>
    <row r="116">
      <c r="A116" s="4" t="s">
        <v>1372</v>
      </c>
      <c r="B116" s="4" t="s">
        <v>1373</v>
      </c>
      <c r="C116" s="4" t="s">
        <v>560</v>
      </c>
      <c r="D116" s="4" t="s">
        <v>303</v>
      </c>
      <c r="E116" s="4" t="s">
        <v>563</v>
      </c>
      <c r="F116" s="4" t="s">
        <v>293</v>
      </c>
      <c r="G116" s="4" t="s">
        <v>1377</v>
      </c>
      <c r="H116" s="4" t="s">
        <v>1130</v>
      </c>
    </row>
    <row r="117">
      <c r="A117" s="4" t="s">
        <v>1380</v>
      </c>
      <c r="B117" s="4" t="s">
        <v>1381</v>
      </c>
      <c r="C117" s="4" t="s">
        <v>1206</v>
      </c>
      <c r="D117" s="4" t="s">
        <v>303</v>
      </c>
      <c r="E117" s="4" t="s">
        <v>1207</v>
      </c>
      <c r="F117" s="4" t="s">
        <v>293</v>
      </c>
      <c r="G117" s="4" t="s">
        <v>1384</v>
      </c>
      <c r="H117" s="4" t="s">
        <v>1130</v>
      </c>
    </row>
    <row r="118">
      <c r="A118" s="4" t="s">
        <v>1386</v>
      </c>
      <c r="B118" s="4" t="s">
        <v>1387</v>
      </c>
      <c r="C118" s="4" t="s">
        <v>742</v>
      </c>
      <c r="D118" s="4" t="s">
        <v>303</v>
      </c>
      <c r="E118" s="4" t="s">
        <v>744</v>
      </c>
      <c r="F118" s="4" t="s">
        <v>293</v>
      </c>
      <c r="G118" s="4" t="s">
        <v>1392</v>
      </c>
      <c r="H118" s="4" t="s">
        <v>1130</v>
      </c>
    </row>
    <row r="119">
      <c r="A119" s="4" t="s">
        <v>1394</v>
      </c>
      <c r="B119" s="4" t="s">
        <v>1396</v>
      </c>
      <c r="C119" s="4" t="s">
        <v>762</v>
      </c>
      <c r="D119" s="4" t="s">
        <v>303</v>
      </c>
      <c r="E119" s="4" t="s">
        <v>764</v>
      </c>
      <c r="F119" s="4" t="s">
        <v>293</v>
      </c>
      <c r="G119" s="4" t="s">
        <v>1400</v>
      </c>
      <c r="H119" s="4" t="s">
        <v>1130</v>
      </c>
    </row>
    <row r="120">
      <c r="A120" s="4" t="s">
        <v>1401</v>
      </c>
      <c r="B120" s="4" t="s">
        <v>1403</v>
      </c>
      <c r="C120" s="4" t="s">
        <v>706</v>
      </c>
      <c r="D120" s="4" t="s">
        <v>303</v>
      </c>
      <c r="E120" s="4" t="s">
        <v>708</v>
      </c>
      <c r="F120" s="4" t="s">
        <v>293</v>
      </c>
      <c r="G120" s="4" t="s">
        <v>1407</v>
      </c>
      <c r="H120" s="4" t="s">
        <v>1130</v>
      </c>
    </row>
    <row r="121">
      <c r="A121" s="4" t="s">
        <v>1409</v>
      </c>
      <c r="B121" s="4" t="s">
        <v>1412</v>
      </c>
      <c r="C121" s="4" t="s">
        <v>714</v>
      </c>
      <c r="D121" s="4" t="s">
        <v>303</v>
      </c>
      <c r="E121" s="4" t="s">
        <v>717</v>
      </c>
      <c r="F121" s="4" t="s">
        <v>293</v>
      </c>
      <c r="G121" s="4" t="s">
        <v>1416</v>
      </c>
      <c r="H121" s="4" t="s">
        <v>1130</v>
      </c>
    </row>
    <row r="122">
      <c r="A122" s="4" t="s">
        <v>1418</v>
      </c>
      <c r="B122" s="4" t="s">
        <v>1420</v>
      </c>
      <c r="C122" s="4" t="s">
        <v>724</v>
      </c>
      <c r="D122" s="4" t="s">
        <v>303</v>
      </c>
      <c r="E122" s="4" t="s">
        <v>726</v>
      </c>
      <c r="F122" s="4" t="s">
        <v>293</v>
      </c>
      <c r="G122" s="4" t="s">
        <v>1423</v>
      </c>
      <c r="H122" s="4" t="s">
        <v>1130</v>
      </c>
    </row>
    <row r="123">
      <c r="A123" s="4" t="s">
        <v>1426</v>
      </c>
      <c r="B123" s="4" t="s">
        <v>1427</v>
      </c>
      <c r="C123" s="4" t="s">
        <v>414</v>
      </c>
      <c r="D123" s="4" t="s">
        <v>303</v>
      </c>
      <c r="E123" s="4" t="s">
        <v>417</v>
      </c>
      <c r="F123" s="4" t="s">
        <v>293</v>
      </c>
      <c r="G123" s="4" t="s">
        <v>1431</v>
      </c>
      <c r="H123" s="4" t="s">
        <v>1130</v>
      </c>
    </row>
    <row r="124">
      <c r="A124" s="4" t="s">
        <v>1433</v>
      </c>
      <c r="B124" s="4" t="s">
        <v>1435</v>
      </c>
      <c r="C124" s="4" t="s">
        <v>955</v>
      </c>
      <c r="D124" s="4" t="s">
        <v>1136</v>
      </c>
      <c r="E124" s="4" t="s">
        <v>957</v>
      </c>
      <c r="F124" s="4" t="s">
        <v>1438</v>
      </c>
      <c r="G124" s="4" t="s">
        <v>1439</v>
      </c>
      <c r="H124" s="4" t="s">
        <v>1130</v>
      </c>
    </row>
    <row r="125">
      <c r="A125" s="4" t="s">
        <v>1442</v>
      </c>
      <c r="B125" s="4" t="s">
        <v>1444</v>
      </c>
      <c r="C125" s="4" t="s">
        <v>1004</v>
      </c>
      <c r="D125" s="4" t="s">
        <v>1136</v>
      </c>
      <c r="E125" s="4" t="s">
        <v>1005</v>
      </c>
      <c r="F125" s="4" t="s">
        <v>1450</v>
      </c>
      <c r="G125" s="4" t="s">
        <v>1452</v>
      </c>
      <c r="H125" s="4" t="s">
        <v>1130</v>
      </c>
    </row>
    <row r="126">
      <c r="A126" s="4" t="s">
        <v>1454</v>
      </c>
      <c r="B126" s="4" t="s">
        <v>1456</v>
      </c>
      <c r="C126" s="4" t="s">
        <v>1246</v>
      </c>
      <c r="D126" s="4" t="s">
        <v>1136</v>
      </c>
      <c r="E126" s="4" t="s">
        <v>1248</v>
      </c>
      <c r="F126" s="4" t="s">
        <v>1238</v>
      </c>
      <c r="G126" s="4" t="s">
        <v>1460</v>
      </c>
      <c r="H126" s="4" t="s">
        <v>1130</v>
      </c>
    </row>
    <row r="127">
      <c r="A127" s="4" t="s">
        <v>1462</v>
      </c>
      <c r="B127" s="4" t="s">
        <v>1464</v>
      </c>
      <c r="C127" s="4" t="s">
        <v>1287</v>
      </c>
      <c r="D127" s="4" t="s">
        <v>1136</v>
      </c>
      <c r="E127" s="4" t="s">
        <v>1289</v>
      </c>
      <c r="F127" s="4" t="s">
        <v>1238</v>
      </c>
      <c r="G127" s="4" t="s">
        <v>1471</v>
      </c>
      <c r="H127" s="4" t="s">
        <v>1130</v>
      </c>
    </row>
    <row r="128">
      <c r="A128" s="4" t="s">
        <v>1474</v>
      </c>
      <c r="B128" s="4" t="s">
        <v>1475</v>
      </c>
      <c r="C128" s="4" t="s">
        <v>483</v>
      </c>
      <c r="D128" s="4" t="s">
        <v>1136</v>
      </c>
      <c r="E128" s="4" t="s">
        <v>486</v>
      </c>
      <c r="F128" s="4" t="s">
        <v>1478</v>
      </c>
      <c r="G128" s="4" t="s">
        <v>1480</v>
      </c>
      <c r="H128" s="4" t="s">
        <v>1130</v>
      </c>
    </row>
    <row r="129">
      <c r="A129" s="4" t="s">
        <v>1482</v>
      </c>
      <c r="B129" s="4" t="s">
        <v>1483</v>
      </c>
      <c r="C129" s="4" t="s">
        <v>374</v>
      </c>
      <c r="D129" s="4" t="s">
        <v>303</v>
      </c>
      <c r="E129" s="4" t="s">
        <v>377</v>
      </c>
      <c r="F129" s="4" t="s">
        <v>293</v>
      </c>
      <c r="G129" s="4" t="s">
        <v>1487</v>
      </c>
      <c r="H129" s="4" t="s">
        <v>1130</v>
      </c>
    </row>
    <row r="130">
      <c r="A130" s="4" t="s">
        <v>1489</v>
      </c>
      <c r="B130" s="4" t="s">
        <v>1493</v>
      </c>
      <c r="C130" s="4" t="s">
        <v>800</v>
      </c>
      <c r="D130" s="4" t="s">
        <v>1136</v>
      </c>
      <c r="E130" s="4" t="s">
        <v>802</v>
      </c>
      <c r="F130" s="4" t="s">
        <v>1496</v>
      </c>
      <c r="G130" s="4" t="s">
        <v>1498</v>
      </c>
      <c r="H130" s="4" t="s">
        <v>1130</v>
      </c>
    </row>
    <row r="131">
      <c r="A131" s="4" t="s">
        <v>1500</v>
      </c>
      <c r="B131" s="4" t="s">
        <v>1501</v>
      </c>
      <c r="C131" s="4" t="s">
        <v>1502</v>
      </c>
      <c r="D131" s="4" t="s">
        <v>1136</v>
      </c>
      <c r="E131" s="4" t="s">
        <v>1504</v>
      </c>
      <c r="F131" s="4" t="s">
        <v>1505</v>
      </c>
      <c r="G131" s="4" t="s">
        <v>1507</v>
      </c>
      <c r="H131" s="4" t="s">
        <v>1130</v>
      </c>
    </row>
    <row r="132">
      <c r="A132" s="4" t="s">
        <v>1509</v>
      </c>
      <c r="B132" s="4" t="s">
        <v>1510</v>
      </c>
      <c r="C132" s="4" t="s">
        <v>1502</v>
      </c>
      <c r="D132" s="4" t="s">
        <v>303</v>
      </c>
      <c r="E132" s="4" t="s">
        <v>1513</v>
      </c>
      <c r="F132" s="4" t="s">
        <v>293</v>
      </c>
      <c r="G132" s="4" t="s">
        <v>1516</v>
      </c>
      <c r="H132" s="4" t="s">
        <v>1182</v>
      </c>
    </row>
    <row r="133">
      <c r="A133" s="4" t="s">
        <v>1519</v>
      </c>
      <c r="B133" s="4" t="s">
        <v>1520</v>
      </c>
      <c r="C133" s="4" t="s">
        <v>1502</v>
      </c>
      <c r="D133" s="4" t="s">
        <v>303</v>
      </c>
      <c r="E133" s="4" t="s">
        <v>1523</v>
      </c>
      <c r="F133" s="4" t="s">
        <v>293</v>
      </c>
      <c r="G133" s="4" t="s">
        <v>1525</v>
      </c>
      <c r="H133" s="4" t="s">
        <v>1182</v>
      </c>
    </row>
    <row r="134">
      <c r="A134" s="4" t="s">
        <v>1527</v>
      </c>
      <c r="B134" s="4" t="s">
        <v>1528</v>
      </c>
      <c r="C134" s="4" t="s">
        <v>1530</v>
      </c>
      <c r="D134" s="4" t="s">
        <v>1136</v>
      </c>
      <c r="E134" s="4" t="s">
        <v>1532</v>
      </c>
      <c r="F134" s="4" t="s">
        <v>1533</v>
      </c>
      <c r="G134" s="4" t="s">
        <v>1535</v>
      </c>
      <c r="H134" s="4" t="s">
        <v>1130</v>
      </c>
    </row>
    <row r="135">
      <c r="A135" s="4" t="s">
        <v>1545</v>
      </c>
      <c r="B135" s="4" t="s">
        <v>1547</v>
      </c>
      <c r="C135" s="4" t="s">
        <v>1055</v>
      </c>
      <c r="D135" s="4" t="s">
        <v>1136</v>
      </c>
      <c r="E135" s="4" t="s">
        <v>1056</v>
      </c>
      <c r="F135" s="4" t="s">
        <v>1138</v>
      </c>
      <c r="G135" s="4" t="s">
        <v>1554</v>
      </c>
      <c r="H135" s="4" t="s">
        <v>1130</v>
      </c>
    </row>
    <row r="136">
      <c r="A136" s="4" t="s">
        <v>1555</v>
      </c>
      <c r="B136" s="4" t="s">
        <v>1556</v>
      </c>
      <c r="C136" s="4" t="s">
        <v>1557</v>
      </c>
      <c r="D136" s="4" t="s">
        <v>1136</v>
      </c>
      <c r="E136" s="4" t="s">
        <v>1560</v>
      </c>
      <c r="F136" s="4" t="s">
        <v>1561</v>
      </c>
      <c r="G136" s="4" t="s">
        <v>1563</v>
      </c>
      <c r="H136" s="4" t="s">
        <v>1130</v>
      </c>
    </row>
    <row r="137">
      <c r="A137" s="4" t="s">
        <v>1565</v>
      </c>
      <c r="B137" s="4" t="s">
        <v>1567</v>
      </c>
      <c r="C137" s="4" t="s">
        <v>1568</v>
      </c>
      <c r="D137" s="4" t="s">
        <v>1136</v>
      </c>
      <c r="E137" s="4" t="s">
        <v>1570</v>
      </c>
      <c r="F137" s="4" t="s">
        <v>1572</v>
      </c>
      <c r="G137" s="4" t="s">
        <v>1573</v>
      </c>
      <c r="H137" s="4" t="s">
        <v>1130</v>
      </c>
    </row>
    <row r="138">
      <c r="A138" s="4" t="s">
        <v>1576</v>
      </c>
      <c r="B138" s="4" t="s">
        <v>1577</v>
      </c>
      <c r="C138" s="4" t="s">
        <v>1579</v>
      </c>
      <c r="D138" s="4" t="s">
        <v>1136</v>
      </c>
      <c r="E138" s="4" t="s">
        <v>1581</v>
      </c>
      <c r="F138" s="4" t="s">
        <v>1582</v>
      </c>
      <c r="G138" s="4" t="s">
        <v>1584</v>
      </c>
      <c r="H138" s="4" t="s">
        <v>1130</v>
      </c>
    </row>
    <row r="139">
      <c r="A139" s="4" t="s">
        <v>1585</v>
      </c>
      <c r="B139" s="4" t="s">
        <v>1587</v>
      </c>
      <c r="C139" s="4" t="s">
        <v>533</v>
      </c>
      <c r="D139" s="4" t="s">
        <v>303</v>
      </c>
      <c r="E139" s="4" t="s">
        <v>535</v>
      </c>
      <c r="F139" s="4" t="s">
        <v>293</v>
      </c>
      <c r="G139" s="4" t="s">
        <v>1591</v>
      </c>
      <c r="H139" s="4" t="s">
        <v>1130</v>
      </c>
    </row>
    <row r="140">
      <c r="A140" s="4" t="s">
        <v>1593</v>
      </c>
      <c r="B140" s="4" t="s">
        <v>1595</v>
      </c>
      <c r="C140" s="4" t="s">
        <v>679</v>
      </c>
      <c r="D140" s="4" t="s">
        <v>1136</v>
      </c>
      <c r="E140" s="4" t="s">
        <v>681</v>
      </c>
      <c r="F140" s="4" t="s">
        <v>1238</v>
      </c>
      <c r="G140" s="4" t="s">
        <v>1598</v>
      </c>
      <c r="H140" s="4" t="s">
        <v>1130</v>
      </c>
    </row>
    <row r="141">
      <c r="A141" s="4" t="s">
        <v>1601</v>
      </c>
      <c r="B141" s="4" t="s">
        <v>1602</v>
      </c>
      <c r="C141" s="4" t="s">
        <v>1308</v>
      </c>
      <c r="D141" s="4" t="s">
        <v>303</v>
      </c>
      <c r="E141" s="4" t="s">
        <v>1310</v>
      </c>
      <c r="F141" s="4" t="s">
        <v>293</v>
      </c>
      <c r="G141" s="4" t="s">
        <v>1605</v>
      </c>
      <c r="H141" s="4" t="s">
        <v>1130</v>
      </c>
    </row>
    <row r="142">
      <c r="A142" s="4" t="s">
        <v>1606</v>
      </c>
      <c r="B142" s="4" t="s">
        <v>1609</v>
      </c>
      <c r="C142" s="4" t="s">
        <v>1610</v>
      </c>
      <c r="D142" s="4" t="s">
        <v>1136</v>
      </c>
      <c r="E142" s="4" t="s">
        <v>1611</v>
      </c>
      <c r="F142" s="4" t="s">
        <v>1614</v>
      </c>
      <c r="G142" s="4" t="s">
        <v>1616</v>
      </c>
      <c r="H142" s="4" t="s">
        <v>1130</v>
      </c>
    </row>
    <row r="143">
      <c r="A143" s="4" t="s">
        <v>1618</v>
      </c>
      <c r="B143" s="4" t="s">
        <v>1620</v>
      </c>
      <c r="C143" s="4" t="s">
        <v>1621</v>
      </c>
      <c r="D143" s="4" t="s">
        <v>1136</v>
      </c>
      <c r="E143" s="4" t="s">
        <v>1624</v>
      </c>
      <c r="F143" s="4" t="s">
        <v>1625</v>
      </c>
      <c r="G143" s="4" t="s">
        <v>1626</v>
      </c>
      <c r="H143" s="4" t="s">
        <v>1130</v>
      </c>
    </row>
    <row r="144">
      <c r="A144" s="4" t="s">
        <v>1629</v>
      </c>
      <c r="B144" s="4" t="s">
        <v>1630</v>
      </c>
      <c r="C144" s="4" t="s">
        <v>1632</v>
      </c>
      <c r="D144" s="4" t="s">
        <v>1136</v>
      </c>
      <c r="E144" s="4" t="s">
        <v>1634</v>
      </c>
      <c r="F144" s="4" t="s">
        <v>1635</v>
      </c>
      <c r="G144" s="4" t="s">
        <v>1637</v>
      </c>
      <c r="H144" s="4" t="s">
        <v>1130</v>
      </c>
    </row>
    <row r="145">
      <c r="A145" s="4" t="s">
        <v>1640</v>
      </c>
      <c r="B145" s="4" t="s">
        <v>1641</v>
      </c>
      <c r="C145" s="4" t="s">
        <v>1530</v>
      </c>
      <c r="D145" s="4" t="s">
        <v>303</v>
      </c>
      <c r="E145" s="4" t="s">
        <v>1532</v>
      </c>
      <c r="F145" s="4" t="s">
        <v>293</v>
      </c>
      <c r="G145" s="4" t="s">
        <v>1643</v>
      </c>
      <c r="H145" s="4" t="s">
        <v>1130</v>
      </c>
    </row>
    <row r="146">
      <c r="A146" s="4" t="s">
        <v>1644</v>
      </c>
      <c r="B146" s="4" t="s">
        <v>1645</v>
      </c>
      <c r="C146" s="4" t="s">
        <v>1167</v>
      </c>
      <c r="D146" s="4" t="s">
        <v>1136</v>
      </c>
      <c r="E146" s="4" t="s">
        <v>1169</v>
      </c>
      <c r="F146" s="4" t="s">
        <v>1238</v>
      </c>
      <c r="G146" s="4" t="s">
        <v>1646</v>
      </c>
      <c r="H146" s="4" t="s">
        <v>1130</v>
      </c>
    </row>
    <row r="147">
      <c r="A147" s="4" t="s">
        <v>1648</v>
      </c>
      <c r="B147" s="4" t="s">
        <v>1650</v>
      </c>
      <c r="C147" s="4" t="s">
        <v>879</v>
      </c>
      <c r="D147" s="4" t="s">
        <v>303</v>
      </c>
      <c r="E147" s="4" t="s">
        <v>882</v>
      </c>
      <c r="F147" s="4" t="s">
        <v>293</v>
      </c>
      <c r="G147" s="4" t="s">
        <v>1653</v>
      </c>
      <c r="H147" s="4" t="s">
        <v>1130</v>
      </c>
    </row>
    <row r="148">
      <c r="A148" s="4" t="s">
        <v>1656</v>
      </c>
      <c r="B148" s="4" t="s">
        <v>1657</v>
      </c>
      <c r="C148" s="4" t="s">
        <v>602</v>
      </c>
      <c r="D148" s="4" t="s">
        <v>1136</v>
      </c>
      <c r="E148" s="4" t="s">
        <v>604</v>
      </c>
      <c r="F148" s="4" t="s">
        <v>1438</v>
      </c>
      <c r="G148" s="4" t="s">
        <v>1660</v>
      </c>
      <c r="H148" s="4" t="s">
        <v>1130</v>
      </c>
    </row>
    <row r="149">
      <c r="A149" s="4" t="s">
        <v>1663</v>
      </c>
      <c r="B149" s="4" t="s">
        <v>1666</v>
      </c>
      <c r="C149" s="4" t="s">
        <v>493</v>
      </c>
      <c r="D149" s="4" t="s">
        <v>1136</v>
      </c>
      <c r="E149" s="4" t="s">
        <v>496</v>
      </c>
      <c r="F149" s="4" t="s">
        <v>1438</v>
      </c>
      <c r="G149" s="4" t="s">
        <v>1669</v>
      </c>
      <c r="H149" s="4" t="s">
        <v>1130</v>
      </c>
    </row>
    <row r="150">
      <c r="A150" s="4" t="s">
        <v>1672</v>
      </c>
      <c r="B150" s="4" t="s">
        <v>1673</v>
      </c>
      <c r="C150" s="4" t="s">
        <v>947</v>
      </c>
      <c r="D150" s="4" t="s">
        <v>1136</v>
      </c>
      <c r="E150" s="4" t="s">
        <v>948</v>
      </c>
      <c r="F150" s="4" t="s">
        <v>1438</v>
      </c>
      <c r="G150" s="4" t="s">
        <v>1676</v>
      </c>
      <c r="H150" s="4" t="s">
        <v>1130</v>
      </c>
    </row>
    <row r="151">
      <c r="A151" s="4" t="s">
        <v>1678</v>
      </c>
      <c r="B151" s="4" t="s">
        <v>1680</v>
      </c>
      <c r="C151" s="4" t="s">
        <v>553</v>
      </c>
      <c r="D151" s="4" t="s">
        <v>1136</v>
      </c>
      <c r="E151" s="4" t="s">
        <v>554</v>
      </c>
      <c r="F151" s="4" t="s">
        <v>1682</v>
      </c>
      <c r="G151" s="4" t="s">
        <v>1683</v>
      </c>
      <c r="H151" s="4" t="s">
        <v>1130</v>
      </c>
    </row>
    <row r="152">
      <c r="A152" s="4" t="s">
        <v>1685</v>
      </c>
      <c r="B152" s="4" t="s">
        <v>1686</v>
      </c>
      <c r="C152" s="4" t="s">
        <v>679</v>
      </c>
      <c r="D152" s="4" t="s">
        <v>1136</v>
      </c>
      <c r="E152" s="4" t="s">
        <v>681</v>
      </c>
      <c r="F152" s="4" t="s">
        <v>1688</v>
      </c>
      <c r="G152" s="4" t="s">
        <v>683</v>
      </c>
      <c r="H152" s="4" t="s">
        <v>1130</v>
      </c>
    </row>
    <row r="153">
      <c r="A153" s="4" t="s">
        <v>1690</v>
      </c>
      <c r="B153" s="4" t="s">
        <v>1691</v>
      </c>
      <c r="C153" s="4" t="s">
        <v>553</v>
      </c>
      <c r="D153" s="4" t="s">
        <v>1136</v>
      </c>
      <c r="E153" s="4" t="s">
        <v>554</v>
      </c>
      <c r="F153" s="4" t="s">
        <v>1693</v>
      </c>
      <c r="G153" s="4" t="s">
        <v>1695</v>
      </c>
      <c r="H153" s="4" t="s">
        <v>1130</v>
      </c>
    </row>
    <row r="154">
      <c r="A154" s="4" t="s">
        <v>1697</v>
      </c>
      <c r="B154" s="4" t="s">
        <v>1698</v>
      </c>
      <c r="C154" s="4" t="s">
        <v>1004</v>
      </c>
      <c r="D154" s="4" t="s">
        <v>1136</v>
      </c>
      <c r="E154" s="4" t="s">
        <v>1005</v>
      </c>
      <c r="F154" s="4" t="s">
        <v>1700</v>
      </c>
      <c r="G154" s="4" t="s">
        <v>1702</v>
      </c>
      <c r="H154" s="4" t="s">
        <v>1130</v>
      </c>
    </row>
    <row r="155">
      <c r="A155" s="4" t="s">
        <v>1704</v>
      </c>
      <c r="B155" s="4" t="s">
        <v>1706</v>
      </c>
      <c r="C155" s="4" t="s">
        <v>610</v>
      </c>
      <c r="D155" s="4" t="s">
        <v>303</v>
      </c>
      <c r="E155" s="4" t="s">
        <v>612</v>
      </c>
      <c r="F155" s="4" t="s">
        <v>293</v>
      </c>
      <c r="G155" s="4" t="s">
        <v>1709</v>
      </c>
      <c r="H155" s="4" t="s">
        <v>1130</v>
      </c>
    </row>
    <row r="156">
      <c r="A156" s="4" t="s">
        <v>1710</v>
      </c>
      <c r="B156" s="4" t="s">
        <v>1711</v>
      </c>
      <c r="C156" s="4" t="s">
        <v>1713</v>
      </c>
      <c r="D156" s="4" t="s">
        <v>1136</v>
      </c>
      <c r="E156" s="4" t="s">
        <v>1715</v>
      </c>
      <c r="F156" s="4" t="s">
        <v>1716</v>
      </c>
      <c r="G156" s="4" t="s">
        <v>1717</v>
      </c>
      <c r="H156" s="4" t="s">
        <v>1130</v>
      </c>
    </row>
    <row r="157">
      <c r="A157" s="4" t="s">
        <v>1719</v>
      </c>
      <c r="B157" s="4" t="s">
        <v>1721</v>
      </c>
      <c r="C157" s="4" t="s">
        <v>1722</v>
      </c>
      <c r="D157" s="4" t="s">
        <v>1136</v>
      </c>
      <c r="E157" s="4" t="s">
        <v>1724</v>
      </c>
      <c r="F157" s="4" t="s">
        <v>1726</v>
      </c>
      <c r="G157" s="4" t="s">
        <v>1727</v>
      </c>
      <c r="H157" s="4" t="s">
        <v>1130</v>
      </c>
    </row>
    <row r="158">
      <c r="A158" s="4" t="s">
        <v>1730</v>
      </c>
      <c r="B158" s="4" t="s">
        <v>1731</v>
      </c>
      <c r="C158" s="4" t="s">
        <v>1713</v>
      </c>
      <c r="D158" s="4" t="s">
        <v>303</v>
      </c>
      <c r="E158" s="4" t="s">
        <v>1715</v>
      </c>
      <c r="F158" s="4" t="s">
        <v>293</v>
      </c>
      <c r="G158" s="4" t="s">
        <v>1734</v>
      </c>
      <c r="H158" s="4" t="s">
        <v>1130</v>
      </c>
    </row>
    <row r="159">
      <c r="A159" s="4" t="s">
        <v>1736</v>
      </c>
      <c r="B159" s="4" t="s">
        <v>1738</v>
      </c>
      <c r="C159" s="4" t="s">
        <v>542</v>
      </c>
      <c r="D159" s="4" t="s">
        <v>303</v>
      </c>
      <c r="E159" s="4" t="s">
        <v>543</v>
      </c>
      <c r="F159" s="4" t="s">
        <v>293</v>
      </c>
      <c r="G159" s="4" t="s">
        <v>1741</v>
      </c>
      <c r="H159" s="4" t="s">
        <v>1130</v>
      </c>
    </row>
    <row r="160">
      <c r="A160" s="4" t="s">
        <v>1743</v>
      </c>
      <c r="B160" s="4" t="s">
        <v>1745</v>
      </c>
      <c r="C160" s="4" t="s">
        <v>1055</v>
      </c>
      <c r="D160" s="4" t="s">
        <v>1136</v>
      </c>
      <c r="E160" s="4" t="s">
        <v>1056</v>
      </c>
      <c r="F160" s="4" t="s">
        <v>1438</v>
      </c>
      <c r="G160" s="4" t="s">
        <v>1748</v>
      </c>
      <c r="H160" s="4" t="s">
        <v>1130</v>
      </c>
    </row>
    <row r="161">
      <c r="A161" s="4" t="s">
        <v>1752</v>
      </c>
      <c r="B161" s="4" t="s">
        <v>1753</v>
      </c>
      <c r="C161" s="4" t="s">
        <v>406</v>
      </c>
      <c r="D161" s="4" t="s">
        <v>303</v>
      </c>
      <c r="E161" s="4" t="s">
        <v>408</v>
      </c>
      <c r="F161" s="4" t="s">
        <v>293</v>
      </c>
      <c r="G161" s="4" t="s">
        <v>1756</v>
      </c>
      <c r="H161" s="4" t="s">
        <v>1130</v>
      </c>
    </row>
    <row r="162">
      <c r="A162" s="4" t="s">
        <v>1759</v>
      </c>
      <c r="B162" s="4" t="s">
        <v>1760</v>
      </c>
      <c r="C162" s="4" t="s">
        <v>879</v>
      </c>
      <c r="D162" s="4" t="s">
        <v>1136</v>
      </c>
      <c r="E162" s="4" t="s">
        <v>882</v>
      </c>
      <c r="F162" s="4" t="s">
        <v>1763</v>
      </c>
      <c r="G162" s="4" t="s">
        <v>1765</v>
      </c>
      <c r="H162" s="4" t="s">
        <v>1130</v>
      </c>
    </row>
    <row r="163">
      <c r="A163" s="4" t="s">
        <v>1767</v>
      </c>
      <c r="B163" s="4" t="s">
        <v>1769</v>
      </c>
      <c r="C163" s="4" t="s">
        <v>324</v>
      </c>
      <c r="D163" s="4" t="s">
        <v>303</v>
      </c>
      <c r="E163" s="4" t="s">
        <v>326</v>
      </c>
      <c r="F163" s="4" t="s">
        <v>293</v>
      </c>
      <c r="G163" s="4" t="s">
        <v>1773</v>
      </c>
      <c r="H163" s="4" t="s">
        <v>1130</v>
      </c>
    </row>
    <row r="164">
      <c r="A164" s="4" t="s">
        <v>1775</v>
      </c>
      <c r="B164" s="4" t="s">
        <v>1777</v>
      </c>
      <c r="C164" s="4" t="s">
        <v>1557</v>
      </c>
      <c r="D164" s="4" t="s">
        <v>303</v>
      </c>
      <c r="E164" s="4" t="s">
        <v>1560</v>
      </c>
      <c r="F164" s="4" t="s">
        <v>293</v>
      </c>
      <c r="G164" s="4" t="s">
        <v>1780</v>
      </c>
      <c r="H164" s="4" t="s">
        <v>1130</v>
      </c>
    </row>
    <row r="165">
      <c r="A165" s="4" t="s">
        <v>1782</v>
      </c>
      <c r="B165" s="4" t="s">
        <v>1784</v>
      </c>
      <c r="C165" s="4" t="s">
        <v>1722</v>
      </c>
      <c r="D165" s="4" t="s">
        <v>303</v>
      </c>
      <c r="E165" s="4" t="s">
        <v>1724</v>
      </c>
      <c r="F165" s="4" t="s">
        <v>293</v>
      </c>
      <c r="G165" s="4" t="s">
        <v>1789</v>
      </c>
      <c r="H165" s="4" t="s">
        <v>1130</v>
      </c>
    </row>
    <row r="166">
      <c r="A166" s="4" t="s">
        <v>1791</v>
      </c>
      <c r="B166" s="4" t="s">
        <v>1793</v>
      </c>
      <c r="C166" s="4" t="s">
        <v>679</v>
      </c>
      <c r="D166" s="4" t="s">
        <v>303</v>
      </c>
      <c r="E166" s="4" t="s">
        <v>681</v>
      </c>
      <c r="F166" s="4" t="s">
        <v>293</v>
      </c>
      <c r="G166" s="4" t="s">
        <v>1796</v>
      </c>
      <c r="H166" s="4" t="s">
        <v>1130</v>
      </c>
    </row>
    <row r="167">
      <c r="A167" s="4" t="s">
        <v>1799</v>
      </c>
      <c r="B167" s="4" t="s">
        <v>1802</v>
      </c>
      <c r="C167" s="4" t="s">
        <v>779</v>
      </c>
      <c r="D167" s="4" t="s">
        <v>303</v>
      </c>
      <c r="E167" s="4" t="s">
        <v>785</v>
      </c>
      <c r="F167" s="4" t="s">
        <v>293</v>
      </c>
      <c r="G167" s="4" t="s">
        <v>1806</v>
      </c>
      <c r="H167" s="4" t="s">
        <v>1130</v>
      </c>
    </row>
    <row r="168">
      <c r="A168" s="4" t="s">
        <v>1810</v>
      </c>
      <c r="B168" s="4" t="s">
        <v>1811</v>
      </c>
      <c r="C168" s="4" t="s">
        <v>324</v>
      </c>
      <c r="D168" s="4" t="s">
        <v>303</v>
      </c>
      <c r="E168" s="4" t="s">
        <v>326</v>
      </c>
      <c r="F168" s="4" t="s">
        <v>293</v>
      </c>
      <c r="G168" s="4" t="s">
        <v>328</v>
      </c>
      <c r="H168" s="4" t="s">
        <v>1130</v>
      </c>
    </row>
    <row r="169">
      <c r="A169" s="4" t="s">
        <v>1818</v>
      </c>
      <c r="B169" s="4" t="s">
        <v>1819</v>
      </c>
      <c r="C169" s="4" t="s">
        <v>994</v>
      </c>
      <c r="D169" s="4" t="s">
        <v>303</v>
      </c>
      <c r="E169" s="4" t="s">
        <v>997</v>
      </c>
      <c r="F169" s="4" t="s">
        <v>293</v>
      </c>
      <c r="G169" s="4" t="s">
        <v>1822</v>
      </c>
      <c r="H169" s="4" t="s">
        <v>1130</v>
      </c>
    </row>
    <row r="170">
      <c r="A170" s="4" t="s">
        <v>1825</v>
      </c>
      <c r="B170" s="4" t="s">
        <v>1827</v>
      </c>
      <c r="C170" s="4" t="s">
        <v>1013</v>
      </c>
      <c r="D170" s="4" t="s">
        <v>1136</v>
      </c>
      <c r="E170" s="4" t="s">
        <v>1015</v>
      </c>
      <c r="F170" s="4" t="s">
        <v>1831</v>
      </c>
      <c r="G170" s="4" t="s">
        <v>1834</v>
      </c>
      <c r="H170" s="4" t="s">
        <v>1130</v>
      </c>
    </row>
    <row r="171">
      <c r="A171" s="4" t="s">
        <v>1836</v>
      </c>
      <c r="B171" s="4" t="s">
        <v>1838</v>
      </c>
      <c r="C171" s="4" t="s">
        <v>1094</v>
      </c>
      <c r="D171" s="4" t="s">
        <v>303</v>
      </c>
      <c r="E171" s="4" t="s">
        <v>1096</v>
      </c>
      <c r="F171" s="4" t="s">
        <v>293</v>
      </c>
      <c r="G171" s="4" t="s">
        <v>1843</v>
      </c>
      <c r="H171" s="4" t="s">
        <v>1130</v>
      </c>
    </row>
    <row r="172">
      <c r="A172" s="4" t="s">
        <v>1844</v>
      </c>
      <c r="B172" s="4" t="s">
        <v>1846</v>
      </c>
      <c r="C172" s="4" t="s">
        <v>1113</v>
      </c>
      <c r="D172" s="4" t="s">
        <v>303</v>
      </c>
      <c r="E172" s="4" t="s">
        <v>1115</v>
      </c>
      <c r="F172" s="4" t="s">
        <v>293</v>
      </c>
      <c r="G172" s="4" t="s">
        <v>1852</v>
      </c>
      <c r="H172" s="4" t="s">
        <v>1130</v>
      </c>
    </row>
    <row r="173">
      <c r="A173" s="4" t="s">
        <v>1855</v>
      </c>
      <c r="B173" s="4" t="s">
        <v>1856</v>
      </c>
      <c r="C173" s="4" t="s">
        <v>1074</v>
      </c>
      <c r="D173" s="4" t="s">
        <v>1136</v>
      </c>
      <c r="E173" s="4" t="s">
        <v>1075</v>
      </c>
      <c r="F173" s="4" t="s">
        <v>1861</v>
      </c>
      <c r="G173" s="4" t="s">
        <v>1863</v>
      </c>
      <c r="H173" s="4" t="s">
        <v>1130</v>
      </c>
    </row>
    <row r="174">
      <c r="A174" s="4" t="s">
        <v>1865</v>
      </c>
      <c r="B174" s="4" t="s">
        <v>1867</v>
      </c>
      <c r="C174" s="4" t="s">
        <v>1088</v>
      </c>
      <c r="D174" s="4" t="s">
        <v>1136</v>
      </c>
      <c r="E174" s="4" t="s">
        <v>1089</v>
      </c>
      <c r="F174" s="4" t="s">
        <v>1861</v>
      </c>
      <c r="G174" s="4" t="s">
        <v>1875</v>
      </c>
      <c r="H174" s="4" t="s">
        <v>1130</v>
      </c>
    </row>
    <row r="175">
      <c r="A175" s="4" t="s">
        <v>1877</v>
      </c>
      <c r="B175" s="4" t="s">
        <v>1879</v>
      </c>
      <c r="C175" s="4" t="s">
        <v>1122</v>
      </c>
      <c r="D175" s="4" t="s">
        <v>1136</v>
      </c>
      <c r="E175" s="4" t="s">
        <v>1123</v>
      </c>
      <c r="F175" s="4" t="s">
        <v>1238</v>
      </c>
      <c r="G175" s="4" t="s">
        <v>1882</v>
      </c>
      <c r="H175" s="4" t="s">
        <v>1130</v>
      </c>
    </row>
    <row r="176">
      <c r="A176" s="4" t="s">
        <v>1885</v>
      </c>
      <c r="B176" s="4" t="s">
        <v>1888</v>
      </c>
      <c r="C176" s="4" t="s">
        <v>1320</v>
      </c>
      <c r="D176" s="4" t="s">
        <v>1136</v>
      </c>
      <c r="E176" s="4" t="s">
        <v>1322</v>
      </c>
      <c r="F176" s="4" t="s">
        <v>1198</v>
      </c>
      <c r="G176" s="4" t="s">
        <v>1892</v>
      </c>
      <c r="H176" s="4" t="s">
        <v>1130</v>
      </c>
    </row>
    <row r="177">
      <c r="A177" s="4" t="s">
        <v>1894</v>
      </c>
      <c r="B177" s="4" t="s">
        <v>1896</v>
      </c>
      <c r="C177" s="4" t="s">
        <v>1082</v>
      </c>
      <c r="D177" s="4" t="s">
        <v>303</v>
      </c>
      <c r="E177" s="4" t="s">
        <v>1084</v>
      </c>
      <c r="F177" s="4" t="s">
        <v>293</v>
      </c>
      <c r="G177" s="4" t="s">
        <v>1902</v>
      </c>
      <c r="H177" s="4" t="s">
        <v>1130</v>
      </c>
    </row>
    <row r="178">
      <c r="A178" s="4" t="s">
        <v>1903</v>
      </c>
      <c r="B178" s="4" t="s">
        <v>1904</v>
      </c>
      <c r="C178" s="4" t="s">
        <v>1102</v>
      </c>
      <c r="D178" s="4" t="s">
        <v>303</v>
      </c>
      <c r="E178" s="4" t="s">
        <v>1106</v>
      </c>
      <c r="F178" s="4" t="s">
        <v>293</v>
      </c>
      <c r="G178" s="4" t="s">
        <v>1908</v>
      </c>
      <c r="H178" s="4" t="s">
        <v>1130</v>
      </c>
    </row>
    <row r="179">
      <c r="A179" s="4" t="s">
        <v>1910</v>
      </c>
      <c r="B179" s="4" t="s">
        <v>1912</v>
      </c>
      <c r="C179" s="4" t="s">
        <v>1102</v>
      </c>
      <c r="D179" s="4" t="s">
        <v>303</v>
      </c>
      <c r="E179" s="4" t="s">
        <v>1106</v>
      </c>
      <c r="F179" s="4" t="s">
        <v>293</v>
      </c>
      <c r="G179" s="4" t="s">
        <v>1914</v>
      </c>
      <c r="H179" s="4" t="s">
        <v>1130</v>
      </c>
    </row>
    <row r="180">
      <c r="A180" s="4" t="s">
        <v>1917</v>
      </c>
      <c r="B180" s="4" t="s">
        <v>1918</v>
      </c>
      <c r="C180" s="4" t="s">
        <v>1082</v>
      </c>
      <c r="D180" s="4" t="s">
        <v>303</v>
      </c>
      <c r="E180" s="4" t="s">
        <v>1084</v>
      </c>
      <c r="F180" s="4" t="s">
        <v>293</v>
      </c>
      <c r="G180" s="4" t="s">
        <v>1921</v>
      </c>
      <c r="H180" s="4" t="s">
        <v>1130</v>
      </c>
    </row>
    <row r="181">
      <c r="A181" s="4" t="s">
        <v>1926</v>
      </c>
      <c r="B181" s="4" t="s">
        <v>1927</v>
      </c>
      <c r="C181" s="4" t="s">
        <v>1036</v>
      </c>
      <c r="D181" s="4" t="s">
        <v>1136</v>
      </c>
      <c r="E181" s="4" t="s">
        <v>1038</v>
      </c>
      <c r="F181" s="4" t="s">
        <v>1238</v>
      </c>
      <c r="G181" s="4" t="s">
        <v>1932</v>
      </c>
      <c r="H181" s="4" t="s">
        <v>1130</v>
      </c>
    </row>
    <row r="182">
      <c r="A182" s="4" t="s">
        <v>1935</v>
      </c>
      <c r="B182" s="4" t="s">
        <v>1936</v>
      </c>
      <c r="C182" s="4" t="s">
        <v>679</v>
      </c>
      <c r="D182" s="4" t="s">
        <v>303</v>
      </c>
      <c r="E182" s="4" t="s">
        <v>681</v>
      </c>
      <c r="F182" s="4" t="s">
        <v>293</v>
      </c>
      <c r="G182" s="4" t="s">
        <v>683</v>
      </c>
      <c r="H182" s="4" t="s">
        <v>1130</v>
      </c>
    </row>
    <row r="183">
      <c r="A183" s="4" t="s">
        <v>1943</v>
      </c>
      <c r="B183" s="4" t="s">
        <v>1945</v>
      </c>
      <c r="C183" s="4" t="s">
        <v>679</v>
      </c>
      <c r="D183" s="4" t="s">
        <v>1136</v>
      </c>
      <c r="E183" s="4" t="s">
        <v>681</v>
      </c>
      <c r="F183" s="4" t="s">
        <v>1238</v>
      </c>
      <c r="G183" s="4" t="s">
        <v>1598</v>
      </c>
      <c r="H183" s="4" t="s">
        <v>1130</v>
      </c>
    </row>
    <row r="184">
      <c r="A184" s="4" t="s">
        <v>1949</v>
      </c>
      <c r="B184" s="4" t="s">
        <v>1951</v>
      </c>
      <c r="C184" s="4" t="s">
        <v>1579</v>
      </c>
      <c r="D184" s="4" t="s">
        <v>1136</v>
      </c>
      <c r="E184" s="4" t="s">
        <v>1581</v>
      </c>
      <c r="F184" s="4" t="s">
        <v>1138</v>
      </c>
      <c r="G184" s="4" t="s">
        <v>1955</v>
      </c>
      <c r="H184" s="4" t="s">
        <v>1130</v>
      </c>
    </row>
    <row r="185">
      <c r="A185" s="4" t="s">
        <v>1957</v>
      </c>
      <c r="B185" s="4" t="s">
        <v>1960</v>
      </c>
      <c r="C185" s="4" t="s">
        <v>1632</v>
      </c>
      <c r="D185" s="4" t="s">
        <v>303</v>
      </c>
      <c r="E185" s="4" t="s">
        <v>1634</v>
      </c>
      <c r="F185" s="4" t="s">
        <v>293</v>
      </c>
      <c r="G185" s="4" t="s">
        <v>1963</v>
      </c>
      <c r="H185" s="4" t="s">
        <v>1130</v>
      </c>
    </row>
    <row r="186">
      <c r="A186" s="4" t="s">
        <v>1966</v>
      </c>
      <c r="B186" s="4" t="s">
        <v>1967</v>
      </c>
      <c r="C186" s="4" t="s">
        <v>1259</v>
      </c>
      <c r="D186" s="4" t="s">
        <v>1136</v>
      </c>
      <c r="E186" s="4" t="s">
        <v>1261</v>
      </c>
      <c r="F186" s="4" t="s">
        <v>1970</v>
      </c>
      <c r="G186" s="4" t="s">
        <v>1971</v>
      </c>
      <c r="H186" s="4" t="s">
        <v>1130</v>
      </c>
    </row>
    <row r="187">
      <c r="A187" s="4" t="s">
        <v>1974</v>
      </c>
      <c r="B187" s="4" t="s">
        <v>1975</v>
      </c>
      <c r="C187" s="4" t="s">
        <v>829</v>
      </c>
      <c r="D187" s="4" t="s">
        <v>1136</v>
      </c>
      <c r="E187" s="4" t="s">
        <v>830</v>
      </c>
      <c r="F187" s="4" t="s">
        <v>1831</v>
      </c>
      <c r="G187" s="4" t="s">
        <v>1978</v>
      </c>
      <c r="H187" s="4" t="s">
        <v>1130</v>
      </c>
    </row>
    <row r="188">
      <c r="A188" s="4" t="s">
        <v>1981</v>
      </c>
      <c r="B188" s="4" t="s">
        <v>1983</v>
      </c>
      <c r="C188" s="4" t="s">
        <v>800</v>
      </c>
      <c r="D188" s="4" t="s">
        <v>303</v>
      </c>
      <c r="E188" s="4" t="s">
        <v>802</v>
      </c>
      <c r="F188" s="4" t="s">
        <v>293</v>
      </c>
      <c r="G188" s="4" t="s">
        <v>2001</v>
      </c>
      <c r="H188" s="4" t="s">
        <v>1130</v>
      </c>
    </row>
    <row r="189">
      <c r="A189" s="4" t="s">
        <v>2004</v>
      </c>
      <c r="B189" s="4" t="s">
        <v>2005</v>
      </c>
      <c r="C189" s="4" t="s">
        <v>800</v>
      </c>
      <c r="D189" s="4" t="s">
        <v>1136</v>
      </c>
      <c r="E189" s="4" t="s">
        <v>802</v>
      </c>
      <c r="F189" s="4" t="s">
        <v>2008</v>
      </c>
      <c r="G189" s="4" t="s">
        <v>2010</v>
      </c>
      <c r="H189" s="4" t="s">
        <v>1130</v>
      </c>
    </row>
    <row r="190">
      <c r="A190" s="4" t="s">
        <v>2015</v>
      </c>
      <c r="B190" s="4" t="s">
        <v>2016</v>
      </c>
      <c r="C190" s="4" t="s">
        <v>1632</v>
      </c>
      <c r="D190" s="4" t="s">
        <v>303</v>
      </c>
      <c r="E190" s="4" t="s">
        <v>1634</v>
      </c>
      <c r="F190" s="4" t="s">
        <v>293</v>
      </c>
      <c r="G190" s="4" t="s">
        <v>2019</v>
      </c>
      <c r="H190" s="4" t="s">
        <v>1130</v>
      </c>
    </row>
    <row r="191">
      <c r="A191" s="4" t="s">
        <v>2022</v>
      </c>
      <c r="B191" s="4" t="s">
        <v>2023</v>
      </c>
      <c r="C191" s="4" t="s">
        <v>2025</v>
      </c>
      <c r="D191" s="4" t="s">
        <v>1136</v>
      </c>
      <c r="E191" s="4" t="s">
        <v>2027</v>
      </c>
      <c r="F191" s="4" t="s">
        <v>2028</v>
      </c>
      <c r="G191" s="4" t="s">
        <v>2030</v>
      </c>
      <c r="H191" s="4" t="s">
        <v>1130</v>
      </c>
    </row>
    <row r="192">
      <c r="A192" s="4" t="s">
        <v>2033</v>
      </c>
      <c r="B192" s="4" t="s">
        <v>2035</v>
      </c>
      <c r="C192" s="4" t="s">
        <v>1502</v>
      </c>
      <c r="D192" s="4" t="s">
        <v>1136</v>
      </c>
      <c r="E192" s="4" t="s">
        <v>1523</v>
      </c>
      <c r="F192" s="4" t="s">
        <v>2040</v>
      </c>
      <c r="G192" s="4" t="s">
        <v>2042</v>
      </c>
      <c r="H192" s="4" t="s">
        <v>1130</v>
      </c>
    </row>
    <row r="193">
      <c r="A193" s="4" t="s">
        <v>2045</v>
      </c>
      <c r="B193" s="4" t="s">
        <v>2046</v>
      </c>
      <c r="C193" s="4" t="s">
        <v>2047</v>
      </c>
      <c r="D193" s="4" t="s">
        <v>1136</v>
      </c>
      <c r="E193" s="4" t="s">
        <v>2049</v>
      </c>
      <c r="F193" s="4" t="s">
        <v>2051</v>
      </c>
      <c r="G193" s="4" t="s">
        <v>2052</v>
      </c>
      <c r="H193" s="4" t="s">
        <v>1130</v>
      </c>
    </row>
    <row r="194">
      <c r="A194" s="4" t="s">
        <v>2055</v>
      </c>
      <c r="B194" s="4" t="s">
        <v>2056</v>
      </c>
      <c r="C194" s="4" t="s">
        <v>2058</v>
      </c>
      <c r="D194" s="4" t="s">
        <v>1136</v>
      </c>
      <c r="E194" s="4" t="s">
        <v>2063</v>
      </c>
      <c r="F194" s="4" t="s">
        <v>2065</v>
      </c>
      <c r="G194" s="4" t="s">
        <v>2066</v>
      </c>
      <c r="H194" s="4" t="s">
        <v>1130</v>
      </c>
    </row>
    <row r="195">
      <c r="A195" s="4" t="s">
        <v>2069</v>
      </c>
      <c r="B195" s="4" t="s">
        <v>2071</v>
      </c>
      <c r="C195" s="4" t="s">
        <v>2073</v>
      </c>
      <c r="D195" s="4" t="s">
        <v>1136</v>
      </c>
      <c r="E195" s="4" t="s">
        <v>2074</v>
      </c>
      <c r="F195" s="4" t="s">
        <v>2077</v>
      </c>
      <c r="G195" s="4" t="s">
        <v>2080</v>
      </c>
      <c r="H195" s="4" t="s">
        <v>1130</v>
      </c>
    </row>
    <row r="196">
      <c r="A196" s="4" t="s">
        <v>2082</v>
      </c>
      <c r="B196" s="4" t="s">
        <v>2084</v>
      </c>
      <c r="C196" s="4" t="s">
        <v>2086</v>
      </c>
      <c r="D196" s="4" t="s">
        <v>1136</v>
      </c>
      <c r="E196" s="4" t="s">
        <v>2088</v>
      </c>
      <c r="F196" s="4" t="s">
        <v>2090</v>
      </c>
      <c r="G196" s="4" t="s">
        <v>2092</v>
      </c>
      <c r="H196" s="4" t="s">
        <v>1130</v>
      </c>
    </row>
    <row r="197">
      <c r="A197" s="4" t="s">
        <v>2094</v>
      </c>
      <c r="B197" s="4" t="s">
        <v>2097</v>
      </c>
      <c r="C197" s="4" t="s">
        <v>2100</v>
      </c>
      <c r="D197" s="4" t="s">
        <v>1136</v>
      </c>
      <c r="E197" s="4" t="s">
        <v>2102</v>
      </c>
      <c r="F197" s="4" t="s">
        <v>2105</v>
      </c>
      <c r="G197" s="4" t="s">
        <v>2106</v>
      </c>
      <c r="H197" s="4" t="s">
        <v>1130</v>
      </c>
    </row>
    <row r="198">
      <c r="A198" s="4" t="s">
        <v>2109</v>
      </c>
      <c r="B198" s="4" t="s">
        <v>2110</v>
      </c>
      <c r="C198" s="4" t="s">
        <v>2112</v>
      </c>
      <c r="D198" s="4" t="s">
        <v>1136</v>
      </c>
      <c r="E198" s="4" t="s">
        <v>2114</v>
      </c>
      <c r="F198" s="4" t="s">
        <v>2115</v>
      </c>
      <c r="G198" s="4" t="s">
        <v>2117</v>
      </c>
      <c r="H198" s="4" t="s">
        <v>1130</v>
      </c>
    </row>
    <row r="199">
      <c r="A199" s="4" t="s">
        <v>2120</v>
      </c>
      <c r="B199" s="4" t="s">
        <v>2121</v>
      </c>
      <c r="C199" s="4" t="s">
        <v>1502</v>
      </c>
      <c r="D199" s="4" t="s">
        <v>1136</v>
      </c>
      <c r="E199" s="4" t="s">
        <v>1523</v>
      </c>
      <c r="F199" s="4" t="s">
        <v>1198</v>
      </c>
      <c r="G199" s="4" t="s">
        <v>2127</v>
      </c>
      <c r="H199" s="4" t="s">
        <v>1130</v>
      </c>
    </row>
    <row r="200">
      <c r="A200" s="4" t="s">
        <v>2131</v>
      </c>
      <c r="B200" s="4" t="s">
        <v>2132</v>
      </c>
      <c r="C200" s="4" t="s">
        <v>821</v>
      </c>
      <c r="D200" s="4" t="s">
        <v>1136</v>
      </c>
      <c r="E200" s="4" t="s">
        <v>822</v>
      </c>
      <c r="F200" s="4" t="s">
        <v>1178</v>
      </c>
      <c r="G200" s="4" t="s">
        <v>2136</v>
      </c>
      <c r="H200" s="4" t="s">
        <v>1130</v>
      </c>
    </row>
    <row r="201">
      <c r="A201" s="4" t="s">
        <v>2139</v>
      </c>
      <c r="B201" s="4" t="s">
        <v>2142</v>
      </c>
      <c r="C201" s="4" t="s">
        <v>1036</v>
      </c>
      <c r="D201" s="4" t="s">
        <v>1136</v>
      </c>
      <c r="E201" s="4" t="s">
        <v>1038</v>
      </c>
      <c r="F201" s="4" t="s">
        <v>1861</v>
      </c>
      <c r="G201" s="4" t="s">
        <v>2145</v>
      </c>
      <c r="H201" s="4" t="s">
        <v>1130</v>
      </c>
    </row>
    <row r="202">
      <c r="A202" s="4" t="s">
        <v>2147</v>
      </c>
      <c r="B202" s="4" t="s">
        <v>2149</v>
      </c>
      <c r="C202" s="4" t="s">
        <v>2073</v>
      </c>
      <c r="D202" s="4" t="s">
        <v>1136</v>
      </c>
      <c r="E202" s="4" t="s">
        <v>2074</v>
      </c>
      <c r="F202" s="4" t="s">
        <v>2154</v>
      </c>
      <c r="G202" s="4" t="s">
        <v>2157</v>
      </c>
      <c r="H202" s="4" t="s">
        <v>1130</v>
      </c>
    </row>
    <row r="203">
      <c r="A203" s="4" t="s">
        <v>2161</v>
      </c>
      <c r="B203" s="4" t="s">
        <v>2163</v>
      </c>
      <c r="C203" s="4" t="s">
        <v>1568</v>
      </c>
      <c r="D203" s="4" t="s">
        <v>1136</v>
      </c>
      <c r="E203" s="4" t="s">
        <v>1570</v>
      </c>
      <c r="F203" s="4" t="s">
        <v>2154</v>
      </c>
      <c r="G203" s="4" t="s">
        <v>2167</v>
      </c>
      <c r="H203" s="4" t="s">
        <v>1130</v>
      </c>
    </row>
    <row r="204">
      <c r="A204" s="4" t="s">
        <v>2169</v>
      </c>
      <c r="B204" s="4" t="s">
        <v>2171</v>
      </c>
      <c r="C204" s="4" t="s">
        <v>2174</v>
      </c>
      <c r="D204" s="4" t="s">
        <v>1136</v>
      </c>
      <c r="E204" s="4" t="s">
        <v>2176</v>
      </c>
      <c r="F204" s="4" t="s">
        <v>2178</v>
      </c>
      <c r="G204" s="4" t="s">
        <v>2180</v>
      </c>
      <c r="H204" s="4" t="s">
        <v>1130</v>
      </c>
    </row>
    <row r="205">
      <c r="A205" s="4" t="s">
        <v>2183</v>
      </c>
      <c r="B205" s="4" t="s">
        <v>2185</v>
      </c>
      <c r="C205" s="4" t="s">
        <v>2186</v>
      </c>
      <c r="D205" s="4" t="s">
        <v>1136</v>
      </c>
      <c r="E205" s="4" t="s">
        <v>2189</v>
      </c>
      <c r="F205" s="4" t="s">
        <v>2190</v>
      </c>
      <c r="G205" s="4" t="s">
        <v>2192</v>
      </c>
      <c r="H205" s="4" t="s">
        <v>1130</v>
      </c>
    </row>
    <row r="206">
      <c r="A206" s="4" t="s">
        <v>2194</v>
      </c>
      <c r="B206" s="4" t="s">
        <v>2196</v>
      </c>
      <c r="C206" s="4" t="s">
        <v>1013</v>
      </c>
      <c r="D206" s="4" t="s">
        <v>303</v>
      </c>
      <c r="E206" s="4" t="s">
        <v>1015</v>
      </c>
      <c r="F206" s="4" t="s">
        <v>293</v>
      </c>
      <c r="G206" s="4" t="s">
        <v>2199</v>
      </c>
      <c r="H206" s="4" t="s">
        <v>1130</v>
      </c>
    </row>
    <row r="207">
      <c r="A207" s="4" t="s">
        <v>2203</v>
      </c>
      <c r="B207" s="4" t="s">
        <v>2204</v>
      </c>
      <c r="C207" s="4" t="s">
        <v>2206</v>
      </c>
      <c r="D207" s="4" t="s">
        <v>1136</v>
      </c>
      <c r="E207" s="4" t="s">
        <v>2208</v>
      </c>
      <c r="F207" s="4" t="s">
        <v>2210</v>
      </c>
      <c r="G207" s="4" t="s">
        <v>2212</v>
      </c>
      <c r="H207" s="4" t="s">
        <v>1130</v>
      </c>
    </row>
    <row r="208">
      <c r="A208" s="4" t="s">
        <v>2214</v>
      </c>
      <c r="B208" s="4" t="s">
        <v>2215</v>
      </c>
      <c r="C208" s="4" t="s">
        <v>2217</v>
      </c>
      <c r="D208" s="4" t="s">
        <v>1136</v>
      </c>
      <c r="E208" s="4" t="s">
        <v>2218</v>
      </c>
      <c r="F208" s="4" t="s">
        <v>2219</v>
      </c>
      <c r="G208" s="4" t="s">
        <v>2221</v>
      </c>
      <c r="H208" s="4" t="s">
        <v>1130</v>
      </c>
    </row>
    <row r="209">
      <c r="A209" s="4" t="s">
        <v>2226</v>
      </c>
      <c r="B209" s="4" t="s">
        <v>2228</v>
      </c>
      <c r="C209" s="4" t="s">
        <v>2229</v>
      </c>
      <c r="D209" s="4" t="s">
        <v>1136</v>
      </c>
      <c r="E209" s="4" t="s">
        <v>2231</v>
      </c>
      <c r="F209" s="4" t="s">
        <v>2234</v>
      </c>
      <c r="G209" s="4" t="s">
        <v>2236</v>
      </c>
      <c r="H209" s="4" t="s">
        <v>1130</v>
      </c>
    </row>
    <row r="210">
      <c r="A210" s="4" t="s">
        <v>2239</v>
      </c>
      <c r="B210" s="4" t="s">
        <v>2240</v>
      </c>
      <c r="C210" s="4" t="s">
        <v>2241</v>
      </c>
      <c r="D210" s="4" t="s">
        <v>1136</v>
      </c>
      <c r="E210" s="4" t="s">
        <v>2243</v>
      </c>
      <c r="F210" s="4" t="s">
        <v>2245</v>
      </c>
      <c r="G210" s="4" t="s">
        <v>2246</v>
      </c>
      <c r="H210" s="4" t="s">
        <v>1130</v>
      </c>
    </row>
    <row r="211">
      <c r="A211" s="4" t="s">
        <v>2249</v>
      </c>
      <c r="B211" s="4" t="s">
        <v>2250</v>
      </c>
      <c r="C211" s="4" t="s">
        <v>2252</v>
      </c>
      <c r="D211" s="4" t="s">
        <v>1136</v>
      </c>
      <c r="E211" s="4" t="s">
        <v>2254</v>
      </c>
      <c r="F211" s="4" t="s">
        <v>2255</v>
      </c>
      <c r="G211" s="4" t="s">
        <v>2260</v>
      </c>
      <c r="H211" s="4" t="s">
        <v>1130</v>
      </c>
    </row>
    <row r="212">
      <c r="A212" s="4" t="s">
        <v>2263</v>
      </c>
      <c r="B212" s="4" t="s">
        <v>2264</v>
      </c>
      <c r="C212" s="4" t="s">
        <v>2265</v>
      </c>
      <c r="D212" s="4" t="s">
        <v>1136</v>
      </c>
      <c r="E212" s="4" t="s">
        <v>2268</v>
      </c>
      <c r="F212" s="4" t="s">
        <v>2269</v>
      </c>
      <c r="G212" s="4" t="s">
        <v>2270</v>
      </c>
      <c r="H212" s="4" t="s">
        <v>1130</v>
      </c>
    </row>
    <row r="213">
      <c r="A213" s="4" t="s">
        <v>2273</v>
      </c>
      <c r="B213" s="4" t="s">
        <v>2274</v>
      </c>
      <c r="C213" s="4" t="s">
        <v>1579</v>
      </c>
      <c r="D213" s="4" t="s">
        <v>1136</v>
      </c>
      <c r="E213" s="4" t="s">
        <v>1581</v>
      </c>
      <c r="F213" s="4" t="s">
        <v>2277</v>
      </c>
      <c r="G213" s="4" t="s">
        <v>2278</v>
      </c>
      <c r="H213" s="4" t="s">
        <v>1130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9.75"/>
    <col customWidth="1" min="5" max="5" width="21.25"/>
    <col customWidth="1" min="6" max="6" width="31.38"/>
    <col customWidth="1" min="7" max="7" width="23.88"/>
    <col customWidth="1" min="8" max="8" width="20.75"/>
    <col customWidth="1" min="9" max="9" width="18.25"/>
    <col customWidth="1" min="10" max="10" width="18.88"/>
  </cols>
  <sheetData>
    <row r="1">
      <c r="A1" s="7" t="s">
        <v>272</v>
      </c>
      <c r="B1" s="7" t="s">
        <v>9</v>
      </c>
      <c r="C1" s="8" t="s">
        <v>283</v>
      </c>
      <c r="D1" s="8" t="s">
        <v>2</v>
      </c>
      <c r="E1" s="7" t="s">
        <v>292</v>
      </c>
      <c r="F1" s="7" t="s">
        <v>297</v>
      </c>
      <c r="G1" s="7" t="s">
        <v>299</v>
      </c>
      <c r="H1" s="7" t="s">
        <v>302</v>
      </c>
      <c r="I1" s="9"/>
      <c r="J1" s="9"/>
      <c r="K1" s="10"/>
      <c r="L1" s="10"/>
      <c r="M1" s="10"/>
      <c r="N1" s="10"/>
      <c r="O1" s="10"/>
      <c r="P1" s="10"/>
      <c r="Q1" s="10"/>
      <c r="R1" s="10"/>
      <c r="S1" s="10"/>
      <c r="T1" s="10"/>
      <c r="U1" s="10"/>
      <c r="V1" s="10"/>
      <c r="W1" s="10"/>
      <c r="X1" s="10"/>
      <c r="Y1" s="10"/>
      <c r="Z1" s="9"/>
      <c r="AA1" s="4" t="s">
        <v>278</v>
      </c>
      <c r="AB1" s="10"/>
    </row>
    <row r="2">
      <c r="A2" s="4" t="b">
        <v>1</v>
      </c>
      <c r="B2" s="4" t="s">
        <v>25</v>
      </c>
      <c r="C2" s="11" t="s">
        <v>397</v>
      </c>
      <c r="D2" s="11" t="s">
        <v>402</v>
      </c>
      <c r="E2" s="4" t="s">
        <v>422</v>
      </c>
      <c r="F2" s="5" t="s">
        <v>436</v>
      </c>
      <c r="G2" s="4" t="s">
        <v>455</v>
      </c>
      <c r="H2" s="13"/>
      <c r="I2" s="14"/>
      <c r="J2" s="15"/>
      <c r="AA2" s="4" t="s">
        <v>301</v>
      </c>
    </row>
    <row r="3">
      <c r="A3" s="4" t="b">
        <v>1</v>
      </c>
      <c r="B3" s="4" t="s">
        <v>28</v>
      </c>
      <c r="C3" s="11" t="s">
        <v>312</v>
      </c>
      <c r="D3" s="17"/>
      <c r="E3" s="4" t="s">
        <v>422</v>
      </c>
      <c r="F3" s="5" t="s">
        <v>436</v>
      </c>
      <c r="G3" s="4" t="s">
        <v>455</v>
      </c>
      <c r="H3" s="13"/>
      <c r="I3" s="14"/>
      <c r="J3" s="15"/>
      <c r="AA3" s="4" t="s">
        <v>310</v>
      </c>
    </row>
    <row r="4">
      <c r="A4" s="4" t="b">
        <v>1</v>
      </c>
      <c r="B4" s="4" t="s">
        <v>30</v>
      </c>
      <c r="C4" s="11" t="s">
        <v>519</v>
      </c>
      <c r="D4" s="11" t="s">
        <v>522</v>
      </c>
      <c r="E4" s="4" t="s">
        <v>422</v>
      </c>
      <c r="F4" s="5" t="s">
        <v>55</v>
      </c>
      <c r="G4" s="4" t="s">
        <v>531</v>
      </c>
      <c r="H4" s="13"/>
      <c r="I4" s="14"/>
      <c r="J4" s="15"/>
      <c r="AA4" s="4" t="s">
        <v>317</v>
      </c>
    </row>
    <row r="5">
      <c r="A5" s="4" t="b">
        <v>1</v>
      </c>
      <c r="B5" s="4" t="s">
        <v>35</v>
      </c>
      <c r="C5" s="11" t="s">
        <v>544</v>
      </c>
      <c r="D5" s="11" t="s">
        <v>546</v>
      </c>
      <c r="E5" s="4" t="s">
        <v>550</v>
      </c>
      <c r="F5" s="5" t="s">
        <v>436</v>
      </c>
      <c r="G5" s="4" t="s">
        <v>455</v>
      </c>
      <c r="H5" s="13" t="s">
        <v>557</v>
      </c>
      <c r="I5" s="14"/>
      <c r="J5" s="15"/>
      <c r="AA5" s="4" t="s">
        <v>324</v>
      </c>
    </row>
    <row r="6">
      <c r="A6" s="4" t="b">
        <v>1</v>
      </c>
      <c r="B6" s="4" t="s">
        <v>35</v>
      </c>
      <c r="C6" s="11" t="s">
        <v>568</v>
      </c>
      <c r="D6" s="11" t="s">
        <v>570</v>
      </c>
      <c r="E6" s="4" t="s">
        <v>574</v>
      </c>
      <c r="F6" s="5" t="s">
        <v>578</v>
      </c>
      <c r="G6" s="4" t="s">
        <v>455</v>
      </c>
      <c r="H6" s="13" t="s">
        <v>557</v>
      </c>
      <c r="I6" s="14"/>
      <c r="J6" s="15"/>
      <c r="AA6" s="4" t="s">
        <v>333</v>
      </c>
    </row>
    <row r="7">
      <c r="A7" s="4" t="b">
        <v>1</v>
      </c>
      <c r="B7" s="4" t="s">
        <v>35</v>
      </c>
      <c r="C7" s="11" t="s">
        <v>593</v>
      </c>
      <c r="D7" s="11" t="s">
        <v>595</v>
      </c>
      <c r="E7" s="4" t="s">
        <v>550</v>
      </c>
      <c r="F7" s="5" t="s">
        <v>601</v>
      </c>
      <c r="G7" s="4" t="s">
        <v>531</v>
      </c>
      <c r="H7" s="15"/>
      <c r="I7" s="14"/>
      <c r="J7" s="15"/>
      <c r="AA7" s="4" t="s">
        <v>341</v>
      </c>
    </row>
    <row r="8">
      <c r="A8" s="4" t="b">
        <v>1</v>
      </c>
      <c r="B8" s="4" t="s">
        <v>35</v>
      </c>
      <c r="C8" s="11" t="s">
        <v>616</v>
      </c>
      <c r="D8" s="11" t="s">
        <v>618</v>
      </c>
      <c r="E8" s="4" t="s">
        <v>622</v>
      </c>
      <c r="F8" s="5"/>
      <c r="G8" s="4" t="s">
        <v>627</v>
      </c>
      <c r="H8" s="15"/>
      <c r="I8" s="14"/>
      <c r="J8" s="15"/>
      <c r="AA8" s="4" t="s">
        <v>350</v>
      </c>
    </row>
    <row r="9">
      <c r="A9" s="4" t="b">
        <v>1</v>
      </c>
      <c r="B9" s="4" t="s">
        <v>35</v>
      </c>
      <c r="C9" s="11" t="s">
        <v>635</v>
      </c>
      <c r="D9" s="23" t="s">
        <v>637</v>
      </c>
      <c r="E9" s="4" t="s">
        <v>574</v>
      </c>
      <c r="F9" s="5" t="s">
        <v>574</v>
      </c>
      <c r="G9" s="4" t="s">
        <v>649</v>
      </c>
      <c r="H9" s="13" t="s">
        <v>557</v>
      </c>
      <c r="I9" s="14"/>
      <c r="J9" s="15"/>
      <c r="AA9" s="4" t="s">
        <v>359</v>
      </c>
    </row>
    <row r="10">
      <c r="A10" s="4" t="b">
        <v>0</v>
      </c>
      <c r="B10" s="4" t="s">
        <v>35</v>
      </c>
      <c r="C10" s="11" t="s">
        <v>666</v>
      </c>
      <c r="D10" s="11" t="s">
        <v>668</v>
      </c>
      <c r="E10" s="4" t="s">
        <v>671</v>
      </c>
      <c r="F10" s="5" t="s">
        <v>436</v>
      </c>
      <c r="G10" s="4" t="s">
        <v>678</v>
      </c>
      <c r="H10" s="15"/>
      <c r="I10" s="14"/>
      <c r="J10" s="15"/>
      <c r="AA10" s="4" t="s">
        <v>366</v>
      </c>
    </row>
    <row r="11">
      <c r="A11" s="4" t="b">
        <v>0</v>
      </c>
      <c r="B11" s="4" t="s">
        <v>35</v>
      </c>
      <c r="C11" s="11" t="s">
        <v>377</v>
      </c>
      <c r="D11" s="17"/>
      <c r="E11" s="4" t="s">
        <v>501</v>
      </c>
      <c r="F11" s="5" t="s">
        <v>436</v>
      </c>
      <c r="G11" s="4" t="s">
        <v>698</v>
      </c>
      <c r="H11" s="15"/>
      <c r="I11" s="14"/>
      <c r="J11" s="15"/>
      <c r="AA11" s="4" t="s">
        <v>374</v>
      </c>
    </row>
    <row r="12">
      <c r="A12" s="4" t="b">
        <v>1</v>
      </c>
      <c r="B12" s="4" t="s">
        <v>30</v>
      </c>
      <c r="C12" s="11" t="s">
        <v>389</v>
      </c>
      <c r="D12" s="17"/>
      <c r="E12" s="4" t="s">
        <v>422</v>
      </c>
      <c r="F12" s="5" t="s">
        <v>436</v>
      </c>
      <c r="G12" s="4" t="s">
        <v>455</v>
      </c>
      <c r="H12" s="13"/>
      <c r="I12" s="14"/>
      <c r="J12" s="15"/>
      <c r="AA12" s="4" t="s">
        <v>387</v>
      </c>
    </row>
    <row r="13">
      <c r="A13" s="4" t="b">
        <v>1</v>
      </c>
      <c r="B13" s="4" t="s">
        <v>37</v>
      </c>
      <c r="C13" s="11" t="s">
        <v>399</v>
      </c>
      <c r="D13" s="17"/>
      <c r="E13" s="4" t="s">
        <v>550</v>
      </c>
      <c r="F13" s="5" t="s">
        <v>436</v>
      </c>
      <c r="G13" s="4" t="s">
        <v>455</v>
      </c>
      <c r="H13" s="13" t="s">
        <v>736</v>
      </c>
      <c r="I13" s="14"/>
      <c r="J13" s="15"/>
      <c r="AA13" s="4" t="s">
        <v>396</v>
      </c>
    </row>
    <row r="14">
      <c r="A14" s="4" t="b">
        <v>1</v>
      </c>
      <c r="B14" s="4" t="s">
        <v>42</v>
      </c>
      <c r="C14" s="11" t="s">
        <v>747</v>
      </c>
      <c r="D14" s="11" t="s">
        <v>749</v>
      </c>
      <c r="E14" s="4" t="s">
        <v>550</v>
      </c>
      <c r="F14" s="5" t="s">
        <v>55</v>
      </c>
      <c r="G14" s="4" t="s">
        <v>678</v>
      </c>
      <c r="H14" s="13" t="s">
        <v>736</v>
      </c>
      <c r="I14" s="14"/>
      <c r="J14" s="15"/>
      <c r="AA14" s="4" t="s">
        <v>406</v>
      </c>
    </row>
    <row r="15">
      <c r="A15" s="4" t="b">
        <v>1</v>
      </c>
      <c r="B15" s="4" t="s">
        <v>37</v>
      </c>
      <c r="C15" s="11" t="s">
        <v>768</v>
      </c>
      <c r="D15" s="11" t="s">
        <v>769</v>
      </c>
      <c r="E15" s="4" t="s">
        <v>550</v>
      </c>
      <c r="F15" s="5" t="s">
        <v>55</v>
      </c>
      <c r="G15" s="4" t="s">
        <v>678</v>
      </c>
      <c r="H15" s="15"/>
      <c r="I15" s="14"/>
      <c r="J15" s="15"/>
      <c r="AA15" s="4" t="s">
        <v>414</v>
      </c>
    </row>
    <row r="16">
      <c r="A16" s="4" t="b">
        <v>1</v>
      </c>
      <c r="B16" s="4" t="s">
        <v>42</v>
      </c>
      <c r="C16" s="11" t="s">
        <v>775</v>
      </c>
      <c r="D16" s="11" t="s">
        <v>776</v>
      </c>
      <c r="E16" s="4" t="s">
        <v>550</v>
      </c>
      <c r="F16" s="5" t="s">
        <v>782</v>
      </c>
      <c r="G16" s="4" t="s">
        <v>455</v>
      </c>
      <c r="H16" s="15"/>
      <c r="I16" s="14"/>
      <c r="J16" s="15"/>
      <c r="AA16" s="4" t="s">
        <v>424</v>
      </c>
    </row>
    <row r="17">
      <c r="A17" s="4" t="b">
        <v>1</v>
      </c>
      <c r="B17" s="4" t="s">
        <v>43</v>
      </c>
      <c r="C17" s="11" t="s">
        <v>434</v>
      </c>
      <c r="D17" s="17"/>
      <c r="E17" s="4" t="s">
        <v>550</v>
      </c>
      <c r="F17" s="5" t="s">
        <v>55</v>
      </c>
      <c r="G17" s="4" t="s">
        <v>455</v>
      </c>
      <c r="H17" s="15"/>
      <c r="I17" s="14"/>
      <c r="J17" s="15"/>
      <c r="AA17" s="4" t="s">
        <v>433</v>
      </c>
    </row>
    <row r="18">
      <c r="A18" s="4" t="b">
        <v>1</v>
      </c>
      <c r="B18" s="4" t="s">
        <v>42</v>
      </c>
      <c r="C18" s="11" t="s">
        <v>442</v>
      </c>
      <c r="D18" s="17"/>
      <c r="E18" s="4" t="s">
        <v>671</v>
      </c>
      <c r="F18" s="5" t="s">
        <v>55</v>
      </c>
      <c r="G18" s="4" t="s">
        <v>455</v>
      </c>
      <c r="H18" s="15"/>
      <c r="I18" s="14"/>
      <c r="J18" s="15"/>
      <c r="AA18" s="4" t="s">
        <v>441</v>
      </c>
    </row>
    <row r="19">
      <c r="A19" s="4" t="b">
        <v>1</v>
      </c>
      <c r="B19" s="4" t="s">
        <v>49</v>
      </c>
      <c r="C19" s="11" t="s">
        <v>451</v>
      </c>
      <c r="D19" s="17"/>
      <c r="E19" s="4" t="s">
        <v>550</v>
      </c>
      <c r="F19" s="5" t="s">
        <v>55</v>
      </c>
      <c r="G19" s="4" t="s">
        <v>455</v>
      </c>
      <c r="H19" s="15"/>
      <c r="I19" s="14"/>
      <c r="J19" s="15"/>
      <c r="AA19" s="4" t="s">
        <v>450</v>
      </c>
    </row>
    <row r="20">
      <c r="A20" s="4" t="b">
        <v>1</v>
      </c>
      <c r="B20" s="4" t="s">
        <v>43</v>
      </c>
      <c r="C20" s="11" t="s">
        <v>918</v>
      </c>
      <c r="D20" s="11" t="s">
        <v>921</v>
      </c>
      <c r="E20" s="4" t="s">
        <v>574</v>
      </c>
      <c r="F20" s="5" t="s">
        <v>926</v>
      </c>
      <c r="G20" s="4" t="s">
        <v>455</v>
      </c>
      <c r="H20" s="13" t="s">
        <v>557</v>
      </c>
      <c r="I20" s="14"/>
      <c r="J20" s="15"/>
      <c r="AA20" s="4" t="s">
        <v>459</v>
      </c>
    </row>
    <row r="21">
      <c r="A21" s="4" t="b">
        <v>1</v>
      </c>
      <c r="B21" s="4" t="s">
        <v>37</v>
      </c>
      <c r="C21" s="11" t="s">
        <v>965</v>
      </c>
      <c r="D21" s="11" t="s">
        <v>966</v>
      </c>
      <c r="E21" s="4" t="s">
        <v>574</v>
      </c>
      <c r="F21" s="5" t="s">
        <v>926</v>
      </c>
      <c r="G21" s="4" t="s">
        <v>455</v>
      </c>
      <c r="H21" s="13" t="s">
        <v>557</v>
      </c>
      <c r="I21" s="14"/>
      <c r="J21" s="15"/>
      <c r="AA21" s="4" t="s">
        <v>471</v>
      </c>
    </row>
    <row r="22">
      <c r="A22" s="4" t="b">
        <v>1</v>
      </c>
      <c r="B22" s="4" t="s">
        <v>55</v>
      </c>
      <c r="C22" s="11" t="s">
        <v>984</v>
      </c>
      <c r="D22" s="11" t="s">
        <v>986</v>
      </c>
      <c r="E22" s="4" t="s">
        <v>550</v>
      </c>
      <c r="F22" s="5" t="s">
        <v>926</v>
      </c>
      <c r="G22" s="4" t="s">
        <v>455</v>
      </c>
      <c r="H22" s="13" t="s">
        <v>557</v>
      </c>
      <c r="I22" s="14"/>
      <c r="J22" s="15"/>
      <c r="AA22" s="4" t="s">
        <v>483</v>
      </c>
    </row>
    <row r="23">
      <c r="A23" s="4" t="b">
        <v>1</v>
      </c>
      <c r="B23" s="4" t="s">
        <v>55</v>
      </c>
      <c r="C23" s="11" t="s">
        <v>496</v>
      </c>
      <c r="D23" s="17"/>
      <c r="E23" s="4" t="s">
        <v>574</v>
      </c>
      <c r="F23" s="5" t="s">
        <v>926</v>
      </c>
      <c r="G23" s="4" t="s">
        <v>455</v>
      </c>
      <c r="H23" s="13" t="s">
        <v>1009</v>
      </c>
      <c r="I23" s="14"/>
      <c r="J23" s="15"/>
      <c r="AA23" s="4" t="s">
        <v>493</v>
      </c>
    </row>
    <row r="24">
      <c r="A24" s="4" t="b">
        <v>1</v>
      </c>
      <c r="B24" s="4" t="s">
        <v>55</v>
      </c>
      <c r="C24" s="11" t="s">
        <v>959</v>
      </c>
      <c r="D24" s="11" t="s">
        <v>960</v>
      </c>
      <c r="E24" s="4" t="s">
        <v>550</v>
      </c>
      <c r="F24" s="5" t="s">
        <v>55</v>
      </c>
      <c r="G24" s="4" t="s">
        <v>531</v>
      </c>
      <c r="H24" s="15"/>
      <c r="I24" s="14"/>
      <c r="J24" s="15"/>
      <c r="AA24" s="4" t="s">
        <v>504</v>
      </c>
    </row>
    <row r="25">
      <c r="A25" s="4" t="b">
        <v>0</v>
      </c>
      <c r="B25" s="4" t="s">
        <v>43</v>
      </c>
      <c r="C25" s="11" t="s">
        <v>514</v>
      </c>
      <c r="D25" s="17"/>
      <c r="E25" s="4" t="s">
        <v>550</v>
      </c>
      <c r="F25" s="5" t="s">
        <v>55</v>
      </c>
      <c r="G25" s="4" t="s">
        <v>455</v>
      </c>
      <c r="H25" s="15"/>
      <c r="I25" s="14"/>
      <c r="J25" s="15"/>
      <c r="AA25" s="4" t="s">
        <v>513</v>
      </c>
    </row>
    <row r="26">
      <c r="A26" s="4" t="b">
        <v>1</v>
      </c>
      <c r="B26" s="4" t="s">
        <v>52</v>
      </c>
      <c r="C26" s="11" t="s">
        <v>526</v>
      </c>
      <c r="D26" s="17"/>
      <c r="E26" s="4" t="s">
        <v>671</v>
      </c>
      <c r="F26" s="5" t="s">
        <v>55</v>
      </c>
      <c r="G26" s="4" t="s">
        <v>455</v>
      </c>
      <c r="H26" s="15"/>
      <c r="I26" s="14"/>
      <c r="J26" s="15"/>
      <c r="AA26" s="4" t="s">
        <v>523</v>
      </c>
    </row>
    <row r="27">
      <c r="A27" s="4" t="b">
        <v>0</v>
      </c>
      <c r="B27" s="4" t="s">
        <v>42</v>
      </c>
      <c r="C27" s="11" t="s">
        <v>535</v>
      </c>
      <c r="D27" s="17"/>
      <c r="E27" s="4" t="s">
        <v>550</v>
      </c>
      <c r="F27" s="5" t="s">
        <v>1068</v>
      </c>
      <c r="G27" s="4" t="s">
        <v>698</v>
      </c>
      <c r="H27" s="15"/>
      <c r="I27" s="14"/>
      <c r="J27" s="15"/>
      <c r="AA27" s="4" t="s">
        <v>533</v>
      </c>
    </row>
    <row r="28">
      <c r="A28" s="4" t="b">
        <v>1</v>
      </c>
      <c r="B28" s="4" t="s">
        <v>55</v>
      </c>
      <c r="C28" s="11" t="s">
        <v>543</v>
      </c>
      <c r="D28" s="17"/>
      <c r="E28" s="4" t="s">
        <v>550</v>
      </c>
      <c r="F28" s="5" t="s">
        <v>55</v>
      </c>
      <c r="G28" s="4" t="s">
        <v>698</v>
      </c>
      <c r="H28" s="15"/>
      <c r="I28" s="14"/>
      <c r="J28" s="15"/>
      <c r="AA28" s="4" t="s">
        <v>542</v>
      </c>
    </row>
    <row r="29">
      <c r="A29" s="4" t="b">
        <v>1</v>
      </c>
      <c r="B29" s="4" t="s">
        <v>52</v>
      </c>
      <c r="C29" s="11" t="s">
        <v>1105</v>
      </c>
      <c r="D29" s="11" t="s">
        <v>1107</v>
      </c>
      <c r="E29" s="4" t="s">
        <v>550</v>
      </c>
      <c r="F29" s="5" t="s">
        <v>55</v>
      </c>
      <c r="G29" s="4" t="s">
        <v>455</v>
      </c>
      <c r="H29" s="15"/>
      <c r="I29" s="14"/>
      <c r="J29" s="15"/>
      <c r="AA29" s="4" t="s">
        <v>553</v>
      </c>
    </row>
    <row r="30">
      <c r="A30" s="4" t="b">
        <v>0</v>
      </c>
      <c r="B30" s="4" t="s">
        <v>55</v>
      </c>
      <c r="C30" s="11" t="s">
        <v>1159</v>
      </c>
      <c r="D30" s="11" t="s">
        <v>1161</v>
      </c>
      <c r="E30" s="4" t="s">
        <v>622</v>
      </c>
      <c r="F30" s="5"/>
      <c r="G30" s="4" t="s">
        <v>627</v>
      </c>
      <c r="H30" s="15"/>
      <c r="I30" s="14"/>
      <c r="J30" s="15"/>
      <c r="AA30" s="4" t="s">
        <v>560</v>
      </c>
    </row>
    <row r="31">
      <c r="A31" s="38" t="b">
        <v>0</v>
      </c>
      <c r="B31" s="4" t="s">
        <v>55</v>
      </c>
      <c r="C31" s="11" t="s">
        <v>1219</v>
      </c>
      <c r="D31" s="11" t="s">
        <v>1220</v>
      </c>
      <c r="E31" s="4" t="s">
        <v>1225</v>
      </c>
      <c r="F31" s="5" t="s">
        <v>601</v>
      </c>
      <c r="G31" s="4" t="s">
        <v>455</v>
      </c>
      <c r="H31" s="15"/>
      <c r="I31" s="14"/>
      <c r="J31" s="15"/>
      <c r="AA31" s="4" t="s">
        <v>571</v>
      </c>
    </row>
    <row r="32">
      <c r="A32" s="38" t="b">
        <v>0</v>
      </c>
      <c r="B32" s="4" t="s">
        <v>55</v>
      </c>
      <c r="C32" s="11" t="s">
        <v>1245</v>
      </c>
      <c r="D32" s="11" t="s">
        <v>1220</v>
      </c>
      <c r="E32" s="4" t="s">
        <v>1225</v>
      </c>
      <c r="F32" s="5" t="s">
        <v>601</v>
      </c>
      <c r="G32" s="4" t="s">
        <v>455</v>
      </c>
      <c r="H32" s="15"/>
      <c r="I32" s="14"/>
      <c r="J32" s="15"/>
      <c r="AA32" s="4" t="s">
        <v>582</v>
      </c>
    </row>
    <row r="33">
      <c r="A33" s="38" t="b">
        <v>0</v>
      </c>
      <c r="B33" s="4" t="s">
        <v>55</v>
      </c>
      <c r="C33" s="11" t="s">
        <v>594</v>
      </c>
      <c r="D33" s="17"/>
      <c r="E33" s="4" t="s">
        <v>1225</v>
      </c>
      <c r="F33" s="5" t="s">
        <v>601</v>
      </c>
      <c r="G33" s="4" t="s">
        <v>455</v>
      </c>
      <c r="H33" s="15"/>
      <c r="I33" s="14"/>
      <c r="J33" s="15"/>
      <c r="AA33" s="4" t="s">
        <v>590</v>
      </c>
    </row>
    <row r="34">
      <c r="A34" s="4" t="b">
        <v>1</v>
      </c>
      <c r="B34" s="4" t="s">
        <v>55</v>
      </c>
      <c r="C34" s="11" t="s">
        <v>604</v>
      </c>
      <c r="D34" s="17"/>
      <c r="E34" s="4" t="s">
        <v>574</v>
      </c>
      <c r="F34" s="5" t="s">
        <v>926</v>
      </c>
      <c r="G34" s="4" t="s">
        <v>455</v>
      </c>
      <c r="H34" s="13" t="s">
        <v>1315</v>
      </c>
      <c r="I34" s="14"/>
      <c r="J34" s="15"/>
      <c r="AA34" s="4" t="s">
        <v>602</v>
      </c>
    </row>
    <row r="35">
      <c r="A35" s="4" t="b">
        <v>0</v>
      </c>
      <c r="B35" s="4" t="s">
        <v>58</v>
      </c>
      <c r="C35" s="11" t="s">
        <v>1064</v>
      </c>
      <c r="D35" s="11" t="s">
        <v>1066</v>
      </c>
      <c r="E35" s="4" t="s">
        <v>550</v>
      </c>
      <c r="F35" s="5" t="s">
        <v>55</v>
      </c>
      <c r="G35" s="4" t="s">
        <v>678</v>
      </c>
      <c r="H35" s="15"/>
      <c r="I35" s="14"/>
      <c r="J35" s="15"/>
      <c r="AA35" s="4" t="s">
        <v>610</v>
      </c>
    </row>
    <row r="36">
      <c r="A36" s="38" t="b">
        <v>0</v>
      </c>
      <c r="B36" s="4" t="s">
        <v>61</v>
      </c>
      <c r="C36" s="11" t="s">
        <v>623</v>
      </c>
      <c r="D36" s="17"/>
      <c r="E36" s="4" t="s">
        <v>550</v>
      </c>
      <c r="F36" s="5" t="s">
        <v>55</v>
      </c>
      <c r="G36" s="4" t="s">
        <v>627</v>
      </c>
      <c r="H36" s="15"/>
      <c r="I36" s="14"/>
      <c r="J36" s="15"/>
      <c r="AA36" s="4" t="s">
        <v>620</v>
      </c>
    </row>
    <row r="37">
      <c r="A37" s="4" t="b">
        <v>1</v>
      </c>
      <c r="B37" s="4" t="s">
        <v>55</v>
      </c>
      <c r="C37" s="11" t="s">
        <v>1020</v>
      </c>
      <c r="D37" s="11" t="s">
        <v>1021</v>
      </c>
      <c r="E37" s="4" t="s">
        <v>550</v>
      </c>
      <c r="F37" s="5" t="s">
        <v>55</v>
      </c>
      <c r="G37" s="4" t="s">
        <v>455</v>
      </c>
      <c r="H37" s="15"/>
      <c r="I37" s="14"/>
      <c r="J37" s="15"/>
      <c r="AA37" s="4" t="s">
        <v>629</v>
      </c>
    </row>
    <row r="38">
      <c r="A38" s="4" t="b">
        <v>1</v>
      </c>
      <c r="B38" s="4" t="s">
        <v>55</v>
      </c>
      <c r="C38" s="11" t="s">
        <v>1374</v>
      </c>
      <c r="D38" s="11" t="s">
        <v>1375</v>
      </c>
      <c r="E38" s="4" t="s">
        <v>550</v>
      </c>
      <c r="F38" s="5" t="s">
        <v>55</v>
      </c>
      <c r="G38" s="4" t="s">
        <v>455</v>
      </c>
      <c r="H38" s="15"/>
      <c r="I38" s="14"/>
      <c r="J38" s="15"/>
      <c r="AA38" s="4" t="s">
        <v>645</v>
      </c>
    </row>
    <row r="39">
      <c r="A39" s="38" t="b">
        <v>0</v>
      </c>
      <c r="B39" s="4" t="s">
        <v>55</v>
      </c>
      <c r="C39" s="11" t="s">
        <v>1389</v>
      </c>
      <c r="D39" s="11" t="s">
        <v>1391</v>
      </c>
      <c r="E39" s="4" t="s">
        <v>550</v>
      </c>
      <c r="F39" s="5" t="s">
        <v>55</v>
      </c>
      <c r="G39" s="4" t="s">
        <v>531</v>
      </c>
      <c r="H39" s="15"/>
      <c r="I39" s="14"/>
      <c r="J39" s="15"/>
      <c r="AA39" s="4" t="s">
        <v>656</v>
      </c>
    </row>
    <row r="40">
      <c r="A40" s="38" t="b">
        <v>0</v>
      </c>
      <c r="B40" s="4" t="s">
        <v>55</v>
      </c>
      <c r="C40" s="11" t="s">
        <v>1408</v>
      </c>
      <c r="D40" s="11" t="s">
        <v>1410</v>
      </c>
      <c r="E40" s="4" t="s">
        <v>550</v>
      </c>
      <c r="F40" s="5" t="s">
        <v>55</v>
      </c>
      <c r="G40" s="4" t="s">
        <v>531</v>
      </c>
      <c r="H40" s="15"/>
      <c r="I40" s="45"/>
      <c r="J40" s="15"/>
      <c r="AA40" s="4" t="s">
        <v>665</v>
      </c>
    </row>
    <row r="41">
      <c r="A41" s="4" t="b">
        <v>1</v>
      </c>
      <c r="B41" s="4" t="s">
        <v>55</v>
      </c>
      <c r="C41" s="11" t="s">
        <v>934</v>
      </c>
      <c r="D41" s="11" t="s">
        <v>937</v>
      </c>
      <c r="E41" s="4" t="s">
        <v>550</v>
      </c>
      <c r="F41" s="5" t="s">
        <v>55</v>
      </c>
      <c r="G41" s="4" t="s">
        <v>455</v>
      </c>
      <c r="H41" s="15"/>
      <c r="I41" s="45"/>
      <c r="J41" s="15"/>
      <c r="AA41" s="4" t="s">
        <v>679</v>
      </c>
    </row>
    <row r="42">
      <c r="A42" s="4" t="b">
        <v>0</v>
      </c>
      <c r="B42" s="4" t="s">
        <v>37</v>
      </c>
      <c r="C42" s="11" t="s">
        <v>1465</v>
      </c>
      <c r="D42" s="11" t="s">
        <v>1467</v>
      </c>
      <c r="E42" s="4" t="s">
        <v>622</v>
      </c>
      <c r="F42" s="5"/>
      <c r="G42" s="4" t="s">
        <v>627</v>
      </c>
      <c r="H42" s="15"/>
      <c r="I42" s="45"/>
      <c r="J42" s="15"/>
      <c r="AA42" s="4" t="s">
        <v>688</v>
      </c>
    </row>
    <row r="43">
      <c r="A43" s="4" t="b">
        <v>0</v>
      </c>
      <c r="B43" s="4" t="s">
        <v>42</v>
      </c>
      <c r="C43" s="23" t="s">
        <v>1491</v>
      </c>
      <c r="D43" s="47" t="s">
        <v>1494</v>
      </c>
      <c r="E43" s="4" t="s">
        <v>622</v>
      </c>
      <c r="F43" s="5"/>
      <c r="G43" s="4" t="s">
        <v>627</v>
      </c>
      <c r="H43" s="15"/>
      <c r="I43" s="45"/>
      <c r="J43" s="15"/>
      <c r="AA43" s="4" t="s">
        <v>696</v>
      </c>
    </row>
    <row r="44">
      <c r="A44" s="4" t="b">
        <v>0</v>
      </c>
      <c r="B44" s="4" t="s">
        <v>55</v>
      </c>
      <c r="C44" s="48" t="s">
        <v>708</v>
      </c>
      <c r="D44" s="17"/>
      <c r="E44" s="4" t="s">
        <v>622</v>
      </c>
      <c r="F44" s="5"/>
      <c r="G44" s="4" t="s">
        <v>627</v>
      </c>
      <c r="H44" s="15"/>
      <c r="I44" s="45"/>
      <c r="J44" s="15"/>
      <c r="AA44" s="4" t="s">
        <v>706</v>
      </c>
    </row>
    <row r="45">
      <c r="A45" s="4" t="b">
        <v>0</v>
      </c>
      <c r="B45" s="4" t="s">
        <v>55</v>
      </c>
      <c r="C45" s="23" t="s">
        <v>717</v>
      </c>
      <c r="D45" s="17"/>
      <c r="E45" s="4" t="s">
        <v>622</v>
      </c>
      <c r="F45" s="5"/>
      <c r="G45" s="4" t="s">
        <v>627</v>
      </c>
      <c r="H45" s="15"/>
      <c r="I45" s="45"/>
      <c r="J45" s="15"/>
      <c r="AA45" s="4" t="s">
        <v>714</v>
      </c>
    </row>
    <row r="46">
      <c r="A46" s="4" t="b">
        <v>0</v>
      </c>
      <c r="B46" s="4" t="s">
        <v>55</v>
      </c>
      <c r="C46" s="23" t="s">
        <v>726</v>
      </c>
      <c r="D46" s="17"/>
      <c r="E46" s="4" t="s">
        <v>622</v>
      </c>
      <c r="F46" s="5"/>
      <c r="G46" s="4" t="s">
        <v>627</v>
      </c>
      <c r="H46" s="15"/>
      <c r="I46" s="45"/>
      <c r="J46" s="15"/>
      <c r="AA46" s="4" t="s">
        <v>724</v>
      </c>
    </row>
    <row r="47">
      <c r="A47" s="4" t="b">
        <v>0</v>
      </c>
      <c r="B47" s="4" t="s">
        <v>47</v>
      </c>
      <c r="C47" s="23" t="s">
        <v>735</v>
      </c>
      <c r="D47" s="17"/>
      <c r="E47" s="4" t="s">
        <v>622</v>
      </c>
      <c r="F47" s="5"/>
      <c r="G47" s="4" t="s">
        <v>627</v>
      </c>
      <c r="H47" s="15"/>
      <c r="I47" s="45"/>
      <c r="J47" s="15"/>
      <c r="AA47" s="4" t="s">
        <v>732</v>
      </c>
    </row>
    <row r="48">
      <c r="A48" s="4" t="b">
        <v>0</v>
      </c>
      <c r="B48" s="4" t="s">
        <v>55</v>
      </c>
      <c r="C48" s="48" t="s">
        <v>1612</v>
      </c>
      <c r="D48" s="11" t="s">
        <v>1615</v>
      </c>
      <c r="E48" s="4" t="s">
        <v>622</v>
      </c>
      <c r="F48" s="5"/>
      <c r="G48" s="4" t="s">
        <v>627</v>
      </c>
      <c r="H48" s="15"/>
      <c r="I48" s="45"/>
      <c r="J48" s="15"/>
      <c r="AA48" s="4" t="s">
        <v>742</v>
      </c>
    </row>
    <row r="49">
      <c r="A49" s="4" t="b">
        <v>0</v>
      </c>
      <c r="B49" s="4" t="s">
        <v>55</v>
      </c>
      <c r="C49" s="23" t="s">
        <v>755</v>
      </c>
      <c r="D49" s="17"/>
      <c r="E49" s="4" t="s">
        <v>622</v>
      </c>
      <c r="F49" s="5" t="s">
        <v>55</v>
      </c>
      <c r="G49" s="4" t="s">
        <v>627</v>
      </c>
      <c r="H49" s="15"/>
      <c r="I49" s="45"/>
      <c r="J49" s="15"/>
      <c r="AA49" s="4" t="s">
        <v>753</v>
      </c>
    </row>
    <row r="50">
      <c r="A50" s="4" t="b">
        <v>0</v>
      </c>
      <c r="B50" s="4" t="s">
        <v>58</v>
      </c>
      <c r="C50" s="23" t="s">
        <v>764</v>
      </c>
      <c r="D50" s="17"/>
      <c r="E50" s="4" t="s">
        <v>622</v>
      </c>
      <c r="F50" s="5"/>
      <c r="G50" s="4" t="s">
        <v>627</v>
      </c>
      <c r="H50" s="15"/>
      <c r="I50" s="45"/>
      <c r="J50" s="15"/>
      <c r="AA50" s="4" t="s">
        <v>762</v>
      </c>
    </row>
    <row r="51">
      <c r="A51" s="38" t="b">
        <v>0</v>
      </c>
      <c r="B51" s="4" t="s">
        <v>47</v>
      </c>
      <c r="C51" s="48" t="s">
        <v>772</v>
      </c>
      <c r="D51" s="17"/>
      <c r="E51" s="4" t="s">
        <v>622</v>
      </c>
      <c r="F51" s="5" t="s">
        <v>55</v>
      </c>
      <c r="G51" s="4" t="s">
        <v>698</v>
      </c>
      <c r="H51" s="15"/>
      <c r="I51" s="45"/>
      <c r="J51" s="15"/>
      <c r="AA51" s="4" t="s">
        <v>771</v>
      </c>
    </row>
    <row r="52">
      <c r="A52" s="4" t="b">
        <v>0</v>
      </c>
      <c r="B52" s="4" t="s">
        <v>55</v>
      </c>
      <c r="C52" s="11" t="s">
        <v>780</v>
      </c>
      <c r="D52" s="11" t="s">
        <v>784</v>
      </c>
      <c r="E52" s="4" t="s">
        <v>501</v>
      </c>
      <c r="F52" s="5" t="s">
        <v>55</v>
      </c>
      <c r="G52" s="4" t="s">
        <v>698</v>
      </c>
      <c r="H52" s="15"/>
      <c r="I52" s="45"/>
      <c r="J52" s="15"/>
      <c r="AA52" s="4" t="s">
        <v>779</v>
      </c>
    </row>
    <row r="53">
      <c r="A53" s="4" t="b">
        <v>1</v>
      </c>
      <c r="B53" s="4" t="s">
        <v>55</v>
      </c>
      <c r="C53" s="11" t="s">
        <v>505</v>
      </c>
      <c r="D53" s="17"/>
      <c r="E53" s="4" t="s">
        <v>501</v>
      </c>
      <c r="F53" s="5" t="s">
        <v>55</v>
      </c>
      <c r="G53" s="4" t="s">
        <v>455</v>
      </c>
      <c r="H53" s="15"/>
      <c r="I53" s="45"/>
      <c r="J53" s="15"/>
      <c r="AA53" s="4" t="s">
        <v>792</v>
      </c>
    </row>
    <row r="54">
      <c r="A54" s="4" t="b">
        <v>1</v>
      </c>
      <c r="B54" s="4" t="s">
        <v>37</v>
      </c>
      <c r="C54" s="11" t="s">
        <v>886</v>
      </c>
      <c r="D54" s="11" t="s">
        <v>847</v>
      </c>
      <c r="E54" s="4" t="s">
        <v>501</v>
      </c>
      <c r="F54" s="5" t="s">
        <v>55</v>
      </c>
      <c r="G54" s="4" t="s">
        <v>455</v>
      </c>
      <c r="H54" s="15"/>
      <c r="I54" s="45"/>
      <c r="J54" s="15"/>
      <c r="AA54" s="4" t="s">
        <v>800</v>
      </c>
    </row>
    <row r="55">
      <c r="A55" s="4" t="b">
        <v>0</v>
      </c>
      <c r="B55" s="4" t="s">
        <v>55</v>
      </c>
      <c r="C55" s="11" t="s">
        <v>721</v>
      </c>
      <c r="D55" s="11" t="s">
        <v>723</v>
      </c>
      <c r="E55" s="4" t="s">
        <v>501</v>
      </c>
      <c r="F55" s="5" t="s">
        <v>55</v>
      </c>
      <c r="G55" s="4" t="s">
        <v>698</v>
      </c>
      <c r="H55" s="15"/>
      <c r="I55" s="45"/>
      <c r="J55" s="15"/>
      <c r="AA55" s="4" t="s">
        <v>811</v>
      </c>
    </row>
    <row r="56">
      <c r="A56" s="4" t="b">
        <v>0</v>
      </c>
      <c r="B56" s="4" t="s">
        <v>42</v>
      </c>
      <c r="C56" s="11" t="s">
        <v>661</v>
      </c>
      <c r="D56" s="11" t="s">
        <v>672</v>
      </c>
      <c r="E56" s="4" t="s">
        <v>501</v>
      </c>
      <c r="F56" s="5" t="s">
        <v>55</v>
      </c>
      <c r="G56" s="4" t="s">
        <v>455</v>
      </c>
      <c r="H56" s="15"/>
      <c r="I56" s="45"/>
      <c r="J56" s="15"/>
      <c r="AA56" s="4" t="s">
        <v>821</v>
      </c>
    </row>
    <row r="57">
      <c r="A57" s="4" t="b">
        <v>0</v>
      </c>
      <c r="B57" s="4" t="s">
        <v>35</v>
      </c>
      <c r="C57" s="11" t="s">
        <v>804</v>
      </c>
      <c r="D57" s="11" t="s">
        <v>806</v>
      </c>
      <c r="E57" s="4" t="s">
        <v>501</v>
      </c>
      <c r="F57" s="5" t="s">
        <v>55</v>
      </c>
      <c r="G57" s="4" t="s">
        <v>455</v>
      </c>
      <c r="H57" s="15"/>
      <c r="I57" s="45"/>
      <c r="J57" s="15"/>
      <c r="AA57" s="4" t="s">
        <v>829</v>
      </c>
    </row>
    <row r="58">
      <c r="A58" s="38" t="b">
        <v>0</v>
      </c>
      <c r="B58" s="4" t="s">
        <v>55</v>
      </c>
      <c r="C58" s="11" t="s">
        <v>1808</v>
      </c>
      <c r="D58" s="11" t="s">
        <v>1809</v>
      </c>
      <c r="E58" s="4" t="s">
        <v>1225</v>
      </c>
      <c r="F58" s="5" t="s">
        <v>601</v>
      </c>
      <c r="G58" s="4" t="s">
        <v>455</v>
      </c>
      <c r="H58" s="15"/>
      <c r="I58" s="45"/>
      <c r="J58" s="15"/>
      <c r="AA58" s="4" t="s">
        <v>835</v>
      </c>
    </row>
    <row r="59">
      <c r="A59" s="4" t="b">
        <v>0</v>
      </c>
      <c r="B59" s="4" t="s">
        <v>55</v>
      </c>
      <c r="C59" s="11" t="s">
        <v>1826</v>
      </c>
      <c r="D59" s="11" t="s">
        <v>1829</v>
      </c>
      <c r="E59" s="4" t="s">
        <v>1225</v>
      </c>
      <c r="F59" s="5" t="s">
        <v>601</v>
      </c>
      <c r="G59" s="4" t="s">
        <v>698</v>
      </c>
      <c r="H59" s="15"/>
      <c r="I59" s="45"/>
      <c r="J59" s="15"/>
      <c r="AA59" s="4" t="s">
        <v>845</v>
      </c>
    </row>
    <row r="60">
      <c r="A60" s="38" t="b">
        <v>0</v>
      </c>
      <c r="B60" s="4" t="s">
        <v>55</v>
      </c>
      <c r="C60" s="13" t="s">
        <v>1848</v>
      </c>
      <c r="D60" s="11" t="s">
        <v>1849</v>
      </c>
      <c r="E60" s="4" t="s">
        <v>1225</v>
      </c>
      <c r="F60" s="5" t="s">
        <v>601</v>
      </c>
      <c r="G60" s="4" t="s">
        <v>455</v>
      </c>
      <c r="H60" s="15"/>
      <c r="I60" s="45"/>
      <c r="J60" s="15"/>
      <c r="AA60" s="4" t="s">
        <v>855</v>
      </c>
    </row>
    <row r="61">
      <c r="A61" s="38" t="b">
        <v>0</v>
      </c>
      <c r="B61" s="4" t="s">
        <v>55</v>
      </c>
      <c r="C61" s="11" t="s">
        <v>1869</v>
      </c>
      <c r="D61" s="11" t="s">
        <v>1870</v>
      </c>
      <c r="E61" s="4" t="s">
        <v>1225</v>
      </c>
      <c r="F61" s="5" t="s">
        <v>601</v>
      </c>
      <c r="G61" s="4" t="s">
        <v>455</v>
      </c>
      <c r="H61" s="15"/>
      <c r="I61" s="45"/>
      <c r="J61" s="15"/>
      <c r="AA61" s="4" t="s">
        <v>863</v>
      </c>
    </row>
    <row r="62">
      <c r="A62" s="38" t="b">
        <v>0</v>
      </c>
      <c r="B62" s="4" t="s">
        <v>35</v>
      </c>
      <c r="C62" s="11" t="s">
        <v>1886</v>
      </c>
      <c r="D62" s="11" t="s">
        <v>1889</v>
      </c>
      <c r="E62" s="4" t="s">
        <v>1225</v>
      </c>
      <c r="F62" s="5" t="s">
        <v>601</v>
      </c>
      <c r="G62" s="4" t="s">
        <v>455</v>
      </c>
      <c r="H62" s="15"/>
      <c r="I62" s="45"/>
      <c r="J62" s="15"/>
      <c r="AA62" s="4" t="s">
        <v>871</v>
      </c>
    </row>
    <row r="63">
      <c r="A63" s="4" t="b">
        <v>0</v>
      </c>
      <c r="B63" s="4" t="s">
        <v>55</v>
      </c>
      <c r="C63" s="11" t="s">
        <v>882</v>
      </c>
      <c r="D63" s="17"/>
      <c r="E63" s="4" t="s">
        <v>1225</v>
      </c>
      <c r="F63" s="5" t="s">
        <v>601</v>
      </c>
      <c r="G63" s="4" t="s">
        <v>455</v>
      </c>
      <c r="H63" s="15"/>
      <c r="I63" s="45"/>
      <c r="J63" s="15"/>
      <c r="AA63" s="4" t="s">
        <v>879</v>
      </c>
    </row>
    <row r="64">
      <c r="A64" s="38" t="b">
        <v>0</v>
      </c>
      <c r="B64" s="4" t="s">
        <v>55</v>
      </c>
      <c r="C64" s="11" t="s">
        <v>1923</v>
      </c>
      <c r="D64" s="11" t="s">
        <v>1925</v>
      </c>
      <c r="E64" s="4" t="s">
        <v>1225</v>
      </c>
      <c r="F64" s="5" t="s">
        <v>601</v>
      </c>
      <c r="G64" s="4" t="s">
        <v>455</v>
      </c>
      <c r="H64" s="15"/>
      <c r="I64" s="45"/>
      <c r="J64" s="15"/>
      <c r="AA64" s="4" t="s">
        <v>890</v>
      </c>
    </row>
    <row r="65">
      <c r="A65" s="38" t="b">
        <v>0</v>
      </c>
      <c r="B65" s="4" t="s">
        <v>30</v>
      </c>
      <c r="C65" s="13" t="s">
        <v>1941</v>
      </c>
      <c r="D65" s="11" t="s">
        <v>1942</v>
      </c>
      <c r="E65" s="4" t="s">
        <v>671</v>
      </c>
      <c r="F65" s="5" t="s">
        <v>55</v>
      </c>
      <c r="G65" s="4" t="s">
        <v>455</v>
      </c>
      <c r="H65" s="15"/>
      <c r="I65" s="45"/>
      <c r="J65" s="15"/>
      <c r="AA65" s="4" t="s">
        <v>898</v>
      </c>
    </row>
    <row r="66">
      <c r="A66" s="4" t="b">
        <v>1</v>
      </c>
      <c r="B66" s="4" t="s">
        <v>30</v>
      </c>
      <c r="C66" s="11" t="s">
        <v>909</v>
      </c>
      <c r="D66" s="17"/>
      <c r="E66" s="4" t="s">
        <v>1959</v>
      </c>
      <c r="F66" s="5" t="s">
        <v>55</v>
      </c>
      <c r="G66" s="4" t="s">
        <v>455</v>
      </c>
      <c r="H66" s="15"/>
      <c r="I66" s="45"/>
      <c r="J66" s="15"/>
      <c r="AA66" s="4" t="s">
        <v>906</v>
      </c>
    </row>
    <row r="67">
      <c r="A67" s="38" t="b">
        <v>0</v>
      </c>
      <c r="B67" s="4" t="s">
        <v>55</v>
      </c>
      <c r="C67" s="11" t="s">
        <v>920</v>
      </c>
      <c r="D67" s="17"/>
      <c r="E67" s="4" t="s">
        <v>1225</v>
      </c>
      <c r="F67" s="5" t="s">
        <v>601</v>
      </c>
      <c r="G67" s="4" t="s">
        <v>455</v>
      </c>
      <c r="H67" s="15"/>
      <c r="I67" s="45"/>
      <c r="J67" s="15"/>
      <c r="AA67" s="4" t="s">
        <v>916</v>
      </c>
    </row>
    <row r="68">
      <c r="A68" s="38" t="b">
        <v>0</v>
      </c>
      <c r="B68" s="4" t="s">
        <v>55</v>
      </c>
      <c r="C68" s="11" t="s">
        <v>1990</v>
      </c>
      <c r="D68" s="11" t="s">
        <v>1992</v>
      </c>
      <c r="E68" s="4" t="s">
        <v>1225</v>
      </c>
      <c r="F68" s="5" t="s">
        <v>601</v>
      </c>
      <c r="G68" s="4" t="s">
        <v>455</v>
      </c>
      <c r="H68" s="15"/>
      <c r="I68" s="45"/>
      <c r="J68" s="15"/>
      <c r="AA68" s="4" t="s">
        <v>929</v>
      </c>
    </row>
    <row r="69">
      <c r="A69" s="38" t="b">
        <v>0</v>
      </c>
      <c r="B69" s="4" t="s">
        <v>61</v>
      </c>
      <c r="C69" s="11" t="s">
        <v>940</v>
      </c>
      <c r="D69" s="17"/>
      <c r="E69" s="4" t="s">
        <v>550</v>
      </c>
      <c r="F69" s="5" t="s">
        <v>55</v>
      </c>
      <c r="G69" s="4" t="s">
        <v>627</v>
      </c>
      <c r="H69" s="15"/>
      <c r="I69" s="54"/>
      <c r="J69" s="15"/>
      <c r="AA69" s="4" t="s">
        <v>939</v>
      </c>
    </row>
    <row r="70">
      <c r="A70" s="4" t="b">
        <v>1</v>
      </c>
      <c r="B70" s="4" t="s">
        <v>55</v>
      </c>
      <c r="C70" s="11" t="s">
        <v>2036</v>
      </c>
      <c r="D70" s="11" t="s">
        <v>2037</v>
      </c>
      <c r="E70" s="4" t="s">
        <v>574</v>
      </c>
      <c r="F70" s="5" t="s">
        <v>2044</v>
      </c>
      <c r="G70" s="4" t="s">
        <v>455</v>
      </c>
      <c r="H70" s="15"/>
      <c r="I70" s="14"/>
      <c r="J70" s="15"/>
      <c r="AA70" s="4" t="s">
        <v>947</v>
      </c>
    </row>
    <row r="71">
      <c r="A71" s="4" t="b">
        <v>1</v>
      </c>
      <c r="B71" s="4" t="s">
        <v>55</v>
      </c>
      <c r="C71" s="11" t="s">
        <v>2060</v>
      </c>
      <c r="D71" s="11" t="s">
        <v>2061</v>
      </c>
      <c r="E71" s="4" t="s">
        <v>550</v>
      </c>
      <c r="F71" s="5" t="s">
        <v>55</v>
      </c>
      <c r="G71" s="4" t="s">
        <v>455</v>
      </c>
      <c r="H71" s="15"/>
      <c r="I71" s="54"/>
      <c r="J71" s="15"/>
      <c r="AA71" s="4" t="s">
        <v>955</v>
      </c>
    </row>
    <row r="72">
      <c r="A72" s="38" t="b">
        <v>0</v>
      </c>
      <c r="B72" s="4" t="s">
        <v>61</v>
      </c>
      <c r="C72" s="11" t="s">
        <v>2096</v>
      </c>
      <c r="D72" s="11" t="s">
        <v>2098</v>
      </c>
      <c r="E72" s="4" t="s">
        <v>550</v>
      </c>
      <c r="F72" s="5" t="s">
        <v>55</v>
      </c>
      <c r="G72" s="4" t="s">
        <v>627</v>
      </c>
      <c r="H72" s="15"/>
      <c r="I72" s="14"/>
      <c r="J72" s="15"/>
      <c r="AA72" s="4" t="s">
        <v>968</v>
      </c>
    </row>
    <row r="73">
      <c r="A73" s="38" t="b">
        <v>0</v>
      </c>
      <c r="B73" s="4" t="s">
        <v>61</v>
      </c>
      <c r="C73" s="11" t="s">
        <v>2119</v>
      </c>
      <c r="D73" s="11" t="s">
        <v>2098</v>
      </c>
      <c r="E73" s="4" t="s">
        <v>550</v>
      </c>
      <c r="F73" s="5" t="s">
        <v>55</v>
      </c>
      <c r="G73" s="4" t="s">
        <v>627</v>
      </c>
      <c r="H73" s="15"/>
      <c r="I73" s="14"/>
      <c r="J73" s="15"/>
      <c r="AA73" s="4" t="s">
        <v>987</v>
      </c>
    </row>
    <row r="74">
      <c r="A74" s="4" t="b">
        <v>0</v>
      </c>
      <c r="B74" s="4" t="s">
        <v>35</v>
      </c>
      <c r="C74" s="11" t="s">
        <v>2138</v>
      </c>
      <c r="D74" s="11" t="s">
        <v>668</v>
      </c>
      <c r="E74" s="4" t="s">
        <v>671</v>
      </c>
      <c r="F74" s="5" t="s">
        <v>436</v>
      </c>
      <c r="G74" s="4" t="s">
        <v>649</v>
      </c>
      <c r="H74" s="15"/>
      <c r="I74" s="45"/>
      <c r="J74" s="15"/>
      <c r="AA74" s="4" t="s">
        <v>994</v>
      </c>
    </row>
    <row r="75">
      <c r="A75" s="4" t="b">
        <v>0</v>
      </c>
      <c r="B75" s="4" t="s">
        <v>49</v>
      </c>
      <c r="C75" s="11" t="s">
        <v>2159</v>
      </c>
      <c r="D75" s="11" t="s">
        <v>2162</v>
      </c>
      <c r="E75" s="4" t="s">
        <v>671</v>
      </c>
      <c r="F75" s="5" t="s">
        <v>55</v>
      </c>
      <c r="G75" s="4" t="s">
        <v>455</v>
      </c>
      <c r="H75" s="15"/>
      <c r="I75" s="45"/>
      <c r="J75" s="15"/>
      <c r="AA75" s="4" t="s">
        <v>1004</v>
      </c>
    </row>
    <row r="76">
      <c r="A76" s="4" t="b">
        <v>0</v>
      </c>
      <c r="B76" s="4" t="s">
        <v>35</v>
      </c>
      <c r="C76" s="11" t="s">
        <v>2182</v>
      </c>
      <c r="D76" s="11" t="s">
        <v>668</v>
      </c>
      <c r="E76" s="4" t="s">
        <v>671</v>
      </c>
      <c r="F76" s="5" t="s">
        <v>436</v>
      </c>
      <c r="G76" s="4" t="s">
        <v>649</v>
      </c>
      <c r="H76" s="15"/>
      <c r="I76" s="45"/>
      <c r="J76" s="15"/>
      <c r="AA76" s="4" t="s">
        <v>1013</v>
      </c>
    </row>
    <row r="77">
      <c r="A77" s="4" t="b">
        <v>0</v>
      </c>
      <c r="B77" s="4" t="s">
        <v>61</v>
      </c>
      <c r="C77" s="11" t="s">
        <v>2198</v>
      </c>
      <c r="D77" s="11" t="s">
        <v>2201</v>
      </c>
      <c r="E77" s="4" t="s">
        <v>1959</v>
      </c>
      <c r="F77" s="5" t="s">
        <v>436</v>
      </c>
      <c r="G77" s="4" t="s">
        <v>627</v>
      </c>
      <c r="H77" s="15"/>
      <c r="I77" s="45"/>
      <c r="J77" s="15"/>
      <c r="AA77" s="4" t="s">
        <v>1027</v>
      </c>
    </row>
    <row r="78">
      <c r="A78" s="4" t="b">
        <v>0</v>
      </c>
      <c r="B78" s="4" t="s">
        <v>43</v>
      </c>
      <c r="C78" s="11" t="s">
        <v>2232</v>
      </c>
      <c r="D78" s="11" t="s">
        <v>2235</v>
      </c>
      <c r="E78" s="4" t="s">
        <v>501</v>
      </c>
      <c r="F78" s="5" t="s">
        <v>55</v>
      </c>
      <c r="G78" s="4" t="s">
        <v>455</v>
      </c>
      <c r="H78" s="15"/>
      <c r="I78" s="45"/>
      <c r="J78" s="15"/>
      <c r="AA78" s="4" t="s">
        <v>1036</v>
      </c>
    </row>
    <row r="79">
      <c r="A79" s="4" t="b">
        <v>0</v>
      </c>
      <c r="B79" s="4" t="s">
        <v>55</v>
      </c>
      <c r="C79" s="11" t="s">
        <v>2257</v>
      </c>
      <c r="D79" s="11" t="s">
        <v>2259</v>
      </c>
      <c r="E79" s="4" t="s">
        <v>671</v>
      </c>
      <c r="F79" s="5" t="s">
        <v>55</v>
      </c>
      <c r="G79" s="4" t="s">
        <v>455</v>
      </c>
      <c r="H79" s="15"/>
      <c r="I79" s="45"/>
      <c r="J79" s="15"/>
      <c r="AA79" s="4" t="s">
        <v>1044</v>
      </c>
    </row>
    <row r="80">
      <c r="A80" s="4" t="b">
        <v>1</v>
      </c>
      <c r="B80" s="4" t="s">
        <v>55</v>
      </c>
      <c r="C80" s="11" t="s">
        <v>1056</v>
      </c>
      <c r="D80" s="11"/>
      <c r="E80" s="4" t="s">
        <v>574</v>
      </c>
      <c r="F80" s="5" t="s">
        <v>926</v>
      </c>
      <c r="G80" s="4" t="s">
        <v>455</v>
      </c>
      <c r="H80" s="15"/>
      <c r="I80" s="45"/>
      <c r="J80" s="15"/>
      <c r="AA80" s="4" t="s">
        <v>1055</v>
      </c>
    </row>
    <row r="81">
      <c r="A81" s="4" t="b">
        <v>1</v>
      </c>
      <c r="B81" s="4" t="s">
        <v>35</v>
      </c>
      <c r="C81" s="11" t="s">
        <v>2172</v>
      </c>
      <c r="D81" s="11" t="s">
        <v>2175</v>
      </c>
      <c r="E81" s="4" t="s">
        <v>1959</v>
      </c>
      <c r="F81" s="5" t="s">
        <v>436</v>
      </c>
      <c r="G81" s="4" t="s">
        <v>455</v>
      </c>
      <c r="H81" s="15"/>
      <c r="I81" s="45"/>
      <c r="J81" s="15"/>
      <c r="AA81" s="4" t="s">
        <v>1061</v>
      </c>
    </row>
    <row r="82">
      <c r="A82" s="4" t="b">
        <v>1</v>
      </c>
      <c r="B82" s="4" t="s">
        <v>43</v>
      </c>
      <c r="C82" s="11" t="s">
        <v>2129</v>
      </c>
      <c r="D82" s="11" t="s">
        <v>2130</v>
      </c>
      <c r="E82" s="4" t="s">
        <v>1959</v>
      </c>
      <c r="F82" s="5" t="s">
        <v>55</v>
      </c>
      <c r="G82" s="4" t="s">
        <v>455</v>
      </c>
      <c r="H82" s="15"/>
      <c r="I82" s="45"/>
      <c r="J82" s="15"/>
      <c r="AA82" s="4" t="s">
        <v>1074</v>
      </c>
    </row>
    <row r="83">
      <c r="A83" s="4" t="b">
        <v>1</v>
      </c>
      <c r="B83" s="4" t="s">
        <v>55</v>
      </c>
      <c r="C83" s="11" t="s">
        <v>2223</v>
      </c>
      <c r="D83" s="11" t="s">
        <v>2225</v>
      </c>
      <c r="E83" s="4" t="s">
        <v>1959</v>
      </c>
      <c r="F83" s="5" t="s">
        <v>55</v>
      </c>
      <c r="G83" s="4" t="s">
        <v>678</v>
      </c>
      <c r="H83" s="15"/>
      <c r="I83" s="45"/>
      <c r="J83" s="15"/>
      <c r="AA83" s="4" t="s">
        <v>1082</v>
      </c>
    </row>
    <row r="84">
      <c r="A84" s="4" t="b">
        <v>0</v>
      </c>
      <c r="B84" s="4" t="s">
        <v>43</v>
      </c>
      <c r="C84" s="11" t="s">
        <v>1089</v>
      </c>
      <c r="D84" s="11"/>
      <c r="E84" s="4" t="s">
        <v>1959</v>
      </c>
      <c r="F84" s="5" t="s">
        <v>55</v>
      </c>
      <c r="G84" s="4" t="s">
        <v>455</v>
      </c>
      <c r="H84" s="15"/>
      <c r="I84" s="45"/>
      <c r="J84" s="15"/>
      <c r="AA84" s="4" t="s">
        <v>1088</v>
      </c>
    </row>
    <row r="85">
      <c r="A85" s="4" t="b">
        <v>0</v>
      </c>
      <c r="B85" s="4" t="s">
        <v>55</v>
      </c>
      <c r="C85" s="11" t="s">
        <v>1096</v>
      </c>
      <c r="D85" s="11"/>
      <c r="E85" s="4" t="s">
        <v>1959</v>
      </c>
      <c r="F85" s="5" t="s">
        <v>2044</v>
      </c>
      <c r="G85" s="4" t="s">
        <v>698</v>
      </c>
      <c r="H85" s="15"/>
      <c r="I85" s="45"/>
      <c r="J85" s="15"/>
      <c r="AA85" s="4" t="s">
        <v>1094</v>
      </c>
    </row>
    <row r="86">
      <c r="A86" s="4" t="b">
        <v>0</v>
      </c>
      <c r="B86" s="4" t="s">
        <v>55</v>
      </c>
      <c r="C86" s="11" t="s">
        <v>2150</v>
      </c>
      <c r="D86" s="11" t="s">
        <v>2152</v>
      </c>
      <c r="E86" s="4" t="s">
        <v>1959</v>
      </c>
      <c r="F86" s="5" t="s">
        <v>55</v>
      </c>
      <c r="G86" s="4" t="s">
        <v>678</v>
      </c>
      <c r="H86" s="15"/>
      <c r="I86" s="45"/>
      <c r="J86" s="15"/>
      <c r="AA86" s="4" t="s">
        <v>1102</v>
      </c>
    </row>
    <row r="87">
      <c r="A87" s="4" t="b">
        <v>1</v>
      </c>
      <c r="B87" s="4" t="s">
        <v>55</v>
      </c>
      <c r="C87" s="11" t="s">
        <v>2075</v>
      </c>
      <c r="D87" s="11" t="s">
        <v>2079</v>
      </c>
      <c r="E87" s="4" t="s">
        <v>1959</v>
      </c>
      <c r="F87" s="5" t="s">
        <v>55</v>
      </c>
      <c r="G87" s="4" t="s">
        <v>698</v>
      </c>
      <c r="H87" s="15"/>
      <c r="I87" s="45"/>
      <c r="J87" s="15"/>
      <c r="AA87" s="4" t="s">
        <v>1113</v>
      </c>
    </row>
    <row r="88">
      <c r="A88" s="4" t="b">
        <v>0</v>
      </c>
      <c r="B88" s="4" t="s">
        <v>55</v>
      </c>
      <c r="C88" s="11" t="s">
        <v>1123</v>
      </c>
      <c r="D88" s="11"/>
      <c r="E88" s="4" t="s">
        <v>1959</v>
      </c>
      <c r="F88" s="5" t="s">
        <v>55</v>
      </c>
      <c r="G88" s="4" t="s">
        <v>455</v>
      </c>
      <c r="H88" s="15"/>
      <c r="I88" s="45"/>
      <c r="J88" s="15"/>
      <c r="AA88" s="4" t="s">
        <v>1122</v>
      </c>
    </row>
    <row r="89">
      <c r="A89" s="4" t="b">
        <v>0</v>
      </c>
      <c r="B89" s="4" t="s">
        <v>55</v>
      </c>
      <c r="C89" s="11" t="s">
        <v>2356</v>
      </c>
      <c r="D89" s="11" t="s">
        <v>847</v>
      </c>
      <c r="E89" s="4" t="s">
        <v>501</v>
      </c>
      <c r="F89" s="5" t="s">
        <v>55</v>
      </c>
      <c r="G89" s="4" t="s">
        <v>455</v>
      </c>
      <c r="H89" s="15"/>
      <c r="I89" s="45"/>
      <c r="J89" s="15"/>
      <c r="AA89" s="4" t="s">
        <v>1147</v>
      </c>
    </row>
    <row r="90">
      <c r="A90" s="4" t="b">
        <v>0</v>
      </c>
      <c r="B90" s="4" t="s">
        <v>55</v>
      </c>
      <c r="C90" s="11" t="s">
        <v>1169</v>
      </c>
      <c r="D90" s="11"/>
      <c r="E90" s="4" t="s">
        <v>671</v>
      </c>
      <c r="F90" s="5" t="s">
        <v>55</v>
      </c>
      <c r="G90" s="4" t="s">
        <v>455</v>
      </c>
      <c r="H90" s="15"/>
      <c r="I90" s="45"/>
      <c r="J90" s="15"/>
      <c r="AA90" s="4" t="s">
        <v>1167</v>
      </c>
    </row>
    <row r="91">
      <c r="A91" s="4" t="b">
        <v>0</v>
      </c>
      <c r="B91" s="4" t="s">
        <v>55</v>
      </c>
      <c r="C91" s="11" t="s">
        <v>1207</v>
      </c>
      <c r="D91" s="11"/>
      <c r="E91" s="4" t="s">
        <v>622</v>
      </c>
      <c r="F91" s="5"/>
      <c r="G91" s="4" t="s">
        <v>627</v>
      </c>
      <c r="H91" s="15"/>
      <c r="I91" s="45"/>
      <c r="J91" s="15"/>
      <c r="AA91" s="4" t="s">
        <v>1206</v>
      </c>
    </row>
    <row r="92">
      <c r="A92" s="4" t="b">
        <v>0</v>
      </c>
      <c r="B92" s="4" t="s">
        <v>55</v>
      </c>
      <c r="C92" s="11" t="s">
        <v>2410</v>
      </c>
      <c r="D92" s="11" t="s">
        <v>2412</v>
      </c>
      <c r="E92" s="4" t="s">
        <v>671</v>
      </c>
      <c r="F92" s="5" t="s">
        <v>55</v>
      </c>
      <c r="G92" s="4" t="s">
        <v>455</v>
      </c>
      <c r="H92" s="15"/>
      <c r="I92" s="45"/>
      <c r="J92" s="15"/>
      <c r="AA92" s="4" t="s">
        <v>1246</v>
      </c>
    </row>
    <row r="93">
      <c r="A93" s="4" t="b">
        <v>0</v>
      </c>
      <c r="B93" s="4" t="s">
        <v>52</v>
      </c>
      <c r="C93" s="11" t="s">
        <v>2433</v>
      </c>
      <c r="D93" s="11" t="s">
        <v>2435</v>
      </c>
      <c r="E93" s="4" t="s">
        <v>671</v>
      </c>
      <c r="F93" s="5" t="s">
        <v>55</v>
      </c>
      <c r="G93" s="4" t="s">
        <v>455</v>
      </c>
      <c r="H93" s="15"/>
      <c r="I93" s="45"/>
      <c r="J93" s="15"/>
      <c r="AA93" s="4" t="s">
        <v>1259</v>
      </c>
    </row>
    <row r="94">
      <c r="A94" s="4" t="b">
        <v>0</v>
      </c>
      <c r="B94" s="4" t="s">
        <v>55</v>
      </c>
      <c r="C94" s="11" t="s">
        <v>2446</v>
      </c>
      <c r="D94" s="11" t="s">
        <v>2448</v>
      </c>
      <c r="E94" s="4" t="s">
        <v>671</v>
      </c>
      <c r="F94" s="5" t="s">
        <v>55</v>
      </c>
      <c r="G94" s="4" t="s">
        <v>455</v>
      </c>
      <c r="H94" s="15"/>
      <c r="I94" s="45"/>
      <c r="J94" s="15"/>
      <c r="AA94" s="4" t="s">
        <v>1287</v>
      </c>
    </row>
    <row r="95">
      <c r="A95" s="4" t="b">
        <v>0</v>
      </c>
      <c r="B95" s="4" t="s">
        <v>61</v>
      </c>
      <c r="C95" s="11" t="s">
        <v>2460</v>
      </c>
      <c r="D95" s="11" t="s">
        <v>2461</v>
      </c>
      <c r="E95" s="4" t="s">
        <v>550</v>
      </c>
      <c r="F95" s="5" t="s">
        <v>55</v>
      </c>
      <c r="G95" s="4" t="s">
        <v>627</v>
      </c>
      <c r="H95" s="15"/>
      <c r="I95" s="45"/>
      <c r="J95" s="15"/>
      <c r="AA95" s="4" t="s">
        <v>1308</v>
      </c>
    </row>
    <row r="96">
      <c r="A96" s="4" t="b">
        <v>0</v>
      </c>
      <c r="B96" s="4" t="s">
        <v>37</v>
      </c>
      <c r="C96" s="11" t="s">
        <v>2473</v>
      </c>
      <c r="D96" s="11" t="s">
        <v>2475</v>
      </c>
      <c r="E96" s="4" t="s">
        <v>671</v>
      </c>
      <c r="F96" s="5" t="s">
        <v>55</v>
      </c>
      <c r="G96" s="4" t="s">
        <v>455</v>
      </c>
      <c r="H96" s="15"/>
      <c r="I96" s="45"/>
      <c r="J96" s="15"/>
      <c r="AA96" s="4" t="s">
        <v>1320</v>
      </c>
    </row>
    <row r="97">
      <c r="A97" s="4" t="b">
        <v>1</v>
      </c>
      <c r="B97" s="4" t="s">
        <v>37</v>
      </c>
      <c r="C97" s="11" t="s">
        <v>2487</v>
      </c>
      <c r="D97" s="11" t="s">
        <v>2489</v>
      </c>
      <c r="E97" s="4" t="s">
        <v>622</v>
      </c>
      <c r="F97" s="5" t="s">
        <v>55</v>
      </c>
      <c r="G97" s="4" t="s">
        <v>455</v>
      </c>
      <c r="H97" s="15"/>
      <c r="I97" s="45"/>
      <c r="J97" s="15"/>
      <c r="AA97" s="4" t="s">
        <v>1502</v>
      </c>
    </row>
    <row r="98">
      <c r="A98" s="4" t="b">
        <v>0</v>
      </c>
      <c r="B98" s="4" t="s">
        <v>55</v>
      </c>
      <c r="C98" s="11" t="s">
        <v>1532</v>
      </c>
      <c r="D98" s="11"/>
      <c r="E98" s="4" t="s">
        <v>622</v>
      </c>
      <c r="F98" s="5"/>
      <c r="G98" s="4" t="s">
        <v>698</v>
      </c>
      <c r="H98" s="15"/>
      <c r="I98" s="45"/>
      <c r="J98" s="15"/>
      <c r="AA98" s="4" t="s">
        <v>1530</v>
      </c>
    </row>
    <row r="99">
      <c r="A99" s="4" t="b">
        <v>0</v>
      </c>
      <c r="B99" s="4" t="s">
        <v>61</v>
      </c>
      <c r="C99" s="11" t="s">
        <v>1560</v>
      </c>
      <c r="D99" s="11"/>
      <c r="E99" s="4" t="s">
        <v>550</v>
      </c>
      <c r="F99" s="5" t="s">
        <v>55</v>
      </c>
      <c r="G99" s="4" t="s">
        <v>698</v>
      </c>
      <c r="H99" s="15"/>
      <c r="I99" s="45"/>
      <c r="J99" s="15"/>
      <c r="AA99" s="4" t="s">
        <v>1557</v>
      </c>
    </row>
    <row r="100">
      <c r="A100" s="4" t="b">
        <v>1</v>
      </c>
      <c r="B100" s="4" t="s">
        <v>42</v>
      </c>
      <c r="C100" s="11" t="s">
        <v>1570</v>
      </c>
      <c r="D100" s="11"/>
      <c r="E100" s="4" t="s">
        <v>622</v>
      </c>
      <c r="F100" s="5" t="s">
        <v>55</v>
      </c>
      <c r="G100" s="4" t="s">
        <v>455</v>
      </c>
      <c r="H100" s="15"/>
      <c r="I100" s="45"/>
      <c r="J100" s="15"/>
      <c r="AA100" s="4" t="s">
        <v>1568</v>
      </c>
    </row>
    <row r="101">
      <c r="A101" s="4" t="b">
        <v>0</v>
      </c>
      <c r="B101" s="4" t="s">
        <v>58</v>
      </c>
      <c r="C101" s="11" t="s">
        <v>1581</v>
      </c>
      <c r="D101" s="11"/>
      <c r="E101" s="4" t="s">
        <v>574</v>
      </c>
      <c r="F101" s="5" t="s">
        <v>2044</v>
      </c>
      <c r="G101" s="4" t="s">
        <v>455</v>
      </c>
      <c r="H101" s="15"/>
      <c r="I101" s="45"/>
      <c r="J101" s="15"/>
      <c r="AA101" s="4" t="s">
        <v>1579</v>
      </c>
    </row>
    <row r="102">
      <c r="A102" s="4" t="b">
        <v>0</v>
      </c>
      <c r="B102" s="4" t="s">
        <v>61</v>
      </c>
      <c r="C102" s="11" t="s">
        <v>2198</v>
      </c>
      <c r="D102" s="11" t="s">
        <v>2537</v>
      </c>
      <c r="E102" s="4" t="s">
        <v>550</v>
      </c>
      <c r="F102" s="5" t="s">
        <v>55</v>
      </c>
      <c r="G102" s="4" t="s">
        <v>455</v>
      </c>
      <c r="H102" s="15"/>
      <c r="I102" s="45"/>
      <c r="J102" s="15"/>
      <c r="AA102" s="4" t="s">
        <v>1610</v>
      </c>
    </row>
    <row r="103">
      <c r="A103" s="4" t="b">
        <v>0</v>
      </c>
      <c r="B103" s="4" t="s">
        <v>61</v>
      </c>
      <c r="C103" s="11" t="s">
        <v>2553</v>
      </c>
      <c r="D103" s="11" t="s">
        <v>2554</v>
      </c>
      <c r="E103" s="4" t="s">
        <v>550</v>
      </c>
      <c r="F103" s="5" t="s">
        <v>55</v>
      </c>
      <c r="G103" s="4" t="s">
        <v>455</v>
      </c>
      <c r="H103" s="15"/>
      <c r="I103" s="45"/>
      <c r="J103" s="15"/>
      <c r="AA103" s="4" t="s">
        <v>1621</v>
      </c>
    </row>
    <row r="104">
      <c r="A104" s="4" t="b">
        <v>0</v>
      </c>
      <c r="B104" s="4" t="s">
        <v>61</v>
      </c>
      <c r="C104" s="11" t="s">
        <v>2663</v>
      </c>
      <c r="D104" s="11" t="s">
        <v>2554</v>
      </c>
      <c r="E104" s="4" t="s">
        <v>550</v>
      </c>
      <c r="F104" s="5" t="s">
        <v>55</v>
      </c>
      <c r="G104" s="4" t="s">
        <v>627</v>
      </c>
      <c r="H104" s="15"/>
      <c r="I104" s="45"/>
      <c r="J104" s="15"/>
      <c r="AA104" s="4" t="s">
        <v>1632</v>
      </c>
    </row>
    <row r="105">
      <c r="A105" s="4" t="b">
        <v>0</v>
      </c>
      <c r="B105" s="4" t="s">
        <v>61</v>
      </c>
      <c r="C105" s="11" t="s">
        <v>1715</v>
      </c>
      <c r="D105" s="11"/>
      <c r="E105" s="4" t="s">
        <v>550</v>
      </c>
      <c r="F105" s="5" t="s">
        <v>55</v>
      </c>
      <c r="G105" s="4" t="s">
        <v>698</v>
      </c>
      <c r="H105" s="15"/>
      <c r="I105" s="45"/>
      <c r="J105" s="15"/>
      <c r="AA105" s="4" t="s">
        <v>1713</v>
      </c>
    </row>
    <row r="106">
      <c r="A106" s="4" t="b">
        <v>0</v>
      </c>
      <c r="B106" s="4" t="s">
        <v>61</v>
      </c>
      <c r="C106" s="11" t="s">
        <v>1724</v>
      </c>
      <c r="D106" s="11"/>
      <c r="E106" s="4" t="s">
        <v>550</v>
      </c>
      <c r="F106" s="5"/>
      <c r="G106" s="4" t="s">
        <v>698</v>
      </c>
      <c r="H106" s="15"/>
      <c r="I106" s="45"/>
      <c r="J106" s="15"/>
      <c r="AA106" s="4" t="s">
        <v>1722</v>
      </c>
    </row>
    <row r="107">
      <c r="A107" s="4" t="b">
        <v>0</v>
      </c>
      <c r="B107" s="4" t="s">
        <v>61</v>
      </c>
      <c r="C107" s="11" t="s">
        <v>2027</v>
      </c>
      <c r="D107" s="11"/>
      <c r="E107" s="4" t="s">
        <v>501</v>
      </c>
      <c r="F107" s="5"/>
      <c r="G107" s="4" t="s">
        <v>455</v>
      </c>
      <c r="H107" s="15"/>
      <c r="I107" s="45"/>
      <c r="J107" s="15"/>
      <c r="AA107" s="4" t="s">
        <v>2025</v>
      </c>
    </row>
    <row r="108">
      <c r="A108" s="4" t="b">
        <v>1</v>
      </c>
      <c r="B108" s="4" t="s">
        <v>35</v>
      </c>
      <c r="C108" s="11" t="s">
        <v>2049</v>
      </c>
      <c r="D108" s="11"/>
      <c r="E108" s="4" t="s">
        <v>622</v>
      </c>
      <c r="F108" s="5" t="s">
        <v>55</v>
      </c>
      <c r="G108" s="4" t="s">
        <v>455</v>
      </c>
      <c r="H108" s="15"/>
      <c r="I108" s="45"/>
      <c r="J108" s="15"/>
      <c r="AA108" s="4" t="s">
        <v>2047</v>
      </c>
    </row>
    <row r="109">
      <c r="A109" s="4" t="b">
        <v>1</v>
      </c>
      <c r="B109" s="4" t="s">
        <v>37</v>
      </c>
      <c r="C109" s="11" t="s">
        <v>2736</v>
      </c>
      <c r="D109" s="11" t="s">
        <v>2737</v>
      </c>
      <c r="E109" s="4" t="s">
        <v>622</v>
      </c>
      <c r="F109" s="5" t="s">
        <v>55</v>
      </c>
      <c r="G109" s="4" t="s">
        <v>531</v>
      </c>
      <c r="H109" s="15"/>
      <c r="I109" s="45"/>
      <c r="J109" s="15"/>
      <c r="AA109" s="4" t="s">
        <v>2058</v>
      </c>
    </row>
    <row r="110">
      <c r="A110" s="4" t="b">
        <v>1</v>
      </c>
      <c r="B110" s="4" t="s">
        <v>42</v>
      </c>
      <c r="C110" s="11" t="s">
        <v>2074</v>
      </c>
      <c r="D110" s="11"/>
      <c r="E110" s="4" t="s">
        <v>622</v>
      </c>
      <c r="F110" s="5" t="s">
        <v>55</v>
      </c>
      <c r="G110" s="4" t="s">
        <v>455</v>
      </c>
      <c r="H110" s="15"/>
      <c r="I110" s="45"/>
      <c r="J110" s="15"/>
      <c r="AA110" s="4" t="s">
        <v>2073</v>
      </c>
    </row>
    <row r="111">
      <c r="A111" s="4" t="b">
        <v>0</v>
      </c>
      <c r="B111" s="4" t="s">
        <v>61</v>
      </c>
      <c r="C111" s="11" t="s">
        <v>2088</v>
      </c>
      <c r="D111" s="11"/>
      <c r="E111" s="4" t="s">
        <v>622</v>
      </c>
      <c r="F111" s="5" t="s">
        <v>55</v>
      </c>
      <c r="G111" s="4" t="s">
        <v>455</v>
      </c>
      <c r="H111" s="15"/>
      <c r="I111" s="45"/>
      <c r="J111" s="15"/>
      <c r="AA111" s="4" t="s">
        <v>2086</v>
      </c>
    </row>
    <row r="112">
      <c r="A112" s="4" t="b">
        <v>0</v>
      </c>
      <c r="B112" s="4" t="s">
        <v>61</v>
      </c>
      <c r="C112" s="11" t="s">
        <v>2102</v>
      </c>
      <c r="D112" s="11"/>
      <c r="E112" s="4" t="s">
        <v>622</v>
      </c>
      <c r="F112" s="5" t="s">
        <v>55</v>
      </c>
      <c r="G112" s="4" t="s">
        <v>455</v>
      </c>
      <c r="H112" s="15"/>
      <c r="I112" s="45"/>
      <c r="J112" s="15"/>
      <c r="AA112" s="4" t="s">
        <v>2100</v>
      </c>
    </row>
    <row r="113">
      <c r="A113" s="4" t="b">
        <v>1</v>
      </c>
      <c r="B113" s="4" t="s">
        <v>61</v>
      </c>
      <c r="C113" s="11" t="s">
        <v>2114</v>
      </c>
      <c r="D113" s="11"/>
      <c r="E113" s="4" t="s">
        <v>622</v>
      </c>
      <c r="F113" s="5" t="s">
        <v>55</v>
      </c>
      <c r="G113" s="4" t="s">
        <v>455</v>
      </c>
      <c r="H113" s="15"/>
      <c r="I113" s="45"/>
      <c r="J113" s="15"/>
      <c r="AA113" s="4" t="s">
        <v>2112</v>
      </c>
    </row>
    <row r="114">
      <c r="A114" s="4" t="b">
        <v>0</v>
      </c>
      <c r="B114" s="4" t="s">
        <v>61</v>
      </c>
      <c r="C114" s="11" t="s">
        <v>2176</v>
      </c>
      <c r="D114" s="11"/>
      <c r="E114" s="4" t="s">
        <v>550</v>
      </c>
      <c r="F114" s="5" t="s">
        <v>55</v>
      </c>
      <c r="G114" s="4" t="s">
        <v>455</v>
      </c>
      <c r="H114" s="15"/>
      <c r="I114" s="45"/>
      <c r="J114" s="15"/>
      <c r="AA114" s="4" t="s">
        <v>2174</v>
      </c>
    </row>
    <row r="115">
      <c r="A115" s="4" t="b">
        <v>0</v>
      </c>
      <c r="B115" s="4" t="s">
        <v>61</v>
      </c>
      <c r="C115" s="11" t="s">
        <v>2783</v>
      </c>
      <c r="D115" s="11" t="s">
        <v>2784</v>
      </c>
      <c r="E115" s="4" t="s">
        <v>550</v>
      </c>
      <c r="F115" s="5" t="s">
        <v>55</v>
      </c>
      <c r="G115" s="4" t="s">
        <v>455</v>
      </c>
      <c r="H115" s="15"/>
      <c r="I115" s="45"/>
      <c r="J115" s="15"/>
      <c r="AA115" s="4" t="s">
        <v>2186</v>
      </c>
    </row>
    <row r="116">
      <c r="A116" s="4" t="b">
        <v>0</v>
      </c>
      <c r="B116" s="4" t="s">
        <v>61</v>
      </c>
      <c r="C116" s="11" t="s">
        <v>2803</v>
      </c>
      <c r="D116" s="11" t="s">
        <v>2804</v>
      </c>
      <c r="E116" s="4" t="s">
        <v>550</v>
      </c>
      <c r="F116" s="5" t="s">
        <v>55</v>
      </c>
      <c r="G116" s="4" t="s">
        <v>455</v>
      </c>
      <c r="H116" s="15"/>
      <c r="I116" s="45"/>
      <c r="J116" s="15"/>
      <c r="AA116" s="4" t="s">
        <v>2206</v>
      </c>
    </row>
    <row r="117">
      <c r="A117" s="4" t="b">
        <v>0</v>
      </c>
      <c r="B117" s="4" t="s">
        <v>61</v>
      </c>
      <c r="C117" s="11" t="s">
        <v>2218</v>
      </c>
      <c r="D117" s="11"/>
      <c r="E117" s="4" t="s">
        <v>550</v>
      </c>
      <c r="F117" s="5" t="s">
        <v>55</v>
      </c>
      <c r="G117" s="4" t="s">
        <v>455</v>
      </c>
      <c r="H117" s="15"/>
      <c r="I117" s="45"/>
      <c r="J117" s="15"/>
      <c r="AA117" s="4" t="s">
        <v>2217</v>
      </c>
    </row>
    <row r="118">
      <c r="A118" s="4" t="b">
        <v>0</v>
      </c>
      <c r="B118" s="4" t="s">
        <v>61</v>
      </c>
      <c r="C118" s="11" t="s">
        <v>2835</v>
      </c>
      <c r="D118" s="11" t="s">
        <v>2837</v>
      </c>
      <c r="E118" s="4" t="s">
        <v>550</v>
      </c>
      <c r="F118" s="5" t="s">
        <v>55</v>
      </c>
      <c r="G118" s="4" t="s">
        <v>455</v>
      </c>
      <c r="H118" s="15"/>
      <c r="I118" s="45"/>
      <c r="J118" s="15"/>
      <c r="AA118" s="4" t="s">
        <v>2229</v>
      </c>
    </row>
    <row r="119">
      <c r="A119" s="4" t="b">
        <v>0</v>
      </c>
      <c r="B119" s="4" t="s">
        <v>61</v>
      </c>
      <c r="C119" s="11" t="s">
        <v>2849</v>
      </c>
      <c r="D119" s="11" t="s">
        <v>2851</v>
      </c>
      <c r="E119" s="4" t="s">
        <v>550</v>
      </c>
      <c r="F119" s="5" t="s">
        <v>55</v>
      </c>
      <c r="G119" s="4" t="s">
        <v>455</v>
      </c>
      <c r="H119" s="15"/>
      <c r="I119" s="45"/>
      <c r="J119" s="15"/>
      <c r="AA119" s="4" t="s">
        <v>2241</v>
      </c>
    </row>
    <row r="120">
      <c r="A120" s="4" t="b">
        <v>0</v>
      </c>
      <c r="B120" s="4" t="s">
        <v>61</v>
      </c>
      <c r="C120" s="11" t="s">
        <v>2254</v>
      </c>
      <c r="D120" s="11"/>
      <c r="E120" s="4" t="s">
        <v>550</v>
      </c>
      <c r="F120" s="5" t="s">
        <v>55</v>
      </c>
      <c r="G120" s="4" t="s">
        <v>455</v>
      </c>
      <c r="H120" s="15"/>
      <c r="I120" s="45"/>
      <c r="J120" s="15"/>
      <c r="AA120" s="4" t="s">
        <v>2252</v>
      </c>
    </row>
    <row r="121">
      <c r="A121" s="4" t="b">
        <v>0</v>
      </c>
      <c r="B121" s="4" t="s">
        <v>61</v>
      </c>
      <c r="C121" s="11" t="s">
        <v>2873</v>
      </c>
      <c r="D121" s="11" t="s">
        <v>2874</v>
      </c>
      <c r="E121" s="4" t="s">
        <v>550</v>
      </c>
      <c r="F121" s="5" t="s">
        <v>55</v>
      </c>
      <c r="G121" s="4" t="s">
        <v>455</v>
      </c>
      <c r="H121" s="15"/>
      <c r="I121" s="45"/>
      <c r="J121" s="15"/>
      <c r="AA121" s="4" t="s">
        <v>2265</v>
      </c>
    </row>
    <row r="122">
      <c r="A122" s="38" t="b">
        <v>0</v>
      </c>
      <c r="B122" s="38"/>
      <c r="C122" s="17"/>
      <c r="D122" s="17"/>
      <c r="E122" s="38"/>
      <c r="F122" s="38"/>
      <c r="G122" s="38"/>
      <c r="H122" s="15"/>
      <c r="I122" s="45"/>
      <c r="J122" s="15"/>
    </row>
    <row r="123">
      <c r="A123" s="38" t="b">
        <v>0</v>
      </c>
      <c r="B123" s="38"/>
      <c r="C123" s="17"/>
      <c r="D123" s="17"/>
      <c r="E123" s="38"/>
      <c r="F123" s="38"/>
      <c r="G123" s="38"/>
      <c r="H123" s="15"/>
      <c r="I123" s="45"/>
      <c r="J123" s="15"/>
    </row>
    <row r="124">
      <c r="A124" s="38" t="b">
        <v>0</v>
      </c>
      <c r="B124" s="38"/>
      <c r="C124" s="17"/>
      <c r="D124" s="17"/>
      <c r="E124" s="38"/>
      <c r="F124" s="38"/>
      <c r="G124" s="38"/>
      <c r="H124" s="15"/>
      <c r="I124" s="45"/>
      <c r="J124" s="15"/>
    </row>
    <row r="125">
      <c r="A125" s="38" t="b">
        <v>0</v>
      </c>
      <c r="B125" s="38"/>
      <c r="C125" s="17"/>
      <c r="D125" s="17"/>
      <c r="E125" s="38"/>
      <c r="F125" s="38"/>
      <c r="G125" s="38"/>
      <c r="H125" s="15"/>
      <c r="I125" s="45"/>
      <c r="J125" s="15"/>
    </row>
    <row r="126">
      <c r="A126" s="38" t="b">
        <v>0</v>
      </c>
      <c r="B126" s="38"/>
      <c r="C126" s="17"/>
      <c r="D126" s="17"/>
      <c r="E126" s="38"/>
      <c r="F126" s="38"/>
      <c r="G126" s="38"/>
      <c r="H126" s="15"/>
      <c r="I126" s="45"/>
      <c r="J126" s="15"/>
    </row>
    <row r="127">
      <c r="A127" s="38" t="b">
        <v>0</v>
      </c>
      <c r="B127" s="38"/>
      <c r="C127" s="17"/>
      <c r="D127" s="17"/>
      <c r="E127" s="38"/>
      <c r="F127" s="38"/>
      <c r="G127" s="38"/>
      <c r="H127" s="15"/>
      <c r="I127" s="45"/>
      <c r="J127" s="15"/>
    </row>
    <row r="128">
      <c r="A128" s="38" t="b">
        <v>0</v>
      </c>
      <c r="B128" s="38"/>
      <c r="C128" s="17"/>
      <c r="D128" s="17"/>
      <c r="E128" s="38"/>
      <c r="F128" s="38"/>
      <c r="G128" s="38"/>
      <c r="H128" s="15"/>
      <c r="I128" s="45"/>
      <c r="J128" s="15"/>
    </row>
    <row r="129">
      <c r="A129" s="38" t="b">
        <v>0</v>
      </c>
      <c r="B129" s="38"/>
      <c r="C129" s="17"/>
      <c r="D129" s="17"/>
      <c r="E129" s="38"/>
      <c r="F129" s="38"/>
      <c r="G129" s="38"/>
      <c r="H129" s="15"/>
      <c r="I129" s="45"/>
      <c r="J129" s="15"/>
    </row>
    <row r="130">
      <c r="A130" s="38" t="b">
        <v>0</v>
      </c>
      <c r="B130" s="38"/>
      <c r="C130" s="17"/>
      <c r="D130" s="17"/>
      <c r="E130" s="38"/>
      <c r="F130" s="38"/>
      <c r="G130" s="38"/>
      <c r="H130" s="15"/>
      <c r="I130" s="45"/>
      <c r="J130" s="15"/>
    </row>
    <row r="131">
      <c r="A131" s="38" t="b">
        <v>0</v>
      </c>
      <c r="B131" s="38"/>
      <c r="C131" s="17"/>
      <c r="D131" s="17"/>
      <c r="E131" s="38"/>
      <c r="F131" s="38"/>
      <c r="G131" s="38"/>
      <c r="H131" s="15"/>
      <c r="I131" s="45"/>
      <c r="J131" s="15"/>
    </row>
    <row r="132">
      <c r="A132" s="38" t="b">
        <v>0</v>
      </c>
      <c r="B132" s="38"/>
      <c r="C132" s="17"/>
      <c r="D132" s="17"/>
      <c r="E132" s="38"/>
      <c r="F132" s="38"/>
      <c r="G132" s="38"/>
      <c r="H132" s="15"/>
      <c r="I132" s="45"/>
      <c r="J132" s="15"/>
    </row>
    <row r="133">
      <c r="A133" s="38" t="b">
        <v>0</v>
      </c>
      <c r="B133" s="38"/>
      <c r="C133" s="17"/>
      <c r="D133" s="17"/>
      <c r="E133" s="38"/>
      <c r="F133" s="38"/>
      <c r="G133" s="38"/>
      <c r="H133" s="15"/>
      <c r="I133" s="45"/>
      <c r="J133" s="15"/>
    </row>
    <row r="134">
      <c r="A134" s="38" t="b">
        <v>0</v>
      </c>
      <c r="B134" s="38"/>
      <c r="C134" s="17"/>
      <c r="D134" s="17"/>
      <c r="E134" s="38"/>
      <c r="F134" s="38"/>
      <c r="G134" s="38"/>
      <c r="H134" s="15"/>
      <c r="I134" s="45"/>
      <c r="J134" s="15"/>
    </row>
    <row r="135">
      <c r="A135" s="38" t="b">
        <v>0</v>
      </c>
      <c r="B135" s="38"/>
      <c r="C135" s="17"/>
      <c r="D135" s="17"/>
      <c r="E135" s="38"/>
      <c r="F135" s="38"/>
      <c r="G135" s="38"/>
      <c r="H135" s="15"/>
      <c r="I135" s="45"/>
      <c r="J135" s="15"/>
    </row>
    <row r="136">
      <c r="A136" s="38" t="b">
        <v>0</v>
      </c>
      <c r="B136" s="38"/>
      <c r="C136" s="17"/>
      <c r="D136" s="17"/>
      <c r="E136" s="38"/>
      <c r="F136" s="38"/>
      <c r="G136" s="38"/>
      <c r="H136" s="15"/>
      <c r="I136" s="45"/>
      <c r="J136" s="15"/>
    </row>
    <row r="137">
      <c r="A137" s="38" t="b">
        <v>0</v>
      </c>
      <c r="B137" s="38"/>
      <c r="C137" s="17"/>
      <c r="D137" s="17"/>
      <c r="E137" s="38"/>
      <c r="F137" s="38"/>
      <c r="G137" s="38"/>
      <c r="H137" s="15"/>
      <c r="I137" s="45"/>
      <c r="J137" s="15"/>
    </row>
    <row r="138">
      <c r="A138" s="38" t="b">
        <v>0</v>
      </c>
      <c r="B138" s="38"/>
      <c r="C138" s="17"/>
      <c r="D138" s="17"/>
      <c r="E138" s="38"/>
      <c r="F138" s="38"/>
      <c r="G138" s="38"/>
      <c r="H138" s="15"/>
      <c r="I138" s="45"/>
      <c r="J138" s="15"/>
    </row>
    <row r="139">
      <c r="A139" s="38" t="b">
        <v>0</v>
      </c>
      <c r="B139" s="38"/>
      <c r="C139" s="17"/>
      <c r="D139" s="17"/>
      <c r="E139" s="38"/>
      <c r="F139" s="38"/>
      <c r="G139" s="38"/>
      <c r="H139" s="15"/>
      <c r="I139" s="45"/>
      <c r="J139" s="15"/>
    </row>
    <row r="140">
      <c r="A140" s="38" t="b">
        <v>0</v>
      </c>
      <c r="B140" s="38"/>
      <c r="C140" s="17"/>
      <c r="D140" s="17"/>
      <c r="E140" s="38"/>
      <c r="F140" s="38"/>
      <c r="G140" s="38"/>
      <c r="H140" s="15"/>
      <c r="I140" s="45"/>
      <c r="J140" s="15"/>
    </row>
    <row r="141">
      <c r="A141" s="38" t="b">
        <v>0</v>
      </c>
      <c r="B141" s="38"/>
      <c r="C141" s="17"/>
      <c r="D141" s="17"/>
      <c r="E141" s="38"/>
      <c r="F141" s="38"/>
      <c r="G141" s="38"/>
      <c r="H141" s="15"/>
      <c r="I141" s="45"/>
      <c r="J141" s="15"/>
    </row>
    <row r="142">
      <c r="A142" s="38" t="b">
        <v>0</v>
      </c>
      <c r="B142" s="38"/>
      <c r="C142" s="17"/>
      <c r="D142" s="17"/>
      <c r="E142" s="38"/>
      <c r="F142" s="38"/>
      <c r="G142" s="38"/>
      <c r="H142" s="15"/>
      <c r="I142" s="45"/>
      <c r="J142" s="15"/>
    </row>
    <row r="143">
      <c r="A143" s="38" t="b">
        <v>0</v>
      </c>
      <c r="B143" s="38"/>
      <c r="C143" s="17"/>
      <c r="D143" s="17"/>
      <c r="E143" s="38"/>
      <c r="F143" s="38"/>
      <c r="G143" s="38"/>
      <c r="H143" s="15"/>
      <c r="I143" s="45"/>
      <c r="J143" s="15"/>
    </row>
    <row r="144">
      <c r="A144" s="38" t="b">
        <v>0</v>
      </c>
      <c r="B144" s="38"/>
      <c r="C144" s="17"/>
      <c r="D144" s="17"/>
      <c r="E144" s="38"/>
      <c r="F144" s="38"/>
      <c r="G144" s="38"/>
      <c r="H144" s="15"/>
      <c r="I144" s="45"/>
      <c r="J144" s="15"/>
    </row>
    <row r="145">
      <c r="A145" s="38" t="b">
        <v>0</v>
      </c>
      <c r="B145" s="38"/>
      <c r="C145" s="17"/>
      <c r="D145" s="17"/>
      <c r="E145" s="38"/>
      <c r="F145" s="38"/>
      <c r="G145" s="38"/>
      <c r="H145" s="15"/>
      <c r="I145" s="45"/>
      <c r="J145" s="15"/>
    </row>
    <row r="146">
      <c r="A146" s="38" t="b">
        <v>0</v>
      </c>
      <c r="B146" s="38"/>
      <c r="C146" s="17"/>
      <c r="D146" s="17"/>
      <c r="E146" s="38"/>
      <c r="F146" s="38"/>
      <c r="G146" s="38"/>
      <c r="H146" s="15"/>
      <c r="I146" s="45"/>
      <c r="J146" s="15"/>
    </row>
    <row r="147">
      <c r="A147" s="38" t="b">
        <v>0</v>
      </c>
      <c r="B147" s="38"/>
      <c r="C147" s="17"/>
      <c r="D147" s="17"/>
      <c r="E147" s="38"/>
      <c r="F147" s="38"/>
      <c r="G147" s="38"/>
      <c r="H147" s="15"/>
      <c r="I147" s="45"/>
      <c r="J147" s="15"/>
    </row>
    <row r="148">
      <c r="A148" s="38" t="b">
        <v>0</v>
      </c>
      <c r="B148" s="38"/>
      <c r="C148" s="17"/>
      <c r="D148" s="17"/>
      <c r="E148" s="38"/>
      <c r="F148" s="38"/>
      <c r="G148" s="38"/>
      <c r="H148" s="15"/>
      <c r="I148" s="45"/>
      <c r="J148" s="15"/>
    </row>
    <row r="149">
      <c r="A149" s="38" t="b">
        <v>0</v>
      </c>
      <c r="B149" s="38"/>
      <c r="C149" s="17"/>
      <c r="D149" s="17"/>
      <c r="E149" s="38"/>
      <c r="F149" s="38"/>
      <c r="G149" s="38"/>
      <c r="H149" s="15"/>
      <c r="I149" s="45"/>
      <c r="J149" s="15"/>
    </row>
    <row r="150">
      <c r="A150" s="38" t="b">
        <v>0</v>
      </c>
      <c r="B150" s="38"/>
      <c r="C150" s="17"/>
      <c r="D150" s="17"/>
      <c r="E150" s="38"/>
      <c r="F150" s="38"/>
      <c r="G150" s="38"/>
      <c r="H150" s="15"/>
      <c r="I150" s="45"/>
      <c r="J150" s="15"/>
    </row>
    <row r="151">
      <c r="A151" s="38" t="b">
        <v>0</v>
      </c>
      <c r="B151" s="38"/>
      <c r="C151" s="17"/>
      <c r="D151" s="17"/>
      <c r="E151" s="38"/>
      <c r="F151" s="38"/>
      <c r="G151" s="38"/>
      <c r="H151" s="15"/>
      <c r="I151" s="45"/>
      <c r="J151" s="15"/>
    </row>
    <row r="152">
      <c r="A152" s="38" t="b">
        <v>0</v>
      </c>
      <c r="B152" s="38"/>
      <c r="C152" s="17"/>
      <c r="D152" s="17"/>
      <c r="E152" s="38"/>
      <c r="F152" s="38"/>
      <c r="G152" s="38"/>
      <c r="H152" s="15"/>
      <c r="I152" s="45"/>
      <c r="J152" s="15"/>
    </row>
    <row r="153">
      <c r="A153" s="38" t="b">
        <v>0</v>
      </c>
      <c r="B153" s="38"/>
      <c r="C153" s="17"/>
      <c r="D153" s="17"/>
      <c r="E153" s="38"/>
      <c r="F153" s="38"/>
      <c r="G153" s="38"/>
      <c r="H153" s="15"/>
      <c r="I153" s="45"/>
      <c r="J153" s="15"/>
    </row>
    <row r="154">
      <c r="A154" s="38" t="b">
        <v>0</v>
      </c>
      <c r="B154" s="38"/>
      <c r="C154" s="17"/>
      <c r="D154" s="17"/>
      <c r="E154" s="38"/>
      <c r="F154" s="38"/>
      <c r="G154" s="38"/>
      <c r="H154" s="15"/>
      <c r="I154" s="45"/>
      <c r="J154" s="15"/>
    </row>
    <row r="155">
      <c r="A155" s="38" t="b">
        <v>0</v>
      </c>
      <c r="B155" s="38"/>
      <c r="C155" s="17"/>
      <c r="D155" s="17"/>
      <c r="E155" s="38"/>
      <c r="F155" s="38"/>
      <c r="G155" s="38"/>
      <c r="H155" s="15"/>
      <c r="I155" s="45"/>
      <c r="J155" s="15"/>
    </row>
    <row r="156">
      <c r="A156" s="38" t="b">
        <v>0</v>
      </c>
      <c r="B156" s="38"/>
      <c r="C156" s="17"/>
      <c r="D156" s="17"/>
      <c r="E156" s="38"/>
      <c r="F156" s="38"/>
      <c r="G156" s="38"/>
      <c r="H156" s="15"/>
      <c r="I156" s="45"/>
      <c r="J156" s="15"/>
    </row>
    <row r="157">
      <c r="A157" s="38" t="b">
        <v>0</v>
      </c>
      <c r="B157" s="38"/>
      <c r="C157" s="17"/>
      <c r="D157" s="17"/>
      <c r="E157" s="38"/>
      <c r="F157" s="38"/>
      <c r="G157" s="38"/>
      <c r="H157" s="15"/>
      <c r="I157" s="45"/>
      <c r="J157" s="15"/>
    </row>
    <row r="158">
      <c r="A158" s="38" t="b">
        <v>0</v>
      </c>
      <c r="B158" s="38"/>
      <c r="C158" s="17"/>
      <c r="D158" s="17"/>
      <c r="E158" s="38"/>
      <c r="F158" s="38"/>
      <c r="G158" s="38"/>
      <c r="H158" s="15"/>
      <c r="I158" s="45"/>
      <c r="J158" s="15"/>
    </row>
    <row r="159">
      <c r="A159" s="38" t="b">
        <v>0</v>
      </c>
      <c r="B159" s="38"/>
      <c r="C159" s="17"/>
      <c r="D159" s="17"/>
      <c r="E159" s="38"/>
      <c r="F159" s="38"/>
      <c r="G159" s="38"/>
      <c r="H159" s="15"/>
      <c r="I159" s="45"/>
      <c r="J159" s="15"/>
    </row>
    <row r="160">
      <c r="A160" s="38" t="b">
        <v>0</v>
      </c>
      <c r="B160" s="38"/>
      <c r="C160" s="17"/>
      <c r="D160" s="17"/>
      <c r="E160" s="38"/>
      <c r="F160" s="38"/>
      <c r="G160" s="38"/>
      <c r="H160" s="15"/>
      <c r="I160" s="45"/>
      <c r="J160" s="15"/>
    </row>
    <row r="161">
      <c r="A161" s="38" t="b">
        <v>0</v>
      </c>
      <c r="B161" s="38"/>
      <c r="C161" s="17"/>
      <c r="D161" s="17"/>
      <c r="E161" s="38"/>
      <c r="F161" s="38"/>
      <c r="G161" s="38"/>
      <c r="H161" s="15"/>
      <c r="I161" s="45"/>
      <c r="J161" s="15"/>
    </row>
    <row r="162">
      <c r="A162" s="38" t="b">
        <v>0</v>
      </c>
      <c r="B162" s="38"/>
      <c r="C162" s="17"/>
      <c r="D162" s="17"/>
      <c r="E162" s="38"/>
      <c r="F162" s="38"/>
      <c r="G162" s="38"/>
      <c r="H162" s="15"/>
      <c r="I162" s="45"/>
      <c r="J162" s="15"/>
    </row>
    <row r="163">
      <c r="A163" s="38" t="b">
        <v>0</v>
      </c>
      <c r="B163" s="38"/>
      <c r="C163" s="17"/>
      <c r="D163" s="17"/>
      <c r="E163" s="38"/>
      <c r="F163" s="38"/>
      <c r="G163" s="38"/>
      <c r="H163" s="15"/>
      <c r="I163" s="45"/>
      <c r="J163" s="15"/>
    </row>
    <row r="164">
      <c r="A164" s="38" t="b">
        <v>0</v>
      </c>
      <c r="B164" s="38"/>
      <c r="C164" s="17"/>
      <c r="D164" s="17"/>
      <c r="E164" s="38"/>
      <c r="F164" s="38"/>
      <c r="G164" s="38"/>
      <c r="H164" s="15"/>
      <c r="I164" s="45"/>
      <c r="J164" s="15"/>
    </row>
    <row r="165">
      <c r="A165" s="38" t="b">
        <v>0</v>
      </c>
      <c r="B165" s="38"/>
      <c r="C165" s="17"/>
      <c r="D165" s="17"/>
      <c r="E165" s="38"/>
      <c r="F165" s="38"/>
      <c r="G165" s="38"/>
      <c r="H165" s="15"/>
      <c r="I165" s="45"/>
      <c r="J165" s="15"/>
    </row>
    <row r="166">
      <c r="A166" s="38" t="b">
        <v>0</v>
      </c>
      <c r="B166" s="38"/>
      <c r="C166" s="17"/>
      <c r="D166" s="17"/>
      <c r="E166" s="38"/>
      <c r="F166" s="38"/>
      <c r="G166" s="38"/>
      <c r="H166" s="15"/>
      <c r="I166" s="45"/>
      <c r="J166" s="15"/>
    </row>
    <row r="167">
      <c r="A167" s="38" t="b">
        <v>0</v>
      </c>
      <c r="B167" s="38"/>
      <c r="C167" s="17"/>
      <c r="D167" s="17"/>
      <c r="E167" s="38"/>
      <c r="F167" s="38"/>
      <c r="G167" s="38"/>
      <c r="H167" s="15"/>
      <c r="I167" s="45"/>
      <c r="J167" s="15"/>
    </row>
    <row r="168">
      <c r="A168" s="38" t="b">
        <v>0</v>
      </c>
      <c r="B168" s="38"/>
      <c r="C168" s="17"/>
      <c r="D168" s="17"/>
      <c r="E168" s="38"/>
      <c r="F168" s="38"/>
      <c r="G168" s="38"/>
      <c r="H168" s="15"/>
      <c r="I168" s="45"/>
      <c r="J168" s="15"/>
    </row>
    <row r="169">
      <c r="A169" s="38" t="b">
        <v>0</v>
      </c>
      <c r="B169" s="38"/>
      <c r="C169" s="17"/>
      <c r="D169" s="17"/>
      <c r="E169" s="38"/>
      <c r="F169" s="38"/>
      <c r="G169" s="38"/>
      <c r="H169" s="15"/>
      <c r="I169" s="45"/>
      <c r="J169" s="15"/>
    </row>
    <row r="170">
      <c r="A170" s="38" t="b">
        <v>0</v>
      </c>
      <c r="B170" s="38"/>
      <c r="C170" s="17"/>
      <c r="D170" s="17"/>
      <c r="E170" s="38"/>
      <c r="F170" s="38"/>
      <c r="G170" s="38"/>
      <c r="H170" s="15"/>
      <c r="I170" s="45"/>
      <c r="J170" s="15"/>
    </row>
    <row r="171">
      <c r="A171" s="38" t="b">
        <v>0</v>
      </c>
      <c r="B171" s="38"/>
      <c r="C171" s="17"/>
      <c r="D171" s="17"/>
      <c r="E171" s="38"/>
      <c r="F171" s="38"/>
      <c r="G171" s="38"/>
      <c r="H171" s="15"/>
      <c r="I171" s="45"/>
      <c r="J171" s="15"/>
    </row>
    <row r="172">
      <c r="A172" s="38" t="b">
        <v>0</v>
      </c>
      <c r="B172" s="38"/>
      <c r="C172" s="17"/>
      <c r="D172" s="17"/>
      <c r="E172" s="38"/>
      <c r="F172" s="38"/>
      <c r="G172" s="38"/>
      <c r="H172" s="15"/>
      <c r="I172" s="45"/>
      <c r="J172" s="15"/>
    </row>
    <row r="173">
      <c r="A173" s="38" t="b">
        <v>0</v>
      </c>
      <c r="B173" s="38"/>
      <c r="C173" s="17"/>
      <c r="D173" s="17"/>
      <c r="E173" s="38"/>
      <c r="F173" s="38"/>
      <c r="G173" s="38"/>
      <c r="H173" s="15"/>
      <c r="I173" s="45"/>
      <c r="J173" s="15"/>
    </row>
    <row r="174">
      <c r="A174" s="38" t="b">
        <v>0</v>
      </c>
      <c r="B174" s="38"/>
      <c r="C174" s="17"/>
      <c r="D174" s="17"/>
      <c r="E174" s="38"/>
      <c r="F174" s="38"/>
      <c r="G174" s="38"/>
      <c r="H174" s="15"/>
      <c r="I174" s="45"/>
      <c r="J174" s="15"/>
    </row>
    <row r="175">
      <c r="A175" s="38" t="b">
        <v>0</v>
      </c>
      <c r="B175" s="38"/>
      <c r="C175" s="17"/>
      <c r="D175" s="17"/>
      <c r="E175" s="38"/>
      <c r="F175" s="38"/>
      <c r="G175" s="38"/>
      <c r="H175" s="15"/>
      <c r="I175" s="45"/>
      <c r="J175" s="15"/>
    </row>
    <row r="176">
      <c r="A176" s="38" t="b">
        <v>0</v>
      </c>
      <c r="B176" s="38"/>
      <c r="C176" s="17"/>
      <c r="D176" s="17"/>
      <c r="E176" s="38"/>
      <c r="F176" s="38"/>
      <c r="G176" s="38"/>
      <c r="H176" s="15"/>
      <c r="I176" s="45"/>
      <c r="J176" s="15"/>
    </row>
    <row r="177">
      <c r="A177" s="38" t="b">
        <v>0</v>
      </c>
      <c r="B177" s="38"/>
      <c r="C177" s="17"/>
      <c r="D177" s="17"/>
      <c r="E177" s="38"/>
      <c r="F177" s="38"/>
      <c r="G177" s="38"/>
      <c r="H177" s="15"/>
      <c r="I177" s="45"/>
      <c r="J177" s="15"/>
    </row>
    <row r="178">
      <c r="A178" s="38" t="b">
        <v>0</v>
      </c>
      <c r="B178" s="38"/>
      <c r="C178" s="17"/>
      <c r="D178" s="17"/>
      <c r="E178" s="38"/>
      <c r="F178" s="38"/>
      <c r="G178" s="38"/>
      <c r="H178" s="15"/>
      <c r="I178" s="45"/>
      <c r="J178" s="15"/>
    </row>
    <row r="179">
      <c r="A179" s="38" t="b">
        <v>0</v>
      </c>
      <c r="B179" s="38"/>
      <c r="C179" s="17"/>
      <c r="D179" s="17"/>
      <c r="E179" s="38"/>
      <c r="F179" s="38"/>
      <c r="G179" s="38"/>
      <c r="H179" s="15"/>
      <c r="I179" s="45"/>
      <c r="J179" s="15"/>
    </row>
    <row r="180">
      <c r="A180" s="38" t="b">
        <v>0</v>
      </c>
      <c r="B180" s="38"/>
      <c r="C180" s="17"/>
      <c r="D180" s="17"/>
      <c r="E180" s="38"/>
      <c r="F180" s="38"/>
      <c r="G180" s="38"/>
      <c r="H180" s="15"/>
      <c r="I180" s="45"/>
      <c r="J180" s="15"/>
    </row>
    <row r="181">
      <c r="A181" s="38" t="b">
        <v>0</v>
      </c>
      <c r="B181" s="38"/>
      <c r="C181" s="17"/>
      <c r="D181" s="17"/>
      <c r="E181" s="38"/>
      <c r="F181" s="38"/>
      <c r="G181" s="38"/>
      <c r="H181" s="15"/>
      <c r="I181" s="45"/>
      <c r="J181" s="15"/>
    </row>
    <row r="182">
      <c r="A182" s="38" t="b">
        <v>0</v>
      </c>
      <c r="B182" s="38"/>
      <c r="C182" s="17"/>
      <c r="D182" s="17"/>
      <c r="E182" s="38"/>
      <c r="F182" s="38"/>
      <c r="G182" s="38"/>
      <c r="H182" s="15"/>
      <c r="I182" s="45"/>
      <c r="J182" s="15"/>
    </row>
    <row r="183">
      <c r="A183" s="38" t="b">
        <v>0</v>
      </c>
      <c r="B183" s="38"/>
      <c r="C183" s="17"/>
      <c r="D183" s="17"/>
      <c r="E183" s="38"/>
      <c r="F183" s="38"/>
      <c r="G183" s="38"/>
      <c r="H183" s="15"/>
      <c r="I183" s="45"/>
      <c r="J183" s="15"/>
    </row>
    <row r="184">
      <c r="A184" s="38" t="b">
        <v>0</v>
      </c>
      <c r="B184" s="38"/>
      <c r="C184" s="17"/>
      <c r="D184" s="17"/>
      <c r="E184" s="38"/>
      <c r="F184" s="38"/>
      <c r="G184" s="38"/>
      <c r="H184" s="15"/>
      <c r="I184" s="45"/>
      <c r="J184" s="15"/>
    </row>
    <row r="185">
      <c r="A185" s="38" t="b">
        <v>0</v>
      </c>
      <c r="B185" s="38"/>
      <c r="C185" s="17"/>
      <c r="D185" s="17"/>
      <c r="E185" s="38"/>
      <c r="F185" s="38"/>
      <c r="G185" s="38"/>
      <c r="H185" s="15"/>
      <c r="I185" s="45"/>
      <c r="J185" s="15"/>
    </row>
    <row r="186">
      <c r="A186" s="38" t="b">
        <v>0</v>
      </c>
      <c r="B186" s="38"/>
      <c r="C186" s="17"/>
      <c r="D186" s="17"/>
      <c r="E186" s="38"/>
      <c r="F186" s="38"/>
      <c r="G186" s="38"/>
      <c r="H186" s="15"/>
      <c r="I186" s="45"/>
      <c r="J186" s="15"/>
    </row>
    <row r="187">
      <c r="A187" s="38" t="b">
        <v>0</v>
      </c>
      <c r="B187" s="38"/>
      <c r="C187" s="17"/>
      <c r="D187" s="17"/>
      <c r="E187" s="38"/>
      <c r="F187" s="38"/>
      <c r="G187" s="38"/>
      <c r="H187" s="15"/>
      <c r="I187" s="45"/>
      <c r="J187" s="15"/>
    </row>
    <row r="188">
      <c r="A188" s="38" t="b">
        <v>0</v>
      </c>
      <c r="B188" s="38"/>
      <c r="C188" s="17"/>
      <c r="D188" s="17"/>
      <c r="E188" s="38"/>
      <c r="F188" s="38"/>
      <c r="G188" s="38"/>
      <c r="H188" s="15"/>
      <c r="I188" s="45"/>
      <c r="J188" s="15"/>
    </row>
    <row r="189">
      <c r="A189" s="38" t="b">
        <v>0</v>
      </c>
      <c r="B189" s="38"/>
      <c r="C189" s="17"/>
      <c r="D189" s="17"/>
      <c r="E189" s="38"/>
      <c r="F189" s="38"/>
      <c r="G189" s="38"/>
      <c r="H189" s="15"/>
      <c r="I189" s="45"/>
      <c r="J189" s="15"/>
    </row>
    <row r="190">
      <c r="A190" s="38" t="b">
        <v>0</v>
      </c>
      <c r="B190" s="38"/>
      <c r="C190" s="17"/>
      <c r="D190" s="17"/>
      <c r="E190" s="38"/>
      <c r="F190" s="38"/>
      <c r="G190" s="38"/>
      <c r="H190" s="15"/>
      <c r="I190" s="45"/>
      <c r="J190" s="15"/>
    </row>
    <row r="191">
      <c r="A191" s="38" t="b">
        <v>0</v>
      </c>
      <c r="B191" s="38"/>
      <c r="C191" s="17"/>
      <c r="D191" s="17"/>
      <c r="E191" s="38"/>
      <c r="F191" s="38"/>
      <c r="G191" s="38"/>
      <c r="H191" s="15"/>
      <c r="I191" s="45"/>
      <c r="J191" s="15"/>
    </row>
    <row r="192">
      <c r="A192" s="38" t="b">
        <v>0</v>
      </c>
      <c r="B192" s="38"/>
      <c r="C192" s="17"/>
      <c r="D192" s="17"/>
      <c r="E192" s="38"/>
      <c r="F192" s="38"/>
      <c r="G192" s="38"/>
      <c r="H192" s="15"/>
      <c r="I192" s="45"/>
      <c r="J192" s="15"/>
    </row>
    <row r="193">
      <c r="A193" s="38" t="b">
        <v>0</v>
      </c>
      <c r="B193" s="38"/>
      <c r="C193" s="17"/>
      <c r="D193" s="17"/>
      <c r="E193" s="38"/>
      <c r="F193" s="38"/>
      <c r="G193" s="38"/>
      <c r="H193" s="15"/>
      <c r="I193" s="45"/>
      <c r="J193" s="15"/>
    </row>
    <row r="194">
      <c r="A194" s="38" t="b">
        <v>0</v>
      </c>
      <c r="B194" s="38"/>
      <c r="C194" s="17"/>
      <c r="D194" s="17"/>
      <c r="E194" s="38"/>
      <c r="F194" s="38"/>
      <c r="G194" s="38"/>
      <c r="H194" s="15"/>
      <c r="I194" s="45"/>
      <c r="J194" s="15"/>
    </row>
    <row r="195">
      <c r="A195" s="38" t="b">
        <v>0</v>
      </c>
      <c r="B195" s="38"/>
      <c r="C195" s="17"/>
      <c r="D195" s="17"/>
      <c r="E195" s="38"/>
      <c r="F195" s="38"/>
      <c r="G195" s="38"/>
      <c r="H195" s="15"/>
      <c r="I195" s="45"/>
      <c r="J195" s="15"/>
    </row>
    <row r="196">
      <c r="A196" s="38" t="b">
        <v>0</v>
      </c>
      <c r="B196" s="38"/>
      <c r="C196" s="17"/>
      <c r="D196" s="17"/>
      <c r="E196" s="38"/>
      <c r="F196" s="38"/>
      <c r="G196" s="38"/>
      <c r="H196" s="15"/>
      <c r="I196" s="45"/>
      <c r="J196" s="15"/>
    </row>
    <row r="197">
      <c r="A197" s="38" t="b">
        <v>0</v>
      </c>
      <c r="B197" s="38"/>
      <c r="C197" s="17"/>
      <c r="D197" s="17"/>
      <c r="E197" s="38"/>
      <c r="F197" s="38"/>
      <c r="G197" s="38"/>
      <c r="H197" s="15"/>
      <c r="I197" s="45"/>
      <c r="J197" s="15"/>
    </row>
    <row r="198">
      <c r="A198" s="38" t="b">
        <v>0</v>
      </c>
      <c r="B198" s="38"/>
      <c r="C198" s="17"/>
      <c r="D198" s="17"/>
      <c r="E198" s="38"/>
      <c r="F198" s="38"/>
      <c r="G198" s="38"/>
      <c r="H198" s="15"/>
      <c r="I198" s="45"/>
      <c r="J198" s="15"/>
    </row>
    <row r="199">
      <c r="A199" s="38" t="b">
        <v>0</v>
      </c>
      <c r="B199" s="38"/>
      <c r="C199" s="17"/>
      <c r="D199" s="17"/>
      <c r="E199" s="38"/>
      <c r="F199" s="38"/>
      <c r="G199" s="38"/>
      <c r="H199" s="15"/>
      <c r="I199" s="45"/>
      <c r="J199" s="15"/>
    </row>
    <row r="200">
      <c r="A200" s="38" t="b">
        <v>0</v>
      </c>
      <c r="B200" s="38"/>
      <c r="C200" s="17"/>
      <c r="D200" s="17"/>
      <c r="E200" s="38"/>
      <c r="F200" s="38"/>
      <c r="G200" s="38"/>
      <c r="H200" s="15"/>
      <c r="I200" s="45"/>
      <c r="J200" s="15"/>
    </row>
    <row r="201">
      <c r="A201" s="38" t="b">
        <v>0</v>
      </c>
      <c r="B201" s="38"/>
      <c r="C201" s="17"/>
      <c r="D201" s="17"/>
      <c r="E201" s="38"/>
      <c r="F201" s="38"/>
      <c r="G201" s="38"/>
      <c r="H201" s="15"/>
      <c r="I201" s="45"/>
      <c r="J201" s="15"/>
    </row>
    <row r="202">
      <c r="A202" s="38" t="b">
        <v>0</v>
      </c>
      <c r="B202" s="38"/>
      <c r="C202" s="17"/>
      <c r="D202" s="17"/>
      <c r="E202" s="38"/>
      <c r="F202" s="38"/>
      <c r="G202" s="38"/>
      <c r="H202" s="15"/>
      <c r="I202" s="45"/>
      <c r="J202" s="15"/>
    </row>
    <row r="203">
      <c r="A203" s="38" t="b">
        <v>0</v>
      </c>
      <c r="B203" s="38"/>
      <c r="C203" s="17"/>
      <c r="D203" s="17"/>
      <c r="E203" s="38"/>
      <c r="F203" s="38"/>
      <c r="G203" s="38"/>
      <c r="H203" s="15"/>
      <c r="I203" s="45"/>
      <c r="J203" s="15"/>
    </row>
    <row r="204">
      <c r="A204" s="38" t="b">
        <v>0</v>
      </c>
      <c r="B204" s="38"/>
      <c r="C204" s="17"/>
      <c r="D204" s="17"/>
      <c r="E204" s="38"/>
      <c r="F204" s="38"/>
      <c r="G204" s="38"/>
      <c r="H204" s="15"/>
      <c r="I204" s="45"/>
      <c r="J204" s="15"/>
    </row>
    <row r="205">
      <c r="A205" s="38" t="b">
        <v>0</v>
      </c>
      <c r="B205" s="38"/>
      <c r="C205" s="17"/>
      <c r="D205" s="17"/>
      <c r="E205" s="38"/>
      <c r="F205" s="38"/>
      <c r="G205" s="38"/>
      <c r="H205" s="15"/>
      <c r="I205" s="45"/>
      <c r="J205" s="15"/>
    </row>
    <row r="206">
      <c r="A206" s="38" t="b">
        <v>0</v>
      </c>
      <c r="B206" s="38"/>
      <c r="C206" s="17"/>
      <c r="D206" s="17"/>
      <c r="E206" s="38"/>
      <c r="F206" s="38"/>
      <c r="G206" s="38"/>
      <c r="H206" s="15"/>
      <c r="I206" s="45"/>
      <c r="J206" s="15"/>
    </row>
    <row r="207">
      <c r="A207" s="38" t="b">
        <v>0</v>
      </c>
      <c r="B207" s="38"/>
      <c r="C207" s="17"/>
      <c r="D207" s="17"/>
      <c r="E207" s="38"/>
      <c r="F207" s="38"/>
      <c r="G207" s="38"/>
      <c r="H207" s="15"/>
      <c r="I207" s="45"/>
      <c r="J207" s="15"/>
    </row>
    <row r="208">
      <c r="A208" s="38" t="b">
        <v>0</v>
      </c>
      <c r="B208" s="38"/>
      <c r="C208" s="17"/>
      <c r="D208" s="17"/>
      <c r="E208" s="38"/>
      <c r="F208" s="38"/>
      <c r="G208" s="38"/>
      <c r="H208" s="15"/>
      <c r="I208" s="45"/>
      <c r="J208" s="15"/>
    </row>
    <row r="209">
      <c r="A209" s="38" t="b">
        <v>0</v>
      </c>
      <c r="B209" s="38"/>
      <c r="C209" s="17"/>
      <c r="D209" s="17"/>
      <c r="E209" s="38"/>
      <c r="F209" s="38"/>
      <c r="G209" s="38"/>
      <c r="H209" s="15"/>
      <c r="I209" s="45"/>
      <c r="J209" s="15"/>
    </row>
    <row r="210">
      <c r="A210" s="38" t="b">
        <v>0</v>
      </c>
      <c r="B210" s="38"/>
      <c r="C210" s="17"/>
      <c r="D210" s="17"/>
      <c r="E210" s="38"/>
      <c r="F210" s="38"/>
      <c r="G210" s="38"/>
      <c r="H210" s="15"/>
      <c r="I210" s="45"/>
      <c r="J210" s="15"/>
    </row>
    <row r="211">
      <c r="A211" s="38" t="b">
        <v>0</v>
      </c>
      <c r="B211" s="38"/>
      <c r="C211" s="17"/>
      <c r="D211" s="17"/>
      <c r="E211" s="38"/>
      <c r="F211" s="38"/>
      <c r="G211" s="38"/>
      <c r="H211" s="15"/>
      <c r="I211" s="45"/>
      <c r="J211" s="15"/>
    </row>
    <row r="212">
      <c r="A212" s="38" t="b">
        <v>0</v>
      </c>
      <c r="B212" s="38"/>
      <c r="C212" s="17"/>
      <c r="D212" s="17"/>
      <c r="E212" s="38"/>
      <c r="F212" s="38"/>
      <c r="G212" s="38"/>
      <c r="H212" s="15"/>
      <c r="I212" s="45"/>
      <c r="J212" s="15"/>
    </row>
    <row r="213">
      <c r="A213" s="38" t="b">
        <v>0</v>
      </c>
      <c r="B213" s="38"/>
      <c r="C213" s="17"/>
      <c r="D213" s="17"/>
      <c r="E213" s="38"/>
      <c r="F213" s="38"/>
      <c r="G213" s="38"/>
      <c r="H213" s="15"/>
      <c r="I213" s="45"/>
      <c r="J213" s="15"/>
    </row>
    <row r="214">
      <c r="A214" s="38" t="b">
        <v>0</v>
      </c>
      <c r="B214" s="38"/>
      <c r="C214" s="17"/>
      <c r="D214" s="17"/>
      <c r="E214" s="38"/>
      <c r="F214" s="38"/>
      <c r="G214" s="38"/>
      <c r="H214" s="15"/>
      <c r="I214" s="45"/>
      <c r="J214" s="15"/>
    </row>
    <row r="215">
      <c r="A215" s="38" t="b">
        <v>0</v>
      </c>
      <c r="B215" s="38"/>
      <c r="C215" s="17"/>
      <c r="D215" s="17"/>
      <c r="E215" s="38"/>
      <c r="F215" s="38"/>
      <c r="G215" s="38"/>
      <c r="H215" s="15"/>
      <c r="I215" s="45"/>
      <c r="J215" s="15"/>
    </row>
    <row r="216">
      <c r="A216" s="38" t="b">
        <v>0</v>
      </c>
      <c r="B216" s="38"/>
      <c r="C216" s="17"/>
      <c r="D216" s="17"/>
      <c r="E216" s="38"/>
      <c r="F216" s="38"/>
      <c r="G216" s="38"/>
      <c r="H216" s="15"/>
      <c r="I216" s="45"/>
      <c r="J216" s="15"/>
    </row>
    <row r="217">
      <c r="A217" s="38" t="b">
        <v>0</v>
      </c>
      <c r="B217" s="38"/>
      <c r="C217" s="17"/>
      <c r="D217" s="17"/>
      <c r="E217" s="38"/>
      <c r="F217" s="38"/>
      <c r="G217" s="38"/>
      <c r="H217" s="15"/>
      <c r="I217" s="45"/>
      <c r="J217" s="15"/>
    </row>
    <row r="218">
      <c r="A218" s="38" t="b">
        <v>0</v>
      </c>
      <c r="B218" s="38"/>
      <c r="C218" s="17"/>
      <c r="D218" s="17"/>
      <c r="E218" s="38"/>
      <c r="F218" s="38"/>
      <c r="G218" s="38"/>
      <c r="H218" s="15"/>
      <c r="I218" s="45"/>
      <c r="J218" s="15"/>
    </row>
    <row r="219">
      <c r="A219" s="38" t="b">
        <v>0</v>
      </c>
      <c r="B219" s="38"/>
      <c r="C219" s="17"/>
      <c r="D219" s="17"/>
      <c r="E219" s="38"/>
      <c r="F219" s="38"/>
      <c r="G219" s="38"/>
      <c r="H219" s="15"/>
      <c r="I219" s="45"/>
      <c r="J219" s="15"/>
    </row>
    <row r="220">
      <c r="A220" s="38" t="b">
        <v>0</v>
      </c>
      <c r="B220" s="38"/>
      <c r="C220" s="17"/>
      <c r="D220" s="17"/>
      <c r="E220" s="38"/>
      <c r="F220" s="38"/>
      <c r="G220" s="38"/>
      <c r="H220" s="15"/>
      <c r="I220" s="45"/>
      <c r="J220" s="15"/>
    </row>
    <row r="221">
      <c r="A221" s="38" t="b">
        <v>0</v>
      </c>
      <c r="B221" s="38"/>
      <c r="C221" s="17"/>
      <c r="D221" s="17"/>
      <c r="E221" s="38"/>
      <c r="F221" s="38"/>
      <c r="G221" s="38"/>
      <c r="H221" s="15"/>
      <c r="I221" s="45"/>
      <c r="J221" s="15"/>
    </row>
    <row r="222">
      <c r="A222" s="38" t="b">
        <v>0</v>
      </c>
      <c r="B222" s="38"/>
      <c r="C222" s="17"/>
      <c r="D222" s="17"/>
      <c r="E222" s="38"/>
      <c r="F222" s="38"/>
      <c r="G222" s="38"/>
      <c r="H222" s="15"/>
      <c r="I222" s="45"/>
      <c r="J222" s="15"/>
    </row>
    <row r="223">
      <c r="A223" s="38" t="b">
        <v>0</v>
      </c>
      <c r="B223" s="38"/>
      <c r="C223" s="17"/>
      <c r="D223" s="17"/>
      <c r="E223" s="38"/>
      <c r="F223" s="38"/>
      <c r="G223" s="38"/>
      <c r="H223" s="15"/>
      <c r="I223" s="45"/>
      <c r="J223" s="15"/>
    </row>
    <row r="224">
      <c r="A224" s="38" t="b">
        <v>0</v>
      </c>
      <c r="B224" s="38"/>
      <c r="C224" s="17"/>
      <c r="D224" s="17"/>
      <c r="E224" s="38"/>
      <c r="F224" s="38"/>
      <c r="G224" s="38"/>
      <c r="H224" s="15"/>
      <c r="I224" s="45"/>
      <c r="J224" s="15"/>
    </row>
    <row r="225">
      <c r="A225" s="38" t="b">
        <v>0</v>
      </c>
      <c r="B225" s="38"/>
      <c r="C225" s="17"/>
      <c r="D225" s="17"/>
      <c r="E225" s="38"/>
      <c r="F225" s="38"/>
      <c r="G225" s="38"/>
      <c r="H225" s="15"/>
      <c r="I225" s="45"/>
      <c r="J225" s="15"/>
    </row>
    <row r="226">
      <c r="A226" s="38" t="b">
        <v>0</v>
      </c>
      <c r="B226" s="38"/>
      <c r="C226" s="17"/>
      <c r="D226" s="17"/>
      <c r="E226" s="38"/>
      <c r="F226" s="38"/>
      <c r="G226" s="38"/>
      <c r="H226" s="15"/>
      <c r="I226" s="45"/>
      <c r="J226" s="15"/>
    </row>
    <row r="227">
      <c r="A227" s="38" t="b">
        <v>0</v>
      </c>
      <c r="B227" s="38"/>
      <c r="C227" s="17"/>
      <c r="D227" s="17"/>
      <c r="E227" s="38"/>
      <c r="F227" s="38"/>
      <c r="G227" s="38"/>
      <c r="H227" s="15"/>
      <c r="I227" s="45"/>
      <c r="J227" s="15"/>
    </row>
    <row r="228">
      <c r="A228" s="38" t="b">
        <v>0</v>
      </c>
      <c r="B228" s="38"/>
      <c r="C228" s="17"/>
      <c r="D228" s="17"/>
      <c r="E228" s="38"/>
      <c r="F228" s="38"/>
      <c r="G228" s="38"/>
      <c r="H228" s="15"/>
      <c r="I228" s="45"/>
      <c r="J228" s="15"/>
    </row>
    <row r="229">
      <c r="A229" s="38" t="b">
        <v>0</v>
      </c>
      <c r="B229" s="38"/>
      <c r="C229" s="17"/>
      <c r="D229" s="17"/>
      <c r="E229" s="38"/>
      <c r="F229" s="38"/>
      <c r="G229" s="38"/>
      <c r="H229" s="15"/>
      <c r="I229" s="45"/>
      <c r="J229" s="15"/>
    </row>
    <row r="230">
      <c r="A230" s="38" t="b">
        <v>0</v>
      </c>
      <c r="B230" s="38"/>
      <c r="C230" s="17"/>
      <c r="D230" s="17"/>
      <c r="E230" s="38"/>
      <c r="F230" s="38"/>
      <c r="G230" s="38"/>
      <c r="H230" s="15"/>
      <c r="I230" s="45"/>
      <c r="J230" s="15"/>
    </row>
    <row r="231">
      <c r="A231" s="38" t="b">
        <v>0</v>
      </c>
      <c r="B231" s="38"/>
      <c r="C231" s="17"/>
      <c r="D231" s="17"/>
      <c r="E231" s="38"/>
      <c r="F231" s="38"/>
      <c r="G231" s="38"/>
      <c r="H231" s="15"/>
      <c r="I231" s="45"/>
      <c r="J231" s="15"/>
    </row>
    <row r="232">
      <c r="A232" s="38" t="b">
        <v>0</v>
      </c>
      <c r="B232" s="38"/>
      <c r="C232" s="17"/>
      <c r="D232" s="17"/>
      <c r="E232" s="38"/>
      <c r="F232" s="38"/>
      <c r="G232" s="38"/>
      <c r="H232" s="15"/>
      <c r="I232" s="45"/>
      <c r="J232" s="15"/>
    </row>
    <row r="233">
      <c r="A233" s="38" t="b">
        <v>0</v>
      </c>
      <c r="B233" s="38"/>
      <c r="C233" s="17"/>
      <c r="D233" s="17"/>
      <c r="E233" s="38"/>
      <c r="F233" s="38"/>
      <c r="G233" s="38"/>
      <c r="H233" s="15"/>
      <c r="I233" s="45"/>
      <c r="J233" s="15"/>
    </row>
    <row r="234">
      <c r="A234" s="38" t="b">
        <v>0</v>
      </c>
      <c r="B234" s="38"/>
      <c r="C234" s="17"/>
      <c r="D234" s="17"/>
      <c r="E234" s="38"/>
      <c r="F234" s="38"/>
      <c r="G234" s="38"/>
      <c r="H234" s="15"/>
      <c r="I234" s="45"/>
      <c r="J234" s="15"/>
    </row>
    <row r="235">
      <c r="A235" s="38" t="b">
        <v>0</v>
      </c>
      <c r="B235" s="38"/>
      <c r="C235" s="17"/>
      <c r="D235" s="17"/>
      <c r="E235" s="38"/>
      <c r="F235" s="38"/>
      <c r="G235" s="38"/>
      <c r="H235" s="15"/>
      <c r="I235" s="45"/>
      <c r="J235" s="15"/>
    </row>
    <row r="236">
      <c r="A236" s="38" t="b">
        <v>0</v>
      </c>
      <c r="B236" s="38"/>
      <c r="C236" s="17"/>
      <c r="D236" s="17"/>
      <c r="E236" s="38"/>
      <c r="F236" s="38"/>
      <c r="G236" s="38"/>
      <c r="H236" s="15"/>
      <c r="I236" s="45"/>
      <c r="J236" s="15"/>
    </row>
    <row r="237">
      <c r="A237" s="38" t="b">
        <v>0</v>
      </c>
      <c r="B237" s="38"/>
      <c r="C237" s="17"/>
      <c r="D237" s="17"/>
      <c r="E237" s="38"/>
      <c r="F237" s="38"/>
      <c r="G237" s="38"/>
      <c r="H237" s="15"/>
      <c r="I237" s="45"/>
      <c r="J237" s="15"/>
    </row>
    <row r="238">
      <c r="A238" s="38" t="b">
        <v>0</v>
      </c>
      <c r="B238" s="38"/>
      <c r="C238" s="17"/>
      <c r="D238" s="17"/>
      <c r="E238" s="38"/>
      <c r="F238" s="38"/>
      <c r="G238" s="38"/>
      <c r="H238" s="15"/>
      <c r="I238" s="45"/>
      <c r="J238" s="15"/>
    </row>
    <row r="239">
      <c r="A239" s="38" t="b">
        <v>0</v>
      </c>
      <c r="B239" s="38"/>
      <c r="C239" s="17"/>
      <c r="D239" s="17"/>
      <c r="E239" s="38"/>
      <c r="F239" s="38"/>
      <c r="G239" s="38"/>
      <c r="H239" s="15"/>
      <c r="I239" s="45"/>
      <c r="J239" s="15"/>
    </row>
    <row r="240">
      <c r="A240" s="38" t="b">
        <v>0</v>
      </c>
      <c r="B240" s="38"/>
      <c r="C240" s="17"/>
      <c r="D240" s="17"/>
      <c r="E240" s="38"/>
      <c r="F240" s="38"/>
      <c r="G240" s="38"/>
      <c r="H240" s="15"/>
      <c r="I240" s="45"/>
      <c r="J240" s="15"/>
    </row>
    <row r="241">
      <c r="A241" s="38" t="b">
        <v>0</v>
      </c>
      <c r="B241" s="38"/>
      <c r="C241" s="17"/>
      <c r="D241" s="17"/>
      <c r="E241" s="38"/>
      <c r="F241" s="38"/>
      <c r="G241" s="38"/>
      <c r="H241" s="15"/>
      <c r="I241" s="45"/>
      <c r="J241" s="15"/>
    </row>
    <row r="242">
      <c r="A242" s="38" t="b">
        <v>0</v>
      </c>
      <c r="B242" s="38"/>
      <c r="C242" s="17"/>
      <c r="D242" s="17"/>
      <c r="E242" s="38"/>
      <c r="F242" s="38"/>
      <c r="G242" s="38"/>
      <c r="H242" s="15"/>
      <c r="I242" s="45"/>
      <c r="J242" s="15"/>
    </row>
    <row r="243">
      <c r="A243" s="38" t="b">
        <v>0</v>
      </c>
      <c r="B243" s="38"/>
      <c r="C243" s="17"/>
      <c r="D243" s="17"/>
      <c r="E243" s="38"/>
      <c r="F243" s="38"/>
      <c r="G243" s="38"/>
      <c r="H243" s="15"/>
      <c r="I243" s="45"/>
      <c r="J243" s="15"/>
    </row>
    <row r="244">
      <c r="A244" s="38" t="b">
        <v>0</v>
      </c>
      <c r="B244" s="38"/>
      <c r="C244" s="17"/>
      <c r="D244" s="17"/>
      <c r="E244" s="38"/>
      <c r="F244" s="38"/>
      <c r="G244" s="38"/>
      <c r="H244" s="15"/>
      <c r="I244" s="45"/>
      <c r="J244" s="15"/>
    </row>
    <row r="245">
      <c r="A245" s="38" t="b">
        <v>0</v>
      </c>
      <c r="B245" s="38"/>
      <c r="C245" s="17"/>
      <c r="D245" s="17"/>
      <c r="E245" s="38"/>
      <c r="F245" s="38"/>
      <c r="G245" s="38"/>
      <c r="H245" s="15"/>
      <c r="I245" s="45"/>
      <c r="J245" s="15"/>
    </row>
    <row r="246">
      <c r="A246" s="38" t="b">
        <v>0</v>
      </c>
      <c r="B246" s="38"/>
      <c r="C246" s="17"/>
      <c r="D246" s="17"/>
      <c r="E246" s="38"/>
      <c r="F246" s="38"/>
      <c r="G246" s="38"/>
      <c r="H246" s="15"/>
      <c r="I246" s="45"/>
      <c r="J246" s="15"/>
    </row>
    <row r="247">
      <c r="A247" s="38" t="b">
        <v>0</v>
      </c>
      <c r="B247" s="38"/>
      <c r="C247" s="17"/>
      <c r="D247" s="17"/>
      <c r="E247" s="38"/>
      <c r="F247" s="38"/>
      <c r="G247" s="38"/>
      <c r="H247" s="15"/>
      <c r="I247" s="45"/>
      <c r="J247" s="15"/>
    </row>
    <row r="248">
      <c r="A248" s="38" t="b">
        <v>0</v>
      </c>
      <c r="B248" s="38"/>
      <c r="C248" s="17"/>
      <c r="D248" s="17"/>
      <c r="E248" s="38"/>
      <c r="F248" s="38"/>
      <c r="G248" s="38"/>
      <c r="H248" s="15"/>
      <c r="I248" s="45"/>
      <c r="J248" s="15"/>
    </row>
    <row r="249">
      <c r="A249" s="38" t="b">
        <v>0</v>
      </c>
      <c r="B249" s="38"/>
      <c r="C249" s="17"/>
      <c r="D249" s="17"/>
      <c r="E249" s="38"/>
      <c r="F249" s="38"/>
      <c r="G249" s="38"/>
      <c r="H249" s="15"/>
      <c r="I249" s="45"/>
      <c r="J249" s="15"/>
    </row>
    <row r="250">
      <c r="A250" s="38" t="b">
        <v>0</v>
      </c>
      <c r="B250" s="38"/>
      <c r="C250" s="17"/>
      <c r="D250" s="17"/>
      <c r="E250" s="38"/>
      <c r="F250" s="38"/>
      <c r="G250" s="38"/>
      <c r="H250" s="15"/>
      <c r="I250" s="45"/>
      <c r="J250" s="15"/>
    </row>
    <row r="251">
      <c r="A251" s="38" t="b">
        <v>0</v>
      </c>
      <c r="B251" s="38"/>
      <c r="C251" s="17"/>
      <c r="D251" s="17"/>
      <c r="E251" s="38"/>
      <c r="F251" s="38"/>
      <c r="G251" s="38"/>
      <c r="H251" s="15"/>
      <c r="I251" s="45"/>
      <c r="J251" s="15"/>
    </row>
    <row r="252">
      <c r="A252" s="38" t="b">
        <v>0</v>
      </c>
      <c r="B252" s="38"/>
      <c r="C252" s="17"/>
      <c r="D252" s="17"/>
      <c r="E252" s="38"/>
      <c r="F252" s="38"/>
      <c r="G252" s="38"/>
      <c r="H252" s="15"/>
      <c r="I252" s="45"/>
      <c r="J252" s="15"/>
    </row>
    <row r="253">
      <c r="A253" s="38" t="b">
        <v>0</v>
      </c>
      <c r="B253" s="38"/>
      <c r="C253" s="17"/>
      <c r="D253" s="17"/>
      <c r="E253" s="38"/>
      <c r="F253" s="38"/>
      <c r="G253" s="38"/>
      <c r="H253" s="15"/>
      <c r="I253" s="45"/>
      <c r="J253" s="15"/>
    </row>
    <row r="254">
      <c r="A254" s="38" t="b">
        <v>0</v>
      </c>
      <c r="B254" s="38"/>
      <c r="C254" s="17"/>
      <c r="D254" s="17"/>
      <c r="E254" s="38"/>
      <c r="F254" s="38"/>
      <c r="G254" s="38"/>
      <c r="H254" s="15"/>
      <c r="I254" s="45"/>
      <c r="J254" s="15"/>
    </row>
    <row r="255">
      <c r="A255" s="38" t="b">
        <v>0</v>
      </c>
      <c r="B255" s="38"/>
      <c r="C255" s="17"/>
      <c r="D255" s="17"/>
      <c r="E255" s="38"/>
      <c r="F255" s="38"/>
      <c r="G255" s="38"/>
      <c r="H255" s="15"/>
      <c r="I255" s="45"/>
      <c r="J255" s="15"/>
    </row>
    <row r="256">
      <c r="A256" s="38" t="b">
        <v>0</v>
      </c>
      <c r="B256" s="38"/>
      <c r="C256" s="17"/>
      <c r="D256" s="17"/>
      <c r="E256" s="38"/>
      <c r="F256" s="38"/>
      <c r="G256" s="38"/>
      <c r="H256" s="15"/>
      <c r="I256" s="45"/>
      <c r="J256" s="15"/>
    </row>
    <row r="257">
      <c r="A257" s="38" t="b">
        <v>0</v>
      </c>
      <c r="B257" s="38"/>
      <c r="C257" s="17"/>
      <c r="D257" s="17"/>
      <c r="E257" s="38"/>
      <c r="F257" s="38"/>
      <c r="G257" s="38"/>
      <c r="H257" s="15"/>
      <c r="I257" s="45"/>
      <c r="J257" s="15"/>
    </row>
    <row r="258">
      <c r="A258" s="38" t="b">
        <v>0</v>
      </c>
      <c r="B258" s="38"/>
      <c r="C258" s="17"/>
      <c r="D258" s="17"/>
      <c r="E258" s="38"/>
      <c r="F258" s="38"/>
      <c r="G258" s="38"/>
      <c r="H258" s="15"/>
      <c r="I258" s="45"/>
      <c r="J258" s="15"/>
    </row>
    <row r="259">
      <c r="A259" s="38" t="b">
        <v>0</v>
      </c>
      <c r="B259" s="38"/>
      <c r="C259" s="17"/>
      <c r="D259" s="17"/>
      <c r="E259" s="38"/>
      <c r="F259" s="38"/>
      <c r="G259" s="38"/>
      <c r="H259" s="15"/>
      <c r="I259" s="45"/>
      <c r="J259" s="15"/>
    </row>
    <row r="260">
      <c r="A260" s="38" t="b">
        <v>0</v>
      </c>
      <c r="B260" s="38"/>
      <c r="C260" s="17"/>
      <c r="D260" s="17"/>
      <c r="E260" s="38"/>
      <c r="F260" s="38"/>
      <c r="G260" s="38"/>
      <c r="H260" s="15"/>
      <c r="I260" s="45"/>
      <c r="J260" s="15"/>
    </row>
    <row r="261">
      <c r="A261" s="38" t="b">
        <v>0</v>
      </c>
      <c r="B261" s="38"/>
      <c r="C261" s="17"/>
      <c r="D261" s="17"/>
      <c r="E261" s="38"/>
      <c r="F261" s="38"/>
      <c r="G261" s="38"/>
      <c r="H261" s="15"/>
      <c r="I261" s="45"/>
      <c r="J261" s="15"/>
    </row>
    <row r="262">
      <c r="A262" s="38" t="b">
        <v>0</v>
      </c>
      <c r="B262" s="38"/>
      <c r="C262" s="17"/>
      <c r="D262" s="17"/>
      <c r="E262" s="38"/>
      <c r="F262" s="38"/>
      <c r="G262" s="38"/>
      <c r="H262" s="15"/>
      <c r="I262" s="45"/>
      <c r="J262" s="15"/>
    </row>
    <row r="263">
      <c r="A263" s="38" t="b">
        <v>0</v>
      </c>
      <c r="B263" s="38"/>
      <c r="C263" s="17"/>
      <c r="D263" s="17"/>
      <c r="E263" s="38"/>
      <c r="F263" s="38"/>
      <c r="G263" s="38"/>
      <c r="H263" s="15"/>
      <c r="I263" s="45"/>
      <c r="J263" s="15"/>
    </row>
    <row r="264">
      <c r="A264" s="38" t="b">
        <v>0</v>
      </c>
      <c r="B264" s="38"/>
      <c r="C264" s="17"/>
      <c r="D264" s="17"/>
      <c r="E264" s="38"/>
      <c r="F264" s="38"/>
      <c r="G264" s="38"/>
      <c r="H264" s="15"/>
      <c r="I264" s="45"/>
      <c r="J264" s="15"/>
    </row>
    <row r="265">
      <c r="A265" s="38" t="b">
        <v>0</v>
      </c>
      <c r="B265" s="38"/>
      <c r="C265" s="17"/>
      <c r="D265" s="17"/>
      <c r="E265" s="38"/>
      <c r="F265" s="38"/>
      <c r="G265" s="38"/>
      <c r="H265" s="15"/>
      <c r="I265" s="45"/>
      <c r="J265" s="15"/>
    </row>
    <row r="266">
      <c r="A266" s="38" t="b">
        <v>0</v>
      </c>
      <c r="B266" s="38"/>
      <c r="C266" s="17"/>
      <c r="D266" s="17"/>
      <c r="E266" s="38"/>
      <c r="F266" s="38"/>
      <c r="G266" s="38"/>
      <c r="H266" s="15"/>
      <c r="I266" s="45"/>
      <c r="J266" s="15"/>
    </row>
    <row r="267">
      <c r="A267" s="38" t="b">
        <v>0</v>
      </c>
      <c r="B267" s="38"/>
      <c r="C267" s="17"/>
      <c r="D267" s="17"/>
      <c r="E267" s="38"/>
      <c r="F267" s="38"/>
      <c r="G267" s="38"/>
      <c r="H267" s="15"/>
      <c r="I267" s="45"/>
      <c r="J267" s="15"/>
    </row>
    <row r="268">
      <c r="A268" s="38" t="b">
        <v>0</v>
      </c>
      <c r="B268" s="38"/>
      <c r="C268" s="17"/>
      <c r="D268" s="17"/>
      <c r="E268" s="38"/>
      <c r="F268" s="38"/>
      <c r="G268" s="38"/>
      <c r="H268" s="15"/>
      <c r="I268" s="45"/>
      <c r="J268" s="15"/>
    </row>
    <row r="269">
      <c r="A269" s="38" t="b">
        <v>0</v>
      </c>
      <c r="B269" s="38"/>
      <c r="C269" s="17"/>
      <c r="D269" s="17"/>
      <c r="E269" s="38"/>
      <c r="F269" s="38"/>
      <c r="G269" s="38"/>
      <c r="H269" s="15"/>
      <c r="I269" s="45"/>
      <c r="J269" s="15"/>
    </row>
    <row r="270">
      <c r="A270" s="38" t="b">
        <v>0</v>
      </c>
      <c r="B270" s="38"/>
      <c r="C270" s="17"/>
      <c r="D270" s="17"/>
      <c r="E270" s="38"/>
      <c r="F270" s="38"/>
      <c r="G270" s="38"/>
      <c r="H270" s="15"/>
      <c r="I270" s="45"/>
      <c r="J270" s="15"/>
    </row>
    <row r="271">
      <c r="A271" s="38" t="b">
        <v>0</v>
      </c>
      <c r="B271" s="38"/>
      <c r="C271" s="17"/>
      <c r="D271" s="17"/>
      <c r="E271" s="38"/>
      <c r="F271" s="38"/>
      <c r="G271" s="38"/>
      <c r="H271" s="15"/>
      <c r="I271" s="45"/>
      <c r="J271" s="15"/>
    </row>
    <row r="272">
      <c r="A272" s="38" t="b">
        <v>0</v>
      </c>
      <c r="B272" s="38"/>
      <c r="C272" s="17"/>
      <c r="D272" s="17"/>
      <c r="E272" s="38"/>
      <c r="F272" s="38"/>
      <c r="G272" s="38"/>
      <c r="H272" s="15"/>
      <c r="I272" s="45"/>
      <c r="J272" s="15"/>
    </row>
    <row r="273">
      <c r="A273" s="38" t="b">
        <v>0</v>
      </c>
      <c r="B273" s="38"/>
      <c r="C273" s="17"/>
      <c r="D273" s="17"/>
      <c r="E273" s="38"/>
      <c r="F273" s="38"/>
      <c r="G273" s="38"/>
      <c r="H273" s="15"/>
      <c r="I273" s="45"/>
      <c r="J273" s="15"/>
    </row>
    <row r="274">
      <c r="A274" s="38" t="b">
        <v>0</v>
      </c>
      <c r="B274" s="38"/>
      <c r="C274" s="17"/>
      <c r="D274" s="17"/>
      <c r="E274" s="38"/>
      <c r="F274" s="38"/>
      <c r="G274" s="38"/>
      <c r="H274" s="15"/>
      <c r="I274" s="45"/>
      <c r="J274" s="15"/>
    </row>
    <row r="275">
      <c r="A275" s="38" t="b">
        <v>0</v>
      </c>
      <c r="B275" s="38"/>
      <c r="C275" s="17"/>
      <c r="D275" s="17"/>
      <c r="E275" s="38"/>
      <c r="F275" s="38"/>
      <c r="G275" s="38"/>
      <c r="H275" s="15"/>
      <c r="I275" s="45"/>
      <c r="J275" s="15"/>
    </row>
    <row r="276">
      <c r="A276" s="38" t="b">
        <v>0</v>
      </c>
      <c r="B276" s="38"/>
      <c r="C276" s="17"/>
      <c r="D276" s="17"/>
      <c r="E276" s="38"/>
      <c r="F276" s="38"/>
      <c r="G276" s="38"/>
      <c r="H276" s="15"/>
      <c r="I276" s="45"/>
      <c r="J276" s="15"/>
    </row>
    <row r="277">
      <c r="A277" s="38" t="b">
        <v>0</v>
      </c>
      <c r="B277" s="38"/>
      <c r="C277" s="17"/>
      <c r="D277" s="17"/>
      <c r="E277" s="38"/>
      <c r="F277" s="38"/>
      <c r="G277" s="38"/>
      <c r="H277" s="15"/>
      <c r="I277" s="45"/>
      <c r="J277" s="15"/>
    </row>
    <row r="278">
      <c r="A278" s="38" t="b">
        <v>0</v>
      </c>
      <c r="B278" s="38"/>
      <c r="C278" s="17"/>
      <c r="D278" s="17"/>
      <c r="E278" s="38"/>
      <c r="F278" s="38"/>
      <c r="G278" s="38"/>
      <c r="H278" s="15"/>
      <c r="I278" s="45"/>
      <c r="J278" s="15"/>
    </row>
    <row r="279">
      <c r="A279" s="38" t="b">
        <v>0</v>
      </c>
      <c r="B279" s="38"/>
      <c r="C279" s="17"/>
      <c r="D279" s="17"/>
      <c r="E279" s="38"/>
      <c r="F279" s="38"/>
      <c r="G279" s="38"/>
      <c r="H279" s="15"/>
      <c r="I279" s="45"/>
      <c r="J279" s="15"/>
    </row>
    <row r="280">
      <c r="A280" s="38" t="b">
        <v>0</v>
      </c>
      <c r="B280" s="38"/>
      <c r="C280" s="17"/>
      <c r="D280" s="17"/>
      <c r="E280" s="38"/>
      <c r="F280" s="38"/>
      <c r="G280" s="38"/>
      <c r="H280" s="15"/>
      <c r="I280" s="45"/>
      <c r="J280" s="15"/>
    </row>
    <row r="281">
      <c r="A281" s="38" t="b">
        <v>0</v>
      </c>
      <c r="B281" s="38"/>
      <c r="C281" s="17"/>
      <c r="D281" s="17"/>
      <c r="E281" s="38"/>
      <c r="F281" s="38"/>
      <c r="G281" s="38"/>
      <c r="H281" s="15"/>
      <c r="I281" s="45"/>
      <c r="J281" s="15"/>
    </row>
    <row r="282">
      <c r="A282" s="38" t="b">
        <v>0</v>
      </c>
      <c r="B282" s="38"/>
      <c r="C282" s="17"/>
      <c r="D282" s="17"/>
      <c r="E282" s="38"/>
      <c r="F282" s="38"/>
      <c r="G282" s="38"/>
      <c r="H282" s="15"/>
      <c r="I282" s="45"/>
      <c r="J282" s="15"/>
    </row>
    <row r="283">
      <c r="A283" s="38" t="b">
        <v>0</v>
      </c>
      <c r="B283" s="38"/>
      <c r="C283" s="17"/>
      <c r="D283" s="17"/>
      <c r="E283" s="38"/>
      <c r="F283" s="38"/>
      <c r="G283" s="38"/>
      <c r="H283" s="15"/>
      <c r="I283" s="45"/>
      <c r="J283" s="15"/>
    </row>
    <row r="284">
      <c r="A284" s="38" t="b">
        <v>0</v>
      </c>
      <c r="B284" s="38"/>
      <c r="C284" s="17"/>
      <c r="D284" s="17"/>
      <c r="E284" s="38"/>
      <c r="F284" s="38"/>
      <c r="G284" s="38"/>
      <c r="H284" s="15"/>
      <c r="I284" s="45"/>
      <c r="J284" s="15"/>
    </row>
    <row r="285">
      <c r="A285" s="38" t="b">
        <v>0</v>
      </c>
      <c r="B285" s="38"/>
      <c r="C285" s="17"/>
      <c r="D285" s="17"/>
      <c r="E285" s="38"/>
      <c r="F285" s="38"/>
      <c r="G285" s="38"/>
      <c r="H285" s="15"/>
      <c r="I285" s="45"/>
      <c r="J285" s="15"/>
    </row>
    <row r="286">
      <c r="A286" s="38" t="b">
        <v>0</v>
      </c>
      <c r="B286" s="38"/>
      <c r="C286" s="17"/>
      <c r="D286" s="17"/>
      <c r="E286" s="38"/>
      <c r="F286" s="38"/>
      <c r="G286" s="38"/>
      <c r="H286" s="15"/>
      <c r="I286" s="45"/>
      <c r="J286" s="15"/>
    </row>
    <row r="287">
      <c r="A287" s="38" t="b">
        <v>0</v>
      </c>
      <c r="B287" s="38"/>
      <c r="C287" s="17"/>
      <c r="D287" s="17"/>
      <c r="E287" s="38"/>
      <c r="F287" s="38"/>
      <c r="G287" s="38"/>
      <c r="H287" s="15"/>
      <c r="I287" s="45"/>
      <c r="J287" s="15"/>
    </row>
    <row r="288">
      <c r="A288" s="38" t="b">
        <v>0</v>
      </c>
      <c r="B288" s="38"/>
      <c r="C288" s="17"/>
      <c r="D288" s="17"/>
      <c r="E288" s="38"/>
      <c r="F288" s="38"/>
      <c r="G288" s="38"/>
      <c r="H288" s="15"/>
      <c r="I288" s="45"/>
      <c r="J288" s="15"/>
    </row>
    <row r="289">
      <c r="A289" s="38" t="b">
        <v>0</v>
      </c>
      <c r="B289" s="38"/>
      <c r="C289" s="17"/>
      <c r="D289" s="17"/>
      <c r="E289" s="38"/>
      <c r="F289" s="38"/>
      <c r="G289" s="38"/>
      <c r="H289" s="15"/>
      <c r="I289" s="45"/>
      <c r="J289" s="15"/>
    </row>
    <row r="290">
      <c r="A290" s="38" t="b">
        <v>0</v>
      </c>
      <c r="B290" s="38"/>
      <c r="C290" s="17"/>
      <c r="D290" s="17"/>
      <c r="E290" s="38"/>
      <c r="F290" s="38"/>
      <c r="G290" s="38"/>
      <c r="H290" s="15"/>
      <c r="I290" s="45"/>
      <c r="J290" s="15"/>
    </row>
    <row r="291">
      <c r="A291" s="38" t="b">
        <v>0</v>
      </c>
      <c r="B291" s="38"/>
      <c r="C291" s="17"/>
      <c r="D291" s="17"/>
      <c r="E291" s="38"/>
      <c r="F291" s="38"/>
      <c r="G291" s="38"/>
      <c r="H291" s="15"/>
      <c r="I291" s="45"/>
      <c r="J291" s="15"/>
    </row>
    <row r="292">
      <c r="A292" s="38" t="b">
        <v>0</v>
      </c>
      <c r="B292" s="38"/>
      <c r="C292" s="17"/>
      <c r="D292" s="17"/>
      <c r="E292" s="38"/>
      <c r="F292" s="38"/>
      <c r="G292" s="38"/>
      <c r="H292" s="15"/>
      <c r="I292" s="45"/>
      <c r="J292" s="15"/>
    </row>
    <row r="293">
      <c r="A293" s="38" t="b">
        <v>0</v>
      </c>
      <c r="B293" s="38"/>
      <c r="C293" s="17"/>
      <c r="D293" s="17"/>
      <c r="E293" s="38"/>
      <c r="F293" s="38"/>
      <c r="G293" s="38"/>
      <c r="H293" s="15"/>
      <c r="I293" s="45"/>
      <c r="J293" s="15"/>
    </row>
    <row r="294">
      <c r="A294" s="38" t="b">
        <v>0</v>
      </c>
      <c r="B294" s="38"/>
      <c r="C294" s="17"/>
      <c r="D294" s="17"/>
      <c r="E294" s="38"/>
      <c r="F294" s="38"/>
      <c r="G294" s="38"/>
      <c r="H294" s="15"/>
      <c r="I294" s="45"/>
      <c r="J294" s="15"/>
    </row>
    <row r="295">
      <c r="A295" s="38" t="b">
        <v>0</v>
      </c>
      <c r="B295" s="38"/>
      <c r="C295" s="17"/>
      <c r="D295" s="17"/>
      <c r="E295" s="38"/>
      <c r="F295" s="38"/>
      <c r="G295" s="38"/>
      <c r="H295" s="15"/>
      <c r="I295" s="45"/>
      <c r="J295" s="15"/>
    </row>
    <row r="296">
      <c r="A296" s="38" t="b">
        <v>0</v>
      </c>
      <c r="B296" s="38"/>
      <c r="C296" s="17"/>
      <c r="D296" s="17"/>
      <c r="E296" s="38"/>
      <c r="F296" s="38"/>
      <c r="G296" s="38"/>
      <c r="H296" s="15"/>
      <c r="I296" s="45"/>
      <c r="J296" s="15"/>
    </row>
    <row r="297">
      <c r="A297" s="38" t="b">
        <v>0</v>
      </c>
      <c r="B297" s="38"/>
      <c r="C297" s="17"/>
      <c r="D297" s="17"/>
      <c r="E297" s="38"/>
      <c r="F297" s="38"/>
      <c r="G297" s="38"/>
      <c r="H297" s="15"/>
      <c r="I297" s="45"/>
      <c r="J297" s="15"/>
    </row>
    <row r="298">
      <c r="A298" s="38" t="b">
        <v>0</v>
      </c>
      <c r="B298" s="38"/>
      <c r="C298" s="17"/>
      <c r="D298" s="17"/>
      <c r="E298" s="38"/>
      <c r="F298" s="38"/>
      <c r="G298" s="38"/>
      <c r="H298" s="15"/>
      <c r="I298" s="45"/>
      <c r="J298" s="15"/>
    </row>
    <row r="299">
      <c r="A299" s="38" t="b">
        <v>0</v>
      </c>
      <c r="B299" s="38"/>
      <c r="C299" s="17"/>
      <c r="D299" s="17"/>
      <c r="E299" s="38"/>
      <c r="F299" s="38"/>
      <c r="G299" s="38"/>
      <c r="H299" s="15"/>
      <c r="I299" s="45"/>
      <c r="J299" s="15"/>
    </row>
    <row r="300">
      <c r="A300" s="38" t="b">
        <v>0</v>
      </c>
      <c r="B300" s="38"/>
      <c r="C300" s="17"/>
      <c r="D300" s="17"/>
      <c r="E300" s="38"/>
      <c r="F300" s="38"/>
      <c r="G300" s="38"/>
      <c r="H300" s="15"/>
      <c r="I300" s="45"/>
      <c r="J300" s="15"/>
    </row>
    <row r="301">
      <c r="A301" s="38" t="b">
        <v>0</v>
      </c>
      <c r="B301" s="38"/>
      <c r="C301" s="17"/>
      <c r="D301" s="17"/>
      <c r="E301" s="38"/>
      <c r="F301" s="38"/>
      <c r="G301" s="38"/>
      <c r="H301" s="15"/>
      <c r="I301" s="45"/>
      <c r="J301" s="15"/>
    </row>
    <row r="302">
      <c r="A302" s="38" t="b">
        <v>0</v>
      </c>
      <c r="B302" s="38"/>
      <c r="C302" s="17"/>
      <c r="D302" s="17"/>
      <c r="E302" s="38"/>
      <c r="F302" s="38"/>
      <c r="G302" s="38"/>
      <c r="H302" s="15"/>
      <c r="I302" s="45"/>
      <c r="J302" s="15"/>
    </row>
    <row r="303">
      <c r="A303" s="38" t="b">
        <v>0</v>
      </c>
      <c r="B303" s="38"/>
      <c r="C303" s="17"/>
      <c r="D303" s="17"/>
      <c r="E303" s="38"/>
      <c r="F303" s="38"/>
      <c r="G303" s="38"/>
      <c r="H303" s="15"/>
      <c r="I303" s="45"/>
      <c r="J303" s="15"/>
    </row>
    <row r="304">
      <c r="A304" s="38" t="b">
        <v>0</v>
      </c>
      <c r="B304" s="38"/>
      <c r="C304" s="17"/>
      <c r="D304" s="17"/>
      <c r="E304" s="38"/>
      <c r="F304" s="38"/>
      <c r="G304" s="38"/>
      <c r="H304" s="15"/>
      <c r="I304" s="45"/>
      <c r="J304" s="15"/>
    </row>
    <row r="305">
      <c r="A305" s="38" t="b">
        <v>0</v>
      </c>
      <c r="B305" s="38"/>
      <c r="C305" s="17"/>
      <c r="D305" s="17"/>
      <c r="E305" s="38"/>
      <c r="F305" s="38"/>
      <c r="G305" s="38"/>
      <c r="H305" s="15"/>
      <c r="I305" s="45"/>
      <c r="J305" s="15"/>
    </row>
    <row r="306">
      <c r="A306" s="38" t="b">
        <v>0</v>
      </c>
      <c r="B306" s="38"/>
      <c r="C306" s="17"/>
      <c r="D306" s="17"/>
      <c r="E306" s="38"/>
      <c r="F306" s="38"/>
      <c r="G306" s="38"/>
      <c r="H306" s="15"/>
      <c r="I306" s="45"/>
      <c r="J306" s="15"/>
    </row>
    <row r="307">
      <c r="A307" s="38" t="b">
        <v>0</v>
      </c>
      <c r="B307" s="38"/>
      <c r="C307" s="17"/>
      <c r="D307" s="17"/>
      <c r="E307" s="38"/>
      <c r="F307" s="38"/>
      <c r="G307" s="38"/>
      <c r="H307" s="15"/>
      <c r="I307" s="45"/>
      <c r="J307" s="15"/>
    </row>
    <row r="308">
      <c r="A308" s="38" t="b">
        <v>0</v>
      </c>
      <c r="B308" s="38"/>
      <c r="C308" s="17"/>
      <c r="D308" s="17"/>
      <c r="E308" s="38"/>
      <c r="F308" s="38"/>
      <c r="G308" s="38"/>
      <c r="H308" s="15"/>
      <c r="I308" s="45"/>
      <c r="J308" s="15"/>
    </row>
    <row r="309">
      <c r="A309" s="38" t="b">
        <v>0</v>
      </c>
      <c r="B309" s="38"/>
      <c r="C309" s="17"/>
      <c r="D309" s="17"/>
      <c r="E309" s="38"/>
      <c r="F309" s="38"/>
      <c r="G309" s="38"/>
      <c r="H309" s="15"/>
      <c r="I309" s="45"/>
      <c r="J309" s="15"/>
    </row>
    <row r="310">
      <c r="A310" s="38" t="b">
        <v>0</v>
      </c>
      <c r="B310" s="38"/>
      <c r="C310" s="17"/>
      <c r="D310" s="17"/>
      <c r="E310" s="38"/>
      <c r="F310" s="38"/>
      <c r="G310" s="38"/>
      <c r="H310" s="15"/>
      <c r="I310" s="45"/>
      <c r="J310" s="15"/>
    </row>
    <row r="311">
      <c r="A311" s="38" t="b">
        <v>0</v>
      </c>
      <c r="B311" s="38"/>
      <c r="C311" s="17"/>
      <c r="D311" s="17"/>
      <c r="E311" s="38"/>
      <c r="F311" s="38"/>
      <c r="G311" s="38"/>
      <c r="H311" s="15"/>
      <c r="I311" s="45"/>
      <c r="J311" s="15"/>
    </row>
    <row r="312">
      <c r="A312" s="38" t="b">
        <v>0</v>
      </c>
      <c r="B312" s="38"/>
      <c r="C312" s="17"/>
      <c r="D312" s="17"/>
      <c r="E312" s="38"/>
      <c r="F312" s="38"/>
      <c r="G312" s="38"/>
      <c r="H312" s="15"/>
      <c r="I312" s="45"/>
      <c r="J312" s="15"/>
    </row>
    <row r="313">
      <c r="A313" s="38" t="b">
        <v>0</v>
      </c>
      <c r="B313" s="38"/>
      <c r="C313" s="17"/>
      <c r="D313" s="17"/>
      <c r="E313" s="38"/>
      <c r="F313" s="38"/>
      <c r="G313" s="38"/>
      <c r="H313" s="15"/>
      <c r="I313" s="45"/>
      <c r="J313" s="15"/>
    </row>
    <row r="314">
      <c r="A314" s="38" t="b">
        <v>0</v>
      </c>
      <c r="B314" s="38"/>
      <c r="C314" s="17"/>
      <c r="D314" s="17"/>
      <c r="E314" s="38"/>
      <c r="F314" s="38"/>
      <c r="G314" s="38"/>
      <c r="H314" s="15"/>
      <c r="I314" s="45"/>
      <c r="J314" s="15"/>
    </row>
    <row r="315">
      <c r="A315" s="38" t="b">
        <v>0</v>
      </c>
      <c r="B315" s="38"/>
      <c r="C315" s="17"/>
      <c r="D315" s="17"/>
      <c r="E315" s="38"/>
      <c r="F315" s="38"/>
      <c r="G315" s="38"/>
      <c r="H315" s="15"/>
      <c r="I315" s="45"/>
      <c r="J315" s="15"/>
    </row>
    <row r="316">
      <c r="A316" s="38" t="b">
        <v>0</v>
      </c>
      <c r="B316" s="38"/>
      <c r="C316" s="17"/>
      <c r="D316" s="17"/>
      <c r="E316" s="38"/>
      <c r="F316" s="38"/>
      <c r="G316" s="38"/>
      <c r="H316" s="15"/>
      <c r="I316" s="45"/>
      <c r="J316" s="15"/>
    </row>
    <row r="317">
      <c r="A317" s="38" t="b">
        <v>0</v>
      </c>
      <c r="B317" s="38"/>
      <c r="C317" s="17"/>
      <c r="D317" s="17"/>
      <c r="E317" s="38"/>
      <c r="F317" s="38"/>
      <c r="G317" s="38"/>
      <c r="H317" s="15"/>
      <c r="I317" s="45"/>
      <c r="J317" s="15"/>
    </row>
    <row r="318">
      <c r="A318" s="38" t="b">
        <v>0</v>
      </c>
      <c r="B318" s="38"/>
      <c r="C318" s="17"/>
      <c r="D318" s="17"/>
      <c r="E318" s="38"/>
      <c r="F318" s="38"/>
      <c r="G318" s="38"/>
      <c r="H318" s="15"/>
      <c r="I318" s="45"/>
      <c r="J318" s="15"/>
    </row>
    <row r="319">
      <c r="A319" s="38" t="b">
        <v>0</v>
      </c>
      <c r="B319" s="38"/>
      <c r="C319" s="17"/>
      <c r="D319" s="17"/>
      <c r="E319" s="38"/>
      <c r="F319" s="38"/>
      <c r="G319" s="38"/>
      <c r="H319" s="15"/>
      <c r="I319" s="45"/>
      <c r="J319" s="15"/>
    </row>
    <row r="320">
      <c r="A320" s="38" t="b">
        <v>0</v>
      </c>
      <c r="B320" s="38"/>
      <c r="C320" s="17"/>
      <c r="D320" s="17"/>
      <c r="E320" s="38"/>
      <c r="F320" s="38"/>
      <c r="G320" s="38"/>
      <c r="H320" s="15"/>
      <c r="I320" s="45"/>
      <c r="J320" s="15"/>
    </row>
    <row r="321">
      <c r="A321" s="38" t="b">
        <v>0</v>
      </c>
      <c r="B321" s="38"/>
      <c r="C321" s="17"/>
      <c r="D321" s="17"/>
      <c r="E321" s="38"/>
      <c r="F321" s="38"/>
      <c r="G321" s="38"/>
      <c r="H321" s="15"/>
      <c r="I321" s="45"/>
      <c r="J321" s="15"/>
    </row>
    <row r="322">
      <c r="A322" s="38" t="b">
        <v>0</v>
      </c>
      <c r="B322" s="38"/>
      <c r="C322" s="17"/>
      <c r="D322" s="17"/>
      <c r="E322" s="38"/>
      <c r="F322" s="38"/>
      <c r="G322" s="38"/>
      <c r="H322" s="15"/>
      <c r="I322" s="45"/>
      <c r="J322" s="15"/>
    </row>
    <row r="323">
      <c r="A323" s="38" t="b">
        <v>0</v>
      </c>
      <c r="B323" s="38"/>
      <c r="C323" s="17"/>
      <c r="D323" s="17"/>
      <c r="E323" s="38"/>
      <c r="F323" s="38"/>
      <c r="G323" s="38"/>
      <c r="H323" s="15"/>
      <c r="I323" s="45"/>
      <c r="J323" s="15"/>
    </row>
    <row r="324">
      <c r="A324" s="38" t="b">
        <v>0</v>
      </c>
      <c r="B324" s="38"/>
      <c r="C324" s="17"/>
      <c r="D324" s="17"/>
      <c r="E324" s="38"/>
      <c r="F324" s="38"/>
      <c r="G324" s="38"/>
      <c r="H324" s="15"/>
      <c r="I324" s="45"/>
      <c r="J324" s="15"/>
    </row>
    <row r="325">
      <c r="A325" s="38" t="b">
        <v>0</v>
      </c>
      <c r="B325" s="38"/>
      <c r="C325" s="17"/>
      <c r="D325" s="17"/>
      <c r="E325" s="38"/>
      <c r="F325" s="38"/>
      <c r="G325" s="38"/>
      <c r="H325" s="15"/>
      <c r="I325" s="45"/>
      <c r="J325" s="15"/>
    </row>
    <row r="326">
      <c r="A326" s="38" t="b">
        <v>0</v>
      </c>
      <c r="B326" s="38"/>
      <c r="C326" s="17"/>
      <c r="D326" s="17"/>
      <c r="E326" s="38"/>
      <c r="F326" s="38"/>
      <c r="G326" s="38"/>
      <c r="H326" s="15"/>
      <c r="I326" s="45"/>
      <c r="J326" s="15"/>
    </row>
    <row r="327">
      <c r="A327" s="38" t="b">
        <v>0</v>
      </c>
      <c r="B327" s="38"/>
      <c r="C327" s="17"/>
      <c r="D327" s="17"/>
      <c r="E327" s="38"/>
      <c r="F327" s="38"/>
      <c r="G327" s="38"/>
      <c r="H327" s="15"/>
      <c r="I327" s="45"/>
      <c r="J327" s="15"/>
    </row>
    <row r="328">
      <c r="A328" s="38" t="b">
        <v>0</v>
      </c>
      <c r="B328" s="38"/>
      <c r="C328" s="17"/>
      <c r="D328" s="17"/>
      <c r="E328" s="38"/>
      <c r="F328" s="38"/>
      <c r="G328" s="38"/>
      <c r="H328" s="15"/>
      <c r="I328" s="45"/>
      <c r="J328" s="15"/>
    </row>
    <row r="329">
      <c r="A329" s="38" t="b">
        <v>0</v>
      </c>
      <c r="B329" s="38"/>
      <c r="C329" s="17"/>
      <c r="D329" s="17"/>
      <c r="E329" s="38"/>
      <c r="F329" s="38"/>
      <c r="G329" s="38"/>
      <c r="H329" s="15"/>
      <c r="I329" s="45"/>
      <c r="J329" s="15"/>
    </row>
    <row r="330">
      <c r="A330" s="38" t="b">
        <v>0</v>
      </c>
      <c r="B330" s="38"/>
      <c r="C330" s="17"/>
      <c r="D330" s="17"/>
      <c r="E330" s="38"/>
      <c r="F330" s="38"/>
      <c r="G330" s="38"/>
      <c r="H330" s="15"/>
      <c r="I330" s="45"/>
      <c r="J330" s="15"/>
    </row>
    <row r="331">
      <c r="A331" s="38" t="b">
        <v>0</v>
      </c>
      <c r="B331" s="38"/>
      <c r="C331" s="17"/>
      <c r="D331" s="17"/>
      <c r="E331" s="38"/>
      <c r="F331" s="38"/>
      <c r="G331" s="38"/>
      <c r="H331" s="15"/>
      <c r="I331" s="45"/>
      <c r="J331" s="15"/>
    </row>
    <row r="332">
      <c r="A332" s="38" t="b">
        <v>0</v>
      </c>
      <c r="B332" s="38"/>
      <c r="C332" s="17"/>
      <c r="D332" s="17"/>
      <c r="E332" s="38"/>
      <c r="F332" s="38"/>
      <c r="G332" s="38"/>
      <c r="H332" s="15"/>
      <c r="I332" s="45"/>
      <c r="J332" s="15"/>
    </row>
    <row r="333">
      <c r="A333" s="38" t="b">
        <v>0</v>
      </c>
      <c r="B333" s="38"/>
      <c r="C333" s="17"/>
      <c r="D333" s="17"/>
      <c r="E333" s="38"/>
      <c r="F333" s="38"/>
      <c r="G333" s="38"/>
      <c r="H333" s="15"/>
      <c r="I333" s="45"/>
      <c r="J333" s="15"/>
    </row>
    <row r="334">
      <c r="A334" s="38" t="b">
        <v>0</v>
      </c>
      <c r="B334" s="38"/>
      <c r="C334" s="17"/>
      <c r="D334" s="17"/>
      <c r="E334" s="38"/>
      <c r="F334" s="38"/>
      <c r="G334" s="38"/>
      <c r="H334" s="15"/>
      <c r="I334" s="45"/>
      <c r="J334" s="15"/>
    </row>
    <row r="335">
      <c r="A335" s="38" t="b">
        <v>0</v>
      </c>
      <c r="B335" s="38"/>
      <c r="C335" s="17"/>
      <c r="D335" s="17"/>
      <c r="E335" s="38"/>
      <c r="F335" s="38"/>
      <c r="G335" s="38"/>
      <c r="H335" s="15"/>
      <c r="I335" s="45"/>
      <c r="J335" s="15"/>
    </row>
    <row r="336">
      <c r="A336" s="38" t="b">
        <v>0</v>
      </c>
      <c r="B336" s="38"/>
      <c r="C336" s="17"/>
      <c r="D336" s="17"/>
      <c r="E336" s="38"/>
      <c r="F336" s="38"/>
      <c r="G336" s="38"/>
      <c r="H336" s="15"/>
      <c r="I336" s="45"/>
      <c r="J336" s="15"/>
    </row>
    <row r="337">
      <c r="A337" s="38" t="b">
        <v>0</v>
      </c>
      <c r="B337" s="38"/>
      <c r="C337" s="17"/>
      <c r="D337" s="17"/>
      <c r="E337" s="38"/>
      <c r="F337" s="38"/>
      <c r="G337" s="38"/>
      <c r="H337" s="15"/>
      <c r="I337" s="45"/>
      <c r="J337" s="15"/>
    </row>
    <row r="338">
      <c r="A338" s="38" t="b">
        <v>0</v>
      </c>
      <c r="B338" s="38"/>
      <c r="C338" s="17"/>
      <c r="D338" s="17"/>
      <c r="E338" s="38"/>
      <c r="F338" s="38"/>
      <c r="G338" s="38"/>
      <c r="H338" s="15"/>
      <c r="I338" s="45"/>
      <c r="J338" s="15"/>
    </row>
    <row r="339">
      <c r="A339" s="38" t="b">
        <v>0</v>
      </c>
      <c r="B339" s="38"/>
      <c r="C339" s="17"/>
      <c r="D339" s="17"/>
      <c r="E339" s="38"/>
      <c r="F339" s="38"/>
      <c r="G339" s="38"/>
      <c r="H339" s="15"/>
      <c r="I339" s="45"/>
      <c r="J339" s="15"/>
    </row>
    <row r="340">
      <c r="A340" s="38" t="b">
        <v>0</v>
      </c>
      <c r="B340" s="38"/>
      <c r="C340" s="17"/>
      <c r="D340" s="17"/>
      <c r="E340" s="38"/>
      <c r="F340" s="38"/>
      <c r="G340" s="38"/>
      <c r="H340" s="15"/>
      <c r="I340" s="45"/>
      <c r="J340" s="15"/>
    </row>
    <row r="341">
      <c r="A341" s="38" t="b">
        <v>0</v>
      </c>
      <c r="B341" s="38"/>
      <c r="C341" s="17"/>
      <c r="D341" s="17"/>
      <c r="E341" s="38"/>
      <c r="F341" s="38"/>
      <c r="G341" s="38"/>
      <c r="H341" s="15"/>
      <c r="I341" s="45"/>
      <c r="J341" s="15"/>
    </row>
    <row r="342">
      <c r="A342" s="38" t="b">
        <v>0</v>
      </c>
      <c r="B342" s="38"/>
      <c r="C342" s="17"/>
      <c r="D342" s="17"/>
      <c r="E342" s="38"/>
      <c r="F342" s="38"/>
      <c r="G342" s="38"/>
      <c r="H342" s="15"/>
      <c r="I342" s="45"/>
      <c r="J342" s="15"/>
    </row>
    <row r="343">
      <c r="A343" s="38" t="b">
        <v>0</v>
      </c>
      <c r="B343" s="38"/>
      <c r="C343" s="17"/>
      <c r="D343" s="17"/>
      <c r="E343" s="38"/>
      <c r="F343" s="38"/>
      <c r="G343" s="38"/>
      <c r="H343" s="15"/>
      <c r="I343" s="45"/>
      <c r="J343" s="15"/>
    </row>
    <row r="344">
      <c r="A344" s="38" t="b">
        <v>0</v>
      </c>
      <c r="B344" s="38"/>
      <c r="C344" s="17"/>
      <c r="D344" s="17"/>
      <c r="E344" s="38"/>
      <c r="F344" s="38"/>
      <c r="G344" s="38"/>
      <c r="H344" s="15"/>
      <c r="I344" s="45"/>
      <c r="J344" s="15"/>
    </row>
    <row r="345">
      <c r="A345" s="38" t="b">
        <v>0</v>
      </c>
      <c r="B345" s="38"/>
      <c r="C345" s="17"/>
      <c r="D345" s="17"/>
      <c r="E345" s="38"/>
      <c r="F345" s="38"/>
      <c r="G345" s="38"/>
      <c r="H345" s="15"/>
      <c r="I345" s="45"/>
      <c r="J345" s="15"/>
    </row>
    <row r="346">
      <c r="A346" s="38" t="b">
        <v>0</v>
      </c>
      <c r="B346" s="38"/>
      <c r="C346" s="17"/>
      <c r="D346" s="17"/>
      <c r="E346" s="38"/>
      <c r="F346" s="38"/>
      <c r="G346" s="38"/>
      <c r="H346" s="15"/>
      <c r="I346" s="45"/>
      <c r="J346" s="15"/>
    </row>
    <row r="347">
      <c r="A347" s="38" t="b">
        <v>0</v>
      </c>
      <c r="B347" s="38"/>
      <c r="C347" s="17"/>
      <c r="D347" s="17"/>
      <c r="E347" s="38"/>
      <c r="F347" s="38"/>
      <c r="G347" s="38"/>
      <c r="H347" s="15"/>
      <c r="I347" s="45"/>
      <c r="J347" s="15"/>
    </row>
    <row r="348">
      <c r="A348" s="38" t="b">
        <v>0</v>
      </c>
      <c r="B348" s="38"/>
      <c r="C348" s="17"/>
      <c r="D348" s="17"/>
      <c r="E348" s="38"/>
      <c r="F348" s="38"/>
      <c r="G348" s="38"/>
      <c r="H348" s="15"/>
      <c r="I348" s="45"/>
      <c r="J348" s="15"/>
    </row>
    <row r="349">
      <c r="A349" s="38" t="b">
        <v>0</v>
      </c>
      <c r="B349" s="38"/>
      <c r="C349" s="17"/>
      <c r="D349" s="17"/>
      <c r="E349" s="38"/>
      <c r="F349" s="38"/>
      <c r="G349" s="38"/>
      <c r="H349" s="15"/>
      <c r="I349" s="45"/>
      <c r="J349" s="15"/>
    </row>
    <row r="350">
      <c r="A350" s="38" t="b">
        <v>0</v>
      </c>
      <c r="B350" s="38"/>
      <c r="C350" s="17"/>
      <c r="D350" s="17"/>
      <c r="E350" s="38"/>
      <c r="F350" s="38"/>
      <c r="G350" s="38"/>
      <c r="H350" s="15"/>
      <c r="I350" s="45"/>
      <c r="J350" s="15"/>
    </row>
    <row r="351">
      <c r="A351" s="38" t="b">
        <v>0</v>
      </c>
      <c r="B351" s="38"/>
      <c r="C351" s="17"/>
      <c r="D351" s="17"/>
      <c r="E351" s="38"/>
      <c r="F351" s="38"/>
      <c r="G351" s="38"/>
      <c r="H351" s="15"/>
      <c r="I351" s="45"/>
      <c r="J351" s="15"/>
    </row>
    <row r="352">
      <c r="A352" s="38" t="b">
        <v>0</v>
      </c>
      <c r="B352" s="38"/>
      <c r="C352" s="17"/>
      <c r="D352" s="17"/>
      <c r="E352" s="38"/>
      <c r="F352" s="38"/>
      <c r="G352" s="38"/>
      <c r="H352" s="15"/>
      <c r="I352" s="45"/>
      <c r="J352" s="15"/>
    </row>
    <row r="353">
      <c r="A353" s="38" t="b">
        <v>0</v>
      </c>
      <c r="B353" s="38"/>
      <c r="C353" s="17"/>
      <c r="D353" s="17"/>
      <c r="E353" s="38"/>
      <c r="F353" s="38"/>
      <c r="G353" s="38"/>
      <c r="H353" s="15"/>
      <c r="I353" s="45"/>
      <c r="J353" s="15"/>
    </row>
    <row r="354">
      <c r="A354" s="38" t="b">
        <v>0</v>
      </c>
      <c r="B354" s="38"/>
      <c r="C354" s="17"/>
      <c r="D354" s="17"/>
      <c r="E354" s="38"/>
      <c r="F354" s="38"/>
      <c r="G354" s="38"/>
      <c r="H354" s="15"/>
      <c r="I354" s="45"/>
      <c r="J354" s="15"/>
    </row>
    <row r="355">
      <c r="A355" s="38" t="b">
        <v>0</v>
      </c>
      <c r="B355" s="38"/>
      <c r="C355" s="17"/>
      <c r="D355" s="17"/>
      <c r="E355" s="38"/>
      <c r="F355" s="38"/>
      <c r="G355" s="38"/>
      <c r="H355" s="15"/>
      <c r="I355" s="45"/>
      <c r="J355" s="15"/>
    </row>
    <row r="356">
      <c r="A356" s="38" t="b">
        <v>0</v>
      </c>
      <c r="B356" s="38"/>
      <c r="C356" s="17"/>
      <c r="D356" s="17"/>
      <c r="E356" s="38"/>
      <c r="F356" s="38"/>
      <c r="G356" s="38"/>
      <c r="H356" s="15"/>
      <c r="I356" s="45"/>
      <c r="J356" s="15"/>
    </row>
    <row r="357">
      <c r="A357" s="38" t="b">
        <v>0</v>
      </c>
      <c r="B357" s="38"/>
      <c r="C357" s="17"/>
      <c r="D357" s="17"/>
      <c r="E357" s="38"/>
      <c r="F357" s="38"/>
      <c r="G357" s="38"/>
      <c r="H357" s="15"/>
      <c r="I357" s="45"/>
      <c r="J357" s="15"/>
    </row>
    <row r="358">
      <c r="A358" s="38" t="b">
        <v>0</v>
      </c>
      <c r="B358" s="38"/>
      <c r="C358" s="17"/>
      <c r="D358" s="17"/>
      <c r="E358" s="38"/>
      <c r="F358" s="38"/>
      <c r="G358" s="38"/>
      <c r="H358" s="15"/>
      <c r="I358" s="45"/>
      <c r="J358" s="15"/>
    </row>
    <row r="359">
      <c r="A359" s="38" t="b">
        <v>0</v>
      </c>
      <c r="B359" s="38"/>
      <c r="C359" s="17"/>
      <c r="D359" s="17"/>
      <c r="E359" s="38"/>
      <c r="F359" s="38"/>
      <c r="G359" s="38"/>
      <c r="H359" s="15"/>
      <c r="I359" s="45"/>
      <c r="J359" s="15"/>
    </row>
    <row r="360">
      <c r="A360" s="38" t="b">
        <v>0</v>
      </c>
      <c r="B360" s="38"/>
      <c r="C360" s="17"/>
      <c r="D360" s="17"/>
      <c r="E360" s="38"/>
      <c r="F360" s="38"/>
      <c r="G360" s="38"/>
      <c r="H360" s="15"/>
      <c r="I360" s="45"/>
      <c r="J360" s="15"/>
    </row>
    <row r="361">
      <c r="A361" s="38" t="b">
        <v>0</v>
      </c>
      <c r="B361" s="38"/>
      <c r="C361" s="17"/>
      <c r="D361" s="17"/>
      <c r="E361" s="38"/>
      <c r="F361" s="38"/>
      <c r="G361" s="38"/>
      <c r="H361" s="15"/>
      <c r="I361" s="45"/>
      <c r="J361" s="15"/>
    </row>
    <row r="362">
      <c r="A362" s="38" t="b">
        <v>0</v>
      </c>
      <c r="B362" s="38"/>
      <c r="C362" s="17"/>
      <c r="D362" s="17"/>
      <c r="E362" s="38"/>
      <c r="F362" s="38"/>
      <c r="G362" s="38"/>
      <c r="H362" s="15"/>
      <c r="I362" s="45"/>
      <c r="J362" s="15"/>
    </row>
    <row r="363">
      <c r="A363" s="38" t="b">
        <v>0</v>
      </c>
      <c r="B363" s="38"/>
      <c r="C363" s="17"/>
      <c r="D363" s="17"/>
      <c r="E363" s="38"/>
      <c r="F363" s="38"/>
      <c r="G363" s="38"/>
      <c r="H363" s="15"/>
      <c r="I363" s="45"/>
      <c r="J363" s="15"/>
    </row>
    <row r="364">
      <c r="A364" s="38" t="b">
        <v>0</v>
      </c>
      <c r="B364" s="38"/>
      <c r="C364" s="17"/>
      <c r="D364" s="17"/>
      <c r="E364" s="38"/>
      <c r="F364" s="38"/>
      <c r="G364" s="38"/>
      <c r="H364" s="15"/>
      <c r="I364" s="45"/>
      <c r="J364" s="15"/>
    </row>
    <row r="365">
      <c r="A365" s="38" t="b">
        <v>0</v>
      </c>
      <c r="B365" s="38"/>
      <c r="C365" s="17"/>
      <c r="D365" s="17"/>
      <c r="E365" s="38"/>
      <c r="F365" s="38"/>
      <c r="G365" s="38"/>
      <c r="H365" s="15"/>
      <c r="I365" s="45"/>
      <c r="J365" s="15"/>
    </row>
    <row r="366">
      <c r="A366" s="38" t="b">
        <v>0</v>
      </c>
      <c r="B366" s="38"/>
      <c r="C366" s="17"/>
      <c r="D366" s="17"/>
      <c r="E366" s="38"/>
      <c r="F366" s="38"/>
      <c r="G366" s="38"/>
      <c r="H366" s="15"/>
      <c r="I366" s="45"/>
      <c r="J366" s="15"/>
    </row>
    <row r="367">
      <c r="A367" s="38" t="b">
        <v>0</v>
      </c>
      <c r="B367" s="38"/>
      <c r="C367" s="17"/>
      <c r="D367" s="17"/>
      <c r="E367" s="38"/>
      <c r="F367" s="38"/>
      <c r="G367" s="38"/>
      <c r="H367" s="15"/>
      <c r="I367" s="45"/>
      <c r="J367" s="15"/>
    </row>
    <row r="368">
      <c r="A368" s="38" t="b">
        <v>0</v>
      </c>
      <c r="B368" s="38"/>
      <c r="C368" s="17"/>
      <c r="D368" s="17"/>
      <c r="E368" s="38"/>
      <c r="F368" s="38"/>
      <c r="G368" s="38"/>
      <c r="H368" s="15"/>
      <c r="I368" s="45"/>
      <c r="J368" s="15"/>
    </row>
    <row r="369">
      <c r="A369" s="38" t="b">
        <v>0</v>
      </c>
      <c r="B369" s="38"/>
      <c r="C369" s="17"/>
      <c r="D369" s="17"/>
      <c r="E369" s="38"/>
      <c r="F369" s="38"/>
      <c r="G369" s="38"/>
      <c r="H369" s="15"/>
      <c r="I369" s="45"/>
      <c r="J369" s="15"/>
    </row>
    <row r="370">
      <c r="A370" s="38" t="b">
        <v>0</v>
      </c>
      <c r="B370" s="38"/>
      <c r="C370" s="17"/>
      <c r="D370" s="17"/>
      <c r="E370" s="38"/>
      <c r="F370" s="38"/>
      <c r="G370" s="38"/>
      <c r="H370" s="15"/>
      <c r="I370" s="45"/>
      <c r="J370" s="15"/>
    </row>
    <row r="371">
      <c r="A371" s="38" t="b">
        <v>0</v>
      </c>
      <c r="B371" s="38"/>
      <c r="C371" s="17"/>
      <c r="D371" s="17"/>
      <c r="E371" s="38"/>
      <c r="F371" s="38"/>
      <c r="G371" s="38"/>
      <c r="H371" s="15"/>
      <c r="I371" s="45"/>
      <c r="J371" s="15"/>
    </row>
    <row r="372">
      <c r="A372" s="38" t="b">
        <v>0</v>
      </c>
      <c r="B372" s="38"/>
      <c r="C372" s="17"/>
      <c r="D372" s="17"/>
      <c r="E372" s="38"/>
      <c r="F372" s="38"/>
      <c r="G372" s="38"/>
      <c r="H372" s="15"/>
      <c r="I372" s="45"/>
      <c r="J372" s="15"/>
    </row>
    <row r="373">
      <c r="A373" s="38" t="b">
        <v>0</v>
      </c>
      <c r="B373" s="38"/>
      <c r="C373" s="17"/>
      <c r="D373" s="17"/>
      <c r="E373" s="38"/>
      <c r="F373" s="38"/>
      <c r="G373" s="38"/>
      <c r="H373" s="15"/>
      <c r="I373" s="45"/>
      <c r="J373" s="15"/>
    </row>
    <row r="374">
      <c r="A374" s="38" t="b">
        <v>0</v>
      </c>
      <c r="B374" s="38"/>
      <c r="C374" s="17"/>
      <c r="D374" s="17"/>
      <c r="E374" s="38"/>
      <c r="F374" s="38"/>
      <c r="G374" s="38"/>
      <c r="H374" s="15"/>
      <c r="I374" s="45"/>
      <c r="J374" s="15"/>
    </row>
    <row r="375">
      <c r="A375" s="38" t="b">
        <v>0</v>
      </c>
      <c r="B375" s="38"/>
      <c r="C375" s="17"/>
      <c r="D375" s="17"/>
      <c r="E375" s="38"/>
      <c r="F375" s="38"/>
      <c r="G375" s="38"/>
      <c r="H375" s="15"/>
      <c r="I375" s="45"/>
      <c r="J375" s="15"/>
    </row>
    <row r="376">
      <c r="A376" s="38" t="b">
        <v>0</v>
      </c>
      <c r="B376" s="38"/>
      <c r="C376" s="17"/>
      <c r="D376" s="17"/>
      <c r="E376" s="38"/>
      <c r="F376" s="38"/>
      <c r="G376" s="38"/>
      <c r="H376" s="15"/>
      <c r="I376" s="45"/>
      <c r="J376" s="15"/>
    </row>
    <row r="377">
      <c r="A377" s="38" t="b">
        <v>0</v>
      </c>
      <c r="B377" s="38"/>
      <c r="C377" s="17"/>
      <c r="D377" s="17"/>
      <c r="E377" s="38"/>
      <c r="F377" s="38"/>
      <c r="G377" s="38"/>
      <c r="H377" s="15"/>
      <c r="I377" s="45"/>
      <c r="J377" s="15"/>
    </row>
    <row r="378">
      <c r="A378" s="38" t="b">
        <v>0</v>
      </c>
      <c r="B378" s="38"/>
      <c r="C378" s="17"/>
      <c r="D378" s="17"/>
      <c r="E378" s="38"/>
      <c r="F378" s="38"/>
      <c r="G378" s="38"/>
      <c r="H378" s="15"/>
      <c r="I378" s="45"/>
      <c r="J378" s="15"/>
    </row>
    <row r="379">
      <c r="A379" s="38" t="b">
        <v>0</v>
      </c>
      <c r="B379" s="38"/>
      <c r="C379" s="17"/>
      <c r="D379" s="17"/>
      <c r="E379" s="38"/>
      <c r="F379" s="38"/>
      <c r="G379" s="38"/>
      <c r="H379" s="15"/>
      <c r="I379" s="45"/>
      <c r="J379" s="15"/>
    </row>
    <row r="380">
      <c r="A380" s="38" t="b">
        <v>0</v>
      </c>
      <c r="B380" s="38"/>
      <c r="C380" s="17"/>
      <c r="D380" s="17"/>
      <c r="E380" s="38"/>
      <c r="F380" s="38"/>
      <c r="G380" s="38"/>
      <c r="H380" s="15"/>
      <c r="I380" s="45"/>
      <c r="J380" s="15"/>
    </row>
    <row r="381">
      <c r="A381" s="38" t="b">
        <v>0</v>
      </c>
      <c r="B381" s="38"/>
      <c r="C381" s="17"/>
      <c r="D381" s="17"/>
      <c r="E381" s="38"/>
      <c r="F381" s="38"/>
      <c r="G381" s="38"/>
      <c r="H381" s="15"/>
      <c r="I381" s="45"/>
      <c r="J381" s="15"/>
    </row>
    <row r="382">
      <c r="A382" s="38" t="b">
        <v>0</v>
      </c>
      <c r="B382" s="38"/>
      <c r="C382" s="17"/>
      <c r="D382" s="17"/>
      <c r="E382" s="38"/>
      <c r="F382" s="38"/>
      <c r="G382" s="38"/>
      <c r="H382" s="15"/>
      <c r="I382" s="45"/>
      <c r="J382" s="15"/>
    </row>
    <row r="383">
      <c r="A383" s="38" t="b">
        <v>0</v>
      </c>
      <c r="B383" s="38"/>
      <c r="C383" s="17"/>
      <c r="D383" s="17"/>
      <c r="E383" s="38"/>
      <c r="F383" s="38"/>
      <c r="G383" s="38"/>
      <c r="H383" s="15"/>
      <c r="I383" s="45"/>
      <c r="J383" s="15"/>
    </row>
    <row r="384">
      <c r="A384" s="38" t="b">
        <v>0</v>
      </c>
      <c r="B384" s="38"/>
      <c r="C384" s="17"/>
      <c r="D384" s="17"/>
      <c r="E384" s="38"/>
      <c r="F384" s="38"/>
      <c r="G384" s="38"/>
      <c r="H384" s="15"/>
      <c r="I384" s="45"/>
      <c r="J384" s="15"/>
    </row>
    <row r="385">
      <c r="A385" s="38" t="b">
        <v>0</v>
      </c>
      <c r="B385" s="38"/>
      <c r="C385" s="17"/>
      <c r="D385" s="17"/>
      <c r="E385" s="38"/>
      <c r="F385" s="38"/>
      <c r="G385" s="38"/>
      <c r="H385" s="15"/>
      <c r="I385" s="45"/>
      <c r="J385" s="15"/>
    </row>
    <row r="386">
      <c r="A386" s="38" t="b">
        <v>0</v>
      </c>
      <c r="B386" s="38"/>
      <c r="C386" s="17"/>
      <c r="D386" s="17"/>
      <c r="E386" s="38"/>
      <c r="F386" s="38"/>
      <c r="G386" s="38"/>
      <c r="H386" s="15"/>
      <c r="I386" s="45"/>
      <c r="J386" s="15"/>
    </row>
    <row r="387">
      <c r="A387" s="38" t="b">
        <v>0</v>
      </c>
      <c r="B387" s="38"/>
      <c r="C387" s="17"/>
      <c r="D387" s="17"/>
      <c r="E387" s="38"/>
      <c r="F387" s="38"/>
      <c r="G387" s="38"/>
      <c r="H387" s="15"/>
      <c r="I387" s="45"/>
      <c r="J387" s="15"/>
    </row>
    <row r="388">
      <c r="A388" s="38" t="b">
        <v>0</v>
      </c>
      <c r="B388" s="38"/>
      <c r="C388" s="17"/>
      <c r="D388" s="17"/>
      <c r="E388" s="38"/>
      <c r="F388" s="38"/>
      <c r="G388" s="38"/>
      <c r="H388" s="15"/>
      <c r="I388" s="45"/>
      <c r="J388" s="15"/>
    </row>
    <row r="389">
      <c r="A389" s="38" t="b">
        <v>0</v>
      </c>
      <c r="B389" s="38"/>
      <c r="C389" s="17"/>
      <c r="D389" s="17"/>
      <c r="E389" s="38"/>
      <c r="F389" s="38"/>
      <c r="G389" s="38"/>
      <c r="H389" s="15"/>
      <c r="I389" s="45"/>
      <c r="J389" s="15"/>
    </row>
    <row r="390">
      <c r="A390" s="38" t="b">
        <v>0</v>
      </c>
      <c r="B390" s="38"/>
      <c r="C390" s="17"/>
      <c r="D390" s="17"/>
      <c r="E390" s="38"/>
      <c r="F390" s="38"/>
      <c r="G390" s="38"/>
      <c r="H390" s="15"/>
      <c r="I390" s="45"/>
      <c r="J390" s="15"/>
    </row>
    <row r="391">
      <c r="A391" s="38" t="b">
        <v>0</v>
      </c>
      <c r="B391" s="38"/>
      <c r="C391" s="17"/>
      <c r="D391" s="17"/>
      <c r="E391" s="38"/>
      <c r="F391" s="38"/>
      <c r="G391" s="38"/>
      <c r="H391" s="15"/>
      <c r="I391" s="45"/>
      <c r="J391" s="15"/>
    </row>
    <row r="392">
      <c r="A392" s="38" t="b">
        <v>0</v>
      </c>
      <c r="B392" s="38"/>
      <c r="C392" s="17"/>
      <c r="D392" s="17"/>
      <c r="E392" s="38"/>
      <c r="F392" s="38"/>
      <c r="G392" s="38"/>
      <c r="H392" s="15"/>
      <c r="I392" s="45"/>
      <c r="J392" s="15"/>
    </row>
    <row r="393">
      <c r="A393" s="38" t="b">
        <v>0</v>
      </c>
      <c r="B393" s="38"/>
      <c r="C393" s="17"/>
      <c r="D393" s="17"/>
      <c r="E393" s="38"/>
      <c r="F393" s="38"/>
      <c r="G393" s="38"/>
      <c r="H393" s="15"/>
      <c r="I393" s="45"/>
      <c r="J393" s="15"/>
    </row>
    <row r="394">
      <c r="A394" s="38" t="b">
        <v>0</v>
      </c>
      <c r="B394" s="38"/>
      <c r="C394" s="17"/>
      <c r="D394" s="17"/>
      <c r="E394" s="38"/>
      <c r="F394" s="38"/>
      <c r="G394" s="38"/>
      <c r="H394" s="15"/>
      <c r="I394" s="45"/>
      <c r="J394" s="15"/>
    </row>
    <row r="395">
      <c r="A395" s="38" t="b">
        <v>0</v>
      </c>
      <c r="B395" s="38"/>
      <c r="C395" s="17"/>
      <c r="D395" s="17"/>
      <c r="E395" s="38"/>
      <c r="F395" s="38"/>
      <c r="G395" s="38"/>
      <c r="H395" s="15"/>
      <c r="I395" s="45"/>
      <c r="J395" s="15"/>
    </row>
    <row r="396">
      <c r="A396" s="38" t="b">
        <v>0</v>
      </c>
      <c r="B396" s="38"/>
      <c r="C396" s="17"/>
      <c r="D396" s="17"/>
      <c r="E396" s="38"/>
      <c r="F396" s="38"/>
      <c r="G396" s="38"/>
      <c r="H396" s="15"/>
      <c r="I396" s="45"/>
      <c r="J396" s="15"/>
    </row>
    <row r="397">
      <c r="A397" s="38" t="b">
        <v>0</v>
      </c>
      <c r="B397" s="38"/>
      <c r="C397" s="17"/>
      <c r="D397" s="17"/>
      <c r="E397" s="38"/>
      <c r="F397" s="38"/>
      <c r="G397" s="38"/>
      <c r="H397" s="15"/>
      <c r="I397" s="45"/>
      <c r="J397" s="15"/>
    </row>
    <row r="398">
      <c r="A398" s="38" t="b">
        <v>0</v>
      </c>
      <c r="B398" s="38"/>
      <c r="C398" s="17"/>
      <c r="D398" s="17"/>
      <c r="E398" s="38"/>
      <c r="F398" s="38"/>
      <c r="G398" s="38"/>
      <c r="H398" s="15"/>
      <c r="I398" s="45"/>
      <c r="J398" s="15"/>
    </row>
    <row r="399">
      <c r="A399" s="38" t="b">
        <v>0</v>
      </c>
      <c r="B399" s="38"/>
      <c r="C399" s="17"/>
      <c r="D399" s="17"/>
      <c r="E399" s="38"/>
      <c r="F399" s="38"/>
      <c r="G399" s="38"/>
      <c r="H399" s="15"/>
      <c r="I399" s="45"/>
      <c r="J399" s="15"/>
    </row>
    <row r="400">
      <c r="A400" s="38" t="b">
        <v>0</v>
      </c>
      <c r="B400" s="38"/>
      <c r="C400" s="17"/>
      <c r="D400" s="17"/>
      <c r="E400" s="38"/>
      <c r="F400" s="38"/>
      <c r="G400" s="38"/>
      <c r="H400" s="15"/>
      <c r="I400" s="45"/>
      <c r="J400" s="15"/>
    </row>
    <row r="401">
      <c r="A401" s="38" t="b">
        <v>0</v>
      </c>
      <c r="B401" s="38"/>
      <c r="C401" s="17"/>
      <c r="D401" s="17"/>
      <c r="E401" s="38"/>
      <c r="F401" s="38"/>
      <c r="G401" s="38"/>
      <c r="H401" s="15"/>
      <c r="I401" s="45"/>
      <c r="J401" s="15"/>
    </row>
    <row r="402">
      <c r="A402" s="38" t="b">
        <v>0</v>
      </c>
      <c r="B402" s="38"/>
      <c r="C402" s="17"/>
      <c r="D402" s="17"/>
      <c r="E402" s="38"/>
      <c r="F402" s="38"/>
      <c r="G402" s="38"/>
      <c r="H402" s="15"/>
      <c r="I402" s="45"/>
      <c r="J402" s="15"/>
    </row>
    <row r="403">
      <c r="A403" s="38" t="b">
        <v>0</v>
      </c>
      <c r="B403" s="38"/>
      <c r="C403" s="17"/>
      <c r="D403" s="17"/>
      <c r="E403" s="38"/>
      <c r="F403" s="38"/>
      <c r="G403" s="38"/>
      <c r="H403" s="15"/>
      <c r="I403" s="45"/>
      <c r="J403" s="15"/>
    </row>
    <row r="404">
      <c r="A404" s="38" t="b">
        <v>0</v>
      </c>
      <c r="B404" s="38"/>
      <c r="C404" s="17"/>
      <c r="D404" s="17"/>
      <c r="E404" s="38"/>
      <c r="F404" s="38"/>
      <c r="G404" s="38"/>
      <c r="H404" s="15"/>
      <c r="I404" s="45"/>
      <c r="J404" s="15"/>
    </row>
    <row r="405">
      <c r="A405" s="38" t="b">
        <v>0</v>
      </c>
      <c r="B405" s="38"/>
      <c r="C405" s="17"/>
      <c r="D405" s="17"/>
      <c r="E405" s="38"/>
      <c r="F405" s="38"/>
      <c r="G405" s="38"/>
      <c r="H405" s="15"/>
      <c r="I405" s="45"/>
      <c r="J405" s="15"/>
    </row>
    <row r="406">
      <c r="A406" s="38" t="b">
        <v>0</v>
      </c>
      <c r="B406" s="38"/>
      <c r="C406" s="17"/>
      <c r="D406" s="17"/>
      <c r="E406" s="38"/>
      <c r="F406" s="38"/>
      <c r="G406" s="38"/>
      <c r="H406" s="15"/>
      <c r="I406" s="45"/>
      <c r="J406" s="15"/>
    </row>
    <row r="407">
      <c r="A407" s="38" t="b">
        <v>0</v>
      </c>
      <c r="B407" s="38"/>
      <c r="C407" s="17"/>
      <c r="D407" s="17"/>
      <c r="E407" s="38"/>
      <c r="F407" s="38"/>
      <c r="G407" s="38"/>
      <c r="H407" s="15"/>
      <c r="I407" s="45"/>
      <c r="J407" s="15"/>
    </row>
    <row r="408">
      <c r="A408" s="38" t="b">
        <v>0</v>
      </c>
      <c r="B408" s="38"/>
      <c r="C408" s="17"/>
      <c r="D408" s="17"/>
      <c r="E408" s="38"/>
      <c r="F408" s="38"/>
      <c r="G408" s="38"/>
      <c r="H408" s="15"/>
      <c r="I408" s="45"/>
      <c r="J408" s="15"/>
    </row>
    <row r="409">
      <c r="A409" s="38" t="b">
        <v>0</v>
      </c>
      <c r="B409" s="38"/>
      <c r="C409" s="17"/>
      <c r="D409" s="17"/>
      <c r="E409" s="38"/>
      <c r="F409" s="38"/>
      <c r="G409" s="38"/>
      <c r="H409" s="15"/>
      <c r="I409" s="45"/>
      <c r="J409" s="15"/>
    </row>
    <row r="410">
      <c r="A410" s="38" t="b">
        <v>0</v>
      </c>
      <c r="B410" s="38"/>
      <c r="C410" s="17"/>
      <c r="D410" s="17"/>
      <c r="E410" s="38"/>
      <c r="F410" s="38"/>
      <c r="G410" s="38"/>
      <c r="H410" s="15"/>
      <c r="I410" s="45"/>
      <c r="J410" s="15"/>
    </row>
    <row r="411">
      <c r="A411" s="38" t="b">
        <v>0</v>
      </c>
      <c r="B411" s="38"/>
      <c r="C411" s="17"/>
      <c r="D411" s="17"/>
      <c r="E411" s="38"/>
      <c r="F411" s="38"/>
      <c r="G411" s="38"/>
      <c r="H411" s="15"/>
      <c r="I411" s="45"/>
      <c r="J411" s="15"/>
    </row>
    <row r="412">
      <c r="A412" s="38" t="b">
        <v>0</v>
      </c>
      <c r="B412" s="38"/>
      <c r="C412" s="17"/>
      <c r="D412" s="17"/>
      <c r="E412" s="38"/>
      <c r="F412" s="38"/>
      <c r="G412" s="38"/>
      <c r="H412" s="15"/>
      <c r="I412" s="45"/>
      <c r="J412" s="15"/>
    </row>
    <row r="413">
      <c r="A413" s="38" t="b">
        <v>0</v>
      </c>
      <c r="B413" s="38"/>
      <c r="C413" s="17"/>
      <c r="D413" s="17"/>
      <c r="E413" s="38"/>
      <c r="F413" s="38"/>
      <c r="G413" s="38"/>
      <c r="H413" s="15"/>
      <c r="I413" s="45"/>
      <c r="J413" s="15"/>
    </row>
    <row r="414">
      <c r="A414" s="38" t="b">
        <v>0</v>
      </c>
      <c r="B414" s="38"/>
      <c r="C414" s="17"/>
      <c r="D414" s="17"/>
      <c r="E414" s="38"/>
      <c r="F414" s="38"/>
      <c r="G414" s="38"/>
      <c r="H414" s="15"/>
      <c r="I414" s="45"/>
      <c r="J414" s="15"/>
    </row>
    <row r="415">
      <c r="A415" s="38" t="b">
        <v>0</v>
      </c>
      <c r="B415" s="38"/>
      <c r="C415" s="17"/>
      <c r="D415" s="17"/>
      <c r="E415" s="38"/>
      <c r="F415" s="38"/>
      <c r="G415" s="38"/>
      <c r="H415" s="15"/>
      <c r="I415" s="45"/>
      <c r="J415" s="15"/>
    </row>
    <row r="416">
      <c r="A416" s="38" t="b">
        <v>0</v>
      </c>
      <c r="B416" s="38"/>
      <c r="C416" s="17"/>
      <c r="D416" s="17"/>
      <c r="E416" s="38"/>
      <c r="F416" s="38"/>
      <c r="G416" s="38"/>
      <c r="H416" s="15"/>
      <c r="I416" s="45"/>
      <c r="J416" s="15"/>
    </row>
    <row r="417">
      <c r="A417" s="38" t="b">
        <v>0</v>
      </c>
      <c r="B417" s="38"/>
      <c r="C417" s="17"/>
      <c r="D417" s="17"/>
      <c r="E417" s="38"/>
      <c r="F417" s="38"/>
      <c r="G417" s="38"/>
      <c r="H417" s="15"/>
      <c r="I417" s="45"/>
      <c r="J417" s="15"/>
    </row>
    <row r="418">
      <c r="A418" s="38" t="b">
        <v>0</v>
      </c>
      <c r="B418" s="38"/>
      <c r="C418" s="17"/>
      <c r="D418" s="17"/>
      <c r="E418" s="38"/>
      <c r="F418" s="38"/>
      <c r="G418" s="38"/>
      <c r="H418" s="15"/>
      <c r="I418" s="45"/>
      <c r="J418" s="15"/>
    </row>
    <row r="419">
      <c r="A419" s="38" t="b">
        <v>0</v>
      </c>
      <c r="B419" s="38"/>
      <c r="C419" s="17"/>
      <c r="D419" s="17"/>
      <c r="E419" s="38"/>
      <c r="F419" s="38"/>
      <c r="G419" s="38"/>
      <c r="H419" s="15"/>
      <c r="I419" s="45"/>
      <c r="J419" s="15"/>
    </row>
    <row r="420">
      <c r="A420" s="38" t="b">
        <v>0</v>
      </c>
      <c r="B420" s="38"/>
      <c r="C420" s="17"/>
      <c r="D420" s="17"/>
      <c r="E420" s="38"/>
      <c r="F420" s="38"/>
      <c r="G420" s="38"/>
      <c r="H420" s="15"/>
      <c r="I420" s="45"/>
      <c r="J420" s="15"/>
    </row>
    <row r="421">
      <c r="A421" s="38" t="b">
        <v>0</v>
      </c>
      <c r="B421" s="38"/>
      <c r="C421" s="17"/>
      <c r="D421" s="17"/>
      <c r="E421" s="38"/>
      <c r="F421" s="38"/>
      <c r="G421" s="38"/>
      <c r="H421" s="15"/>
      <c r="I421" s="45"/>
      <c r="J421" s="15"/>
    </row>
    <row r="422">
      <c r="A422" s="38" t="b">
        <v>0</v>
      </c>
      <c r="B422" s="38"/>
      <c r="C422" s="17"/>
      <c r="D422" s="17"/>
      <c r="E422" s="38"/>
      <c r="F422" s="38"/>
      <c r="G422" s="38"/>
      <c r="H422" s="15"/>
      <c r="I422" s="45"/>
      <c r="J422" s="15"/>
    </row>
    <row r="423">
      <c r="A423" s="38" t="b">
        <v>0</v>
      </c>
      <c r="B423" s="38"/>
      <c r="C423" s="17"/>
      <c r="D423" s="17"/>
      <c r="E423" s="38"/>
      <c r="F423" s="38"/>
      <c r="G423" s="38"/>
      <c r="H423" s="15"/>
      <c r="I423" s="45"/>
      <c r="J423" s="15"/>
    </row>
    <row r="424">
      <c r="A424" s="38" t="b">
        <v>0</v>
      </c>
      <c r="B424" s="38"/>
      <c r="C424" s="17"/>
      <c r="D424" s="17"/>
      <c r="E424" s="38"/>
      <c r="F424" s="38"/>
      <c r="G424" s="38"/>
      <c r="H424" s="15"/>
      <c r="I424" s="45"/>
      <c r="J424" s="15"/>
    </row>
    <row r="425">
      <c r="A425" s="38" t="b">
        <v>0</v>
      </c>
      <c r="B425" s="38"/>
      <c r="C425" s="17"/>
      <c r="D425" s="17"/>
      <c r="E425" s="38"/>
      <c r="F425" s="38"/>
      <c r="G425" s="38"/>
      <c r="H425" s="15"/>
      <c r="I425" s="45"/>
      <c r="J425" s="15"/>
    </row>
    <row r="426">
      <c r="A426" s="38" t="b">
        <v>0</v>
      </c>
      <c r="B426" s="38"/>
      <c r="C426" s="17"/>
      <c r="D426" s="17"/>
      <c r="E426" s="38"/>
      <c r="F426" s="38"/>
      <c r="G426" s="38"/>
      <c r="H426" s="15"/>
      <c r="I426" s="45"/>
      <c r="J426" s="15"/>
    </row>
    <row r="427">
      <c r="A427" s="38" t="b">
        <v>0</v>
      </c>
      <c r="B427" s="38"/>
      <c r="C427" s="17"/>
      <c r="D427" s="17"/>
      <c r="E427" s="38"/>
      <c r="F427" s="38"/>
      <c r="G427" s="38"/>
      <c r="H427" s="15"/>
      <c r="I427" s="45"/>
      <c r="J427" s="15"/>
    </row>
    <row r="428">
      <c r="A428" s="38" t="b">
        <v>0</v>
      </c>
      <c r="B428" s="38"/>
      <c r="C428" s="17"/>
      <c r="D428" s="17"/>
      <c r="E428" s="38"/>
      <c r="F428" s="38"/>
      <c r="G428" s="38"/>
      <c r="H428" s="15"/>
      <c r="I428" s="45"/>
      <c r="J428" s="15"/>
    </row>
    <row r="429">
      <c r="A429" s="38" t="b">
        <v>0</v>
      </c>
      <c r="B429" s="38"/>
      <c r="C429" s="17"/>
      <c r="D429" s="17"/>
      <c r="E429" s="38"/>
      <c r="F429" s="38"/>
      <c r="G429" s="38"/>
      <c r="H429" s="15"/>
      <c r="I429" s="45"/>
      <c r="J429" s="15"/>
    </row>
    <row r="430">
      <c r="A430" s="38" t="b">
        <v>0</v>
      </c>
      <c r="B430" s="38"/>
      <c r="C430" s="17"/>
      <c r="D430" s="17"/>
      <c r="E430" s="38"/>
      <c r="F430" s="38"/>
      <c r="G430" s="38"/>
      <c r="H430" s="15"/>
      <c r="I430" s="45"/>
      <c r="J430" s="15"/>
    </row>
    <row r="431">
      <c r="A431" s="38" t="b">
        <v>0</v>
      </c>
      <c r="B431" s="38"/>
      <c r="C431" s="17"/>
      <c r="D431" s="17"/>
      <c r="E431" s="38"/>
      <c r="F431" s="38"/>
      <c r="G431" s="38"/>
      <c r="H431" s="15"/>
      <c r="I431" s="45"/>
      <c r="J431" s="15"/>
    </row>
    <row r="432">
      <c r="A432" s="38" t="b">
        <v>0</v>
      </c>
      <c r="B432" s="38"/>
      <c r="C432" s="17"/>
      <c r="D432" s="17"/>
      <c r="E432" s="38"/>
      <c r="F432" s="38"/>
      <c r="G432" s="38"/>
      <c r="H432" s="15"/>
      <c r="I432" s="45"/>
      <c r="J432" s="15"/>
    </row>
    <row r="433">
      <c r="A433" s="38" t="b">
        <v>0</v>
      </c>
      <c r="B433" s="38"/>
      <c r="C433" s="17"/>
      <c r="D433" s="17"/>
      <c r="E433" s="38"/>
      <c r="F433" s="38"/>
      <c r="G433" s="38"/>
      <c r="H433" s="15"/>
      <c r="I433" s="45"/>
      <c r="J433" s="15"/>
    </row>
    <row r="434">
      <c r="A434" s="38" t="b">
        <v>0</v>
      </c>
      <c r="B434" s="38"/>
      <c r="C434" s="17"/>
      <c r="D434" s="17"/>
      <c r="E434" s="38"/>
      <c r="F434" s="38"/>
      <c r="G434" s="38"/>
      <c r="H434" s="15"/>
      <c r="I434" s="45"/>
      <c r="J434" s="15"/>
    </row>
    <row r="435">
      <c r="A435" s="38" t="b">
        <v>0</v>
      </c>
      <c r="B435" s="38"/>
      <c r="C435" s="17"/>
      <c r="D435" s="17"/>
      <c r="E435" s="38"/>
      <c r="F435" s="38"/>
      <c r="G435" s="38"/>
      <c r="H435" s="15"/>
      <c r="I435" s="45"/>
      <c r="J435" s="15"/>
    </row>
    <row r="436">
      <c r="A436" s="38" t="b">
        <v>0</v>
      </c>
      <c r="B436" s="38"/>
      <c r="C436" s="17"/>
      <c r="D436" s="17"/>
      <c r="E436" s="38"/>
      <c r="F436" s="38"/>
      <c r="G436" s="38"/>
      <c r="H436" s="15"/>
      <c r="I436" s="45"/>
      <c r="J436" s="15"/>
    </row>
    <row r="437">
      <c r="A437" s="38" t="b">
        <v>0</v>
      </c>
      <c r="B437" s="38"/>
      <c r="C437" s="17"/>
      <c r="D437" s="17"/>
      <c r="E437" s="38"/>
      <c r="F437" s="38"/>
      <c r="G437" s="38"/>
      <c r="H437" s="15"/>
      <c r="I437" s="45"/>
      <c r="J437" s="15"/>
    </row>
    <row r="438">
      <c r="A438" s="38" t="b">
        <v>0</v>
      </c>
      <c r="B438" s="38"/>
      <c r="C438" s="17"/>
      <c r="D438" s="17"/>
      <c r="E438" s="38"/>
      <c r="F438" s="38"/>
      <c r="G438" s="38"/>
      <c r="H438" s="15"/>
      <c r="I438" s="45"/>
      <c r="J438" s="15"/>
    </row>
    <row r="439">
      <c r="A439" s="38" t="b">
        <v>0</v>
      </c>
      <c r="B439" s="38"/>
      <c r="C439" s="17"/>
      <c r="D439" s="17"/>
      <c r="E439" s="38"/>
      <c r="F439" s="38"/>
      <c r="G439" s="38"/>
      <c r="H439" s="15"/>
      <c r="I439" s="45"/>
      <c r="J439" s="15"/>
    </row>
    <row r="440">
      <c r="A440" s="38" t="b">
        <v>0</v>
      </c>
      <c r="B440" s="38"/>
      <c r="C440" s="17"/>
      <c r="D440" s="17"/>
      <c r="E440" s="38"/>
      <c r="F440" s="38"/>
      <c r="G440" s="38"/>
      <c r="H440" s="15"/>
      <c r="I440" s="45"/>
      <c r="J440" s="15"/>
    </row>
    <row r="441">
      <c r="A441" s="38" t="b">
        <v>0</v>
      </c>
      <c r="B441" s="38"/>
      <c r="C441" s="17"/>
      <c r="D441" s="17"/>
      <c r="E441" s="38"/>
      <c r="F441" s="38"/>
      <c r="G441" s="38"/>
      <c r="H441" s="15"/>
      <c r="I441" s="45"/>
      <c r="J441" s="15"/>
    </row>
    <row r="442">
      <c r="A442" s="38" t="b">
        <v>0</v>
      </c>
      <c r="B442" s="38"/>
      <c r="C442" s="17"/>
      <c r="D442" s="17"/>
      <c r="E442" s="38"/>
      <c r="F442" s="38"/>
      <c r="G442" s="38"/>
      <c r="H442" s="15"/>
      <c r="I442" s="45"/>
      <c r="J442" s="15"/>
    </row>
    <row r="443">
      <c r="A443" s="38" t="b">
        <v>0</v>
      </c>
      <c r="B443" s="38"/>
      <c r="C443" s="17"/>
      <c r="D443" s="17"/>
      <c r="E443" s="38"/>
      <c r="F443" s="38"/>
      <c r="G443" s="38"/>
      <c r="H443" s="15"/>
      <c r="I443" s="45"/>
      <c r="J443" s="15"/>
    </row>
    <row r="444">
      <c r="A444" s="38" t="b">
        <v>0</v>
      </c>
      <c r="B444" s="38"/>
      <c r="C444" s="17"/>
      <c r="D444" s="17"/>
      <c r="E444" s="38"/>
      <c r="F444" s="38"/>
      <c r="G444" s="38"/>
      <c r="H444" s="15"/>
      <c r="I444" s="45"/>
      <c r="J444" s="15"/>
    </row>
    <row r="445">
      <c r="A445" s="38" t="b">
        <v>0</v>
      </c>
      <c r="B445" s="38"/>
      <c r="C445" s="17"/>
      <c r="D445" s="17"/>
      <c r="E445" s="38"/>
      <c r="F445" s="38"/>
      <c r="G445" s="38"/>
      <c r="H445" s="15"/>
      <c r="I445" s="45"/>
      <c r="J445" s="15"/>
    </row>
    <row r="446">
      <c r="A446" s="38" t="b">
        <v>0</v>
      </c>
      <c r="B446" s="38"/>
      <c r="C446" s="17"/>
      <c r="D446" s="17"/>
      <c r="E446" s="38"/>
      <c r="F446" s="38"/>
      <c r="G446" s="38"/>
      <c r="H446" s="15"/>
      <c r="I446" s="45"/>
      <c r="J446" s="15"/>
    </row>
    <row r="447">
      <c r="A447" s="38" t="b">
        <v>0</v>
      </c>
      <c r="B447" s="38"/>
      <c r="C447" s="17"/>
      <c r="D447" s="17"/>
      <c r="E447" s="38"/>
      <c r="F447" s="38"/>
      <c r="G447" s="38"/>
      <c r="H447" s="15"/>
      <c r="I447" s="45"/>
      <c r="J447" s="15"/>
    </row>
    <row r="448">
      <c r="A448" s="38" t="b">
        <v>0</v>
      </c>
      <c r="B448" s="38"/>
      <c r="C448" s="17"/>
      <c r="D448" s="17"/>
      <c r="E448" s="38"/>
      <c r="F448" s="38"/>
      <c r="G448" s="38"/>
      <c r="H448" s="15"/>
      <c r="I448" s="45"/>
      <c r="J448" s="15"/>
    </row>
    <row r="449">
      <c r="A449" s="38" t="b">
        <v>0</v>
      </c>
      <c r="B449" s="38"/>
      <c r="C449" s="17"/>
      <c r="D449" s="17"/>
      <c r="E449" s="38"/>
      <c r="F449" s="38"/>
      <c r="G449" s="38"/>
      <c r="H449" s="15"/>
      <c r="I449" s="45"/>
      <c r="J449" s="15"/>
    </row>
    <row r="450">
      <c r="A450" s="38" t="b">
        <v>0</v>
      </c>
      <c r="B450" s="38"/>
      <c r="C450" s="17"/>
      <c r="D450" s="17"/>
      <c r="E450" s="38"/>
      <c r="F450" s="38"/>
      <c r="G450" s="38"/>
      <c r="H450" s="15"/>
      <c r="I450" s="45"/>
      <c r="J450" s="15"/>
    </row>
    <row r="451">
      <c r="A451" s="38" t="b">
        <v>0</v>
      </c>
      <c r="B451" s="38"/>
      <c r="C451" s="17"/>
      <c r="D451" s="17"/>
      <c r="E451" s="38"/>
      <c r="F451" s="38"/>
      <c r="G451" s="38"/>
      <c r="H451" s="15"/>
      <c r="I451" s="45"/>
      <c r="J451" s="15"/>
    </row>
    <row r="452">
      <c r="A452" s="38" t="b">
        <v>0</v>
      </c>
      <c r="B452" s="38"/>
      <c r="C452" s="17"/>
      <c r="D452" s="17"/>
      <c r="E452" s="38"/>
      <c r="F452" s="38"/>
      <c r="G452" s="38"/>
      <c r="H452" s="15"/>
      <c r="I452" s="45"/>
      <c r="J452" s="15"/>
    </row>
    <row r="453">
      <c r="A453" s="38" t="b">
        <v>0</v>
      </c>
      <c r="B453" s="38"/>
      <c r="C453" s="17"/>
      <c r="D453" s="17"/>
      <c r="E453" s="38"/>
      <c r="F453" s="38"/>
      <c r="G453" s="38"/>
      <c r="H453" s="15"/>
      <c r="I453" s="45"/>
      <c r="J453" s="15"/>
    </row>
    <row r="454">
      <c r="A454" s="38" t="b">
        <v>0</v>
      </c>
      <c r="B454" s="38"/>
      <c r="C454" s="17"/>
      <c r="D454" s="17"/>
      <c r="E454" s="38"/>
      <c r="F454" s="38"/>
      <c r="G454" s="38"/>
      <c r="H454" s="15"/>
      <c r="I454" s="45"/>
      <c r="J454" s="15"/>
    </row>
    <row r="455">
      <c r="A455" s="38" t="b">
        <v>0</v>
      </c>
      <c r="B455" s="38"/>
      <c r="C455" s="17"/>
      <c r="D455" s="17"/>
      <c r="E455" s="38"/>
      <c r="F455" s="38"/>
      <c r="G455" s="38"/>
      <c r="H455" s="15"/>
      <c r="I455" s="45"/>
      <c r="J455" s="15"/>
    </row>
    <row r="456">
      <c r="A456" s="38" t="b">
        <v>0</v>
      </c>
      <c r="B456" s="38"/>
      <c r="C456" s="17"/>
      <c r="D456" s="17"/>
      <c r="E456" s="38"/>
      <c r="F456" s="38"/>
      <c r="G456" s="38"/>
      <c r="H456" s="15"/>
      <c r="I456" s="45"/>
      <c r="J456" s="15"/>
    </row>
    <row r="457">
      <c r="A457" s="38" t="b">
        <v>0</v>
      </c>
      <c r="B457" s="38"/>
      <c r="C457" s="17"/>
      <c r="D457" s="17"/>
      <c r="E457" s="38"/>
      <c r="F457" s="38"/>
      <c r="G457" s="38"/>
      <c r="H457" s="15"/>
      <c r="I457" s="45"/>
      <c r="J457" s="15"/>
    </row>
    <row r="458">
      <c r="A458" s="38" t="b">
        <v>0</v>
      </c>
      <c r="B458" s="38"/>
      <c r="C458" s="17"/>
      <c r="D458" s="17"/>
      <c r="E458" s="38"/>
      <c r="F458" s="38"/>
      <c r="G458" s="38"/>
      <c r="H458" s="15"/>
      <c r="I458" s="45"/>
      <c r="J458" s="15"/>
    </row>
    <row r="459">
      <c r="A459" s="38" t="b">
        <v>0</v>
      </c>
      <c r="B459" s="38"/>
      <c r="C459" s="17"/>
      <c r="D459" s="17"/>
      <c r="E459" s="38"/>
      <c r="F459" s="38"/>
      <c r="G459" s="38"/>
      <c r="H459" s="15"/>
      <c r="I459" s="45"/>
      <c r="J459" s="15"/>
    </row>
    <row r="460">
      <c r="A460" s="38" t="b">
        <v>0</v>
      </c>
      <c r="B460" s="38"/>
      <c r="C460" s="17"/>
      <c r="D460" s="17"/>
      <c r="E460" s="38"/>
      <c r="F460" s="38"/>
      <c r="G460" s="38"/>
      <c r="H460" s="15"/>
      <c r="I460" s="45"/>
      <c r="J460" s="15"/>
    </row>
    <row r="461">
      <c r="A461" s="38" t="b">
        <v>0</v>
      </c>
      <c r="B461" s="38"/>
      <c r="C461" s="17"/>
      <c r="D461" s="17"/>
      <c r="E461" s="38"/>
      <c r="F461" s="38"/>
      <c r="G461" s="38"/>
      <c r="H461" s="15"/>
      <c r="I461" s="45"/>
      <c r="J461" s="15"/>
    </row>
    <row r="462">
      <c r="A462" s="38" t="b">
        <v>0</v>
      </c>
      <c r="B462" s="38"/>
      <c r="C462" s="17"/>
      <c r="D462" s="17"/>
      <c r="E462" s="38"/>
      <c r="F462" s="38"/>
      <c r="G462" s="38"/>
      <c r="H462" s="15"/>
      <c r="I462" s="45"/>
      <c r="J462" s="15"/>
    </row>
    <row r="463">
      <c r="A463" s="38" t="b">
        <v>0</v>
      </c>
      <c r="B463" s="38"/>
      <c r="C463" s="17"/>
      <c r="D463" s="17"/>
      <c r="E463" s="38"/>
      <c r="F463" s="38"/>
      <c r="G463" s="38"/>
      <c r="H463" s="15"/>
      <c r="I463" s="45"/>
      <c r="J463" s="15"/>
    </row>
    <row r="464">
      <c r="A464" s="38" t="b">
        <v>0</v>
      </c>
      <c r="B464" s="38"/>
      <c r="C464" s="17"/>
      <c r="D464" s="17"/>
      <c r="E464" s="38"/>
      <c r="F464" s="38"/>
      <c r="G464" s="38"/>
      <c r="H464" s="15"/>
      <c r="I464" s="45"/>
      <c r="J464" s="15"/>
    </row>
    <row r="465">
      <c r="A465" s="38" t="b">
        <v>0</v>
      </c>
      <c r="B465" s="38"/>
      <c r="C465" s="17"/>
      <c r="D465" s="17"/>
      <c r="E465" s="38"/>
      <c r="F465" s="38"/>
      <c r="G465" s="38"/>
      <c r="H465" s="15"/>
      <c r="I465" s="45"/>
      <c r="J465" s="15"/>
    </row>
    <row r="466">
      <c r="A466" s="38" t="b">
        <v>0</v>
      </c>
      <c r="B466" s="38"/>
      <c r="C466" s="17"/>
      <c r="D466" s="17"/>
      <c r="E466" s="38"/>
      <c r="F466" s="38"/>
      <c r="G466" s="38"/>
      <c r="H466" s="15"/>
      <c r="I466" s="45"/>
      <c r="J466" s="15"/>
    </row>
    <row r="467">
      <c r="A467" s="38" t="b">
        <v>0</v>
      </c>
      <c r="B467" s="38"/>
      <c r="C467" s="17"/>
      <c r="D467" s="17"/>
      <c r="E467" s="38"/>
      <c r="F467" s="38"/>
      <c r="G467" s="38"/>
      <c r="H467" s="15"/>
      <c r="I467" s="45"/>
      <c r="J467" s="15"/>
    </row>
    <row r="468">
      <c r="A468" s="38" t="b">
        <v>0</v>
      </c>
      <c r="B468" s="38"/>
      <c r="C468" s="17"/>
      <c r="D468" s="17"/>
      <c r="E468" s="38"/>
      <c r="F468" s="38"/>
      <c r="G468" s="38"/>
      <c r="H468" s="15"/>
      <c r="I468" s="45"/>
      <c r="J468" s="15"/>
    </row>
    <row r="469">
      <c r="A469" s="38" t="b">
        <v>0</v>
      </c>
      <c r="B469" s="38"/>
      <c r="C469" s="17"/>
      <c r="D469" s="17"/>
      <c r="E469" s="38"/>
      <c r="F469" s="38"/>
      <c r="G469" s="38"/>
      <c r="H469" s="15"/>
      <c r="I469" s="45"/>
      <c r="J469" s="15"/>
    </row>
    <row r="470">
      <c r="A470" s="38" t="b">
        <v>0</v>
      </c>
      <c r="B470" s="38"/>
      <c r="C470" s="17"/>
      <c r="D470" s="17"/>
      <c r="E470" s="38"/>
      <c r="F470" s="38"/>
      <c r="G470" s="38"/>
      <c r="H470" s="15"/>
      <c r="I470" s="45"/>
      <c r="J470" s="15"/>
    </row>
    <row r="471">
      <c r="A471" s="38" t="b">
        <v>0</v>
      </c>
      <c r="B471" s="38"/>
      <c r="C471" s="17"/>
      <c r="D471" s="17"/>
      <c r="E471" s="38"/>
      <c r="F471" s="38"/>
      <c r="G471" s="38"/>
      <c r="H471" s="15"/>
      <c r="I471" s="45"/>
      <c r="J471" s="15"/>
    </row>
    <row r="472">
      <c r="A472" s="38" t="b">
        <v>0</v>
      </c>
      <c r="B472" s="38"/>
      <c r="C472" s="17"/>
      <c r="D472" s="17"/>
      <c r="E472" s="38"/>
      <c r="F472" s="38"/>
      <c r="G472" s="38"/>
      <c r="H472" s="15"/>
      <c r="I472" s="45"/>
      <c r="J472" s="15"/>
    </row>
    <row r="473">
      <c r="A473" s="38" t="b">
        <v>0</v>
      </c>
      <c r="B473" s="38"/>
      <c r="C473" s="17"/>
      <c r="D473" s="17"/>
      <c r="E473" s="38"/>
      <c r="F473" s="38"/>
      <c r="G473" s="38"/>
      <c r="H473" s="15"/>
      <c r="I473" s="45"/>
      <c r="J473" s="15"/>
    </row>
    <row r="474">
      <c r="A474" s="38" t="b">
        <v>0</v>
      </c>
      <c r="B474" s="38"/>
      <c r="C474" s="17"/>
      <c r="D474" s="17"/>
      <c r="E474" s="38"/>
      <c r="F474" s="38"/>
      <c r="G474" s="38"/>
      <c r="H474" s="15"/>
      <c r="I474" s="45"/>
      <c r="J474" s="15"/>
    </row>
    <row r="475">
      <c r="A475" s="38" t="b">
        <v>0</v>
      </c>
      <c r="B475" s="38"/>
      <c r="C475" s="17"/>
      <c r="D475" s="17"/>
      <c r="E475" s="38"/>
      <c r="F475" s="38"/>
      <c r="G475" s="38"/>
      <c r="H475" s="15"/>
      <c r="I475" s="45"/>
      <c r="J475" s="15"/>
    </row>
    <row r="476">
      <c r="A476" s="38" t="b">
        <v>0</v>
      </c>
      <c r="B476" s="38"/>
      <c r="C476" s="17"/>
      <c r="D476" s="17"/>
      <c r="E476" s="38"/>
      <c r="F476" s="38"/>
      <c r="G476" s="38"/>
      <c r="H476" s="15"/>
      <c r="I476" s="45"/>
      <c r="J476" s="15"/>
    </row>
    <row r="477">
      <c r="A477" s="38" t="b">
        <v>0</v>
      </c>
      <c r="B477" s="38"/>
      <c r="C477" s="17"/>
      <c r="D477" s="17"/>
      <c r="E477" s="38"/>
      <c r="F477" s="38"/>
      <c r="G477" s="38"/>
      <c r="H477" s="15"/>
      <c r="I477" s="45"/>
      <c r="J477" s="15"/>
    </row>
    <row r="478">
      <c r="A478" s="38" t="b">
        <v>0</v>
      </c>
      <c r="B478" s="38"/>
      <c r="C478" s="17"/>
      <c r="D478" s="17"/>
      <c r="E478" s="38"/>
      <c r="F478" s="38"/>
      <c r="G478" s="38"/>
      <c r="H478" s="15"/>
      <c r="I478" s="45"/>
      <c r="J478" s="15"/>
    </row>
    <row r="479">
      <c r="A479" s="38" t="b">
        <v>0</v>
      </c>
      <c r="B479" s="38"/>
      <c r="C479" s="17"/>
      <c r="D479" s="17"/>
      <c r="E479" s="38"/>
      <c r="F479" s="38"/>
      <c r="G479" s="38"/>
      <c r="H479" s="15"/>
      <c r="I479" s="45"/>
      <c r="J479" s="15"/>
    </row>
    <row r="480">
      <c r="A480" s="38" t="b">
        <v>0</v>
      </c>
      <c r="B480" s="38"/>
      <c r="C480" s="17"/>
      <c r="D480" s="17"/>
      <c r="E480" s="38"/>
      <c r="F480" s="38"/>
      <c r="G480" s="38"/>
      <c r="H480" s="15"/>
      <c r="I480" s="45"/>
      <c r="J480" s="15"/>
    </row>
    <row r="481">
      <c r="A481" s="38" t="b">
        <v>0</v>
      </c>
      <c r="B481" s="38"/>
      <c r="C481" s="17"/>
      <c r="D481" s="17"/>
      <c r="E481" s="38"/>
      <c r="F481" s="38"/>
      <c r="G481" s="38"/>
      <c r="H481" s="15"/>
      <c r="I481" s="45"/>
      <c r="J481" s="15"/>
    </row>
    <row r="482">
      <c r="A482" s="38" t="b">
        <v>0</v>
      </c>
      <c r="B482" s="38"/>
      <c r="C482" s="17"/>
      <c r="D482" s="17"/>
      <c r="E482" s="38"/>
      <c r="F482" s="38"/>
      <c r="G482" s="38"/>
      <c r="H482" s="15"/>
      <c r="I482" s="45"/>
      <c r="J482" s="15"/>
    </row>
    <row r="483">
      <c r="A483" s="38" t="b">
        <v>0</v>
      </c>
      <c r="B483" s="38"/>
      <c r="C483" s="17"/>
      <c r="D483" s="17"/>
      <c r="E483" s="38"/>
      <c r="F483" s="38"/>
      <c r="G483" s="38"/>
      <c r="H483" s="15"/>
      <c r="I483" s="45"/>
      <c r="J483" s="15"/>
    </row>
    <row r="484">
      <c r="A484" s="38" t="b">
        <v>0</v>
      </c>
      <c r="B484" s="38"/>
      <c r="C484" s="17"/>
      <c r="D484" s="17"/>
      <c r="E484" s="38"/>
      <c r="F484" s="38"/>
      <c r="G484" s="38"/>
      <c r="H484" s="15"/>
      <c r="I484" s="45"/>
      <c r="J484" s="15"/>
    </row>
    <row r="485">
      <c r="A485" s="38" t="b">
        <v>0</v>
      </c>
      <c r="B485" s="38"/>
      <c r="C485" s="17"/>
      <c r="D485" s="17"/>
      <c r="E485" s="38"/>
      <c r="F485" s="38"/>
      <c r="G485" s="38"/>
      <c r="H485" s="15"/>
      <c r="I485" s="45"/>
      <c r="J485" s="15"/>
    </row>
    <row r="486">
      <c r="A486" s="38" t="b">
        <v>0</v>
      </c>
      <c r="B486" s="38"/>
      <c r="C486" s="17"/>
      <c r="D486" s="17"/>
      <c r="E486" s="38"/>
      <c r="F486" s="38"/>
      <c r="G486" s="38"/>
      <c r="H486" s="15"/>
      <c r="I486" s="45"/>
      <c r="J486" s="15"/>
    </row>
    <row r="487">
      <c r="A487" s="38" t="b">
        <v>0</v>
      </c>
      <c r="B487" s="38"/>
      <c r="C487" s="17"/>
      <c r="D487" s="17"/>
      <c r="E487" s="38"/>
      <c r="F487" s="38"/>
      <c r="G487" s="38"/>
      <c r="H487" s="15"/>
      <c r="I487" s="45"/>
      <c r="J487" s="15"/>
    </row>
    <row r="488">
      <c r="A488" s="38" t="b">
        <v>0</v>
      </c>
      <c r="B488" s="38"/>
      <c r="C488" s="17"/>
      <c r="D488" s="17"/>
      <c r="E488" s="38"/>
      <c r="F488" s="38"/>
      <c r="G488" s="38"/>
      <c r="H488" s="15"/>
      <c r="I488" s="45"/>
      <c r="J488" s="15"/>
    </row>
    <row r="489">
      <c r="A489" s="38" t="b">
        <v>0</v>
      </c>
      <c r="B489" s="38"/>
      <c r="C489" s="17"/>
      <c r="D489" s="17"/>
      <c r="E489" s="38"/>
      <c r="F489" s="38"/>
      <c r="G489" s="38"/>
      <c r="H489" s="15"/>
      <c r="I489" s="45"/>
      <c r="J489" s="15"/>
    </row>
    <row r="490">
      <c r="A490" s="38" t="b">
        <v>0</v>
      </c>
      <c r="B490" s="38"/>
      <c r="C490" s="17"/>
      <c r="D490" s="17"/>
      <c r="E490" s="38"/>
      <c r="F490" s="38"/>
      <c r="G490" s="38"/>
      <c r="H490" s="15"/>
      <c r="I490" s="45"/>
      <c r="J490" s="15"/>
    </row>
    <row r="491">
      <c r="A491" s="38" t="b">
        <v>0</v>
      </c>
      <c r="B491" s="38"/>
      <c r="C491" s="17"/>
      <c r="D491" s="17"/>
      <c r="E491" s="38"/>
      <c r="F491" s="38"/>
      <c r="G491" s="38"/>
      <c r="H491" s="15"/>
      <c r="I491" s="45"/>
      <c r="J491" s="15"/>
    </row>
    <row r="492">
      <c r="A492" s="38" t="b">
        <v>0</v>
      </c>
      <c r="B492" s="38"/>
      <c r="C492" s="17"/>
      <c r="D492" s="17"/>
      <c r="E492" s="38"/>
      <c r="F492" s="38"/>
      <c r="G492" s="38"/>
      <c r="H492" s="15"/>
      <c r="I492" s="45"/>
      <c r="J492" s="15"/>
    </row>
    <row r="493">
      <c r="A493" s="38" t="b">
        <v>0</v>
      </c>
      <c r="B493" s="38"/>
      <c r="C493" s="17"/>
      <c r="D493" s="17"/>
      <c r="E493" s="38"/>
      <c r="F493" s="38"/>
      <c r="G493" s="38"/>
      <c r="H493" s="15"/>
      <c r="I493" s="45"/>
      <c r="J493" s="15"/>
    </row>
    <row r="494">
      <c r="A494" s="38" t="b">
        <v>0</v>
      </c>
      <c r="B494" s="38"/>
      <c r="C494" s="17"/>
      <c r="D494" s="17"/>
      <c r="E494" s="38"/>
      <c r="F494" s="38"/>
      <c r="G494" s="38"/>
      <c r="H494" s="15"/>
      <c r="I494" s="45"/>
      <c r="J494" s="15"/>
    </row>
    <row r="495">
      <c r="A495" s="38" t="b">
        <v>0</v>
      </c>
      <c r="B495" s="38"/>
      <c r="C495" s="17"/>
      <c r="D495" s="17"/>
      <c r="E495" s="38"/>
      <c r="F495" s="38"/>
      <c r="G495" s="38"/>
      <c r="H495" s="15"/>
      <c r="I495" s="45"/>
      <c r="J495" s="15"/>
    </row>
    <row r="496">
      <c r="A496" s="38" t="b">
        <v>0</v>
      </c>
      <c r="B496" s="38"/>
      <c r="C496" s="17"/>
      <c r="D496" s="17"/>
      <c r="E496" s="38"/>
      <c r="F496" s="38"/>
      <c r="G496" s="38"/>
      <c r="H496" s="15"/>
      <c r="I496" s="45"/>
      <c r="J496" s="15"/>
    </row>
    <row r="497">
      <c r="A497" s="38" t="b">
        <v>0</v>
      </c>
      <c r="B497" s="38"/>
      <c r="C497" s="17"/>
      <c r="D497" s="17"/>
      <c r="E497" s="38"/>
      <c r="F497" s="38"/>
      <c r="G497" s="38"/>
      <c r="H497" s="15"/>
      <c r="I497" s="45"/>
      <c r="J497" s="15"/>
    </row>
    <row r="498">
      <c r="A498" s="38" t="b">
        <v>0</v>
      </c>
      <c r="B498" s="38"/>
      <c r="C498" s="17"/>
      <c r="D498" s="17"/>
      <c r="E498" s="38"/>
      <c r="F498" s="38"/>
      <c r="G498" s="38"/>
      <c r="H498" s="15"/>
      <c r="I498" s="45"/>
      <c r="J498" s="15"/>
    </row>
    <row r="499">
      <c r="A499" s="38" t="b">
        <v>0</v>
      </c>
      <c r="B499" s="38"/>
      <c r="C499" s="17"/>
      <c r="D499" s="17"/>
      <c r="E499" s="38"/>
      <c r="F499" s="38"/>
      <c r="G499" s="38"/>
      <c r="H499" s="15"/>
      <c r="I499" s="45"/>
      <c r="J499" s="15"/>
    </row>
    <row r="500">
      <c r="A500" s="38" t="b">
        <v>0</v>
      </c>
      <c r="B500" s="38"/>
      <c r="C500" s="17"/>
      <c r="D500" s="17"/>
      <c r="E500" s="38"/>
      <c r="F500" s="38"/>
      <c r="G500" s="38"/>
      <c r="H500" s="15"/>
      <c r="I500" s="45"/>
      <c r="J500" s="15"/>
    </row>
    <row r="501">
      <c r="A501" s="38" t="b">
        <v>0</v>
      </c>
      <c r="B501" s="38"/>
      <c r="C501" s="17"/>
      <c r="D501" s="17"/>
      <c r="E501" s="38"/>
      <c r="F501" s="38"/>
      <c r="G501" s="38"/>
      <c r="H501" s="15"/>
      <c r="I501" s="45"/>
      <c r="J501" s="15"/>
    </row>
    <row r="502">
      <c r="A502" s="38" t="b">
        <v>0</v>
      </c>
      <c r="B502" s="38"/>
      <c r="C502" s="17"/>
      <c r="D502" s="17"/>
      <c r="E502" s="38"/>
      <c r="F502" s="38"/>
      <c r="G502" s="38"/>
      <c r="H502" s="15"/>
      <c r="I502" s="45"/>
      <c r="J502" s="15"/>
    </row>
    <row r="503">
      <c r="A503" s="38" t="b">
        <v>0</v>
      </c>
      <c r="B503" s="38"/>
      <c r="C503" s="17"/>
      <c r="D503" s="17"/>
      <c r="E503" s="38"/>
      <c r="F503" s="38"/>
      <c r="G503" s="38"/>
      <c r="H503" s="15"/>
      <c r="I503" s="45"/>
      <c r="J503" s="15"/>
    </row>
    <row r="504">
      <c r="A504" s="38" t="b">
        <v>0</v>
      </c>
      <c r="B504" s="38"/>
      <c r="C504" s="17"/>
      <c r="D504" s="17"/>
      <c r="E504" s="38"/>
      <c r="F504" s="38"/>
      <c r="G504" s="38"/>
      <c r="H504" s="15"/>
      <c r="I504" s="45"/>
      <c r="J504" s="15"/>
    </row>
    <row r="505">
      <c r="A505" s="38" t="b">
        <v>0</v>
      </c>
      <c r="B505" s="38"/>
      <c r="C505" s="17"/>
      <c r="D505" s="17"/>
      <c r="E505" s="38"/>
      <c r="F505" s="38"/>
      <c r="G505" s="38"/>
      <c r="H505" s="15"/>
      <c r="I505" s="45"/>
      <c r="J505" s="15"/>
    </row>
    <row r="506">
      <c r="A506" s="38" t="b">
        <v>0</v>
      </c>
      <c r="B506" s="38"/>
      <c r="C506" s="17"/>
      <c r="D506" s="17"/>
      <c r="E506" s="38"/>
      <c r="F506" s="38"/>
      <c r="G506" s="38"/>
      <c r="H506" s="15"/>
      <c r="I506" s="45"/>
      <c r="J506" s="15"/>
    </row>
    <row r="507">
      <c r="A507" s="38" t="b">
        <v>0</v>
      </c>
      <c r="B507" s="38"/>
      <c r="C507" s="17"/>
      <c r="D507" s="17"/>
      <c r="E507" s="38"/>
      <c r="F507" s="38"/>
      <c r="G507" s="38"/>
      <c r="H507" s="15"/>
      <c r="I507" s="45"/>
      <c r="J507" s="15"/>
    </row>
    <row r="508">
      <c r="A508" s="38" t="b">
        <v>0</v>
      </c>
      <c r="B508" s="38"/>
      <c r="C508" s="17"/>
      <c r="D508" s="17"/>
      <c r="E508" s="38"/>
      <c r="F508" s="38"/>
      <c r="G508" s="38"/>
      <c r="H508" s="15"/>
      <c r="I508" s="45"/>
      <c r="J508" s="15"/>
    </row>
    <row r="509">
      <c r="A509" s="38" t="b">
        <v>0</v>
      </c>
      <c r="B509" s="38"/>
      <c r="C509" s="17"/>
      <c r="D509" s="17"/>
      <c r="E509" s="38"/>
      <c r="F509" s="38"/>
      <c r="G509" s="38"/>
      <c r="H509" s="15"/>
      <c r="I509" s="45"/>
      <c r="J509" s="15"/>
    </row>
    <row r="510">
      <c r="A510" s="38" t="b">
        <v>0</v>
      </c>
      <c r="B510" s="38"/>
      <c r="C510" s="17"/>
      <c r="D510" s="17"/>
      <c r="E510" s="38"/>
      <c r="F510" s="38"/>
      <c r="G510" s="38"/>
      <c r="H510" s="15"/>
      <c r="I510" s="45"/>
      <c r="J510" s="15"/>
    </row>
    <row r="511">
      <c r="A511" s="38" t="b">
        <v>0</v>
      </c>
      <c r="B511" s="38"/>
      <c r="C511" s="17"/>
      <c r="D511" s="17"/>
      <c r="E511" s="38"/>
      <c r="F511" s="38"/>
      <c r="G511" s="38"/>
      <c r="H511" s="15"/>
      <c r="I511" s="45"/>
      <c r="J511" s="15"/>
    </row>
    <row r="512">
      <c r="A512" s="38" t="b">
        <v>0</v>
      </c>
      <c r="B512" s="38"/>
      <c r="C512" s="17"/>
      <c r="D512" s="17"/>
      <c r="E512" s="38"/>
      <c r="F512" s="38"/>
      <c r="G512" s="38"/>
      <c r="H512" s="15"/>
      <c r="I512" s="45"/>
      <c r="J512" s="15"/>
    </row>
    <row r="513">
      <c r="A513" s="38" t="b">
        <v>0</v>
      </c>
      <c r="B513" s="38"/>
      <c r="C513" s="17"/>
      <c r="D513" s="17"/>
      <c r="E513" s="38"/>
      <c r="F513" s="38"/>
      <c r="G513" s="38"/>
      <c r="H513" s="15"/>
      <c r="I513" s="45"/>
      <c r="J513" s="15"/>
    </row>
    <row r="514">
      <c r="A514" s="38" t="b">
        <v>0</v>
      </c>
      <c r="B514" s="38"/>
      <c r="C514" s="17"/>
      <c r="D514" s="17"/>
      <c r="E514" s="38"/>
      <c r="F514" s="38"/>
      <c r="G514" s="38"/>
      <c r="H514" s="15"/>
      <c r="I514" s="45"/>
      <c r="J514" s="15"/>
    </row>
    <row r="515">
      <c r="A515" s="38" t="b">
        <v>0</v>
      </c>
      <c r="B515" s="38"/>
      <c r="C515" s="17"/>
      <c r="D515" s="17"/>
      <c r="E515" s="38"/>
      <c r="F515" s="38"/>
      <c r="G515" s="38"/>
      <c r="H515" s="15"/>
      <c r="I515" s="45"/>
      <c r="J515" s="15"/>
    </row>
    <row r="516">
      <c r="A516" s="38" t="b">
        <v>0</v>
      </c>
      <c r="B516" s="38"/>
      <c r="C516" s="17"/>
      <c r="D516" s="17"/>
      <c r="E516" s="38"/>
      <c r="F516" s="38"/>
      <c r="G516" s="38"/>
      <c r="H516" s="15"/>
      <c r="I516" s="45"/>
      <c r="J516" s="15"/>
    </row>
    <row r="517">
      <c r="A517" s="38" t="b">
        <v>0</v>
      </c>
      <c r="B517" s="38"/>
      <c r="C517" s="17"/>
      <c r="D517" s="17"/>
      <c r="E517" s="38"/>
      <c r="F517" s="38"/>
      <c r="G517" s="38"/>
      <c r="H517" s="15"/>
      <c r="I517" s="45"/>
      <c r="J517" s="15"/>
    </row>
    <row r="518">
      <c r="A518" s="38" t="b">
        <v>0</v>
      </c>
      <c r="B518" s="38"/>
      <c r="C518" s="17"/>
      <c r="D518" s="17"/>
      <c r="E518" s="38"/>
      <c r="F518" s="38"/>
      <c r="G518" s="38"/>
      <c r="H518" s="15"/>
      <c r="I518" s="45"/>
      <c r="J518" s="15"/>
    </row>
    <row r="519">
      <c r="A519" s="38" t="b">
        <v>0</v>
      </c>
      <c r="B519" s="38"/>
      <c r="C519" s="17"/>
      <c r="D519" s="17"/>
      <c r="E519" s="38"/>
      <c r="F519" s="38"/>
      <c r="G519" s="38"/>
      <c r="H519" s="15"/>
      <c r="I519" s="45"/>
      <c r="J519" s="15"/>
    </row>
    <row r="520">
      <c r="A520" s="38" t="b">
        <v>0</v>
      </c>
      <c r="B520" s="38"/>
      <c r="C520" s="17"/>
      <c r="D520" s="17"/>
      <c r="E520" s="38"/>
      <c r="F520" s="38"/>
      <c r="G520" s="38"/>
      <c r="H520" s="15"/>
      <c r="I520" s="45"/>
      <c r="J520" s="15"/>
    </row>
    <row r="521">
      <c r="A521" s="38" t="b">
        <v>0</v>
      </c>
      <c r="B521" s="38"/>
      <c r="C521" s="17"/>
      <c r="D521" s="17"/>
      <c r="E521" s="38"/>
      <c r="F521" s="38"/>
      <c r="G521" s="38"/>
      <c r="H521" s="15"/>
      <c r="I521" s="45"/>
      <c r="J521" s="15"/>
    </row>
    <row r="522">
      <c r="A522" s="38" t="b">
        <v>0</v>
      </c>
      <c r="B522" s="38"/>
      <c r="C522" s="17"/>
      <c r="D522" s="17"/>
      <c r="E522" s="38"/>
      <c r="F522" s="38"/>
      <c r="G522" s="38"/>
      <c r="H522" s="15"/>
      <c r="I522" s="45"/>
      <c r="J522" s="15"/>
    </row>
    <row r="523">
      <c r="A523" s="38" t="b">
        <v>0</v>
      </c>
      <c r="B523" s="38"/>
      <c r="C523" s="17"/>
      <c r="D523" s="17"/>
      <c r="E523" s="38"/>
      <c r="F523" s="38"/>
      <c r="G523" s="38"/>
      <c r="H523" s="15"/>
      <c r="I523" s="45"/>
      <c r="J523" s="15"/>
    </row>
    <row r="524">
      <c r="A524" s="38" t="b">
        <v>0</v>
      </c>
      <c r="B524" s="38"/>
      <c r="C524" s="17"/>
      <c r="D524" s="17"/>
      <c r="E524" s="38"/>
      <c r="F524" s="38"/>
      <c r="G524" s="38"/>
      <c r="H524" s="15"/>
      <c r="I524" s="45"/>
      <c r="J524" s="15"/>
    </row>
    <row r="525">
      <c r="A525" s="38" t="b">
        <v>0</v>
      </c>
      <c r="B525" s="38"/>
      <c r="C525" s="17"/>
      <c r="D525" s="17"/>
      <c r="E525" s="38"/>
      <c r="F525" s="38"/>
      <c r="G525" s="38"/>
      <c r="H525" s="15"/>
      <c r="I525" s="45"/>
      <c r="J525" s="15"/>
    </row>
    <row r="526">
      <c r="A526" s="38" t="b">
        <v>0</v>
      </c>
      <c r="B526" s="38"/>
      <c r="C526" s="17"/>
      <c r="D526" s="17"/>
      <c r="E526" s="38"/>
      <c r="F526" s="38"/>
      <c r="G526" s="38"/>
      <c r="H526" s="15"/>
      <c r="I526" s="45"/>
      <c r="J526" s="15"/>
    </row>
    <row r="527">
      <c r="A527" s="38" t="b">
        <v>0</v>
      </c>
      <c r="B527" s="38"/>
      <c r="C527" s="17"/>
      <c r="D527" s="17"/>
      <c r="E527" s="38"/>
      <c r="F527" s="38"/>
      <c r="G527" s="38"/>
      <c r="H527" s="15"/>
      <c r="I527" s="45"/>
      <c r="J527" s="15"/>
    </row>
    <row r="528">
      <c r="A528" s="38" t="b">
        <v>0</v>
      </c>
      <c r="B528" s="38"/>
      <c r="C528" s="17"/>
      <c r="D528" s="17"/>
      <c r="E528" s="38"/>
      <c r="F528" s="38"/>
      <c r="G528" s="38"/>
      <c r="H528" s="15"/>
      <c r="I528" s="45"/>
      <c r="J528" s="15"/>
    </row>
    <row r="529">
      <c r="A529" s="38" t="b">
        <v>0</v>
      </c>
      <c r="B529" s="38"/>
      <c r="C529" s="17"/>
      <c r="D529" s="17"/>
      <c r="E529" s="38"/>
      <c r="F529" s="38"/>
      <c r="G529" s="38"/>
      <c r="H529" s="15"/>
      <c r="I529" s="45"/>
      <c r="J529" s="15"/>
    </row>
    <row r="530">
      <c r="A530" s="38" t="b">
        <v>0</v>
      </c>
      <c r="B530" s="38"/>
      <c r="C530" s="17"/>
      <c r="D530" s="17"/>
      <c r="E530" s="38"/>
      <c r="F530" s="38"/>
      <c r="G530" s="38"/>
      <c r="H530" s="15"/>
      <c r="I530" s="45"/>
      <c r="J530" s="15"/>
    </row>
    <row r="531">
      <c r="A531" s="38" t="b">
        <v>0</v>
      </c>
      <c r="B531" s="38"/>
      <c r="C531" s="17"/>
      <c r="D531" s="17"/>
      <c r="E531" s="38"/>
      <c r="F531" s="38"/>
      <c r="G531" s="38"/>
      <c r="H531" s="15"/>
      <c r="I531" s="45"/>
      <c r="J531" s="15"/>
    </row>
    <row r="532">
      <c r="A532" s="38" t="b">
        <v>0</v>
      </c>
      <c r="B532" s="38"/>
      <c r="C532" s="17"/>
      <c r="D532" s="17"/>
      <c r="E532" s="38"/>
      <c r="F532" s="38"/>
      <c r="G532" s="38"/>
      <c r="H532" s="15"/>
      <c r="I532" s="45"/>
      <c r="J532" s="15"/>
    </row>
    <row r="533">
      <c r="A533" s="38" t="b">
        <v>0</v>
      </c>
      <c r="B533" s="38"/>
      <c r="C533" s="17"/>
      <c r="D533" s="17"/>
      <c r="E533" s="38"/>
      <c r="F533" s="38"/>
      <c r="G533" s="38"/>
      <c r="H533" s="15"/>
      <c r="I533" s="45"/>
      <c r="J533" s="15"/>
    </row>
    <row r="534">
      <c r="A534" s="38" t="b">
        <v>0</v>
      </c>
      <c r="B534" s="38"/>
      <c r="C534" s="17"/>
      <c r="D534" s="17"/>
      <c r="E534" s="38"/>
      <c r="F534" s="38"/>
      <c r="G534" s="38"/>
      <c r="H534" s="15"/>
      <c r="I534" s="45"/>
      <c r="J534" s="15"/>
    </row>
    <row r="535">
      <c r="A535" s="38" t="b">
        <v>0</v>
      </c>
      <c r="B535" s="38"/>
      <c r="C535" s="17"/>
      <c r="D535" s="17"/>
      <c r="E535" s="38"/>
      <c r="F535" s="38"/>
      <c r="G535" s="38"/>
      <c r="H535" s="15"/>
      <c r="I535" s="45"/>
      <c r="J535" s="15"/>
    </row>
    <row r="536">
      <c r="A536" s="38" t="b">
        <v>0</v>
      </c>
      <c r="B536" s="38"/>
      <c r="C536" s="17"/>
      <c r="D536" s="17"/>
      <c r="E536" s="38"/>
      <c r="F536" s="38"/>
      <c r="G536" s="38"/>
      <c r="H536" s="15"/>
      <c r="I536" s="45"/>
      <c r="J536" s="15"/>
    </row>
    <row r="537">
      <c r="A537" s="38" t="b">
        <v>0</v>
      </c>
      <c r="B537" s="38"/>
      <c r="C537" s="17"/>
      <c r="D537" s="17"/>
      <c r="E537" s="38"/>
      <c r="F537" s="38"/>
      <c r="G537" s="38"/>
      <c r="H537" s="15"/>
      <c r="I537" s="45"/>
      <c r="J537" s="15"/>
    </row>
    <row r="538">
      <c r="A538" s="38" t="b">
        <v>0</v>
      </c>
      <c r="B538" s="38"/>
      <c r="C538" s="17"/>
      <c r="D538" s="17"/>
      <c r="E538" s="38"/>
      <c r="F538" s="38"/>
      <c r="G538" s="38"/>
      <c r="H538" s="15"/>
      <c r="I538" s="45"/>
      <c r="J538" s="15"/>
    </row>
    <row r="539">
      <c r="A539" s="38" t="b">
        <v>0</v>
      </c>
      <c r="B539" s="38"/>
      <c r="C539" s="17"/>
      <c r="D539" s="17"/>
      <c r="E539" s="38"/>
      <c r="F539" s="38"/>
      <c r="G539" s="38"/>
      <c r="H539" s="15"/>
      <c r="I539" s="45"/>
      <c r="J539" s="15"/>
    </row>
    <row r="540">
      <c r="A540" s="38" t="b">
        <v>0</v>
      </c>
      <c r="B540" s="38"/>
      <c r="C540" s="17"/>
      <c r="D540" s="17"/>
      <c r="E540" s="38"/>
      <c r="F540" s="38"/>
      <c r="G540" s="38"/>
      <c r="H540" s="15"/>
      <c r="I540" s="45"/>
      <c r="J540" s="15"/>
    </row>
    <row r="541">
      <c r="A541" s="38" t="b">
        <v>0</v>
      </c>
      <c r="B541" s="38"/>
      <c r="C541" s="17"/>
      <c r="D541" s="17"/>
      <c r="E541" s="38"/>
      <c r="F541" s="38"/>
      <c r="G541" s="38"/>
      <c r="H541" s="15"/>
      <c r="I541" s="45"/>
      <c r="J541" s="15"/>
    </row>
    <row r="542">
      <c r="A542" s="38" t="b">
        <v>0</v>
      </c>
      <c r="B542" s="38"/>
      <c r="C542" s="17"/>
      <c r="D542" s="17"/>
      <c r="E542" s="38"/>
      <c r="F542" s="38"/>
      <c r="G542" s="38"/>
      <c r="H542" s="15"/>
      <c r="I542" s="45"/>
      <c r="J542" s="15"/>
    </row>
    <row r="543">
      <c r="A543" s="38" t="b">
        <v>0</v>
      </c>
      <c r="B543" s="38"/>
      <c r="C543" s="17"/>
      <c r="D543" s="17"/>
      <c r="E543" s="38"/>
      <c r="F543" s="38"/>
      <c r="G543" s="38"/>
      <c r="H543" s="15"/>
      <c r="I543" s="45"/>
      <c r="J543" s="15"/>
    </row>
    <row r="544">
      <c r="A544" s="38" t="b">
        <v>0</v>
      </c>
      <c r="B544" s="38"/>
      <c r="C544" s="17"/>
      <c r="D544" s="17"/>
      <c r="E544" s="38"/>
      <c r="F544" s="38"/>
      <c r="G544" s="38"/>
      <c r="H544" s="15"/>
      <c r="I544" s="45"/>
      <c r="J544" s="15"/>
    </row>
    <row r="545">
      <c r="A545" s="38" t="b">
        <v>0</v>
      </c>
      <c r="B545" s="38"/>
      <c r="C545" s="17"/>
      <c r="D545" s="17"/>
      <c r="E545" s="38"/>
      <c r="F545" s="38"/>
      <c r="G545" s="38"/>
      <c r="H545" s="15"/>
      <c r="I545" s="45"/>
      <c r="J545" s="15"/>
    </row>
    <row r="546">
      <c r="A546" s="38" t="b">
        <v>0</v>
      </c>
      <c r="B546" s="38"/>
      <c r="C546" s="17"/>
      <c r="D546" s="17"/>
      <c r="E546" s="38"/>
      <c r="F546" s="38"/>
      <c r="G546" s="38"/>
      <c r="H546" s="15"/>
      <c r="I546" s="45"/>
      <c r="J546" s="15"/>
    </row>
    <row r="547">
      <c r="A547" s="38" t="b">
        <v>0</v>
      </c>
      <c r="B547" s="38"/>
      <c r="C547" s="17"/>
      <c r="D547" s="17"/>
      <c r="E547" s="38"/>
      <c r="F547" s="38"/>
      <c r="G547" s="38"/>
      <c r="H547" s="15"/>
      <c r="I547" s="45"/>
      <c r="J547" s="15"/>
    </row>
    <row r="548">
      <c r="A548" s="38" t="b">
        <v>0</v>
      </c>
      <c r="B548" s="38"/>
      <c r="C548" s="17"/>
      <c r="D548" s="17"/>
      <c r="E548" s="38"/>
      <c r="F548" s="38"/>
      <c r="G548" s="38"/>
      <c r="H548" s="15"/>
      <c r="I548" s="45"/>
      <c r="J548" s="15"/>
    </row>
    <row r="549">
      <c r="A549" s="38" t="b">
        <v>0</v>
      </c>
      <c r="B549" s="38"/>
      <c r="C549" s="17"/>
      <c r="D549" s="17"/>
      <c r="E549" s="38"/>
      <c r="F549" s="38"/>
      <c r="G549" s="38"/>
      <c r="H549" s="15"/>
      <c r="I549" s="45"/>
      <c r="J549" s="15"/>
    </row>
    <row r="550">
      <c r="A550" s="38" t="b">
        <v>0</v>
      </c>
      <c r="B550" s="38"/>
      <c r="C550" s="17"/>
      <c r="D550" s="17"/>
      <c r="E550" s="38"/>
      <c r="F550" s="38"/>
      <c r="G550" s="38"/>
      <c r="H550" s="15"/>
      <c r="I550" s="45"/>
      <c r="J550" s="15"/>
    </row>
    <row r="551">
      <c r="A551" s="38" t="b">
        <v>0</v>
      </c>
      <c r="B551" s="38"/>
      <c r="C551" s="17"/>
      <c r="D551" s="17"/>
      <c r="E551" s="38"/>
      <c r="F551" s="38"/>
      <c r="G551" s="38"/>
      <c r="H551" s="15"/>
      <c r="I551" s="45"/>
      <c r="J551" s="15"/>
    </row>
    <row r="552">
      <c r="A552" s="38" t="b">
        <v>0</v>
      </c>
      <c r="B552" s="38"/>
      <c r="C552" s="17"/>
      <c r="D552" s="17"/>
      <c r="E552" s="38"/>
      <c r="F552" s="38"/>
      <c r="G552" s="38"/>
      <c r="H552" s="15"/>
      <c r="I552" s="45"/>
      <c r="J552" s="15"/>
    </row>
    <row r="553">
      <c r="A553" s="38" t="b">
        <v>0</v>
      </c>
      <c r="B553" s="38"/>
      <c r="C553" s="17"/>
      <c r="D553" s="17"/>
      <c r="E553" s="38"/>
      <c r="F553" s="38"/>
      <c r="G553" s="38"/>
      <c r="H553" s="15"/>
      <c r="I553" s="45"/>
      <c r="J553" s="15"/>
    </row>
    <row r="554">
      <c r="A554" s="38" t="b">
        <v>0</v>
      </c>
      <c r="B554" s="38"/>
      <c r="C554" s="17"/>
      <c r="D554" s="17"/>
      <c r="E554" s="38"/>
      <c r="F554" s="38"/>
      <c r="G554" s="38"/>
      <c r="H554" s="15"/>
      <c r="I554" s="45"/>
      <c r="J554" s="15"/>
    </row>
    <row r="555">
      <c r="A555" s="38" t="b">
        <v>0</v>
      </c>
      <c r="B555" s="38"/>
      <c r="C555" s="17"/>
      <c r="D555" s="17"/>
      <c r="E555" s="38"/>
      <c r="F555" s="38"/>
      <c r="G555" s="38"/>
      <c r="H555" s="15"/>
      <c r="I555" s="45"/>
      <c r="J555" s="15"/>
    </row>
    <row r="556">
      <c r="A556" s="38" t="b">
        <v>0</v>
      </c>
      <c r="B556" s="38"/>
      <c r="C556" s="17"/>
      <c r="D556" s="17"/>
      <c r="E556" s="38"/>
      <c r="F556" s="38"/>
      <c r="G556" s="38"/>
      <c r="H556" s="15"/>
      <c r="I556" s="45"/>
      <c r="J556" s="15"/>
    </row>
    <row r="557">
      <c r="A557" s="38" t="b">
        <v>0</v>
      </c>
      <c r="B557" s="38"/>
      <c r="C557" s="17"/>
      <c r="D557" s="17"/>
      <c r="E557" s="38"/>
      <c r="F557" s="38"/>
      <c r="G557" s="38"/>
      <c r="H557" s="15"/>
      <c r="I557" s="45"/>
      <c r="J557" s="15"/>
    </row>
    <row r="558">
      <c r="A558" s="38" t="b">
        <v>0</v>
      </c>
      <c r="B558" s="38"/>
      <c r="C558" s="17"/>
      <c r="D558" s="17"/>
      <c r="E558" s="38"/>
      <c r="F558" s="38"/>
      <c r="G558" s="38"/>
      <c r="H558" s="15"/>
      <c r="I558" s="45"/>
      <c r="J558" s="15"/>
    </row>
    <row r="559">
      <c r="A559" s="38" t="b">
        <v>0</v>
      </c>
      <c r="B559" s="38"/>
      <c r="C559" s="17"/>
      <c r="D559" s="17"/>
      <c r="E559" s="38"/>
      <c r="F559" s="38"/>
      <c r="G559" s="38"/>
      <c r="H559" s="15"/>
      <c r="I559" s="45"/>
      <c r="J559" s="15"/>
    </row>
    <row r="560">
      <c r="A560" s="38" t="b">
        <v>0</v>
      </c>
      <c r="B560" s="38"/>
      <c r="C560" s="17"/>
      <c r="D560" s="17"/>
      <c r="E560" s="38"/>
      <c r="F560" s="38"/>
      <c r="G560" s="38"/>
      <c r="H560" s="15"/>
      <c r="I560" s="45"/>
      <c r="J560" s="15"/>
    </row>
    <row r="561">
      <c r="A561" s="38" t="b">
        <v>0</v>
      </c>
      <c r="B561" s="38"/>
      <c r="C561" s="17"/>
      <c r="D561" s="17"/>
      <c r="E561" s="38"/>
      <c r="F561" s="38"/>
      <c r="G561" s="38"/>
      <c r="H561" s="15"/>
      <c r="I561" s="45"/>
      <c r="J561" s="15"/>
    </row>
    <row r="562">
      <c r="A562" s="38" t="b">
        <v>0</v>
      </c>
      <c r="B562" s="38"/>
      <c r="C562" s="17"/>
      <c r="D562" s="17"/>
      <c r="E562" s="38"/>
      <c r="F562" s="38"/>
      <c r="G562" s="38"/>
      <c r="H562" s="15"/>
      <c r="I562" s="45"/>
      <c r="J562" s="15"/>
    </row>
    <row r="563">
      <c r="A563" s="38" t="b">
        <v>0</v>
      </c>
      <c r="B563" s="38"/>
      <c r="C563" s="17"/>
      <c r="D563" s="17"/>
      <c r="E563" s="38"/>
      <c r="F563" s="38"/>
      <c r="G563" s="38"/>
      <c r="H563" s="15"/>
      <c r="I563" s="45"/>
      <c r="J563" s="15"/>
    </row>
    <row r="564">
      <c r="A564" s="38" t="b">
        <v>0</v>
      </c>
      <c r="B564" s="38"/>
      <c r="C564" s="17"/>
      <c r="D564" s="17"/>
      <c r="E564" s="38"/>
      <c r="F564" s="38"/>
      <c r="G564" s="38"/>
      <c r="H564" s="15"/>
      <c r="I564" s="45"/>
      <c r="J564" s="15"/>
    </row>
    <row r="565">
      <c r="A565" s="38" t="b">
        <v>0</v>
      </c>
      <c r="B565" s="38"/>
      <c r="C565" s="17"/>
      <c r="D565" s="17"/>
      <c r="E565" s="38"/>
      <c r="F565" s="38"/>
      <c r="G565" s="38"/>
      <c r="H565" s="15"/>
      <c r="I565" s="45"/>
      <c r="J565" s="15"/>
    </row>
    <row r="566">
      <c r="A566" s="38" t="b">
        <v>0</v>
      </c>
      <c r="B566" s="38"/>
      <c r="C566" s="17"/>
      <c r="D566" s="17"/>
      <c r="E566" s="38"/>
      <c r="F566" s="38"/>
      <c r="G566" s="38"/>
      <c r="H566" s="15"/>
      <c r="I566" s="45"/>
      <c r="J566" s="15"/>
    </row>
    <row r="567">
      <c r="A567" s="38" t="b">
        <v>0</v>
      </c>
      <c r="B567" s="38"/>
      <c r="C567" s="17"/>
      <c r="D567" s="17"/>
      <c r="E567" s="38"/>
      <c r="F567" s="38"/>
      <c r="G567" s="38"/>
      <c r="H567" s="15"/>
      <c r="I567" s="45"/>
      <c r="J567" s="15"/>
    </row>
    <row r="568">
      <c r="A568" s="38" t="b">
        <v>0</v>
      </c>
      <c r="B568" s="38"/>
      <c r="C568" s="17"/>
      <c r="D568" s="17"/>
      <c r="E568" s="38"/>
      <c r="F568" s="38"/>
      <c r="G568" s="38"/>
      <c r="H568" s="15"/>
      <c r="I568" s="45"/>
      <c r="J568" s="15"/>
    </row>
    <row r="569">
      <c r="A569" s="38" t="b">
        <v>0</v>
      </c>
      <c r="B569" s="38"/>
      <c r="C569" s="17"/>
      <c r="D569" s="17"/>
      <c r="E569" s="38"/>
      <c r="F569" s="38"/>
      <c r="G569" s="38"/>
      <c r="H569" s="15"/>
      <c r="I569" s="45"/>
      <c r="J569" s="15"/>
    </row>
    <row r="570">
      <c r="A570" s="38" t="b">
        <v>0</v>
      </c>
      <c r="B570" s="38"/>
      <c r="C570" s="17"/>
      <c r="D570" s="17"/>
      <c r="E570" s="38"/>
      <c r="F570" s="38"/>
      <c r="G570" s="38"/>
      <c r="H570" s="15"/>
      <c r="I570" s="45"/>
      <c r="J570" s="15"/>
    </row>
    <row r="571">
      <c r="A571" s="38" t="b">
        <v>0</v>
      </c>
      <c r="B571" s="38"/>
      <c r="C571" s="17"/>
      <c r="D571" s="17"/>
      <c r="E571" s="38"/>
      <c r="F571" s="38"/>
      <c r="G571" s="38"/>
      <c r="H571" s="15"/>
      <c r="I571" s="45"/>
      <c r="J571" s="15"/>
    </row>
    <row r="572">
      <c r="A572" s="38" t="b">
        <v>0</v>
      </c>
      <c r="B572" s="38"/>
      <c r="C572" s="17"/>
      <c r="D572" s="17"/>
      <c r="E572" s="38"/>
      <c r="F572" s="38"/>
      <c r="G572" s="38"/>
      <c r="H572" s="15"/>
      <c r="I572" s="45"/>
      <c r="J572" s="15"/>
    </row>
    <row r="573">
      <c r="A573" s="38" t="b">
        <v>0</v>
      </c>
      <c r="B573" s="38"/>
      <c r="C573" s="17"/>
      <c r="D573" s="17"/>
      <c r="E573" s="38"/>
      <c r="F573" s="38"/>
      <c r="G573" s="38"/>
      <c r="H573" s="15"/>
      <c r="I573" s="45"/>
      <c r="J573" s="15"/>
    </row>
    <row r="574">
      <c r="A574" s="38" t="b">
        <v>0</v>
      </c>
      <c r="B574" s="38"/>
      <c r="C574" s="17"/>
      <c r="D574" s="17"/>
      <c r="E574" s="38"/>
      <c r="F574" s="38"/>
      <c r="G574" s="38"/>
      <c r="H574" s="15"/>
      <c r="I574" s="45"/>
      <c r="J574" s="15"/>
    </row>
    <row r="575">
      <c r="A575" s="38" t="b">
        <v>0</v>
      </c>
      <c r="B575" s="38"/>
      <c r="C575" s="17"/>
      <c r="D575" s="17"/>
      <c r="E575" s="38"/>
      <c r="F575" s="38"/>
      <c r="G575" s="38"/>
      <c r="H575" s="15"/>
      <c r="I575" s="45"/>
      <c r="J575" s="15"/>
    </row>
    <row r="576">
      <c r="A576" s="38" t="b">
        <v>0</v>
      </c>
      <c r="B576" s="38"/>
      <c r="C576" s="17"/>
      <c r="D576" s="17"/>
      <c r="E576" s="38"/>
      <c r="F576" s="38"/>
      <c r="G576" s="38"/>
      <c r="H576" s="15"/>
      <c r="I576" s="45"/>
      <c r="J576" s="15"/>
    </row>
    <row r="577">
      <c r="A577" s="38" t="b">
        <v>0</v>
      </c>
      <c r="B577" s="38"/>
      <c r="C577" s="17"/>
      <c r="D577" s="17"/>
      <c r="E577" s="38"/>
      <c r="F577" s="38"/>
      <c r="G577" s="38"/>
      <c r="H577" s="15"/>
      <c r="I577" s="45"/>
      <c r="J577" s="15"/>
    </row>
    <row r="578">
      <c r="A578" s="38" t="b">
        <v>0</v>
      </c>
      <c r="B578" s="38"/>
      <c r="C578" s="17"/>
      <c r="D578" s="17"/>
      <c r="E578" s="38"/>
      <c r="F578" s="38"/>
      <c r="G578" s="38"/>
      <c r="H578" s="15"/>
      <c r="I578" s="45"/>
      <c r="J578" s="15"/>
    </row>
    <row r="579">
      <c r="A579" s="38" t="b">
        <v>0</v>
      </c>
      <c r="B579" s="38"/>
      <c r="C579" s="17"/>
      <c r="D579" s="17"/>
      <c r="E579" s="38"/>
      <c r="F579" s="38"/>
      <c r="G579" s="38"/>
      <c r="H579" s="15"/>
      <c r="I579" s="45"/>
      <c r="J579" s="15"/>
    </row>
    <row r="580">
      <c r="A580" s="38" t="b">
        <v>0</v>
      </c>
      <c r="B580" s="38"/>
      <c r="C580" s="17"/>
      <c r="D580" s="17"/>
      <c r="E580" s="38"/>
      <c r="F580" s="38"/>
      <c r="G580" s="38"/>
      <c r="H580" s="15"/>
      <c r="I580" s="45"/>
      <c r="J580" s="15"/>
    </row>
    <row r="581">
      <c r="A581" s="38" t="b">
        <v>0</v>
      </c>
      <c r="B581" s="38"/>
      <c r="C581" s="17"/>
      <c r="D581" s="17"/>
      <c r="E581" s="38"/>
      <c r="F581" s="38"/>
      <c r="G581" s="38"/>
      <c r="H581" s="15"/>
      <c r="I581" s="45"/>
      <c r="J581" s="15"/>
    </row>
    <row r="582">
      <c r="A582" s="38" t="b">
        <v>0</v>
      </c>
      <c r="B582" s="38"/>
      <c r="C582" s="17"/>
      <c r="D582" s="17"/>
      <c r="E582" s="38"/>
      <c r="F582" s="38"/>
      <c r="G582" s="38"/>
      <c r="H582" s="15"/>
      <c r="I582" s="45"/>
      <c r="J582" s="15"/>
    </row>
    <row r="583">
      <c r="A583" s="38" t="b">
        <v>0</v>
      </c>
      <c r="B583" s="38"/>
      <c r="C583" s="17"/>
      <c r="D583" s="17"/>
      <c r="E583" s="38"/>
      <c r="F583" s="38"/>
      <c r="G583" s="38"/>
      <c r="H583" s="15"/>
      <c r="I583" s="45"/>
      <c r="J583" s="15"/>
    </row>
    <row r="584">
      <c r="A584" s="38" t="b">
        <v>0</v>
      </c>
      <c r="B584" s="38"/>
      <c r="C584" s="17"/>
      <c r="D584" s="17"/>
      <c r="E584" s="38"/>
      <c r="F584" s="38"/>
      <c r="G584" s="38"/>
      <c r="H584" s="15"/>
      <c r="I584" s="45"/>
      <c r="J584" s="15"/>
    </row>
    <row r="585">
      <c r="A585" s="38" t="b">
        <v>0</v>
      </c>
      <c r="B585" s="38"/>
      <c r="C585" s="17"/>
      <c r="D585" s="17"/>
      <c r="E585" s="38"/>
      <c r="F585" s="38"/>
      <c r="G585" s="38"/>
      <c r="H585" s="15"/>
      <c r="I585" s="45"/>
      <c r="J585" s="15"/>
    </row>
    <row r="586">
      <c r="A586" s="38" t="b">
        <v>0</v>
      </c>
      <c r="B586" s="38"/>
      <c r="C586" s="17"/>
      <c r="D586" s="17"/>
      <c r="E586" s="38"/>
      <c r="F586" s="38"/>
      <c r="G586" s="38"/>
      <c r="H586" s="15"/>
      <c r="I586" s="45"/>
      <c r="J586" s="15"/>
    </row>
    <row r="587">
      <c r="A587" s="38" t="b">
        <v>0</v>
      </c>
      <c r="B587" s="38"/>
      <c r="C587" s="17"/>
      <c r="D587" s="17"/>
      <c r="E587" s="38"/>
      <c r="F587" s="38"/>
      <c r="G587" s="38"/>
      <c r="H587" s="15"/>
      <c r="I587" s="45"/>
      <c r="J587" s="15"/>
    </row>
    <row r="588">
      <c r="A588" s="38" t="b">
        <v>0</v>
      </c>
      <c r="B588" s="38"/>
      <c r="C588" s="17"/>
      <c r="D588" s="17"/>
      <c r="E588" s="38"/>
      <c r="F588" s="38"/>
      <c r="G588" s="38"/>
      <c r="H588" s="15"/>
      <c r="I588" s="45"/>
      <c r="J588" s="15"/>
    </row>
    <row r="589">
      <c r="A589" s="38" t="b">
        <v>0</v>
      </c>
      <c r="B589" s="38"/>
      <c r="C589" s="17"/>
      <c r="D589" s="17"/>
      <c r="E589" s="38"/>
      <c r="F589" s="38"/>
      <c r="G589" s="38"/>
      <c r="H589" s="15"/>
      <c r="I589" s="45"/>
      <c r="J589" s="15"/>
    </row>
    <row r="590">
      <c r="A590" s="38" t="b">
        <v>0</v>
      </c>
      <c r="B590" s="38"/>
      <c r="C590" s="17"/>
      <c r="D590" s="17"/>
      <c r="E590" s="38"/>
      <c r="F590" s="38"/>
      <c r="G590" s="38"/>
      <c r="H590" s="15"/>
      <c r="I590" s="45"/>
      <c r="J590" s="15"/>
    </row>
    <row r="591">
      <c r="A591" s="38" t="b">
        <v>0</v>
      </c>
      <c r="B591" s="38"/>
      <c r="C591" s="17"/>
      <c r="D591" s="17"/>
      <c r="E591" s="38"/>
      <c r="F591" s="38"/>
      <c r="G591" s="38"/>
      <c r="H591" s="15"/>
      <c r="I591" s="45"/>
      <c r="J591" s="15"/>
    </row>
    <row r="592">
      <c r="A592" s="38" t="b">
        <v>0</v>
      </c>
      <c r="B592" s="38"/>
      <c r="C592" s="17"/>
      <c r="D592" s="17"/>
      <c r="E592" s="38"/>
      <c r="F592" s="38"/>
      <c r="G592" s="38"/>
      <c r="H592" s="15"/>
      <c r="I592" s="45"/>
      <c r="J592" s="15"/>
    </row>
    <row r="593">
      <c r="A593" s="38" t="b">
        <v>0</v>
      </c>
      <c r="B593" s="38"/>
      <c r="C593" s="17"/>
      <c r="D593" s="17"/>
      <c r="E593" s="38"/>
      <c r="F593" s="38"/>
      <c r="G593" s="38"/>
      <c r="H593" s="15"/>
      <c r="I593" s="45"/>
      <c r="J593" s="15"/>
    </row>
    <row r="594">
      <c r="A594" s="38" t="b">
        <v>0</v>
      </c>
      <c r="B594" s="38"/>
      <c r="C594" s="17"/>
      <c r="D594" s="17"/>
      <c r="E594" s="38"/>
      <c r="F594" s="38"/>
      <c r="G594" s="38"/>
      <c r="H594" s="15"/>
      <c r="I594" s="45"/>
      <c r="J594" s="15"/>
    </row>
    <row r="595">
      <c r="A595" s="38" t="b">
        <v>0</v>
      </c>
      <c r="B595" s="38"/>
      <c r="C595" s="17"/>
      <c r="D595" s="17"/>
      <c r="E595" s="38"/>
      <c r="F595" s="38"/>
      <c r="G595" s="38"/>
      <c r="H595" s="15"/>
      <c r="I595" s="45"/>
      <c r="J595" s="15"/>
    </row>
    <row r="596">
      <c r="A596" s="38" t="b">
        <v>0</v>
      </c>
      <c r="B596" s="38"/>
      <c r="C596" s="17"/>
      <c r="D596" s="17"/>
      <c r="E596" s="38"/>
      <c r="F596" s="38"/>
      <c r="G596" s="38"/>
      <c r="H596" s="15"/>
      <c r="I596" s="45"/>
      <c r="J596" s="15"/>
    </row>
    <row r="597">
      <c r="A597" s="38" t="b">
        <v>0</v>
      </c>
      <c r="B597" s="38"/>
      <c r="C597" s="17"/>
      <c r="D597" s="17"/>
      <c r="E597" s="38"/>
      <c r="F597" s="38"/>
      <c r="G597" s="38"/>
      <c r="H597" s="15"/>
      <c r="I597" s="45"/>
      <c r="J597" s="15"/>
    </row>
    <row r="598">
      <c r="A598" s="38" t="b">
        <v>0</v>
      </c>
      <c r="B598" s="38"/>
      <c r="C598" s="17"/>
      <c r="D598" s="17"/>
      <c r="E598" s="38"/>
      <c r="F598" s="38"/>
      <c r="G598" s="38"/>
      <c r="H598" s="15"/>
      <c r="I598" s="45"/>
      <c r="J598" s="15"/>
    </row>
    <row r="599">
      <c r="A599" s="38" t="b">
        <v>0</v>
      </c>
      <c r="B599" s="38"/>
      <c r="C599" s="17"/>
      <c r="D599" s="17"/>
      <c r="E599" s="38"/>
      <c r="F599" s="38"/>
      <c r="G599" s="38"/>
      <c r="H599" s="15"/>
      <c r="I599" s="45"/>
      <c r="J599" s="15"/>
    </row>
    <row r="600">
      <c r="A600" s="38" t="b">
        <v>0</v>
      </c>
      <c r="B600" s="38"/>
      <c r="C600" s="17"/>
      <c r="D600" s="17"/>
      <c r="E600" s="38"/>
      <c r="F600" s="38"/>
      <c r="G600" s="38"/>
      <c r="H600" s="15"/>
      <c r="I600" s="45"/>
      <c r="J600" s="15"/>
    </row>
    <row r="601">
      <c r="A601" s="38" t="b">
        <v>0</v>
      </c>
      <c r="B601" s="38"/>
      <c r="C601" s="17"/>
      <c r="D601" s="17"/>
      <c r="E601" s="38"/>
      <c r="F601" s="38"/>
      <c r="G601" s="38"/>
      <c r="H601" s="15"/>
      <c r="I601" s="45"/>
      <c r="J601" s="15"/>
    </row>
    <row r="602">
      <c r="A602" s="38" t="b">
        <v>0</v>
      </c>
      <c r="B602" s="38"/>
      <c r="C602" s="17"/>
      <c r="D602" s="17"/>
      <c r="E602" s="38"/>
      <c r="F602" s="38"/>
      <c r="G602" s="38"/>
      <c r="H602" s="15"/>
      <c r="I602" s="45"/>
      <c r="J602" s="15"/>
    </row>
    <row r="603">
      <c r="A603" s="38" t="b">
        <v>0</v>
      </c>
      <c r="B603" s="38"/>
      <c r="C603" s="17"/>
      <c r="D603" s="17"/>
      <c r="E603" s="38"/>
      <c r="F603" s="38"/>
      <c r="G603" s="38"/>
      <c r="H603" s="15"/>
      <c r="I603" s="45"/>
      <c r="J603" s="15"/>
    </row>
    <row r="604">
      <c r="A604" s="38" t="b">
        <v>0</v>
      </c>
      <c r="B604" s="38"/>
      <c r="C604" s="17"/>
      <c r="D604" s="17"/>
      <c r="E604" s="38"/>
      <c r="F604" s="38"/>
      <c r="G604" s="38"/>
      <c r="H604" s="15"/>
      <c r="I604" s="45"/>
      <c r="J604" s="15"/>
    </row>
    <row r="605">
      <c r="A605" s="38" t="b">
        <v>0</v>
      </c>
      <c r="B605" s="38"/>
      <c r="C605" s="17"/>
      <c r="D605" s="17"/>
      <c r="E605" s="38"/>
      <c r="F605" s="38"/>
      <c r="G605" s="38"/>
      <c r="H605" s="15"/>
      <c r="I605" s="45"/>
      <c r="J605" s="15"/>
    </row>
    <row r="606">
      <c r="A606" s="38" t="b">
        <v>0</v>
      </c>
      <c r="B606" s="38"/>
      <c r="C606" s="17"/>
      <c r="D606" s="17"/>
      <c r="E606" s="38"/>
      <c r="F606" s="38"/>
      <c r="G606" s="38"/>
      <c r="H606" s="15"/>
      <c r="I606" s="45"/>
      <c r="J606" s="15"/>
    </row>
    <row r="607">
      <c r="A607" s="38" t="b">
        <v>0</v>
      </c>
      <c r="B607" s="38"/>
      <c r="C607" s="17"/>
      <c r="D607" s="17"/>
      <c r="E607" s="38"/>
      <c r="F607" s="38"/>
      <c r="G607" s="38"/>
      <c r="H607" s="15"/>
      <c r="I607" s="45"/>
      <c r="J607" s="15"/>
    </row>
    <row r="608">
      <c r="A608" s="38" t="b">
        <v>0</v>
      </c>
      <c r="B608" s="38"/>
      <c r="C608" s="17"/>
      <c r="D608" s="17"/>
      <c r="E608" s="38"/>
      <c r="F608" s="38"/>
      <c r="G608" s="38"/>
      <c r="H608" s="15"/>
      <c r="I608" s="45"/>
      <c r="J608" s="15"/>
    </row>
    <row r="609">
      <c r="A609" s="38" t="b">
        <v>0</v>
      </c>
      <c r="B609" s="38"/>
      <c r="C609" s="17"/>
      <c r="D609" s="17"/>
      <c r="E609" s="38"/>
      <c r="F609" s="38"/>
      <c r="G609" s="38"/>
      <c r="H609" s="15"/>
      <c r="I609" s="45"/>
      <c r="J609" s="15"/>
    </row>
    <row r="610">
      <c r="A610" s="38" t="b">
        <v>0</v>
      </c>
      <c r="B610" s="38"/>
      <c r="C610" s="17"/>
      <c r="D610" s="17"/>
      <c r="E610" s="38"/>
      <c r="F610" s="38"/>
      <c r="G610" s="38"/>
      <c r="H610" s="15"/>
      <c r="I610" s="45"/>
      <c r="J610" s="15"/>
    </row>
    <row r="611">
      <c r="A611" s="38" t="b">
        <v>0</v>
      </c>
      <c r="B611" s="38"/>
      <c r="C611" s="17"/>
      <c r="D611" s="17"/>
      <c r="E611" s="38"/>
      <c r="F611" s="38"/>
      <c r="G611" s="38"/>
      <c r="H611" s="15"/>
      <c r="I611" s="45"/>
      <c r="J611" s="15"/>
    </row>
    <row r="612">
      <c r="A612" s="38" t="b">
        <v>0</v>
      </c>
      <c r="B612" s="38"/>
      <c r="C612" s="17"/>
      <c r="D612" s="17"/>
      <c r="E612" s="38"/>
      <c r="F612" s="38"/>
      <c r="G612" s="38"/>
      <c r="H612" s="15"/>
      <c r="I612" s="45"/>
      <c r="J612" s="15"/>
    </row>
    <row r="613">
      <c r="A613" s="38" t="b">
        <v>0</v>
      </c>
      <c r="B613" s="38"/>
      <c r="C613" s="17"/>
      <c r="D613" s="17"/>
      <c r="E613" s="38"/>
      <c r="F613" s="38"/>
      <c r="G613" s="38"/>
      <c r="H613" s="15"/>
      <c r="I613" s="45"/>
      <c r="J613" s="15"/>
    </row>
    <row r="614">
      <c r="A614" s="38" t="b">
        <v>0</v>
      </c>
      <c r="B614" s="38"/>
      <c r="C614" s="17"/>
      <c r="D614" s="17"/>
      <c r="E614" s="38"/>
      <c r="F614" s="38"/>
      <c r="G614" s="38"/>
      <c r="H614" s="15"/>
      <c r="I614" s="45"/>
      <c r="J614" s="15"/>
    </row>
    <row r="615">
      <c r="A615" s="38" t="b">
        <v>0</v>
      </c>
      <c r="B615" s="38"/>
      <c r="C615" s="17"/>
      <c r="D615" s="17"/>
      <c r="E615" s="38"/>
      <c r="F615" s="38"/>
      <c r="G615" s="38"/>
      <c r="H615" s="15"/>
      <c r="I615" s="45"/>
      <c r="J615" s="15"/>
    </row>
    <row r="616">
      <c r="A616" s="38" t="b">
        <v>0</v>
      </c>
      <c r="B616" s="38"/>
      <c r="C616" s="17"/>
      <c r="D616" s="17"/>
      <c r="E616" s="38"/>
      <c r="F616" s="38"/>
      <c r="G616" s="38"/>
      <c r="H616" s="15"/>
      <c r="I616" s="45"/>
      <c r="J616" s="15"/>
    </row>
    <row r="617">
      <c r="A617" s="38" t="b">
        <v>0</v>
      </c>
      <c r="B617" s="38"/>
      <c r="C617" s="17"/>
      <c r="D617" s="17"/>
      <c r="E617" s="38"/>
      <c r="F617" s="38"/>
      <c r="G617" s="38"/>
      <c r="H617" s="15"/>
      <c r="I617" s="45"/>
      <c r="J617" s="15"/>
    </row>
    <row r="618">
      <c r="A618" s="38" t="b">
        <v>0</v>
      </c>
      <c r="B618" s="38"/>
      <c r="C618" s="17"/>
      <c r="D618" s="17"/>
      <c r="E618" s="38"/>
      <c r="F618" s="38"/>
      <c r="G618" s="38"/>
      <c r="H618" s="15"/>
      <c r="I618" s="45"/>
      <c r="J618" s="15"/>
    </row>
    <row r="619">
      <c r="A619" s="38" t="b">
        <v>0</v>
      </c>
      <c r="B619" s="38"/>
      <c r="C619" s="17"/>
      <c r="D619" s="17"/>
      <c r="E619" s="38"/>
      <c r="F619" s="38"/>
      <c r="G619" s="38"/>
      <c r="H619" s="15"/>
      <c r="I619" s="45"/>
      <c r="J619" s="15"/>
    </row>
    <row r="620">
      <c r="A620" s="38" t="b">
        <v>0</v>
      </c>
      <c r="B620" s="38"/>
      <c r="C620" s="17"/>
      <c r="D620" s="17"/>
      <c r="E620" s="38"/>
      <c r="F620" s="38"/>
      <c r="G620" s="38"/>
      <c r="H620" s="15"/>
      <c r="I620" s="45"/>
      <c r="J620" s="15"/>
    </row>
    <row r="621">
      <c r="A621" s="38" t="b">
        <v>0</v>
      </c>
      <c r="B621" s="38"/>
      <c r="C621" s="17"/>
      <c r="D621" s="17"/>
      <c r="E621" s="38"/>
      <c r="F621" s="38"/>
      <c r="G621" s="38"/>
      <c r="H621" s="15"/>
      <c r="I621" s="45"/>
      <c r="J621" s="15"/>
    </row>
    <row r="622">
      <c r="A622" s="38" t="b">
        <v>0</v>
      </c>
      <c r="B622" s="38"/>
      <c r="C622" s="17"/>
      <c r="D622" s="17"/>
      <c r="E622" s="38"/>
      <c r="F622" s="38"/>
      <c r="G622" s="38"/>
      <c r="H622" s="15"/>
      <c r="I622" s="45"/>
      <c r="J622" s="15"/>
    </row>
    <row r="623">
      <c r="A623" s="38" t="b">
        <v>0</v>
      </c>
      <c r="B623" s="38"/>
      <c r="C623" s="17"/>
      <c r="D623" s="17"/>
      <c r="E623" s="38"/>
      <c r="F623" s="38"/>
      <c r="G623" s="38"/>
      <c r="H623" s="15"/>
      <c r="I623" s="45"/>
      <c r="J623" s="15"/>
    </row>
    <row r="624">
      <c r="A624" s="38" t="b">
        <v>0</v>
      </c>
      <c r="B624" s="38"/>
      <c r="C624" s="17"/>
      <c r="D624" s="17"/>
      <c r="E624" s="38"/>
      <c r="F624" s="38"/>
      <c r="G624" s="38"/>
      <c r="H624" s="15"/>
      <c r="I624" s="45"/>
      <c r="J624" s="15"/>
    </row>
    <row r="625">
      <c r="A625" s="38" t="b">
        <v>0</v>
      </c>
      <c r="B625" s="38"/>
      <c r="C625" s="17"/>
      <c r="D625" s="17"/>
      <c r="E625" s="38"/>
      <c r="F625" s="38"/>
      <c r="G625" s="38"/>
      <c r="H625" s="15"/>
      <c r="I625" s="45"/>
      <c r="J625" s="15"/>
    </row>
    <row r="626">
      <c r="A626" s="38" t="b">
        <v>0</v>
      </c>
      <c r="B626" s="38"/>
      <c r="C626" s="17"/>
      <c r="D626" s="17"/>
      <c r="E626" s="38"/>
      <c r="F626" s="38"/>
      <c r="G626" s="38"/>
      <c r="H626" s="15"/>
      <c r="I626" s="45"/>
      <c r="J626" s="15"/>
    </row>
    <row r="627">
      <c r="A627" s="38" t="b">
        <v>0</v>
      </c>
      <c r="B627" s="38"/>
      <c r="C627" s="17"/>
      <c r="D627" s="17"/>
      <c r="E627" s="38"/>
      <c r="F627" s="38"/>
      <c r="G627" s="38"/>
      <c r="H627" s="15"/>
      <c r="I627" s="45"/>
      <c r="J627" s="15"/>
    </row>
    <row r="628">
      <c r="A628" s="38" t="b">
        <v>0</v>
      </c>
      <c r="B628" s="38"/>
      <c r="C628" s="17"/>
      <c r="D628" s="17"/>
      <c r="E628" s="38"/>
      <c r="F628" s="38"/>
      <c r="G628" s="38"/>
      <c r="H628" s="15"/>
      <c r="I628" s="45"/>
      <c r="J628" s="15"/>
    </row>
    <row r="629">
      <c r="A629" s="38" t="b">
        <v>0</v>
      </c>
      <c r="B629" s="38"/>
      <c r="C629" s="17"/>
      <c r="D629" s="17"/>
      <c r="E629" s="38"/>
      <c r="F629" s="38"/>
      <c r="G629" s="38"/>
      <c r="H629" s="15"/>
      <c r="I629" s="45"/>
      <c r="J629" s="15"/>
    </row>
    <row r="630">
      <c r="A630" s="38" t="b">
        <v>0</v>
      </c>
      <c r="B630" s="38"/>
      <c r="C630" s="17"/>
      <c r="D630" s="17"/>
      <c r="E630" s="38"/>
      <c r="F630" s="38"/>
      <c r="G630" s="38"/>
      <c r="H630" s="15"/>
      <c r="I630" s="45"/>
      <c r="J630" s="15"/>
    </row>
    <row r="631">
      <c r="A631" s="38" t="b">
        <v>0</v>
      </c>
      <c r="B631" s="38"/>
      <c r="C631" s="17"/>
      <c r="D631" s="17"/>
      <c r="E631" s="38"/>
      <c r="F631" s="38"/>
      <c r="G631" s="38"/>
      <c r="H631" s="15"/>
      <c r="I631" s="45"/>
      <c r="J631" s="15"/>
    </row>
    <row r="632">
      <c r="A632" s="38" t="b">
        <v>0</v>
      </c>
      <c r="B632" s="38"/>
      <c r="C632" s="17"/>
      <c r="D632" s="17"/>
      <c r="E632" s="38"/>
      <c r="F632" s="38"/>
      <c r="G632" s="38"/>
      <c r="H632" s="15"/>
      <c r="I632" s="45"/>
      <c r="J632" s="15"/>
    </row>
    <row r="633">
      <c r="A633" s="38" t="b">
        <v>0</v>
      </c>
      <c r="B633" s="38"/>
      <c r="C633" s="17"/>
      <c r="D633" s="17"/>
      <c r="E633" s="38"/>
      <c r="F633" s="38"/>
      <c r="G633" s="38"/>
      <c r="H633" s="15"/>
      <c r="I633" s="45"/>
      <c r="J633" s="15"/>
    </row>
    <row r="634">
      <c r="A634" s="38" t="b">
        <v>0</v>
      </c>
      <c r="B634" s="38"/>
      <c r="C634" s="17"/>
      <c r="D634" s="17"/>
      <c r="E634" s="38"/>
      <c r="F634" s="38"/>
      <c r="G634" s="38"/>
      <c r="H634" s="15"/>
      <c r="I634" s="45"/>
      <c r="J634" s="15"/>
    </row>
    <row r="635">
      <c r="A635" s="38" t="b">
        <v>0</v>
      </c>
      <c r="B635" s="38"/>
      <c r="C635" s="17"/>
      <c r="D635" s="17"/>
      <c r="E635" s="38"/>
      <c r="F635" s="38"/>
      <c r="G635" s="38"/>
      <c r="H635" s="15"/>
      <c r="I635" s="45"/>
      <c r="J635" s="15"/>
    </row>
    <row r="636">
      <c r="A636" s="38" t="b">
        <v>0</v>
      </c>
      <c r="B636" s="38"/>
      <c r="C636" s="17"/>
      <c r="D636" s="17"/>
      <c r="E636" s="38"/>
      <c r="F636" s="38"/>
      <c r="G636" s="38"/>
      <c r="H636" s="15"/>
      <c r="I636" s="45"/>
      <c r="J636" s="15"/>
    </row>
    <row r="637">
      <c r="A637" s="38" t="b">
        <v>0</v>
      </c>
      <c r="B637" s="38"/>
      <c r="C637" s="17"/>
      <c r="D637" s="17"/>
      <c r="E637" s="38"/>
      <c r="F637" s="38"/>
      <c r="G637" s="38"/>
      <c r="H637" s="15"/>
      <c r="I637" s="45"/>
      <c r="J637" s="15"/>
    </row>
    <row r="638">
      <c r="A638" s="38" t="b">
        <v>0</v>
      </c>
      <c r="B638" s="38"/>
      <c r="C638" s="17"/>
      <c r="D638" s="17"/>
      <c r="E638" s="38"/>
      <c r="F638" s="38"/>
      <c r="G638" s="38"/>
      <c r="H638" s="15"/>
      <c r="I638" s="45"/>
      <c r="J638" s="15"/>
    </row>
    <row r="639">
      <c r="A639" s="38" t="b">
        <v>0</v>
      </c>
      <c r="B639" s="38"/>
      <c r="C639" s="17"/>
      <c r="D639" s="17"/>
      <c r="E639" s="38"/>
      <c r="F639" s="38"/>
      <c r="G639" s="38"/>
      <c r="H639" s="15"/>
      <c r="I639" s="45"/>
      <c r="J639" s="15"/>
    </row>
    <row r="640">
      <c r="A640" s="38" t="b">
        <v>0</v>
      </c>
      <c r="B640" s="38"/>
      <c r="C640" s="17"/>
      <c r="D640" s="17"/>
      <c r="E640" s="38"/>
      <c r="F640" s="38"/>
      <c r="G640" s="38"/>
      <c r="H640" s="15"/>
      <c r="I640" s="45"/>
      <c r="J640" s="15"/>
    </row>
    <row r="641">
      <c r="A641" s="38" t="b">
        <v>0</v>
      </c>
      <c r="B641" s="38"/>
      <c r="C641" s="17"/>
      <c r="D641" s="17"/>
      <c r="E641" s="38"/>
      <c r="F641" s="38"/>
      <c r="G641" s="38"/>
      <c r="H641" s="15"/>
      <c r="I641" s="45"/>
      <c r="J641" s="15"/>
    </row>
    <row r="642">
      <c r="A642" s="38" t="b">
        <v>0</v>
      </c>
      <c r="B642" s="38"/>
      <c r="C642" s="17"/>
      <c r="D642" s="17"/>
      <c r="E642" s="38"/>
      <c r="F642" s="38"/>
      <c r="G642" s="38"/>
      <c r="H642" s="15"/>
      <c r="I642" s="45"/>
      <c r="J642" s="15"/>
    </row>
    <row r="643">
      <c r="A643" s="38" t="b">
        <v>0</v>
      </c>
      <c r="B643" s="38"/>
      <c r="C643" s="17"/>
      <c r="D643" s="17"/>
      <c r="E643" s="38"/>
      <c r="F643" s="38"/>
      <c r="G643" s="38"/>
      <c r="H643" s="15"/>
      <c r="I643" s="45"/>
      <c r="J643" s="15"/>
    </row>
    <row r="644">
      <c r="A644" s="38" t="b">
        <v>0</v>
      </c>
      <c r="B644" s="38"/>
      <c r="C644" s="17"/>
      <c r="D644" s="17"/>
      <c r="E644" s="38"/>
      <c r="F644" s="38"/>
      <c r="G644" s="38"/>
      <c r="H644" s="15"/>
      <c r="I644" s="45"/>
      <c r="J644" s="15"/>
    </row>
    <row r="645">
      <c r="A645" s="38" t="b">
        <v>0</v>
      </c>
      <c r="B645" s="38"/>
      <c r="C645" s="17"/>
      <c r="D645" s="17"/>
      <c r="E645" s="38"/>
      <c r="F645" s="38"/>
      <c r="G645" s="38"/>
      <c r="H645" s="15"/>
      <c r="I645" s="45"/>
      <c r="J645" s="15"/>
    </row>
    <row r="646">
      <c r="A646" s="38" t="b">
        <v>0</v>
      </c>
      <c r="B646" s="38"/>
      <c r="C646" s="17"/>
      <c r="D646" s="17"/>
      <c r="E646" s="38"/>
      <c r="F646" s="38"/>
      <c r="G646" s="38"/>
      <c r="H646" s="15"/>
      <c r="I646" s="45"/>
      <c r="J646" s="15"/>
    </row>
    <row r="647">
      <c r="A647" s="38" t="b">
        <v>0</v>
      </c>
      <c r="B647" s="38"/>
      <c r="C647" s="17"/>
      <c r="D647" s="17"/>
      <c r="E647" s="38"/>
      <c r="F647" s="38"/>
      <c r="G647" s="38"/>
      <c r="H647" s="15"/>
      <c r="I647" s="45"/>
      <c r="J647" s="15"/>
    </row>
    <row r="648">
      <c r="A648" s="38" t="b">
        <v>0</v>
      </c>
      <c r="B648" s="38"/>
      <c r="C648" s="17"/>
      <c r="D648" s="17"/>
      <c r="E648" s="38"/>
      <c r="F648" s="38"/>
      <c r="G648" s="38"/>
      <c r="H648" s="15"/>
      <c r="I648" s="45"/>
      <c r="J648" s="15"/>
    </row>
    <row r="649">
      <c r="A649" s="38" t="b">
        <v>0</v>
      </c>
      <c r="B649" s="38"/>
      <c r="C649" s="17"/>
      <c r="D649" s="17"/>
      <c r="E649" s="38"/>
      <c r="F649" s="38"/>
      <c r="G649" s="38"/>
      <c r="H649" s="15"/>
      <c r="I649" s="45"/>
      <c r="J649" s="15"/>
    </row>
    <row r="650">
      <c r="A650" s="38" t="b">
        <v>0</v>
      </c>
      <c r="B650" s="38"/>
      <c r="C650" s="17"/>
      <c r="D650" s="17"/>
      <c r="E650" s="38"/>
      <c r="F650" s="38"/>
      <c r="G650" s="38"/>
      <c r="H650" s="15"/>
      <c r="I650" s="45"/>
      <c r="J650" s="15"/>
    </row>
    <row r="651">
      <c r="A651" s="38" t="b">
        <v>0</v>
      </c>
      <c r="B651" s="38"/>
      <c r="C651" s="17"/>
      <c r="D651" s="17"/>
      <c r="E651" s="38"/>
      <c r="F651" s="38"/>
      <c r="G651" s="38"/>
      <c r="H651" s="15"/>
      <c r="I651" s="45"/>
      <c r="J651" s="15"/>
    </row>
    <row r="652">
      <c r="A652" s="38" t="b">
        <v>0</v>
      </c>
      <c r="B652" s="38"/>
      <c r="C652" s="17"/>
      <c r="D652" s="17"/>
      <c r="E652" s="38"/>
      <c r="F652" s="38"/>
      <c r="G652" s="38"/>
      <c r="H652" s="15"/>
      <c r="I652" s="45"/>
      <c r="J652" s="15"/>
    </row>
    <row r="653">
      <c r="A653" s="38" t="b">
        <v>0</v>
      </c>
      <c r="B653" s="38"/>
      <c r="C653" s="17"/>
      <c r="D653" s="17"/>
      <c r="E653" s="38"/>
      <c r="F653" s="38"/>
      <c r="G653" s="38"/>
      <c r="H653" s="15"/>
      <c r="I653" s="45"/>
      <c r="J653" s="15"/>
    </row>
    <row r="654">
      <c r="A654" s="38" t="b">
        <v>0</v>
      </c>
      <c r="B654" s="38"/>
      <c r="C654" s="17"/>
      <c r="D654" s="17"/>
      <c r="E654" s="38"/>
      <c r="F654" s="38"/>
      <c r="G654" s="38"/>
      <c r="H654" s="15"/>
      <c r="I654" s="45"/>
      <c r="J654" s="15"/>
    </row>
    <row r="655">
      <c r="A655" s="38" t="b">
        <v>0</v>
      </c>
      <c r="B655" s="38"/>
      <c r="C655" s="17"/>
      <c r="D655" s="17"/>
      <c r="E655" s="38"/>
      <c r="F655" s="38"/>
      <c r="G655" s="38"/>
      <c r="H655" s="15"/>
      <c r="I655" s="45"/>
      <c r="J655" s="15"/>
    </row>
    <row r="656">
      <c r="A656" s="38" t="b">
        <v>0</v>
      </c>
      <c r="B656" s="38"/>
      <c r="C656" s="17"/>
      <c r="D656" s="17"/>
      <c r="E656" s="38"/>
      <c r="F656" s="38"/>
      <c r="G656" s="38"/>
      <c r="H656" s="15"/>
      <c r="I656" s="45"/>
      <c r="J656" s="15"/>
    </row>
    <row r="657">
      <c r="A657" s="38" t="b">
        <v>0</v>
      </c>
      <c r="B657" s="38"/>
      <c r="C657" s="17"/>
      <c r="D657" s="17"/>
      <c r="E657" s="38"/>
      <c r="F657" s="38"/>
      <c r="G657" s="38"/>
      <c r="H657" s="15"/>
      <c r="I657" s="45"/>
      <c r="J657" s="15"/>
    </row>
    <row r="658">
      <c r="A658" s="38" t="b">
        <v>0</v>
      </c>
      <c r="B658" s="38"/>
      <c r="C658" s="17"/>
      <c r="D658" s="17"/>
      <c r="E658" s="38"/>
      <c r="F658" s="38"/>
      <c r="G658" s="38"/>
      <c r="H658" s="15"/>
      <c r="I658" s="45"/>
      <c r="J658" s="15"/>
    </row>
    <row r="659">
      <c r="A659" s="38" t="b">
        <v>0</v>
      </c>
      <c r="B659" s="38"/>
      <c r="C659" s="17"/>
      <c r="D659" s="17"/>
      <c r="E659" s="38"/>
      <c r="F659" s="38"/>
      <c r="G659" s="38"/>
      <c r="H659" s="15"/>
      <c r="I659" s="45"/>
      <c r="J659" s="15"/>
    </row>
    <row r="660">
      <c r="A660" s="38" t="b">
        <v>0</v>
      </c>
      <c r="B660" s="38"/>
      <c r="C660" s="17"/>
      <c r="D660" s="17"/>
      <c r="E660" s="38"/>
      <c r="F660" s="38"/>
      <c r="G660" s="38"/>
      <c r="H660" s="15"/>
      <c r="I660" s="45"/>
      <c r="J660" s="15"/>
    </row>
    <row r="661">
      <c r="A661" s="38" t="b">
        <v>0</v>
      </c>
      <c r="B661" s="38"/>
      <c r="C661" s="17"/>
      <c r="D661" s="17"/>
      <c r="E661" s="38"/>
      <c r="F661" s="38"/>
      <c r="G661" s="38"/>
      <c r="H661" s="15"/>
      <c r="I661" s="45"/>
      <c r="J661" s="15"/>
    </row>
    <row r="662">
      <c r="A662" s="38" t="b">
        <v>0</v>
      </c>
      <c r="B662" s="38"/>
      <c r="C662" s="17"/>
      <c r="D662" s="17"/>
      <c r="E662" s="38"/>
      <c r="F662" s="38"/>
      <c r="G662" s="38"/>
      <c r="H662" s="15"/>
      <c r="I662" s="45"/>
      <c r="J662" s="15"/>
    </row>
    <row r="663">
      <c r="A663" s="38" t="b">
        <v>0</v>
      </c>
      <c r="B663" s="38"/>
      <c r="C663" s="17"/>
      <c r="D663" s="17"/>
      <c r="E663" s="38"/>
      <c r="F663" s="38"/>
      <c r="G663" s="38"/>
      <c r="H663" s="15"/>
      <c r="I663" s="45"/>
      <c r="J663" s="15"/>
    </row>
    <row r="664">
      <c r="A664" s="38" t="b">
        <v>0</v>
      </c>
      <c r="B664" s="38"/>
      <c r="C664" s="17"/>
      <c r="D664" s="17"/>
      <c r="E664" s="38"/>
      <c r="F664" s="38"/>
      <c r="G664" s="38"/>
      <c r="H664" s="15"/>
      <c r="I664" s="45"/>
      <c r="J664" s="15"/>
    </row>
    <row r="665">
      <c r="A665" s="38" t="b">
        <v>0</v>
      </c>
      <c r="B665" s="38"/>
      <c r="C665" s="17"/>
      <c r="D665" s="17"/>
      <c r="E665" s="38"/>
      <c r="F665" s="38"/>
      <c r="G665" s="38"/>
      <c r="H665" s="15"/>
      <c r="I665" s="45"/>
      <c r="J665" s="15"/>
    </row>
    <row r="666">
      <c r="A666" s="38" t="b">
        <v>0</v>
      </c>
      <c r="B666" s="38"/>
      <c r="C666" s="17"/>
      <c r="D666" s="17"/>
      <c r="E666" s="38"/>
      <c r="F666" s="38"/>
      <c r="G666" s="38"/>
      <c r="H666" s="15"/>
      <c r="I666" s="45"/>
      <c r="J666" s="15"/>
    </row>
    <row r="667">
      <c r="A667" s="38" t="b">
        <v>0</v>
      </c>
      <c r="B667" s="38"/>
      <c r="C667" s="17"/>
      <c r="D667" s="17"/>
      <c r="E667" s="38"/>
      <c r="F667" s="38"/>
      <c r="G667" s="38"/>
      <c r="H667" s="15"/>
      <c r="I667" s="45"/>
      <c r="J667" s="15"/>
    </row>
    <row r="668">
      <c r="A668" s="38" t="b">
        <v>0</v>
      </c>
      <c r="B668" s="38"/>
      <c r="C668" s="17"/>
      <c r="D668" s="17"/>
      <c r="E668" s="38"/>
      <c r="F668" s="38"/>
      <c r="G668" s="38"/>
      <c r="H668" s="15"/>
      <c r="I668" s="45"/>
      <c r="J668" s="15"/>
    </row>
    <row r="669">
      <c r="A669" s="38" t="b">
        <v>0</v>
      </c>
      <c r="B669" s="38"/>
      <c r="C669" s="17"/>
      <c r="D669" s="17"/>
      <c r="E669" s="38"/>
      <c r="F669" s="38"/>
      <c r="G669" s="38"/>
      <c r="H669" s="15"/>
      <c r="I669" s="45"/>
      <c r="J669" s="15"/>
    </row>
    <row r="670">
      <c r="A670" s="38" t="b">
        <v>0</v>
      </c>
      <c r="B670" s="38"/>
      <c r="C670" s="17"/>
      <c r="D670" s="17"/>
      <c r="E670" s="38"/>
      <c r="F670" s="38"/>
      <c r="G670" s="38"/>
      <c r="H670" s="15"/>
      <c r="I670" s="45"/>
      <c r="J670" s="15"/>
    </row>
    <row r="671">
      <c r="A671" s="38" t="b">
        <v>0</v>
      </c>
      <c r="B671" s="38"/>
      <c r="C671" s="17"/>
      <c r="D671" s="17"/>
      <c r="E671" s="38"/>
      <c r="F671" s="38"/>
      <c r="G671" s="38"/>
      <c r="H671" s="15"/>
      <c r="I671" s="45"/>
      <c r="J671" s="15"/>
    </row>
    <row r="672">
      <c r="A672" s="38" t="b">
        <v>0</v>
      </c>
      <c r="B672" s="38"/>
      <c r="C672" s="17"/>
      <c r="D672" s="17"/>
      <c r="E672" s="38"/>
      <c r="F672" s="38"/>
      <c r="G672" s="38"/>
      <c r="H672" s="15"/>
      <c r="I672" s="45"/>
      <c r="J672" s="15"/>
    </row>
    <row r="673">
      <c r="A673" s="38" t="b">
        <v>0</v>
      </c>
      <c r="B673" s="38"/>
      <c r="C673" s="17"/>
      <c r="D673" s="17"/>
      <c r="E673" s="38"/>
      <c r="F673" s="38"/>
      <c r="G673" s="38"/>
      <c r="H673" s="15"/>
      <c r="I673" s="45"/>
      <c r="J673" s="15"/>
    </row>
    <row r="674">
      <c r="A674" s="38" t="b">
        <v>0</v>
      </c>
      <c r="B674" s="38"/>
      <c r="C674" s="17"/>
      <c r="D674" s="17"/>
      <c r="E674" s="38"/>
      <c r="F674" s="38"/>
      <c r="G674" s="38"/>
      <c r="H674" s="15"/>
      <c r="I674" s="45"/>
      <c r="J674" s="15"/>
    </row>
    <row r="675">
      <c r="A675" s="38" t="b">
        <v>0</v>
      </c>
      <c r="B675" s="38"/>
      <c r="C675" s="17"/>
      <c r="D675" s="17"/>
      <c r="E675" s="38"/>
      <c r="F675" s="38"/>
      <c r="G675" s="38"/>
      <c r="H675" s="15"/>
      <c r="I675" s="45"/>
      <c r="J675" s="15"/>
    </row>
    <row r="676">
      <c r="A676" s="38" t="b">
        <v>0</v>
      </c>
      <c r="B676" s="38"/>
      <c r="C676" s="17"/>
      <c r="D676" s="17"/>
      <c r="E676" s="38"/>
      <c r="F676" s="38"/>
      <c r="G676" s="38"/>
      <c r="H676" s="15"/>
      <c r="I676" s="45"/>
      <c r="J676" s="15"/>
    </row>
    <row r="677">
      <c r="A677" s="38" t="b">
        <v>0</v>
      </c>
      <c r="B677" s="38"/>
      <c r="C677" s="17"/>
      <c r="D677" s="17"/>
      <c r="E677" s="38"/>
      <c r="F677" s="38"/>
      <c r="G677" s="38"/>
      <c r="H677" s="15"/>
      <c r="I677" s="45"/>
      <c r="J677" s="15"/>
    </row>
    <row r="678">
      <c r="A678" s="38" t="b">
        <v>0</v>
      </c>
      <c r="B678" s="38"/>
      <c r="C678" s="17"/>
      <c r="D678" s="17"/>
      <c r="E678" s="38"/>
      <c r="F678" s="38"/>
      <c r="G678" s="38"/>
      <c r="H678" s="15"/>
      <c r="I678" s="45"/>
      <c r="J678" s="15"/>
    </row>
    <row r="679">
      <c r="A679" s="38" t="b">
        <v>0</v>
      </c>
      <c r="B679" s="38"/>
      <c r="C679" s="17"/>
      <c r="D679" s="17"/>
      <c r="E679" s="38"/>
      <c r="F679" s="38"/>
      <c r="G679" s="38"/>
      <c r="H679" s="15"/>
      <c r="I679" s="45"/>
      <c r="J679" s="15"/>
    </row>
    <row r="680">
      <c r="A680" s="38" t="b">
        <v>0</v>
      </c>
      <c r="B680" s="38"/>
      <c r="C680" s="17"/>
      <c r="D680" s="17"/>
      <c r="E680" s="38"/>
      <c r="F680" s="38"/>
      <c r="G680" s="38"/>
      <c r="H680" s="15"/>
      <c r="I680" s="45"/>
      <c r="J680" s="15"/>
    </row>
    <row r="681">
      <c r="A681" s="38" t="b">
        <v>0</v>
      </c>
      <c r="B681" s="38"/>
      <c r="C681" s="17"/>
      <c r="D681" s="17"/>
      <c r="E681" s="38"/>
      <c r="F681" s="38"/>
      <c r="G681" s="38"/>
      <c r="H681" s="15"/>
      <c r="I681" s="45"/>
      <c r="J681" s="15"/>
    </row>
    <row r="682">
      <c r="A682" s="38" t="b">
        <v>0</v>
      </c>
      <c r="B682" s="38"/>
      <c r="C682" s="17"/>
      <c r="D682" s="17"/>
      <c r="E682" s="38"/>
      <c r="F682" s="38"/>
      <c r="G682" s="38"/>
      <c r="H682" s="15"/>
      <c r="I682" s="45"/>
      <c r="J682" s="15"/>
    </row>
    <row r="683">
      <c r="A683" s="38" t="b">
        <v>0</v>
      </c>
      <c r="B683" s="38"/>
      <c r="C683" s="17"/>
      <c r="D683" s="17"/>
      <c r="E683" s="38"/>
      <c r="F683" s="38"/>
      <c r="G683" s="38"/>
      <c r="H683" s="15"/>
      <c r="I683" s="45"/>
      <c r="J683" s="15"/>
    </row>
    <row r="684">
      <c r="A684" s="38" t="b">
        <v>0</v>
      </c>
      <c r="B684" s="38"/>
      <c r="C684" s="17"/>
      <c r="D684" s="17"/>
      <c r="E684" s="38"/>
      <c r="F684" s="38"/>
      <c r="G684" s="38"/>
      <c r="H684" s="15"/>
      <c r="I684" s="45"/>
      <c r="J684" s="15"/>
    </row>
    <row r="685">
      <c r="A685" s="38" t="b">
        <v>0</v>
      </c>
      <c r="B685" s="38"/>
      <c r="C685" s="17"/>
      <c r="D685" s="17"/>
      <c r="E685" s="38"/>
      <c r="F685" s="38"/>
      <c r="G685" s="38"/>
      <c r="H685" s="15"/>
      <c r="I685" s="45"/>
      <c r="J685" s="15"/>
    </row>
    <row r="686">
      <c r="A686" s="38" t="b">
        <v>0</v>
      </c>
      <c r="B686" s="38"/>
      <c r="C686" s="17"/>
      <c r="D686" s="17"/>
      <c r="E686" s="38"/>
      <c r="F686" s="38"/>
      <c r="G686" s="38"/>
      <c r="H686" s="15"/>
      <c r="I686" s="45"/>
      <c r="J686" s="15"/>
    </row>
    <row r="687">
      <c r="A687" s="38" t="b">
        <v>0</v>
      </c>
      <c r="B687" s="38"/>
      <c r="C687" s="17"/>
      <c r="D687" s="17"/>
      <c r="E687" s="38"/>
      <c r="F687" s="38"/>
      <c r="G687" s="38"/>
      <c r="H687" s="15"/>
      <c r="I687" s="45"/>
      <c r="J687" s="15"/>
    </row>
    <row r="688">
      <c r="A688" s="38" t="b">
        <v>0</v>
      </c>
      <c r="B688" s="38"/>
      <c r="C688" s="17"/>
      <c r="D688" s="17"/>
      <c r="E688" s="38"/>
      <c r="F688" s="38"/>
      <c r="G688" s="38"/>
      <c r="H688" s="15"/>
      <c r="I688" s="45"/>
      <c r="J688" s="15"/>
    </row>
    <row r="689">
      <c r="A689" s="38" t="b">
        <v>0</v>
      </c>
      <c r="B689" s="38"/>
      <c r="C689" s="17"/>
      <c r="D689" s="17"/>
      <c r="E689" s="38"/>
      <c r="F689" s="38"/>
      <c r="G689" s="38"/>
      <c r="H689" s="15"/>
      <c r="I689" s="45"/>
      <c r="J689" s="15"/>
    </row>
    <row r="690">
      <c r="A690" s="38" t="b">
        <v>0</v>
      </c>
      <c r="B690" s="38"/>
      <c r="C690" s="17"/>
      <c r="D690" s="17"/>
      <c r="E690" s="38"/>
      <c r="F690" s="38"/>
      <c r="G690" s="38"/>
      <c r="H690" s="15"/>
      <c r="I690" s="45"/>
      <c r="J690" s="15"/>
    </row>
    <row r="691">
      <c r="A691" s="38" t="b">
        <v>0</v>
      </c>
      <c r="B691" s="38"/>
      <c r="C691" s="17"/>
      <c r="D691" s="17"/>
      <c r="E691" s="38"/>
      <c r="F691" s="38"/>
      <c r="G691" s="38"/>
      <c r="H691" s="15"/>
      <c r="I691" s="45"/>
      <c r="J691" s="15"/>
    </row>
    <row r="692">
      <c r="A692" s="38" t="b">
        <v>0</v>
      </c>
      <c r="B692" s="38"/>
      <c r="C692" s="17"/>
      <c r="D692" s="17"/>
      <c r="E692" s="38"/>
      <c r="F692" s="38"/>
      <c r="G692" s="38"/>
      <c r="H692" s="15"/>
      <c r="I692" s="45"/>
      <c r="J692" s="15"/>
    </row>
    <row r="693">
      <c r="A693" s="38" t="b">
        <v>0</v>
      </c>
      <c r="B693" s="38"/>
      <c r="C693" s="17"/>
      <c r="D693" s="17"/>
      <c r="E693" s="38"/>
      <c r="F693" s="38"/>
      <c r="G693" s="38"/>
      <c r="H693" s="15"/>
      <c r="I693" s="45"/>
      <c r="J693" s="15"/>
    </row>
    <row r="694">
      <c r="A694" s="38" t="b">
        <v>0</v>
      </c>
      <c r="B694" s="38"/>
      <c r="C694" s="17"/>
      <c r="D694" s="17"/>
      <c r="E694" s="38"/>
      <c r="F694" s="38"/>
      <c r="G694" s="38"/>
      <c r="H694" s="15"/>
      <c r="I694" s="45"/>
      <c r="J694" s="15"/>
    </row>
    <row r="695">
      <c r="A695" s="38" t="b">
        <v>0</v>
      </c>
      <c r="B695" s="38"/>
      <c r="C695" s="17"/>
      <c r="D695" s="17"/>
      <c r="E695" s="38"/>
      <c r="F695" s="38"/>
      <c r="G695" s="38"/>
      <c r="H695" s="15"/>
      <c r="I695" s="45"/>
      <c r="J695" s="15"/>
    </row>
    <row r="696">
      <c r="A696" s="38" t="b">
        <v>0</v>
      </c>
      <c r="B696" s="38"/>
      <c r="C696" s="17"/>
      <c r="D696" s="17"/>
      <c r="E696" s="38"/>
      <c r="F696" s="38"/>
      <c r="G696" s="38"/>
      <c r="H696" s="15"/>
      <c r="I696" s="45"/>
      <c r="J696" s="15"/>
    </row>
    <row r="697">
      <c r="A697" s="38" t="b">
        <v>0</v>
      </c>
      <c r="B697" s="38"/>
      <c r="C697" s="17"/>
      <c r="D697" s="17"/>
      <c r="E697" s="38"/>
      <c r="F697" s="38"/>
      <c r="G697" s="38"/>
      <c r="H697" s="15"/>
      <c r="I697" s="45"/>
      <c r="J697" s="15"/>
    </row>
    <row r="698">
      <c r="A698" s="38" t="b">
        <v>0</v>
      </c>
      <c r="B698" s="38"/>
      <c r="C698" s="17"/>
      <c r="D698" s="17"/>
      <c r="E698" s="38"/>
      <c r="F698" s="38"/>
      <c r="G698" s="38"/>
      <c r="H698" s="15"/>
      <c r="I698" s="45"/>
      <c r="J698" s="15"/>
    </row>
    <row r="699">
      <c r="A699" s="38" t="b">
        <v>0</v>
      </c>
      <c r="B699" s="38"/>
      <c r="C699" s="17"/>
      <c r="D699" s="17"/>
      <c r="E699" s="38"/>
      <c r="F699" s="38"/>
      <c r="G699" s="38"/>
      <c r="H699" s="15"/>
      <c r="I699" s="45"/>
      <c r="J699" s="15"/>
    </row>
    <row r="700">
      <c r="A700" s="38" t="b">
        <v>0</v>
      </c>
      <c r="B700" s="38"/>
      <c r="C700" s="17"/>
      <c r="D700" s="17"/>
      <c r="E700" s="38"/>
      <c r="F700" s="38"/>
      <c r="G700" s="38"/>
      <c r="H700" s="15"/>
      <c r="I700" s="45"/>
      <c r="J700" s="15"/>
    </row>
    <row r="701">
      <c r="A701" s="38" t="b">
        <v>0</v>
      </c>
      <c r="B701" s="38"/>
      <c r="C701" s="17"/>
      <c r="D701" s="17"/>
      <c r="E701" s="38"/>
      <c r="F701" s="38"/>
      <c r="G701" s="38"/>
      <c r="H701" s="15"/>
      <c r="I701" s="45"/>
      <c r="J701" s="15"/>
    </row>
    <row r="702">
      <c r="A702" s="38" t="b">
        <v>0</v>
      </c>
      <c r="B702" s="38"/>
      <c r="C702" s="17"/>
      <c r="D702" s="17"/>
      <c r="E702" s="38"/>
      <c r="F702" s="38"/>
      <c r="G702" s="38"/>
      <c r="H702" s="15"/>
      <c r="I702" s="45"/>
      <c r="J702" s="15"/>
    </row>
    <row r="703">
      <c r="A703" s="38" t="b">
        <v>0</v>
      </c>
      <c r="B703" s="38"/>
      <c r="C703" s="17"/>
      <c r="D703" s="17"/>
      <c r="E703" s="38"/>
      <c r="F703" s="38"/>
      <c r="G703" s="38"/>
      <c r="H703" s="15"/>
      <c r="I703" s="45"/>
      <c r="J703" s="15"/>
    </row>
    <row r="704">
      <c r="A704" s="38" t="b">
        <v>0</v>
      </c>
      <c r="B704" s="38"/>
      <c r="C704" s="17"/>
      <c r="D704" s="17"/>
      <c r="E704" s="38"/>
      <c r="F704" s="38"/>
      <c r="G704" s="38"/>
      <c r="H704" s="15"/>
      <c r="I704" s="45"/>
      <c r="J704" s="15"/>
    </row>
    <row r="705">
      <c r="A705" s="38" t="b">
        <v>0</v>
      </c>
      <c r="B705" s="38"/>
      <c r="C705" s="17"/>
      <c r="D705" s="17"/>
      <c r="E705" s="38"/>
      <c r="F705" s="38"/>
      <c r="G705" s="38"/>
      <c r="H705" s="15"/>
      <c r="I705" s="45"/>
      <c r="J705" s="15"/>
    </row>
    <row r="706">
      <c r="A706" s="38" t="b">
        <v>0</v>
      </c>
      <c r="B706" s="38"/>
      <c r="C706" s="17"/>
      <c r="D706" s="17"/>
      <c r="E706" s="38"/>
      <c r="F706" s="38"/>
      <c r="G706" s="38"/>
      <c r="H706" s="15"/>
      <c r="I706" s="45"/>
      <c r="J706" s="15"/>
    </row>
    <row r="707">
      <c r="A707" s="38" t="b">
        <v>0</v>
      </c>
      <c r="B707" s="38"/>
      <c r="C707" s="17"/>
      <c r="D707" s="17"/>
      <c r="E707" s="38"/>
      <c r="F707" s="38"/>
      <c r="G707" s="38"/>
      <c r="H707" s="15"/>
      <c r="I707" s="45"/>
      <c r="J707" s="15"/>
    </row>
    <row r="708">
      <c r="A708" s="38" t="b">
        <v>0</v>
      </c>
      <c r="B708" s="38"/>
      <c r="C708" s="17"/>
      <c r="D708" s="17"/>
      <c r="E708" s="38"/>
      <c r="F708" s="38"/>
      <c r="G708" s="38"/>
      <c r="H708" s="15"/>
      <c r="I708" s="45"/>
      <c r="J708" s="15"/>
    </row>
    <row r="709">
      <c r="A709" s="38" t="b">
        <v>0</v>
      </c>
      <c r="B709" s="38"/>
      <c r="C709" s="17"/>
      <c r="D709" s="17"/>
      <c r="E709" s="38"/>
      <c r="F709" s="38"/>
      <c r="G709" s="38"/>
      <c r="H709" s="15"/>
      <c r="I709" s="45"/>
      <c r="J709" s="15"/>
    </row>
    <row r="710">
      <c r="A710" s="38" t="b">
        <v>0</v>
      </c>
      <c r="B710" s="38"/>
      <c r="C710" s="17"/>
      <c r="D710" s="17"/>
      <c r="E710" s="38"/>
      <c r="F710" s="38"/>
      <c r="G710" s="38"/>
      <c r="H710" s="15"/>
      <c r="I710" s="45"/>
      <c r="J710" s="15"/>
    </row>
    <row r="711">
      <c r="A711" s="38" t="b">
        <v>0</v>
      </c>
      <c r="B711" s="38"/>
      <c r="C711" s="17"/>
      <c r="D711" s="17"/>
      <c r="E711" s="38"/>
      <c r="F711" s="38"/>
      <c r="G711" s="38"/>
      <c r="H711" s="15"/>
      <c r="I711" s="45"/>
      <c r="J711" s="15"/>
    </row>
    <row r="712">
      <c r="A712" s="38" t="b">
        <v>0</v>
      </c>
      <c r="B712" s="38"/>
      <c r="C712" s="17"/>
      <c r="D712" s="17"/>
      <c r="E712" s="38"/>
      <c r="F712" s="38"/>
      <c r="G712" s="38"/>
      <c r="H712" s="15"/>
      <c r="I712" s="45"/>
      <c r="J712" s="15"/>
    </row>
    <row r="713">
      <c r="A713" s="38" t="b">
        <v>0</v>
      </c>
      <c r="B713" s="38"/>
      <c r="C713" s="17"/>
      <c r="D713" s="17"/>
      <c r="E713" s="38"/>
      <c r="F713" s="38"/>
      <c r="G713" s="38"/>
      <c r="H713" s="15"/>
      <c r="I713" s="45"/>
      <c r="J713" s="15"/>
    </row>
    <row r="714">
      <c r="A714" s="38" t="b">
        <v>0</v>
      </c>
      <c r="B714" s="38"/>
      <c r="C714" s="17"/>
      <c r="D714" s="17"/>
      <c r="E714" s="38"/>
      <c r="F714" s="38"/>
      <c r="G714" s="38"/>
      <c r="H714" s="15"/>
      <c r="I714" s="45"/>
      <c r="J714" s="15"/>
    </row>
    <row r="715">
      <c r="A715" s="38" t="b">
        <v>0</v>
      </c>
      <c r="B715" s="38"/>
      <c r="C715" s="17"/>
      <c r="D715" s="17"/>
      <c r="E715" s="38"/>
      <c r="F715" s="38"/>
      <c r="G715" s="38"/>
      <c r="H715" s="15"/>
      <c r="I715" s="45"/>
      <c r="J715" s="15"/>
    </row>
    <row r="716">
      <c r="A716" s="38" t="b">
        <v>0</v>
      </c>
      <c r="B716" s="38"/>
      <c r="C716" s="17"/>
      <c r="D716" s="17"/>
      <c r="E716" s="38"/>
      <c r="F716" s="38"/>
      <c r="G716" s="38"/>
      <c r="H716" s="15"/>
      <c r="I716" s="45"/>
      <c r="J716" s="15"/>
    </row>
    <row r="717">
      <c r="A717" s="38" t="b">
        <v>0</v>
      </c>
      <c r="B717" s="38"/>
      <c r="C717" s="17"/>
      <c r="D717" s="17"/>
      <c r="E717" s="38"/>
      <c r="F717" s="38"/>
      <c r="G717" s="38"/>
      <c r="H717" s="15"/>
      <c r="I717" s="45"/>
      <c r="J717" s="15"/>
    </row>
    <row r="718">
      <c r="A718" s="38" t="b">
        <v>0</v>
      </c>
      <c r="B718" s="38"/>
      <c r="C718" s="17"/>
      <c r="D718" s="17"/>
      <c r="E718" s="38"/>
      <c r="F718" s="38"/>
      <c r="G718" s="38"/>
      <c r="H718" s="15"/>
      <c r="I718" s="45"/>
      <c r="J718" s="15"/>
    </row>
    <row r="719">
      <c r="A719" s="38" t="b">
        <v>0</v>
      </c>
      <c r="B719" s="38"/>
      <c r="C719" s="17"/>
      <c r="D719" s="17"/>
      <c r="E719" s="38"/>
      <c r="F719" s="38"/>
      <c r="G719" s="38"/>
      <c r="H719" s="15"/>
      <c r="I719" s="45"/>
      <c r="J719" s="15"/>
    </row>
    <row r="720">
      <c r="A720" s="38" t="b">
        <v>0</v>
      </c>
      <c r="B720" s="38"/>
      <c r="C720" s="17"/>
      <c r="D720" s="17"/>
      <c r="E720" s="38"/>
      <c r="F720" s="38"/>
      <c r="G720" s="38"/>
      <c r="H720" s="15"/>
      <c r="I720" s="45"/>
      <c r="J720" s="15"/>
    </row>
    <row r="721">
      <c r="A721" s="38" t="b">
        <v>0</v>
      </c>
      <c r="B721" s="38"/>
      <c r="C721" s="17"/>
      <c r="D721" s="17"/>
      <c r="E721" s="38"/>
      <c r="F721" s="38"/>
      <c r="G721" s="38"/>
      <c r="H721" s="15"/>
      <c r="I721" s="45"/>
      <c r="J721" s="15"/>
    </row>
    <row r="722">
      <c r="A722" s="38" t="b">
        <v>0</v>
      </c>
      <c r="B722" s="38"/>
      <c r="C722" s="17"/>
      <c r="D722" s="17"/>
      <c r="E722" s="38"/>
      <c r="F722" s="38"/>
      <c r="G722" s="38"/>
      <c r="H722" s="15"/>
      <c r="I722" s="45"/>
      <c r="J722" s="15"/>
    </row>
    <row r="723">
      <c r="A723" s="38" t="b">
        <v>0</v>
      </c>
      <c r="B723" s="38"/>
      <c r="C723" s="17"/>
      <c r="D723" s="17"/>
      <c r="E723" s="38"/>
      <c r="F723" s="38"/>
      <c r="G723" s="38"/>
      <c r="H723" s="15"/>
      <c r="I723" s="45"/>
      <c r="J723" s="15"/>
    </row>
    <row r="724">
      <c r="A724" s="38" t="b">
        <v>0</v>
      </c>
      <c r="B724" s="38"/>
      <c r="C724" s="17"/>
      <c r="D724" s="17"/>
      <c r="E724" s="38"/>
      <c r="F724" s="38"/>
      <c r="G724" s="38"/>
      <c r="H724" s="15"/>
      <c r="I724" s="45"/>
      <c r="J724" s="15"/>
    </row>
    <row r="725">
      <c r="A725" s="38" t="b">
        <v>0</v>
      </c>
      <c r="B725" s="38"/>
      <c r="C725" s="17"/>
      <c r="D725" s="17"/>
      <c r="E725" s="38"/>
      <c r="F725" s="38"/>
      <c r="G725" s="38"/>
      <c r="H725" s="15"/>
      <c r="I725" s="45"/>
      <c r="J725" s="15"/>
    </row>
    <row r="726">
      <c r="A726" s="38" t="b">
        <v>0</v>
      </c>
      <c r="B726" s="38"/>
      <c r="C726" s="17"/>
      <c r="D726" s="17"/>
      <c r="E726" s="38"/>
      <c r="F726" s="38"/>
      <c r="G726" s="38"/>
      <c r="H726" s="15"/>
      <c r="I726" s="45"/>
      <c r="J726" s="15"/>
    </row>
    <row r="727">
      <c r="A727" s="38" t="b">
        <v>0</v>
      </c>
      <c r="B727" s="38"/>
      <c r="C727" s="17"/>
      <c r="D727" s="17"/>
      <c r="E727" s="38"/>
      <c r="F727" s="38"/>
      <c r="G727" s="38"/>
      <c r="H727" s="15"/>
      <c r="I727" s="45"/>
      <c r="J727" s="15"/>
    </row>
    <row r="728">
      <c r="A728" s="38" t="b">
        <v>0</v>
      </c>
      <c r="B728" s="38"/>
      <c r="C728" s="17"/>
      <c r="D728" s="17"/>
      <c r="E728" s="38"/>
      <c r="F728" s="38"/>
      <c r="G728" s="38"/>
      <c r="H728" s="15"/>
      <c r="I728" s="45"/>
      <c r="J728" s="15"/>
    </row>
    <row r="729">
      <c r="A729" s="38" t="b">
        <v>0</v>
      </c>
      <c r="B729" s="38"/>
      <c r="C729" s="17"/>
      <c r="D729" s="17"/>
      <c r="E729" s="38"/>
      <c r="F729" s="38"/>
      <c r="G729" s="38"/>
      <c r="H729" s="15"/>
      <c r="I729" s="45"/>
      <c r="J729" s="15"/>
    </row>
    <row r="730">
      <c r="A730" s="38" t="b">
        <v>0</v>
      </c>
      <c r="B730" s="38"/>
      <c r="C730" s="17"/>
      <c r="D730" s="17"/>
      <c r="E730" s="38"/>
      <c r="F730" s="38"/>
      <c r="G730" s="38"/>
      <c r="H730" s="15"/>
      <c r="I730" s="45"/>
      <c r="J730" s="15"/>
    </row>
    <row r="731">
      <c r="A731" s="38" t="b">
        <v>0</v>
      </c>
      <c r="B731" s="38"/>
      <c r="C731" s="17"/>
      <c r="D731" s="17"/>
      <c r="E731" s="38"/>
      <c r="F731" s="38"/>
      <c r="G731" s="38"/>
      <c r="H731" s="15"/>
      <c r="I731" s="45"/>
      <c r="J731" s="15"/>
    </row>
    <row r="732">
      <c r="A732" s="38" t="b">
        <v>0</v>
      </c>
      <c r="B732" s="38"/>
      <c r="C732" s="17"/>
      <c r="D732" s="17"/>
      <c r="E732" s="38"/>
      <c r="F732" s="38"/>
      <c r="G732" s="38"/>
      <c r="H732" s="15"/>
      <c r="I732" s="45"/>
      <c r="J732" s="15"/>
    </row>
    <row r="733">
      <c r="A733" s="38" t="b">
        <v>0</v>
      </c>
      <c r="B733" s="38"/>
      <c r="C733" s="17"/>
      <c r="D733" s="17"/>
      <c r="E733" s="38"/>
      <c r="F733" s="38"/>
      <c r="G733" s="38"/>
      <c r="H733" s="15"/>
      <c r="I733" s="45"/>
      <c r="J733" s="15"/>
    </row>
    <row r="734">
      <c r="A734" s="38" t="b">
        <v>0</v>
      </c>
      <c r="B734" s="38"/>
      <c r="C734" s="17"/>
      <c r="D734" s="17"/>
      <c r="E734" s="38"/>
      <c r="F734" s="38"/>
      <c r="G734" s="38"/>
      <c r="H734" s="15"/>
      <c r="I734" s="45"/>
      <c r="J734" s="15"/>
    </row>
    <row r="735">
      <c r="A735" s="38" t="b">
        <v>0</v>
      </c>
      <c r="B735" s="38"/>
      <c r="C735" s="17"/>
      <c r="D735" s="17"/>
      <c r="E735" s="38"/>
      <c r="F735" s="38"/>
      <c r="G735" s="38"/>
      <c r="H735" s="15"/>
      <c r="I735" s="45"/>
      <c r="J735" s="15"/>
    </row>
    <row r="736">
      <c r="A736" s="38" t="b">
        <v>0</v>
      </c>
      <c r="B736" s="38"/>
      <c r="C736" s="17"/>
      <c r="D736" s="17"/>
      <c r="E736" s="38"/>
      <c r="F736" s="38"/>
      <c r="G736" s="38"/>
      <c r="H736" s="15"/>
      <c r="I736" s="45"/>
      <c r="J736" s="15"/>
    </row>
    <row r="737">
      <c r="A737" s="38" t="b">
        <v>0</v>
      </c>
      <c r="B737" s="38"/>
      <c r="C737" s="17"/>
      <c r="D737" s="17"/>
      <c r="E737" s="38"/>
      <c r="F737" s="38"/>
      <c r="G737" s="38"/>
      <c r="H737" s="15"/>
      <c r="I737" s="45"/>
      <c r="J737" s="15"/>
    </row>
    <row r="738">
      <c r="A738" s="38" t="b">
        <v>0</v>
      </c>
      <c r="B738" s="38"/>
      <c r="C738" s="17"/>
      <c r="D738" s="17"/>
      <c r="E738" s="38"/>
      <c r="F738" s="38"/>
      <c r="G738" s="38"/>
      <c r="H738" s="15"/>
      <c r="I738" s="45"/>
      <c r="J738" s="15"/>
    </row>
    <row r="739">
      <c r="A739" s="38" t="b">
        <v>0</v>
      </c>
      <c r="B739" s="38"/>
      <c r="C739" s="17"/>
      <c r="D739" s="17"/>
      <c r="E739" s="38"/>
      <c r="F739" s="38"/>
      <c r="G739" s="38"/>
      <c r="H739" s="15"/>
      <c r="I739" s="45"/>
      <c r="J739" s="15"/>
    </row>
    <row r="740">
      <c r="A740" s="38" t="b">
        <v>0</v>
      </c>
      <c r="B740" s="38"/>
      <c r="C740" s="17"/>
      <c r="D740" s="17"/>
      <c r="E740" s="38"/>
      <c r="F740" s="38"/>
      <c r="G740" s="38"/>
      <c r="H740" s="15"/>
      <c r="I740" s="45"/>
      <c r="J740" s="15"/>
    </row>
    <row r="741">
      <c r="A741" s="38" t="b">
        <v>0</v>
      </c>
      <c r="B741" s="38"/>
      <c r="C741" s="17"/>
      <c r="D741" s="17"/>
      <c r="E741" s="38"/>
      <c r="F741" s="38"/>
      <c r="G741" s="38"/>
      <c r="H741" s="15"/>
      <c r="I741" s="45"/>
      <c r="J741" s="15"/>
    </row>
    <row r="742">
      <c r="A742" s="38" t="b">
        <v>0</v>
      </c>
      <c r="B742" s="38"/>
      <c r="C742" s="17"/>
      <c r="D742" s="17"/>
      <c r="E742" s="38"/>
      <c r="F742" s="38"/>
      <c r="G742" s="38"/>
      <c r="H742" s="15"/>
      <c r="I742" s="45"/>
      <c r="J742" s="15"/>
    </row>
    <row r="743">
      <c r="A743" s="38" t="b">
        <v>0</v>
      </c>
      <c r="B743" s="38"/>
      <c r="C743" s="17"/>
      <c r="D743" s="17"/>
      <c r="E743" s="38"/>
      <c r="F743" s="38"/>
      <c r="G743" s="38"/>
      <c r="H743" s="15"/>
      <c r="I743" s="45"/>
      <c r="J743" s="15"/>
    </row>
    <row r="744">
      <c r="A744" s="38" t="b">
        <v>0</v>
      </c>
      <c r="B744" s="38"/>
      <c r="C744" s="17"/>
      <c r="D744" s="17"/>
      <c r="E744" s="38"/>
      <c r="F744" s="38"/>
      <c r="G744" s="38"/>
      <c r="H744" s="15"/>
      <c r="I744" s="45"/>
      <c r="J744" s="15"/>
    </row>
    <row r="745">
      <c r="A745" s="38" t="b">
        <v>0</v>
      </c>
      <c r="B745" s="38"/>
      <c r="C745" s="17"/>
      <c r="D745" s="17"/>
      <c r="E745" s="38"/>
      <c r="F745" s="38"/>
      <c r="G745" s="38"/>
      <c r="H745" s="15"/>
      <c r="I745" s="45"/>
      <c r="J745" s="15"/>
    </row>
    <row r="746">
      <c r="A746" s="38" t="b">
        <v>0</v>
      </c>
      <c r="B746" s="38"/>
      <c r="C746" s="17"/>
      <c r="D746" s="17"/>
      <c r="E746" s="38"/>
      <c r="F746" s="38"/>
      <c r="G746" s="38"/>
      <c r="H746" s="15"/>
      <c r="I746" s="45"/>
      <c r="J746" s="15"/>
    </row>
    <row r="747">
      <c r="A747" s="38" t="b">
        <v>0</v>
      </c>
      <c r="B747" s="38"/>
      <c r="C747" s="17"/>
      <c r="D747" s="17"/>
      <c r="E747" s="38"/>
      <c r="F747" s="38"/>
      <c r="G747" s="38"/>
      <c r="H747" s="15"/>
      <c r="I747" s="45"/>
      <c r="J747" s="15"/>
    </row>
    <row r="748">
      <c r="A748" s="38" t="b">
        <v>0</v>
      </c>
      <c r="B748" s="38"/>
      <c r="C748" s="17"/>
      <c r="D748" s="17"/>
      <c r="E748" s="38"/>
      <c r="F748" s="38"/>
      <c r="G748" s="38"/>
      <c r="H748" s="15"/>
      <c r="I748" s="45"/>
      <c r="J748" s="15"/>
    </row>
    <row r="749">
      <c r="A749" s="38" t="b">
        <v>0</v>
      </c>
      <c r="B749" s="38"/>
      <c r="C749" s="17"/>
      <c r="D749" s="17"/>
      <c r="E749" s="38"/>
      <c r="F749" s="38"/>
      <c r="G749" s="38"/>
      <c r="H749" s="15"/>
      <c r="I749" s="45"/>
      <c r="J749" s="15"/>
    </row>
    <row r="750">
      <c r="A750" s="38" t="b">
        <v>0</v>
      </c>
      <c r="B750" s="38"/>
      <c r="C750" s="17"/>
      <c r="D750" s="17"/>
      <c r="E750" s="38"/>
      <c r="F750" s="38"/>
      <c r="G750" s="38"/>
      <c r="H750" s="15"/>
      <c r="I750" s="45"/>
      <c r="J750" s="15"/>
    </row>
    <row r="751">
      <c r="A751" s="38" t="b">
        <v>0</v>
      </c>
      <c r="B751" s="38"/>
      <c r="C751" s="17"/>
      <c r="D751" s="17"/>
      <c r="E751" s="38"/>
      <c r="F751" s="38"/>
      <c r="G751" s="38"/>
      <c r="H751" s="15"/>
      <c r="I751" s="45"/>
      <c r="J751" s="15"/>
    </row>
    <row r="752">
      <c r="A752" s="38" t="b">
        <v>0</v>
      </c>
      <c r="B752" s="38"/>
      <c r="C752" s="17"/>
      <c r="D752" s="17"/>
      <c r="E752" s="38"/>
      <c r="F752" s="38"/>
      <c r="G752" s="38"/>
      <c r="H752" s="15"/>
      <c r="I752" s="45"/>
      <c r="J752" s="15"/>
    </row>
    <row r="753">
      <c r="A753" s="38" t="b">
        <v>0</v>
      </c>
      <c r="B753" s="38"/>
      <c r="C753" s="17"/>
      <c r="D753" s="17"/>
      <c r="E753" s="38"/>
      <c r="F753" s="38"/>
      <c r="G753" s="38"/>
      <c r="H753" s="15"/>
      <c r="I753" s="45"/>
      <c r="J753" s="15"/>
    </row>
    <row r="754">
      <c r="A754" s="38" t="b">
        <v>0</v>
      </c>
      <c r="B754" s="38"/>
      <c r="C754" s="17"/>
      <c r="D754" s="17"/>
      <c r="E754" s="38"/>
      <c r="F754" s="38"/>
      <c r="G754" s="38"/>
      <c r="H754" s="15"/>
      <c r="I754" s="45"/>
      <c r="J754" s="15"/>
    </row>
    <row r="755">
      <c r="A755" s="38" t="b">
        <v>0</v>
      </c>
      <c r="B755" s="38"/>
      <c r="C755" s="17"/>
      <c r="D755" s="17"/>
      <c r="E755" s="38"/>
      <c r="F755" s="38"/>
      <c r="G755" s="38"/>
      <c r="H755" s="15"/>
      <c r="I755" s="45"/>
      <c r="J755" s="15"/>
    </row>
    <row r="756">
      <c r="A756" s="38" t="b">
        <v>0</v>
      </c>
      <c r="B756" s="38"/>
      <c r="C756" s="17"/>
      <c r="D756" s="17"/>
      <c r="E756" s="38"/>
      <c r="F756" s="38"/>
      <c r="G756" s="38"/>
      <c r="H756" s="15"/>
      <c r="I756" s="45"/>
      <c r="J756" s="15"/>
    </row>
    <row r="757">
      <c r="A757" s="38" t="b">
        <v>0</v>
      </c>
      <c r="B757" s="38"/>
      <c r="C757" s="17"/>
      <c r="D757" s="17"/>
      <c r="E757" s="38"/>
      <c r="F757" s="38"/>
      <c r="G757" s="38"/>
      <c r="H757" s="15"/>
      <c r="I757" s="45"/>
      <c r="J757" s="15"/>
    </row>
    <row r="758">
      <c r="A758" s="38" t="b">
        <v>0</v>
      </c>
      <c r="B758" s="38"/>
      <c r="C758" s="17"/>
      <c r="D758" s="17"/>
      <c r="E758" s="38"/>
      <c r="F758" s="38"/>
      <c r="G758" s="38"/>
      <c r="H758" s="15"/>
      <c r="I758" s="45"/>
      <c r="J758" s="15"/>
    </row>
    <row r="759">
      <c r="A759" s="38" t="b">
        <v>0</v>
      </c>
      <c r="B759" s="38"/>
      <c r="C759" s="17"/>
      <c r="D759" s="17"/>
      <c r="E759" s="38"/>
      <c r="F759" s="38"/>
      <c r="G759" s="38"/>
      <c r="H759" s="15"/>
      <c r="I759" s="45"/>
      <c r="J759" s="15"/>
    </row>
    <row r="760">
      <c r="A760" s="38" t="b">
        <v>0</v>
      </c>
      <c r="B760" s="38"/>
      <c r="C760" s="17"/>
      <c r="D760" s="17"/>
      <c r="E760" s="38"/>
      <c r="F760" s="38"/>
      <c r="G760" s="38"/>
      <c r="H760" s="15"/>
      <c r="I760" s="45"/>
      <c r="J760" s="15"/>
    </row>
    <row r="761">
      <c r="A761" s="38" t="b">
        <v>0</v>
      </c>
      <c r="B761" s="38"/>
      <c r="C761" s="17"/>
      <c r="D761" s="17"/>
      <c r="E761" s="38"/>
      <c r="F761" s="38"/>
      <c r="G761" s="38"/>
      <c r="H761" s="15"/>
      <c r="I761" s="45"/>
      <c r="J761" s="15"/>
    </row>
    <row r="762">
      <c r="A762" s="38" t="b">
        <v>0</v>
      </c>
      <c r="B762" s="38"/>
      <c r="C762" s="17"/>
      <c r="D762" s="17"/>
      <c r="E762" s="38"/>
      <c r="F762" s="38"/>
      <c r="G762" s="38"/>
      <c r="H762" s="15"/>
      <c r="I762" s="45"/>
      <c r="J762" s="15"/>
    </row>
    <row r="763">
      <c r="A763" s="38" t="b">
        <v>0</v>
      </c>
      <c r="B763" s="38"/>
      <c r="C763" s="17"/>
      <c r="D763" s="17"/>
      <c r="E763" s="38"/>
      <c r="F763" s="38"/>
      <c r="G763" s="38"/>
      <c r="H763" s="15"/>
      <c r="I763" s="45"/>
      <c r="J763" s="15"/>
    </row>
    <row r="764">
      <c r="A764" s="38" t="b">
        <v>0</v>
      </c>
      <c r="B764" s="38"/>
      <c r="C764" s="17"/>
      <c r="D764" s="17"/>
      <c r="E764" s="38"/>
      <c r="F764" s="38"/>
      <c r="G764" s="38"/>
      <c r="H764" s="15"/>
      <c r="I764" s="45"/>
      <c r="J764" s="15"/>
    </row>
    <row r="765">
      <c r="A765" s="38" t="b">
        <v>0</v>
      </c>
      <c r="B765" s="38"/>
      <c r="C765" s="17"/>
      <c r="D765" s="17"/>
      <c r="E765" s="38"/>
      <c r="F765" s="38"/>
      <c r="G765" s="38"/>
      <c r="H765" s="15"/>
      <c r="I765" s="45"/>
      <c r="J765" s="15"/>
    </row>
    <row r="766">
      <c r="A766" s="38" t="b">
        <v>0</v>
      </c>
      <c r="B766" s="38"/>
      <c r="C766" s="17"/>
      <c r="D766" s="17"/>
      <c r="E766" s="38"/>
      <c r="F766" s="38"/>
      <c r="G766" s="38"/>
      <c r="H766" s="15"/>
      <c r="I766" s="45"/>
      <c r="J766" s="15"/>
    </row>
    <row r="767">
      <c r="A767" s="38" t="b">
        <v>0</v>
      </c>
      <c r="B767" s="38"/>
      <c r="C767" s="17"/>
      <c r="D767" s="17"/>
      <c r="E767" s="38"/>
      <c r="F767" s="38"/>
      <c r="G767" s="38"/>
      <c r="H767" s="15"/>
      <c r="I767" s="45"/>
      <c r="J767" s="15"/>
    </row>
    <row r="768">
      <c r="A768" s="38" t="b">
        <v>0</v>
      </c>
      <c r="B768" s="38"/>
      <c r="C768" s="17"/>
      <c r="D768" s="17"/>
      <c r="E768" s="38"/>
      <c r="F768" s="38"/>
      <c r="G768" s="38"/>
      <c r="H768" s="15"/>
      <c r="I768" s="45"/>
      <c r="J768" s="15"/>
    </row>
    <row r="769">
      <c r="A769" s="38" t="b">
        <v>0</v>
      </c>
      <c r="B769" s="38"/>
      <c r="C769" s="17"/>
      <c r="D769" s="17"/>
      <c r="E769" s="38"/>
      <c r="F769" s="38"/>
      <c r="G769" s="38"/>
      <c r="H769" s="15"/>
      <c r="I769" s="45"/>
      <c r="J769" s="15"/>
    </row>
    <row r="770">
      <c r="A770" s="38" t="b">
        <v>0</v>
      </c>
      <c r="B770" s="38"/>
      <c r="C770" s="17"/>
      <c r="D770" s="17"/>
      <c r="E770" s="38"/>
      <c r="F770" s="38"/>
      <c r="G770" s="38"/>
      <c r="H770" s="15"/>
      <c r="I770" s="45"/>
      <c r="J770" s="15"/>
    </row>
    <row r="771">
      <c r="A771" s="38" t="b">
        <v>0</v>
      </c>
      <c r="B771" s="38"/>
      <c r="C771" s="17"/>
      <c r="D771" s="17"/>
      <c r="E771" s="38"/>
      <c r="F771" s="38"/>
      <c r="G771" s="38"/>
      <c r="H771" s="15"/>
      <c r="I771" s="45"/>
      <c r="J771" s="15"/>
    </row>
    <row r="772">
      <c r="A772" s="38" t="b">
        <v>0</v>
      </c>
      <c r="B772" s="38"/>
      <c r="C772" s="17"/>
      <c r="D772" s="17"/>
      <c r="E772" s="38"/>
      <c r="F772" s="38"/>
      <c r="G772" s="38"/>
      <c r="H772" s="15"/>
      <c r="I772" s="45"/>
      <c r="J772" s="15"/>
    </row>
    <row r="773">
      <c r="A773" s="38" t="b">
        <v>0</v>
      </c>
      <c r="B773" s="38"/>
      <c r="C773" s="17"/>
      <c r="D773" s="17"/>
      <c r="E773" s="38"/>
      <c r="F773" s="38"/>
      <c r="G773" s="38"/>
      <c r="H773" s="15"/>
      <c r="I773" s="45"/>
      <c r="J773" s="15"/>
    </row>
    <row r="774">
      <c r="A774" s="38" t="b">
        <v>0</v>
      </c>
      <c r="B774" s="38"/>
      <c r="C774" s="17"/>
      <c r="D774" s="17"/>
      <c r="E774" s="38"/>
      <c r="F774" s="38"/>
      <c r="G774" s="38"/>
      <c r="H774" s="15"/>
      <c r="I774" s="45"/>
      <c r="J774" s="15"/>
    </row>
    <row r="775">
      <c r="A775" s="38" t="b">
        <v>0</v>
      </c>
      <c r="B775" s="38"/>
      <c r="C775" s="17"/>
      <c r="D775" s="17"/>
      <c r="E775" s="38"/>
      <c r="F775" s="38"/>
      <c r="G775" s="38"/>
      <c r="H775" s="15"/>
      <c r="I775" s="45"/>
      <c r="J775" s="15"/>
    </row>
    <row r="776">
      <c r="A776" s="38" t="b">
        <v>0</v>
      </c>
      <c r="B776" s="38"/>
      <c r="C776" s="17"/>
      <c r="D776" s="17"/>
      <c r="E776" s="38"/>
      <c r="F776" s="38"/>
      <c r="G776" s="38"/>
      <c r="H776" s="15"/>
      <c r="I776" s="45"/>
      <c r="J776" s="15"/>
    </row>
    <row r="777">
      <c r="A777" s="38" t="b">
        <v>0</v>
      </c>
      <c r="B777" s="38"/>
      <c r="C777" s="17"/>
      <c r="D777" s="17"/>
      <c r="E777" s="38"/>
      <c r="F777" s="38"/>
      <c r="G777" s="38"/>
      <c r="H777" s="15"/>
      <c r="I777" s="45"/>
      <c r="J777" s="15"/>
    </row>
    <row r="778">
      <c r="A778" s="38" t="b">
        <v>0</v>
      </c>
      <c r="B778" s="38"/>
      <c r="C778" s="17"/>
      <c r="D778" s="17"/>
      <c r="E778" s="38"/>
      <c r="F778" s="38"/>
      <c r="G778" s="38"/>
      <c r="H778" s="15"/>
      <c r="I778" s="45"/>
      <c r="J778" s="15"/>
    </row>
    <row r="779">
      <c r="A779" s="38" t="b">
        <v>0</v>
      </c>
      <c r="B779" s="38"/>
      <c r="C779" s="17"/>
      <c r="D779" s="17"/>
      <c r="E779" s="38"/>
      <c r="F779" s="38"/>
      <c r="G779" s="38"/>
      <c r="H779" s="15"/>
      <c r="I779" s="45"/>
      <c r="J779" s="15"/>
    </row>
    <row r="780">
      <c r="A780" s="38" t="b">
        <v>0</v>
      </c>
      <c r="B780" s="38"/>
      <c r="C780" s="17"/>
      <c r="D780" s="17"/>
      <c r="E780" s="38"/>
      <c r="F780" s="38"/>
      <c r="G780" s="38"/>
      <c r="H780" s="15"/>
      <c r="I780" s="45"/>
      <c r="J780" s="15"/>
    </row>
    <row r="781">
      <c r="A781" s="38" t="b">
        <v>0</v>
      </c>
      <c r="B781" s="38"/>
      <c r="C781" s="17"/>
      <c r="D781" s="17"/>
      <c r="E781" s="38"/>
      <c r="F781" s="38"/>
      <c r="G781" s="38"/>
      <c r="H781" s="15"/>
      <c r="I781" s="45"/>
      <c r="J781" s="15"/>
    </row>
    <row r="782">
      <c r="A782" s="38" t="b">
        <v>0</v>
      </c>
      <c r="B782" s="38"/>
      <c r="C782" s="17"/>
      <c r="D782" s="17"/>
      <c r="E782" s="38"/>
      <c r="F782" s="38"/>
      <c r="G782" s="38"/>
      <c r="H782" s="15"/>
      <c r="I782" s="45"/>
      <c r="J782" s="15"/>
    </row>
    <row r="783">
      <c r="A783" s="38" t="b">
        <v>0</v>
      </c>
      <c r="B783" s="38"/>
      <c r="C783" s="17"/>
      <c r="D783" s="17"/>
      <c r="E783" s="38"/>
      <c r="F783" s="38"/>
      <c r="G783" s="38"/>
      <c r="H783" s="15"/>
      <c r="I783" s="45"/>
      <c r="J783" s="15"/>
    </row>
    <row r="784">
      <c r="A784" s="38" t="b">
        <v>0</v>
      </c>
      <c r="B784" s="38"/>
      <c r="C784" s="17"/>
      <c r="D784" s="17"/>
      <c r="E784" s="38"/>
      <c r="F784" s="38"/>
      <c r="G784" s="38"/>
      <c r="H784" s="15"/>
      <c r="I784" s="45"/>
      <c r="J784" s="15"/>
    </row>
    <row r="785">
      <c r="A785" s="38" t="b">
        <v>0</v>
      </c>
      <c r="B785" s="38"/>
      <c r="C785" s="17"/>
      <c r="D785" s="17"/>
      <c r="E785" s="38"/>
      <c r="F785" s="38"/>
      <c r="G785" s="38"/>
      <c r="H785" s="15"/>
      <c r="I785" s="45"/>
      <c r="J785" s="15"/>
    </row>
    <row r="786">
      <c r="A786" s="38" t="b">
        <v>0</v>
      </c>
      <c r="B786" s="38"/>
      <c r="C786" s="17"/>
      <c r="D786" s="17"/>
      <c r="E786" s="38"/>
      <c r="F786" s="38"/>
      <c r="G786" s="38"/>
      <c r="H786" s="15"/>
      <c r="I786" s="45"/>
      <c r="J786" s="15"/>
    </row>
    <row r="787">
      <c r="A787" s="38" t="b">
        <v>0</v>
      </c>
      <c r="B787" s="38"/>
      <c r="C787" s="17"/>
      <c r="D787" s="17"/>
      <c r="E787" s="38"/>
      <c r="F787" s="38"/>
      <c r="G787" s="38"/>
      <c r="H787" s="15"/>
      <c r="I787" s="45"/>
      <c r="J787" s="15"/>
    </row>
    <row r="788">
      <c r="A788" s="38" t="b">
        <v>0</v>
      </c>
      <c r="B788" s="38"/>
      <c r="C788" s="17"/>
      <c r="D788" s="17"/>
      <c r="E788" s="38"/>
      <c r="F788" s="38"/>
      <c r="G788" s="38"/>
      <c r="H788" s="15"/>
      <c r="I788" s="45"/>
      <c r="J788" s="15"/>
    </row>
    <row r="789">
      <c r="A789" s="38" t="b">
        <v>0</v>
      </c>
      <c r="B789" s="38"/>
      <c r="C789" s="17"/>
      <c r="D789" s="17"/>
      <c r="E789" s="38"/>
      <c r="F789" s="38"/>
      <c r="G789" s="38"/>
      <c r="H789" s="15"/>
      <c r="I789" s="45"/>
      <c r="J789" s="15"/>
    </row>
    <row r="790">
      <c r="A790" s="38" t="b">
        <v>0</v>
      </c>
      <c r="B790" s="38"/>
      <c r="C790" s="17"/>
      <c r="D790" s="17"/>
      <c r="E790" s="38"/>
      <c r="F790" s="38"/>
      <c r="G790" s="38"/>
      <c r="H790" s="15"/>
      <c r="I790" s="45"/>
      <c r="J790" s="15"/>
    </row>
    <row r="791">
      <c r="A791" s="38" t="b">
        <v>0</v>
      </c>
      <c r="B791" s="38"/>
      <c r="C791" s="17"/>
      <c r="D791" s="17"/>
      <c r="E791" s="38"/>
      <c r="F791" s="38"/>
      <c r="G791" s="38"/>
      <c r="H791" s="15"/>
      <c r="I791" s="45"/>
      <c r="J791" s="15"/>
    </row>
    <row r="792">
      <c r="A792" s="38" t="b">
        <v>0</v>
      </c>
      <c r="B792" s="38"/>
      <c r="C792" s="17"/>
      <c r="D792" s="17"/>
      <c r="E792" s="38"/>
      <c r="F792" s="38"/>
      <c r="G792" s="38"/>
      <c r="H792" s="15"/>
      <c r="I792" s="45"/>
      <c r="J792" s="15"/>
    </row>
    <row r="793">
      <c r="A793" s="38" t="b">
        <v>0</v>
      </c>
      <c r="B793" s="38"/>
      <c r="C793" s="17"/>
      <c r="D793" s="17"/>
      <c r="E793" s="38"/>
      <c r="F793" s="38"/>
      <c r="G793" s="38"/>
      <c r="H793" s="15"/>
      <c r="I793" s="45"/>
      <c r="J793" s="15"/>
    </row>
    <row r="794">
      <c r="A794" s="38" t="b">
        <v>0</v>
      </c>
      <c r="B794" s="38"/>
      <c r="C794" s="17"/>
      <c r="D794" s="17"/>
      <c r="E794" s="38"/>
      <c r="F794" s="38"/>
      <c r="G794" s="38"/>
      <c r="H794" s="15"/>
      <c r="I794" s="45"/>
      <c r="J794" s="15"/>
    </row>
    <row r="795">
      <c r="A795" s="38" t="b">
        <v>0</v>
      </c>
      <c r="B795" s="38"/>
      <c r="C795" s="17"/>
      <c r="D795" s="17"/>
      <c r="E795" s="38"/>
      <c r="F795" s="38"/>
      <c r="G795" s="38"/>
      <c r="H795" s="15"/>
      <c r="I795" s="45"/>
      <c r="J795" s="15"/>
    </row>
    <row r="796">
      <c r="A796" s="38" t="b">
        <v>0</v>
      </c>
      <c r="B796" s="38"/>
      <c r="C796" s="17"/>
      <c r="D796" s="17"/>
      <c r="E796" s="38"/>
      <c r="F796" s="38"/>
      <c r="G796" s="38"/>
      <c r="H796" s="15"/>
      <c r="I796" s="45"/>
      <c r="J796" s="15"/>
    </row>
    <row r="797">
      <c r="A797" s="38" t="b">
        <v>0</v>
      </c>
      <c r="B797" s="38"/>
      <c r="C797" s="17"/>
      <c r="D797" s="17"/>
      <c r="E797" s="38"/>
      <c r="F797" s="38"/>
      <c r="G797" s="38"/>
      <c r="H797" s="15"/>
      <c r="I797" s="45"/>
      <c r="J797" s="15"/>
    </row>
    <row r="798">
      <c r="A798" s="38" t="b">
        <v>0</v>
      </c>
      <c r="B798" s="38"/>
      <c r="C798" s="17"/>
      <c r="D798" s="17"/>
      <c r="E798" s="38"/>
      <c r="F798" s="38"/>
      <c r="G798" s="38"/>
      <c r="H798" s="15"/>
      <c r="I798" s="45"/>
      <c r="J798" s="15"/>
    </row>
    <row r="799">
      <c r="A799" s="38" t="b">
        <v>0</v>
      </c>
      <c r="B799" s="38"/>
      <c r="C799" s="17"/>
      <c r="D799" s="17"/>
      <c r="E799" s="38"/>
      <c r="F799" s="38"/>
      <c r="G799" s="38"/>
      <c r="H799" s="15"/>
      <c r="I799" s="45"/>
      <c r="J799" s="15"/>
    </row>
    <row r="800">
      <c r="A800" s="38" t="b">
        <v>0</v>
      </c>
      <c r="B800" s="38"/>
      <c r="C800" s="17"/>
      <c r="D800" s="17"/>
      <c r="E800" s="38"/>
      <c r="F800" s="38"/>
      <c r="G800" s="38"/>
      <c r="H800" s="15"/>
      <c r="I800" s="45"/>
      <c r="J800" s="15"/>
    </row>
    <row r="801">
      <c r="A801" s="38" t="b">
        <v>0</v>
      </c>
      <c r="B801" s="38"/>
      <c r="C801" s="17"/>
      <c r="D801" s="17"/>
      <c r="E801" s="38"/>
      <c r="F801" s="38"/>
      <c r="G801" s="38"/>
      <c r="H801" s="15"/>
      <c r="I801" s="45"/>
      <c r="J801" s="15"/>
    </row>
    <row r="802">
      <c r="A802" s="38" t="b">
        <v>0</v>
      </c>
      <c r="B802" s="38"/>
      <c r="C802" s="17"/>
      <c r="D802" s="17"/>
      <c r="E802" s="38"/>
      <c r="F802" s="38"/>
      <c r="G802" s="38"/>
      <c r="H802" s="15"/>
      <c r="I802" s="45"/>
      <c r="J802" s="15"/>
    </row>
    <row r="803">
      <c r="A803" s="38" t="b">
        <v>0</v>
      </c>
      <c r="B803" s="38"/>
      <c r="C803" s="17"/>
      <c r="D803" s="17"/>
      <c r="E803" s="38"/>
      <c r="F803" s="38"/>
      <c r="G803" s="38"/>
      <c r="H803" s="15"/>
      <c r="I803" s="45"/>
      <c r="J803" s="15"/>
    </row>
    <row r="804">
      <c r="A804" s="38" t="b">
        <v>0</v>
      </c>
      <c r="B804" s="38"/>
      <c r="C804" s="17"/>
      <c r="D804" s="17"/>
      <c r="E804" s="38"/>
      <c r="F804" s="38"/>
      <c r="G804" s="38"/>
      <c r="H804" s="15"/>
      <c r="I804" s="45"/>
      <c r="J804" s="15"/>
    </row>
    <row r="805">
      <c r="A805" s="38" t="b">
        <v>0</v>
      </c>
      <c r="B805" s="38"/>
      <c r="C805" s="17"/>
      <c r="D805" s="17"/>
      <c r="E805" s="38"/>
      <c r="F805" s="38"/>
      <c r="G805" s="38"/>
      <c r="H805" s="15"/>
      <c r="I805" s="45"/>
      <c r="J805" s="15"/>
    </row>
    <row r="806">
      <c r="A806" s="38" t="b">
        <v>0</v>
      </c>
      <c r="B806" s="38"/>
      <c r="C806" s="17"/>
      <c r="D806" s="17"/>
      <c r="E806" s="38"/>
      <c r="F806" s="38"/>
      <c r="G806" s="38"/>
      <c r="H806" s="15"/>
      <c r="I806" s="45"/>
      <c r="J806" s="15"/>
    </row>
    <row r="807">
      <c r="A807" s="38" t="b">
        <v>0</v>
      </c>
      <c r="B807" s="38"/>
      <c r="C807" s="17"/>
      <c r="D807" s="17"/>
      <c r="E807" s="38"/>
      <c r="F807" s="38"/>
      <c r="G807" s="38"/>
      <c r="H807" s="15"/>
      <c r="I807" s="45"/>
      <c r="J807" s="15"/>
    </row>
    <row r="808">
      <c r="A808" s="38" t="b">
        <v>0</v>
      </c>
      <c r="B808" s="38"/>
      <c r="C808" s="17"/>
      <c r="D808" s="17"/>
      <c r="E808" s="38"/>
      <c r="F808" s="38"/>
      <c r="G808" s="38"/>
      <c r="H808" s="15"/>
      <c r="I808" s="45"/>
      <c r="J808" s="15"/>
    </row>
    <row r="809">
      <c r="A809" s="38" t="b">
        <v>0</v>
      </c>
      <c r="B809" s="38"/>
      <c r="C809" s="17"/>
      <c r="D809" s="17"/>
      <c r="E809" s="38"/>
      <c r="F809" s="38"/>
      <c r="G809" s="38"/>
      <c r="H809" s="15"/>
      <c r="I809" s="45"/>
      <c r="J809" s="15"/>
    </row>
    <row r="810">
      <c r="A810" s="38" t="b">
        <v>0</v>
      </c>
      <c r="B810" s="38"/>
      <c r="C810" s="17"/>
      <c r="D810" s="17"/>
      <c r="E810" s="38"/>
      <c r="F810" s="38"/>
      <c r="G810" s="38"/>
      <c r="H810" s="15"/>
      <c r="I810" s="45"/>
      <c r="J810" s="15"/>
    </row>
    <row r="811">
      <c r="A811" s="38" t="b">
        <v>0</v>
      </c>
      <c r="B811" s="38"/>
      <c r="C811" s="17"/>
      <c r="D811" s="17"/>
      <c r="E811" s="38"/>
      <c r="F811" s="38"/>
      <c r="G811" s="38"/>
      <c r="H811" s="15"/>
      <c r="I811" s="45"/>
      <c r="J811" s="15"/>
    </row>
    <row r="812">
      <c r="A812" s="38" t="b">
        <v>0</v>
      </c>
      <c r="B812" s="38"/>
      <c r="C812" s="17"/>
      <c r="D812" s="17"/>
      <c r="E812" s="38"/>
      <c r="F812" s="38"/>
      <c r="G812" s="38"/>
      <c r="H812" s="15"/>
      <c r="I812" s="45"/>
      <c r="J812" s="15"/>
    </row>
    <row r="813">
      <c r="A813" s="38" t="b">
        <v>0</v>
      </c>
      <c r="B813" s="38"/>
      <c r="C813" s="17"/>
      <c r="D813" s="17"/>
      <c r="E813" s="38"/>
      <c r="F813" s="38"/>
      <c r="G813" s="38"/>
      <c r="H813" s="15"/>
      <c r="I813" s="45"/>
      <c r="J813" s="15"/>
    </row>
    <row r="814">
      <c r="A814" s="38" t="b">
        <v>0</v>
      </c>
      <c r="B814" s="38"/>
      <c r="C814" s="17"/>
      <c r="D814" s="17"/>
      <c r="E814" s="38"/>
      <c r="F814" s="38"/>
      <c r="G814" s="38"/>
      <c r="H814" s="15"/>
      <c r="I814" s="45"/>
      <c r="J814" s="15"/>
    </row>
    <row r="815">
      <c r="A815" s="38" t="b">
        <v>0</v>
      </c>
      <c r="B815" s="38"/>
      <c r="C815" s="17"/>
      <c r="D815" s="17"/>
      <c r="E815" s="38"/>
      <c r="F815" s="38"/>
      <c r="G815" s="38"/>
      <c r="H815" s="15"/>
      <c r="I815" s="45"/>
      <c r="J815" s="15"/>
    </row>
    <row r="816">
      <c r="A816" s="38" t="b">
        <v>0</v>
      </c>
      <c r="B816" s="38"/>
      <c r="C816" s="17"/>
      <c r="D816" s="17"/>
      <c r="E816" s="38"/>
      <c r="F816" s="38"/>
      <c r="G816" s="38"/>
      <c r="H816" s="15"/>
      <c r="I816" s="45"/>
      <c r="J816" s="15"/>
    </row>
    <row r="817">
      <c r="A817" s="38" t="b">
        <v>0</v>
      </c>
      <c r="B817" s="38"/>
      <c r="C817" s="17"/>
      <c r="D817" s="17"/>
      <c r="E817" s="38"/>
      <c r="F817" s="38"/>
      <c r="G817" s="38"/>
      <c r="H817" s="15"/>
      <c r="I817" s="45"/>
      <c r="J817" s="15"/>
    </row>
    <row r="818">
      <c r="A818" s="38" t="b">
        <v>0</v>
      </c>
      <c r="B818" s="38"/>
      <c r="C818" s="17"/>
      <c r="D818" s="17"/>
      <c r="E818" s="38"/>
      <c r="F818" s="38"/>
      <c r="G818" s="38"/>
      <c r="H818" s="15"/>
      <c r="I818" s="45"/>
      <c r="J818" s="15"/>
    </row>
    <row r="819">
      <c r="A819" s="38" t="b">
        <v>0</v>
      </c>
      <c r="B819" s="38"/>
      <c r="C819" s="17"/>
      <c r="D819" s="17"/>
      <c r="E819" s="38"/>
      <c r="F819" s="38"/>
      <c r="G819" s="38"/>
      <c r="H819" s="15"/>
      <c r="I819" s="45"/>
      <c r="J819" s="15"/>
    </row>
    <row r="820">
      <c r="A820" s="38" t="b">
        <v>0</v>
      </c>
      <c r="B820" s="38"/>
      <c r="C820" s="17"/>
      <c r="D820" s="17"/>
      <c r="E820" s="38"/>
      <c r="F820" s="38"/>
      <c r="G820" s="38"/>
      <c r="H820" s="15"/>
      <c r="I820" s="45"/>
      <c r="J820" s="15"/>
    </row>
    <row r="821">
      <c r="A821" s="38" t="b">
        <v>0</v>
      </c>
      <c r="B821" s="38"/>
      <c r="C821" s="17"/>
      <c r="D821" s="17"/>
      <c r="E821" s="38"/>
      <c r="F821" s="38"/>
      <c r="G821" s="38"/>
      <c r="H821" s="15"/>
      <c r="I821" s="45"/>
      <c r="J821" s="15"/>
    </row>
    <row r="822">
      <c r="A822" s="38" t="b">
        <v>0</v>
      </c>
      <c r="B822" s="38"/>
      <c r="C822" s="17"/>
      <c r="D822" s="17"/>
      <c r="E822" s="38"/>
      <c r="F822" s="38"/>
      <c r="G822" s="38"/>
      <c r="H822" s="15"/>
      <c r="I822" s="45"/>
      <c r="J822" s="15"/>
    </row>
    <row r="823">
      <c r="A823" s="38" t="b">
        <v>0</v>
      </c>
      <c r="B823" s="38"/>
      <c r="C823" s="17"/>
      <c r="D823" s="17"/>
      <c r="E823" s="38"/>
      <c r="F823" s="38"/>
      <c r="G823" s="38"/>
      <c r="H823" s="15"/>
      <c r="I823" s="45"/>
      <c r="J823" s="15"/>
    </row>
    <row r="824">
      <c r="A824" s="38" t="b">
        <v>0</v>
      </c>
      <c r="B824" s="38"/>
      <c r="C824" s="17"/>
      <c r="D824" s="17"/>
      <c r="E824" s="38"/>
      <c r="F824" s="38"/>
      <c r="G824" s="38"/>
      <c r="H824" s="15"/>
      <c r="I824" s="45"/>
      <c r="J824" s="15"/>
    </row>
    <row r="825">
      <c r="A825" s="38" t="b">
        <v>0</v>
      </c>
      <c r="B825" s="38"/>
      <c r="C825" s="17"/>
      <c r="D825" s="17"/>
      <c r="E825" s="38"/>
      <c r="F825" s="38"/>
      <c r="G825" s="38"/>
      <c r="H825" s="15"/>
      <c r="I825" s="45"/>
      <c r="J825" s="15"/>
    </row>
    <row r="826">
      <c r="A826" s="38" t="b">
        <v>0</v>
      </c>
      <c r="B826" s="38"/>
      <c r="C826" s="17"/>
      <c r="D826" s="17"/>
      <c r="E826" s="38"/>
      <c r="F826" s="38"/>
      <c r="G826" s="38"/>
      <c r="H826" s="15"/>
      <c r="I826" s="45"/>
      <c r="J826" s="15"/>
    </row>
    <row r="827">
      <c r="A827" s="38" t="b">
        <v>0</v>
      </c>
      <c r="B827" s="38"/>
      <c r="C827" s="17"/>
      <c r="D827" s="17"/>
      <c r="E827" s="38"/>
      <c r="F827" s="38"/>
      <c r="G827" s="38"/>
      <c r="H827" s="15"/>
      <c r="I827" s="45"/>
      <c r="J827" s="15"/>
    </row>
    <row r="828">
      <c r="A828" s="38" t="b">
        <v>0</v>
      </c>
      <c r="B828" s="38"/>
      <c r="C828" s="17"/>
      <c r="D828" s="17"/>
      <c r="E828" s="38"/>
      <c r="F828" s="38"/>
      <c r="G828" s="38"/>
      <c r="H828" s="15"/>
      <c r="I828" s="45"/>
      <c r="J828" s="15"/>
    </row>
    <row r="829">
      <c r="A829" s="38" t="b">
        <v>0</v>
      </c>
      <c r="B829" s="38"/>
      <c r="C829" s="17"/>
      <c r="D829" s="17"/>
      <c r="E829" s="38"/>
      <c r="F829" s="38"/>
      <c r="G829" s="38"/>
      <c r="H829" s="15"/>
      <c r="I829" s="45"/>
      <c r="J829" s="15"/>
    </row>
    <row r="830">
      <c r="A830" s="38" t="b">
        <v>0</v>
      </c>
      <c r="B830" s="38"/>
      <c r="C830" s="17"/>
      <c r="D830" s="17"/>
      <c r="E830" s="38"/>
      <c r="F830" s="38"/>
      <c r="G830" s="38"/>
      <c r="H830" s="15"/>
      <c r="I830" s="45"/>
      <c r="J830" s="15"/>
    </row>
    <row r="831">
      <c r="A831" s="38" t="b">
        <v>0</v>
      </c>
      <c r="B831" s="38"/>
      <c r="C831" s="17"/>
      <c r="D831" s="17"/>
      <c r="E831" s="38"/>
      <c r="F831" s="38"/>
      <c r="G831" s="38"/>
      <c r="H831" s="15"/>
      <c r="I831" s="45"/>
      <c r="J831" s="15"/>
    </row>
    <row r="832">
      <c r="A832" s="38" t="b">
        <v>0</v>
      </c>
      <c r="B832" s="38"/>
      <c r="C832" s="17"/>
      <c r="D832" s="17"/>
      <c r="E832" s="38"/>
      <c r="F832" s="38"/>
      <c r="G832" s="38"/>
      <c r="H832" s="15"/>
      <c r="I832" s="45"/>
      <c r="J832" s="15"/>
    </row>
    <row r="833">
      <c r="A833" s="38" t="b">
        <v>0</v>
      </c>
      <c r="B833" s="38"/>
      <c r="C833" s="17"/>
      <c r="D833" s="17"/>
      <c r="E833" s="38"/>
      <c r="F833" s="38"/>
      <c r="G833" s="38"/>
      <c r="H833" s="15"/>
      <c r="I833" s="45"/>
      <c r="J833" s="15"/>
    </row>
    <row r="834">
      <c r="A834" s="38" t="b">
        <v>0</v>
      </c>
      <c r="B834" s="38"/>
      <c r="C834" s="17"/>
      <c r="D834" s="17"/>
      <c r="E834" s="38"/>
      <c r="F834" s="38"/>
      <c r="G834" s="38"/>
      <c r="H834" s="15"/>
      <c r="I834" s="45"/>
      <c r="J834" s="15"/>
    </row>
    <row r="835">
      <c r="A835" s="38" t="b">
        <v>0</v>
      </c>
      <c r="B835" s="38"/>
      <c r="C835" s="17"/>
      <c r="D835" s="17"/>
      <c r="E835" s="38"/>
      <c r="F835" s="38"/>
      <c r="G835" s="38"/>
      <c r="H835" s="15"/>
      <c r="I835" s="45"/>
      <c r="J835" s="15"/>
    </row>
    <row r="836">
      <c r="A836" s="38" t="b">
        <v>0</v>
      </c>
      <c r="B836" s="38"/>
      <c r="C836" s="17"/>
      <c r="D836" s="17"/>
      <c r="E836" s="38"/>
      <c r="F836" s="38"/>
      <c r="G836" s="38"/>
      <c r="H836" s="15"/>
      <c r="I836" s="45"/>
      <c r="J836" s="15"/>
    </row>
    <row r="837">
      <c r="A837" s="38" t="b">
        <v>0</v>
      </c>
      <c r="B837" s="38"/>
      <c r="C837" s="17"/>
      <c r="D837" s="17"/>
      <c r="E837" s="38"/>
      <c r="F837" s="38"/>
      <c r="G837" s="38"/>
      <c r="H837" s="15"/>
      <c r="I837" s="45"/>
      <c r="J837" s="15"/>
    </row>
    <row r="838">
      <c r="A838" s="38" t="b">
        <v>0</v>
      </c>
      <c r="B838" s="38"/>
      <c r="C838" s="17"/>
      <c r="D838" s="17"/>
      <c r="E838" s="38"/>
      <c r="F838" s="38"/>
      <c r="G838" s="38"/>
      <c r="H838" s="15"/>
      <c r="I838" s="45"/>
      <c r="J838" s="15"/>
    </row>
    <row r="839">
      <c r="A839" s="38" t="b">
        <v>0</v>
      </c>
      <c r="B839" s="38"/>
      <c r="C839" s="17"/>
      <c r="D839" s="17"/>
      <c r="E839" s="38"/>
      <c r="F839" s="38"/>
      <c r="G839" s="38"/>
      <c r="H839" s="15"/>
      <c r="I839" s="45"/>
      <c r="J839" s="15"/>
    </row>
    <row r="840">
      <c r="A840" s="38" t="b">
        <v>0</v>
      </c>
      <c r="B840" s="38"/>
      <c r="C840" s="17"/>
      <c r="D840" s="17"/>
      <c r="E840" s="38"/>
      <c r="F840" s="38"/>
      <c r="G840" s="38"/>
      <c r="H840" s="15"/>
      <c r="I840" s="45"/>
      <c r="J840" s="15"/>
    </row>
    <row r="841">
      <c r="A841" s="38" t="b">
        <v>0</v>
      </c>
      <c r="B841" s="38"/>
      <c r="C841" s="17"/>
      <c r="D841" s="17"/>
      <c r="E841" s="38"/>
      <c r="F841" s="38"/>
      <c r="G841" s="38"/>
      <c r="H841" s="15"/>
      <c r="I841" s="45"/>
      <c r="J841" s="15"/>
    </row>
    <row r="842">
      <c r="A842" s="38" t="b">
        <v>0</v>
      </c>
      <c r="B842" s="38"/>
      <c r="C842" s="17"/>
      <c r="D842" s="17"/>
      <c r="E842" s="38"/>
      <c r="F842" s="38"/>
      <c r="G842" s="38"/>
      <c r="H842" s="15"/>
      <c r="I842" s="45"/>
      <c r="J842" s="15"/>
    </row>
    <row r="843">
      <c r="A843" s="38" t="b">
        <v>0</v>
      </c>
      <c r="B843" s="38"/>
      <c r="C843" s="17"/>
      <c r="D843" s="17"/>
      <c r="E843" s="38"/>
      <c r="F843" s="38"/>
      <c r="G843" s="38"/>
      <c r="H843" s="15"/>
      <c r="I843" s="45"/>
      <c r="J843" s="15"/>
    </row>
    <row r="844">
      <c r="A844" s="38" t="b">
        <v>0</v>
      </c>
      <c r="B844" s="38"/>
      <c r="C844" s="17"/>
      <c r="D844" s="17"/>
      <c r="E844" s="38"/>
      <c r="F844" s="38"/>
      <c r="G844" s="38"/>
      <c r="H844" s="15"/>
      <c r="I844" s="45"/>
      <c r="J844" s="15"/>
    </row>
    <row r="845">
      <c r="A845" s="38" t="b">
        <v>0</v>
      </c>
      <c r="B845" s="38"/>
      <c r="C845" s="17"/>
      <c r="D845" s="17"/>
      <c r="E845" s="38"/>
      <c r="F845" s="38"/>
      <c r="G845" s="38"/>
      <c r="H845" s="15"/>
      <c r="I845" s="45"/>
      <c r="J845" s="15"/>
    </row>
    <row r="846">
      <c r="A846" s="38" t="b">
        <v>0</v>
      </c>
      <c r="B846" s="38"/>
      <c r="C846" s="17"/>
      <c r="D846" s="17"/>
      <c r="E846" s="38"/>
      <c r="F846" s="38"/>
      <c r="G846" s="38"/>
      <c r="H846" s="15"/>
      <c r="I846" s="45"/>
      <c r="J846" s="15"/>
    </row>
    <row r="847">
      <c r="A847" s="38" t="b">
        <v>0</v>
      </c>
      <c r="B847" s="38"/>
      <c r="C847" s="17"/>
      <c r="D847" s="17"/>
      <c r="E847" s="38"/>
      <c r="F847" s="38"/>
      <c r="G847" s="38"/>
      <c r="H847" s="15"/>
      <c r="I847" s="45"/>
      <c r="J847" s="15"/>
    </row>
    <row r="848">
      <c r="A848" s="38" t="b">
        <v>0</v>
      </c>
      <c r="B848" s="38"/>
      <c r="C848" s="17"/>
      <c r="D848" s="17"/>
      <c r="E848" s="38"/>
      <c r="F848" s="38"/>
      <c r="G848" s="38"/>
      <c r="H848" s="15"/>
      <c r="I848" s="45"/>
      <c r="J848" s="15"/>
    </row>
    <row r="849">
      <c r="A849" s="38" t="b">
        <v>0</v>
      </c>
      <c r="B849" s="38"/>
      <c r="C849" s="17"/>
      <c r="D849" s="17"/>
      <c r="E849" s="38"/>
      <c r="F849" s="38"/>
      <c r="G849" s="38"/>
      <c r="H849" s="15"/>
      <c r="I849" s="45"/>
      <c r="J849" s="15"/>
    </row>
    <row r="850">
      <c r="A850" s="38" t="b">
        <v>0</v>
      </c>
      <c r="B850" s="38"/>
      <c r="C850" s="17"/>
      <c r="D850" s="17"/>
      <c r="E850" s="38"/>
      <c r="F850" s="38"/>
      <c r="G850" s="38"/>
      <c r="H850" s="15"/>
      <c r="I850" s="45"/>
      <c r="J850" s="15"/>
    </row>
    <row r="851">
      <c r="A851" s="38" t="b">
        <v>0</v>
      </c>
      <c r="B851" s="38"/>
      <c r="C851" s="17"/>
      <c r="D851" s="17"/>
      <c r="E851" s="38"/>
      <c r="F851" s="38"/>
      <c r="G851" s="38"/>
      <c r="H851" s="15"/>
      <c r="I851" s="45"/>
      <c r="J851" s="15"/>
    </row>
    <row r="852">
      <c r="A852" s="38" t="b">
        <v>0</v>
      </c>
      <c r="B852" s="38"/>
      <c r="C852" s="17"/>
      <c r="D852" s="17"/>
      <c r="E852" s="38"/>
      <c r="F852" s="38"/>
      <c r="G852" s="38"/>
      <c r="H852" s="15"/>
      <c r="I852" s="45"/>
      <c r="J852" s="15"/>
    </row>
    <row r="853">
      <c r="A853" s="38" t="b">
        <v>0</v>
      </c>
      <c r="B853" s="38"/>
      <c r="C853" s="17"/>
      <c r="D853" s="17"/>
      <c r="E853" s="38"/>
      <c r="F853" s="38"/>
      <c r="G853" s="38"/>
      <c r="H853" s="15"/>
      <c r="I853" s="45"/>
      <c r="J853" s="15"/>
    </row>
    <row r="854">
      <c r="A854" s="38" t="b">
        <v>0</v>
      </c>
      <c r="B854" s="38"/>
      <c r="C854" s="17"/>
      <c r="D854" s="17"/>
      <c r="E854" s="38"/>
      <c r="F854" s="38"/>
      <c r="G854" s="38"/>
      <c r="H854" s="15"/>
      <c r="I854" s="45"/>
      <c r="J854" s="15"/>
    </row>
    <row r="855">
      <c r="A855" s="38" t="b">
        <v>0</v>
      </c>
      <c r="B855" s="38"/>
      <c r="C855" s="17"/>
      <c r="D855" s="17"/>
      <c r="E855" s="38"/>
      <c r="F855" s="38"/>
      <c r="G855" s="38"/>
      <c r="H855" s="15"/>
      <c r="I855" s="45"/>
      <c r="J855" s="15"/>
    </row>
    <row r="856">
      <c r="A856" s="38" t="b">
        <v>0</v>
      </c>
      <c r="B856" s="38"/>
      <c r="C856" s="17"/>
      <c r="D856" s="17"/>
      <c r="E856" s="38"/>
      <c r="F856" s="38"/>
      <c r="G856" s="38"/>
      <c r="H856" s="15"/>
      <c r="I856" s="45"/>
      <c r="J856" s="15"/>
    </row>
    <row r="857">
      <c r="A857" s="38" t="b">
        <v>0</v>
      </c>
      <c r="B857" s="38"/>
      <c r="C857" s="17"/>
      <c r="D857" s="17"/>
      <c r="E857" s="38"/>
      <c r="F857" s="38"/>
      <c r="G857" s="38"/>
      <c r="H857" s="15"/>
      <c r="I857" s="45"/>
      <c r="J857" s="15"/>
    </row>
    <row r="858">
      <c r="A858" s="38" t="b">
        <v>0</v>
      </c>
      <c r="B858" s="38"/>
      <c r="C858" s="17"/>
      <c r="D858" s="17"/>
      <c r="E858" s="38"/>
      <c r="F858" s="38"/>
      <c r="G858" s="38"/>
      <c r="H858" s="15"/>
      <c r="I858" s="45"/>
      <c r="J858" s="15"/>
    </row>
    <row r="859">
      <c r="A859" s="38" t="b">
        <v>0</v>
      </c>
      <c r="B859" s="38"/>
      <c r="C859" s="17"/>
      <c r="D859" s="17"/>
      <c r="E859" s="38"/>
      <c r="F859" s="38"/>
      <c r="G859" s="38"/>
      <c r="H859" s="15"/>
      <c r="I859" s="45"/>
      <c r="J859" s="15"/>
    </row>
    <row r="860">
      <c r="A860" s="38" t="b">
        <v>0</v>
      </c>
      <c r="B860" s="38"/>
      <c r="C860" s="17"/>
      <c r="D860" s="17"/>
      <c r="E860" s="38"/>
      <c r="F860" s="38"/>
      <c r="G860" s="38"/>
      <c r="H860" s="15"/>
      <c r="I860" s="45"/>
      <c r="J860" s="15"/>
    </row>
    <row r="861">
      <c r="A861" s="38" t="b">
        <v>0</v>
      </c>
      <c r="B861" s="38"/>
      <c r="C861" s="17"/>
      <c r="D861" s="17"/>
      <c r="E861" s="38"/>
      <c r="F861" s="38"/>
      <c r="G861" s="38"/>
      <c r="H861" s="15"/>
      <c r="I861" s="45"/>
      <c r="J861" s="15"/>
    </row>
    <row r="862">
      <c r="A862" s="38" t="b">
        <v>0</v>
      </c>
      <c r="B862" s="38"/>
      <c r="C862" s="17"/>
      <c r="D862" s="17"/>
      <c r="E862" s="38"/>
      <c r="F862" s="38"/>
      <c r="G862" s="38"/>
      <c r="H862" s="15"/>
      <c r="I862" s="45"/>
      <c r="J862" s="15"/>
    </row>
    <row r="863">
      <c r="A863" s="38" t="b">
        <v>0</v>
      </c>
      <c r="B863" s="38"/>
      <c r="C863" s="17"/>
      <c r="D863" s="17"/>
      <c r="E863" s="38"/>
      <c r="F863" s="38"/>
      <c r="G863" s="38"/>
      <c r="H863" s="15"/>
      <c r="I863" s="45"/>
      <c r="J863" s="15"/>
    </row>
    <row r="864">
      <c r="A864" s="38" t="b">
        <v>0</v>
      </c>
      <c r="B864" s="38"/>
      <c r="C864" s="17"/>
      <c r="D864" s="17"/>
      <c r="E864" s="38"/>
      <c r="F864" s="38"/>
      <c r="G864" s="38"/>
      <c r="H864" s="15"/>
      <c r="I864" s="45"/>
      <c r="J864" s="15"/>
    </row>
    <row r="865">
      <c r="A865" s="38" t="b">
        <v>0</v>
      </c>
      <c r="B865" s="38"/>
      <c r="C865" s="17"/>
      <c r="D865" s="17"/>
      <c r="E865" s="38"/>
      <c r="F865" s="38"/>
      <c r="G865" s="38"/>
      <c r="H865" s="15"/>
      <c r="I865" s="45"/>
      <c r="J865" s="15"/>
    </row>
    <row r="866">
      <c r="A866" s="38" t="b">
        <v>0</v>
      </c>
      <c r="B866" s="38"/>
      <c r="C866" s="17"/>
      <c r="D866" s="17"/>
      <c r="E866" s="38"/>
      <c r="F866" s="38"/>
      <c r="G866" s="38"/>
      <c r="H866" s="15"/>
      <c r="I866" s="45"/>
      <c r="J866" s="15"/>
    </row>
    <row r="867">
      <c r="A867" s="38" t="b">
        <v>0</v>
      </c>
      <c r="B867" s="38"/>
      <c r="C867" s="17"/>
      <c r="D867" s="17"/>
      <c r="E867" s="38"/>
      <c r="F867" s="38"/>
      <c r="G867" s="38"/>
      <c r="H867" s="15"/>
      <c r="I867" s="45"/>
      <c r="J867" s="15"/>
    </row>
    <row r="868">
      <c r="A868" s="38" t="b">
        <v>0</v>
      </c>
      <c r="B868" s="38"/>
      <c r="C868" s="17"/>
      <c r="D868" s="17"/>
      <c r="E868" s="38"/>
      <c r="F868" s="38"/>
      <c r="G868" s="38"/>
      <c r="H868" s="15"/>
      <c r="I868" s="45"/>
      <c r="J868" s="15"/>
    </row>
    <row r="869">
      <c r="A869" s="38" t="b">
        <v>0</v>
      </c>
      <c r="B869" s="38"/>
      <c r="C869" s="17"/>
      <c r="D869" s="17"/>
      <c r="E869" s="38"/>
      <c r="F869" s="38"/>
      <c r="G869" s="38"/>
      <c r="H869" s="15"/>
      <c r="I869" s="45"/>
      <c r="J869" s="15"/>
    </row>
    <row r="870">
      <c r="A870" s="38" t="b">
        <v>0</v>
      </c>
      <c r="B870" s="38"/>
      <c r="C870" s="17"/>
      <c r="D870" s="17"/>
      <c r="E870" s="38"/>
      <c r="F870" s="38"/>
      <c r="G870" s="38"/>
      <c r="H870" s="15"/>
      <c r="I870" s="45"/>
      <c r="J870" s="15"/>
    </row>
    <row r="871">
      <c r="A871" s="38" t="b">
        <v>0</v>
      </c>
      <c r="B871" s="38"/>
      <c r="C871" s="17"/>
      <c r="D871" s="17"/>
      <c r="E871" s="38"/>
      <c r="F871" s="38"/>
      <c r="G871" s="38"/>
      <c r="H871" s="15"/>
      <c r="I871" s="45"/>
      <c r="J871" s="15"/>
    </row>
    <row r="872">
      <c r="A872" s="38" t="b">
        <v>0</v>
      </c>
      <c r="B872" s="38"/>
      <c r="C872" s="17"/>
      <c r="D872" s="17"/>
      <c r="E872" s="38"/>
      <c r="F872" s="38"/>
      <c r="G872" s="38"/>
      <c r="H872" s="15"/>
      <c r="I872" s="45"/>
      <c r="J872" s="15"/>
    </row>
    <row r="873">
      <c r="A873" s="38" t="b">
        <v>0</v>
      </c>
      <c r="B873" s="38"/>
      <c r="C873" s="17"/>
      <c r="D873" s="17"/>
      <c r="E873" s="38"/>
      <c r="F873" s="38"/>
      <c r="G873" s="38"/>
      <c r="H873" s="15"/>
      <c r="I873" s="45"/>
      <c r="J873" s="15"/>
    </row>
    <row r="874">
      <c r="A874" s="38" t="b">
        <v>0</v>
      </c>
      <c r="B874" s="38"/>
      <c r="C874" s="17"/>
      <c r="D874" s="17"/>
      <c r="E874" s="38"/>
      <c r="F874" s="38"/>
      <c r="G874" s="38"/>
      <c r="H874" s="15"/>
      <c r="I874" s="45"/>
      <c r="J874" s="15"/>
    </row>
    <row r="875">
      <c r="A875" s="38" t="b">
        <v>0</v>
      </c>
      <c r="B875" s="38"/>
      <c r="C875" s="17"/>
      <c r="D875" s="17"/>
      <c r="E875" s="38"/>
      <c r="F875" s="38"/>
      <c r="G875" s="38"/>
      <c r="H875" s="15"/>
      <c r="I875" s="45"/>
      <c r="J875" s="15"/>
    </row>
    <row r="876">
      <c r="A876" s="38" t="b">
        <v>0</v>
      </c>
      <c r="B876" s="38"/>
      <c r="C876" s="17"/>
      <c r="D876" s="17"/>
      <c r="E876" s="38"/>
      <c r="F876" s="38"/>
      <c r="G876" s="38"/>
      <c r="H876" s="15"/>
      <c r="I876" s="45"/>
      <c r="J876" s="15"/>
    </row>
    <row r="877">
      <c r="A877" s="38" t="b">
        <v>0</v>
      </c>
      <c r="B877" s="38"/>
      <c r="C877" s="17"/>
      <c r="D877" s="17"/>
      <c r="E877" s="38"/>
      <c r="F877" s="38"/>
      <c r="G877" s="38"/>
      <c r="H877" s="15"/>
      <c r="I877" s="45"/>
      <c r="J877" s="15"/>
    </row>
    <row r="878">
      <c r="A878" s="38" t="b">
        <v>0</v>
      </c>
      <c r="B878" s="38"/>
      <c r="C878" s="17"/>
      <c r="D878" s="17"/>
      <c r="E878" s="38"/>
      <c r="F878" s="38"/>
      <c r="G878" s="38"/>
      <c r="H878" s="15"/>
      <c r="I878" s="45"/>
      <c r="J878" s="15"/>
    </row>
    <row r="879">
      <c r="A879" s="38" t="b">
        <v>0</v>
      </c>
      <c r="B879" s="38"/>
      <c r="C879" s="17"/>
      <c r="D879" s="17"/>
      <c r="E879" s="38"/>
      <c r="F879" s="38"/>
      <c r="G879" s="38"/>
      <c r="H879" s="15"/>
      <c r="I879" s="45"/>
      <c r="J879" s="15"/>
    </row>
    <row r="880">
      <c r="A880" s="38" t="b">
        <v>0</v>
      </c>
      <c r="B880" s="38"/>
      <c r="C880" s="17"/>
      <c r="D880" s="17"/>
      <c r="E880" s="38"/>
      <c r="F880" s="38"/>
      <c r="G880" s="38"/>
      <c r="H880" s="15"/>
      <c r="I880" s="45"/>
      <c r="J880" s="15"/>
    </row>
    <row r="881">
      <c r="A881" s="38" t="b">
        <v>0</v>
      </c>
      <c r="B881" s="38"/>
      <c r="C881" s="17"/>
      <c r="D881" s="17"/>
      <c r="E881" s="38"/>
      <c r="F881" s="38"/>
      <c r="G881" s="38"/>
      <c r="H881" s="15"/>
      <c r="I881" s="45"/>
      <c r="J881" s="15"/>
    </row>
    <row r="882">
      <c r="A882" s="38" t="b">
        <v>0</v>
      </c>
      <c r="B882" s="38"/>
      <c r="C882" s="17"/>
      <c r="D882" s="17"/>
      <c r="E882" s="38"/>
      <c r="F882" s="38"/>
      <c r="G882" s="38"/>
      <c r="H882" s="15"/>
      <c r="I882" s="45"/>
      <c r="J882" s="15"/>
    </row>
    <row r="883">
      <c r="A883" s="38" t="b">
        <v>0</v>
      </c>
      <c r="B883" s="38"/>
      <c r="C883" s="17"/>
      <c r="D883" s="17"/>
      <c r="E883" s="38"/>
      <c r="F883" s="38"/>
      <c r="G883" s="38"/>
      <c r="H883" s="15"/>
      <c r="I883" s="45"/>
      <c r="J883" s="15"/>
    </row>
    <row r="884">
      <c r="A884" s="38" t="b">
        <v>0</v>
      </c>
      <c r="B884" s="38"/>
      <c r="C884" s="17"/>
      <c r="D884" s="17"/>
      <c r="E884" s="38"/>
      <c r="F884" s="38"/>
      <c r="G884" s="38"/>
      <c r="H884" s="15"/>
      <c r="I884" s="45"/>
      <c r="J884" s="15"/>
    </row>
    <row r="885">
      <c r="A885" s="38" t="b">
        <v>0</v>
      </c>
      <c r="B885" s="38"/>
      <c r="C885" s="17"/>
      <c r="D885" s="17"/>
      <c r="E885" s="38"/>
      <c r="F885" s="38"/>
      <c r="G885" s="38"/>
      <c r="H885" s="15"/>
      <c r="I885" s="45"/>
      <c r="J885" s="15"/>
    </row>
    <row r="886">
      <c r="A886" s="38" t="b">
        <v>0</v>
      </c>
      <c r="B886" s="38"/>
      <c r="C886" s="17"/>
      <c r="D886" s="17"/>
      <c r="E886" s="38"/>
      <c r="F886" s="38"/>
      <c r="G886" s="38"/>
      <c r="H886" s="15"/>
      <c r="I886" s="45"/>
      <c r="J886" s="15"/>
    </row>
    <row r="887">
      <c r="A887" s="38" t="b">
        <v>0</v>
      </c>
      <c r="B887" s="38"/>
      <c r="C887" s="17"/>
      <c r="D887" s="17"/>
      <c r="E887" s="38"/>
      <c r="F887" s="38"/>
      <c r="G887" s="38"/>
      <c r="H887" s="15"/>
      <c r="I887" s="45"/>
      <c r="J887" s="15"/>
    </row>
    <row r="888">
      <c r="A888" s="38" t="b">
        <v>0</v>
      </c>
      <c r="B888" s="38"/>
      <c r="C888" s="17"/>
      <c r="D888" s="17"/>
      <c r="E888" s="38"/>
      <c r="F888" s="38"/>
      <c r="G888" s="38"/>
      <c r="H888" s="15"/>
      <c r="I888" s="45"/>
      <c r="J888" s="15"/>
    </row>
    <row r="889">
      <c r="A889" s="38" t="b">
        <v>0</v>
      </c>
      <c r="B889" s="38"/>
      <c r="C889" s="17"/>
      <c r="D889" s="17"/>
      <c r="E889" s="38"/>
      <c r="F889" s="38"/>
      <c r="G889" s="38"/>
      <c r="H889" s="15"/>
      <c r="I889" s="45"/>
      <c r="J889" s="15"/>
    </row>
    <row r="890">
      <c r="A890" s="38" t="b">
        <v>0</v>
      </c>
      <c r="B890" s="38"/>
      <c r="C890" s="17"/>
      <c r="D890" s="17"/>
      <c r="E890" s="38"/>
      <c r="F890" s="38"/>
      <c r="G890" s="38"/>
      <c r="H890" s="15"/>
      <c r="I890" s="45"/>
      <c r="J890" s="15"/>
    </row>
    <row r="891">
      <c r="A891" s="38" t="b">
        <v>0</v>
      </c>
      <c r="B891" s="38"/>
      <c r="C891" s="17"/>
      <c r="D891" s="17"/>
      <c r="E891" s="38"/>
      <c r="F891" s="38"/>
      <c r="G891" s="38"/>
      <c r="H891" s="15"/>
      <c r="I891" s="45"/>
      <c r="J891" s="15"/>
    </row>
    <row r="892">
      <c r="A892" s="38" t="b">
        <v>0</v>
      </c>
      <c r="B892" s="38"/>
      <c r="C892" s="17"/>
      <c r="D892" s="17"/>
      <c r="E892" s="38"/>
      <c r="F892" s="38"/>
      <c r="G892" s="38"/>
      <c r="H892" s="15"/>
      <c r="I892" s="45"/>
      <c r="J892" s="15"/>
    </row>
    <row r="893">
      <c r="A893" s="38" t="b">
        <v>0</v>
      </c>
      <c r="B893" s="38"/>
      <c r="C893" s="17"/>
      <c r="D893" s="17"/>
      <c r="E893" s="38"/>
      <c r="F893" s="38"/>
      <c r="G893" s="38"/>
      <c r="H893" s="15"/>
      <c r="I893" s="45"/>
      <c r="J893" s="15"/>
    </row>
    <row r="894">
      <c r="A894" s="38" t="b">
        <v>0</v>
      </c>
      <c r="B894" s="38"/>
      <c r="C894" s="17"/>
      <c r="D894" s="17"/>
      <c r="E894" s="38"/>
      <c r="F894" s="38"/>
      <c r="G894" s="38"/>
      <c r="H894" s="15"/>
      <c r="I894" s="45"/>
      <c r="J894" s="15"/>
    </row>
    <row r="895">
      <c r="A895" s="38" t="b">
        <v>0</v>
      </c>
      <c r="B895" s="38"/>
      <c r="C895" s="17"/>
      <c r="D895" s="17"/>
      <c r="E895" s="38"/>
      <c r="F895" s="38"/>
      <c r="G895" s="38"/>
      <c r="H895" s="15"/>
      <c r="I895" s="45"/>
      <c r="J895" s="15"/>
    </row>
    <row r="896">
      <c r="A896" s="38" t="b">
        <v>0</v>
      </c>
      <c r="B896" s="38"/>
      <c r="C896" s="17"/>
      <c r="D896" s="17"/>
      <c r="E896" s="38"/>
      <c r="F896" s="38"/>
      <c r="G896" s="38"/>
      <c r="H896" s="15"/>
      <c r="I896" s="45"/>
      <c r="J896" s="15"/>
    </row>
    <row r="897">
      <c r="A897" s="38" t="b">
        <v>0</v>
      </c>
      <c r="B897" s="38"/>
      <c r="C897" s="17"/>
      <c r="D897" s="17"/>
      <c r="E897" s="38"/>
      <c r="F897" s="38"/>
      <c r="G897" s="38"/>
      <c r="H897" s="15"/>
      <c r="I897" s="45"/>
      <c r="J897" s="15"/>
    </row>
    <row r="898">
      <c r="A898" s="38" t="b">
        <v>0</v>
      </c>
      <c r="B898" s="38"/>
      <c r="C898" s="17"/>
      <c r="D898" s="17"/>
      <c r="E898" s="38"/>
      <c r="F898" s="38"/>
      <c r="G898" s="38"/>
      <c r="H898" s="15"/>
      <c r="I898" s="45"/>
      <c r="J898" s="15"/>
    </row>
    <row r="899">
      <c r="A899" s="38" t="b">
        <v>0</v>
      </c>
      <c r="B899" s="38"/>
      <c r="C899" s="17"/>
      <c r="D899" s="17"/>
      <c r="E899" s="38"/>
      <c r="F899" s="38"/>
      <c r="G899" s="38"/>
      <c r="H899" s="15"/>
      <c r="I899" s="45"/>
      <c r="J899" s="15"/>
    </row>
    <row r="900">
      <c r="A900" s="38" t="b">
        <v>0</v>
      </c>
      <c r="B900" s="38"/>
      <c r="C900" s="17"/>
      <c r="D900" s="17"/>
      <c r="E900" s="38"/>
      <c r="F900" s="38"/>
      <c r="G900" s="38"/>
      <c r="H900" s="15"/>
      <c r="I900" s="45"/>
      <c r="J900" s="15"/>
    </row>
    <row r="901">
      <c r="A901" s="38" t="b">
        <v>0</v>
      </c>
      <c r="B901" s="38"/>
      <c r="C901" s="17"/>
      <c r="D901" s="17"/>
      <c r="E901" s="38"/>
      <c r="F901" s="38"/>
      <c r="G901" s="38"/>
      <c r="H901" s="15"/>
      <c r="I901" s="45"/>
      <c r="J901" s="15"/>
    </row>
    <row r="902">
      <c r="A902" s="38" t="b">
        <v>0</v>
      </c>
      <c r="B902" s="38"/>
      <c r="C902" s="17"/>
      <c r="D902" s="17"/>
      <c r="E902" s="38"/>
      <c r="F902" s="38"/>
      <c r="G902" s="38"/>
      <c r="H902" s="15"/>
      <c r="I902" s="45"/>
      <c r="J902" s="15"/>
    </row>
    <row r="903">
      <c r="A903" s="38" t="b">
        <v>0</v>
      </c>
      <c r="B903" s="38"/>
      <c r="C903" s="17"/>
      <c r="D903" s="17"/>
      <c r="E903" s="38"/>
      <c r="F903" s="38"/>
      <c r="G903" s="38"/>
      <c r="H903" s="15"/>
      <c r="I903" s="45"/>
      <c r="J903" s="15"/>
    </row>
    <row r="904">
      <c r="A904" s="38" t="b">
        <v>0</v>
      </c>
      <c r="B904" s="38"/>
      <c r="C904" s="17"/>
      <c r="D904" s="17"/>
      <c r="E904" s="38"/>
      <c r="F904" s="38"/>
      <c r="G904" s="38"/>
      <c r="H904" s="15"/>
      <c r="I904" s="45"/>
      <c r="J904" s="15"/>
    </row>
    <row r="905">
      <c r="A905" s="38" t="b">
        <v>0</v>
      </c>
      <c r="B905" s="38"/>
      <c r="C905" s="17"/>
      <c r="D905" s="17"/>
      <c r="E905" s="38"/>
      <c r="F905" s="38"/>
      <c r="G905" s="38"/>
      <c r="H905" s="15"/>
      <c r="I905" s="45"/>
      <c r="J905" s="15"/>
    </row>
    <row r="906">
      <c r="A906" s="38" t="b">
        <v>0</v>
      </c>
      <c r="B906" s="38"/>
      <c r="C906" s="17"/>
      <c r="D906" s="17"/>
      <c r="E906" s="38"/>
      <c r="F906" s="38"/>
      <c r="G906" s="38"/>
      <c r="H906" s="15"/>
      <c r="I906" s="45"/>
      <c r="J906" s="15"/>
    </row>
    <row r="907">
      <c r="A907" s="38" t="b">
        <v>0</v>
      </c>
      <c r="B907" s="38"/>
      <c r="C907" s="17"/>
      <c r="D907" s="17"/>
      <c r="E907" s="38"/>
      <c r="F907" s="38"/>
      <c r="G907" s="38"/>
      <c r="H907" s="15"/>
      <c r="I907" s="45"/>
      <c r="J907" s="15"/>
    </row>
    <row r="908">
      <c r="A908" s="38" t="b">
        <v>0</v>
      </c>
      <c r="B908" s="38"/>
      <c r="C908" s="17"/>
      <c r="D908" s="17"/>
      <c r="E908" s="38"/>
      <c r="F908" s="38"/>
      <c r="G908" s="38"/>
      <c r="H908" s="15"/>
      <c r="I908" s="45"/>
      <c r="J908" s="15"/>
    </row>
    <row r="909">
      <c r="A909" s="38" t="b">
        <v>0</v>
      </c>
      <c r="B909" s="38"/>
      <c r="C909" s="17"/>
      <c r="D909" s="17"/>
      <c r="E909" s="38"/>
      <c r="F909" s="38"/>
      <c r="G909" s="38"/>
      <c r="H909" s="15"/>
      <c r="I909" s="45"/>
      <c r="J909" s="15"/>
    </row>
    <row r="910">
      <c r="A910" s="38" t="b">
        <v>0</v>
      </c>
      <c r="B910" s="38"/>
      <c r="C910" s="17"/>
      <c r="D910" s="17"/>
      <c r="E910" s="38"/>
      <c r="F910" s="38"/>
      <c r="G910" s="38"/>
      <c r="H910" s="15"/>
      <c r="I910" s="45"/>
      <c r="J910" s="15"/>
    </row>
    <row r="911">
      <c r="A911" s="38" t="b">
        <v>0</v>
      </c>
      <c r="B911" s="38"/>
      <c r="C911" s="17"/>
      <c r="D911" s="17"/>
      <c r="E911" s="38"/>
      <c r="F911" s="38"/>
      <c r="G911" s="38"/>
      <c r="H911" s="15"/>
      <c r="I911" s="45"/>
      <c r="J911" s="15"/>
    </row>
    <row r="912">
      <c r="A912" s="38" t="b">
        <v>0</v>
      </c>
      <c r="B912" s="38"/>
      <c r="C912" s="17"/>
      <c r="D912" s="17"/>
      <c r="E912" s="38"/>
      <c r="F912" s="38"/>
      <c r="G912" s="38"/>
      <c r="H912" s="15"/>
      <c r="I912" s="45"/>
      <c r="J912" s="15"/>
    </row>
    <row r="913">
      <c r="A913" s="38" t="b">
        <v>0</v>
      </c>
      <c r="B913" s="38"/>
      <c r="C913" s="17"/>
      <c r="D913" s="17"/>
      <c r="E913" s="38"/>
      <c r="F913" s="38"/>
      <c r="G913" s="38"/>
      <c r="H913" s="15"/>
      <c r="I913" s="45"/>
      <c r="J913" s="15"/>
    </row>
    <row r="914">
      <c r="A914" s="38" t="b">
        <v>0</v>
      </c>
      <c r="B914" s="38"/>
      <c r="C914" s="17"/>
      <c r="D914" s="17"/>
      <c r="E914" s="38"/>
      <c r="F914" s="38"/>
      <c r="G914" s="38"/>
      <c r="H914" s="15"/>
      <c r="I914" s="45"/>
      <c r="J914" s="15"/>
    </row>
    <row r="915">
      <c r="A915" s="38" t="b">
        <v>0</v>
      </c>
      <c r="B915" s="38"/>
      <c r="C915" s="17"/>
      <c r="D915" s="17"/>
      <c r="E915" s="38"/>
      <c r="F915" s="38"/>
      <c r="G915" s="38"/>
      <c r="H915" s="15"/>
      <c r="I915" s="45"/>
      <c r="J915" s="15"/>
    </row>
    <row r="916">
      <c r="A916" s="38" t="b">
        <v>0</v>
      </c>
      <c r="B916" s="38"/>
      <c r="C916" s="17"/>
      <c r="D916" s="17"/>
      <c r="E916" s="38"/>
      <c r="F916" s="38"/>
      <c r="G916" s="38"/>
      <c r="H916" s="15"/>
      <c r="I916" s="45"/>
      <c r="J916" s="15"/>
    </row>
    <row r="917">
      <c r="A917" s="38" t="b">
        <v>0</v>
      </c>
      <c r="B917" s="38"/>
      <c r="C917" s="17"/>
      <c r="D917" s="17"/>
      <c r="E917" s="38"/>
      <c r="F917" s="38"/>
      <c r="G917" s="38"/>
      <c r="H917" s="15"/>
      <c r="I917" s="45"/>
      <c r="J917" s="15"/>
    </row>
    <row r="918">
      <c r="A918" s="38" t="b">
        <v>0</v>
      </c>
      <c r="B918" s="38"/>
      <c r="C918" s="17"/>
      <c r="D918" s="17"/>
      <c r="E918" s="38"/>
      <c r="F918" s="38"/>
      <c r="G918" s="38"/>
      <c r="H918" s="15"/>
      <c r="I918" s="45"/>
      <c r="J918" s="15"/>
    </row>
    <row r="919">
      <c r="A919" s="38" t="b">
        <v>0</v>
      </c>
      <c r="B919" s="38"/>
      <c r="C919" s="17"/>
      <c r="D919" s="17"/>
      <c r="E919" s="38"/>
      <c r="F919" s="38"/>
      <c r="G919" s="38"/>
      <c r="H919" s="15"/>
      <c r="I919" s="45"/>
      <c r="J919" s="15"/>
    </row>
    <row r="920">
      <c r="A920" s="38" t="b">
        <v>0</v>
      </c>
      <c r="B920" s="38"/>
      <c r="C920" s="17"/>
      <c r="D920" s="17"/>
      <c r="E920" s="38"/>
      <c r="F920" s="38"/>
      <c r="G920" s="38"/>
      <c r="H920" s="15"/>
      <c r="I920" s="45"/>
      <c r="J920" s="15"/>
    </row>
    <row r="921">
      <c r="A921" s="38" t="b">
        <v>0</v>
      </c>
      <c r="B921" s="38"/>
      <c r="C921" s="17"/>
      <c r="D921" s="17"/>
      <c r="E921" s="38"/>
      <c r="F921" s="38"/>
      <c r="G921" s="38"/>
      <c r="H921" s="15"/>
      <c r="I921" s="45"/>
      <c r="J921" s="15"/>
    </row>
    <row r="922">
      <c r="A922" s="38" t="b">
        <v>0</v>
      </c>
      <c r="B922" s="38"/>
      <c r="C922" s="17"/>
      <c r="D922" s="17"/>
      <c r="E922" s="38"/>
      <c r="F922" s="38"/>
      <c r="G922" s="38"/>
      <c r="H922" s="15"/>
      <c r="I922" s="45"/>
      <c r="J922" s="15"/>
    </row>
    <row r="923">
      <c r="A923" s="38" t="b">
        <v>0</v>
      </c>
      <c r="B923" s="38"/>
      <c r="C923" s="17"/>
      <c r="D923" s="17"/>
      <c r="E923" s="38"/>
      <c r="F923" s="38"/>
      <c r="G923" s="38"/>
      <c r="H923" s="15"/>
      <c r="I923" s="45"/>
      <c r="J923" s="15"/>
    </row>
    <row r="924">
      <c r="A924" s="38" t="b">
        <v>0</v>
      </c>
      <c r="B924" s="38"/>
      <c r="C924" s="17"/>
      <c r="D924" s="17"/>
      <c r="E924" s="38"/>
      <c r="F924" s="38"/>
      <c r="G924" s="38"/>
      <c r="H924" s="15"/>
      <c r="I924" s="45"/>
      <c r="J924" s="15"/>
    </row>
    <row r="925">
      <c r="A925" s="38" t="b">
        <v>0</v>
      </c>
      <c r="B925" s="38"/>
      <c r="C925" s="17"/>
      <c r="D925" s="17"/>
      <c r="E925" s="38"/>
      <c r="F925" s="38"/>
      <c r="G925" s="38"/>
      <c r="H925" s="15"/>
      <c r="I925" s="45"/>
      <c r="J925" s="15"/>
    </row>
    <row r="926">
      <c r="A926" s="38" t="b">
        <v>0</v>
      </c>
      <c r="B926" s="38"/>
      <c r="C926" s="17"/>
      <c r="D926" s="17"/>
      <c r="E926" s="38"/>
      <c r="F926" s="38"/>
      <c r="G926" s="38"/>
      <c r="H926" s="15"/>
      <c r="I926" s="45"/>
      <c r="J926" s="15"/>
    </row>
    <row r="927">
      <c r="A927" s="38" t="b">
        <v>0</v>
      </c>
      <c r="B927" s="38"/>
      <c r="C927" s="17"/>
      <c r="D927" s="17"/>
      <c r="E927" s="38"/>
      <c r="F927" s="38"/>
      <c r="G927" s="38"/>
      <c r="H927" s="15"/>
      <c r="I927" s="45"/>
      <c r="J927" s="15"/>
    </row>
    <row r="928">
      <c r="A928" s="38" t="b">
        <v>0</v>
      </c>
      <c r="B928" s="38"/>
      <c r="C928" s="17"/>
      <c r="D928" s="17"/>
      <c r="E928" s="38"/>
      <c r="F928" s="38"/>
      <c r="G928" s="38"/>
      <c r="H928" s="15"/>
      <c r="I928" s="45"/>
      <c r="J928" s="15"/>
    </row>
    <row r="929">
      <c r="A929" s="38" t="b">
        <v>0</v>
      </c>
      <c r="B929" s="38"/>
      <c r="C929" s="17"/>
      <c r="D929" s="17"/>
      <c r="E929" s="38"/>
      <c r="F929" s="38"/>
      <c r="G929" s="38"/>
      <c r="H929" s="15"/>
      <c r="I929" s="45"/>
      <c r="J929" s="15"/>
    </row>
    <row r="930">
      <c r="A930" s="38" t="b">
        <v>0</v>
      </c>
      <c r="B930" s="38"/>
      <c r="C930" s="17"/>
      <c r="D930" s="17"/>
      <c r="E930" s="38"/>
      <c r="F930" s="38"/>
      <c r="G930" s="38"/>
      <c r="H930" s="15"/>
      <c r="I930" s="45"/>
      <c r="J930" s="15"/>
    </row>
    <row r="931">
      <c r="A931" s="38" t="b">
        <v>0</v>
      </c>
      <c r="B931" s="38"/>
      <c r="C931" s="17"/>
      <c r="D931" s="17"/>
      <c r="E931" s="38"/>
      <c r="F931" s="38"/>
      <c r="G931" s="38"/>
      <c r="H931" s="15"/>
      <c r="I931" s="45"/>
      <c r="J931" s="15"/>
    </row>
    <row r="932">
      <c r="A932" s="38" t="b">
        <v>0</v>
      </c>
      <c r="B932" s="38"/>
      <c r="C932" s="17"/>
      <c r="D932" s="17"/>
      <c r="E932" s="38"/>
      <c r="F932" s="38"/>
      <c r="G932" s="38"/>
      <c r="H932" s="15"/>
      <c r="I932" s="45"/>
      <c r="J932" s="15"/>
    </row>
    <row r="933">
      <c r="A933" s="38" t="b">
        <v>0</v>
      </c>
      <c r="B933" s="38"/>
      <c r="C933" s="17"/>
      <c r="D933" s="17"/>
      <c r="E933" s="38"/>
      <c r="F933" s="38"/>
      <c r="G933" s="38"/>
      <c r="H933" s="15"/>
      <c r="I933" s="45"/>
      <c r="J933" s="15"/>
    </row>
    <row r="934">
      <c r="A934" s="38" t="b">
        <v>0</v>
      </c>
      <c r="B934" s="38"/>
      <c r="C934" s="17"/>
      <c r="D934" s="17"/>
      <c r="E934" s="38"/>
      <c r="F934" s="38"/>
      <c r="G934" s="38"/>
      <c r="H934" s="15"/>
      <c r="I934" s="45"/>
      <c r="J934" s="15"/>
    </row>
    <row r="935">
      <c r="A935" s="38" t="b">
        <v>0</v>
      </c>
      <c r="B935" s="38"/>
      <c r="C935" s="17"/>
      <c r="D935" s="17"/>
      <c r="E935" s="38"/>
      <c r="F935" s="38"/>
      <c r="G935" s="38"/>
      <c r="H935" s="15"/>
      <c r="I935" s="45"/>
      <c r="J935" s="15"/>
    </row>
    <row r="936">
      <c r="A936" s="38" t="b">
        <v>0</v>
      </c>
      <c r="B936" s="38"/>
      <c r="C936" s="17"/>
      <c r="D936" s="17"/>
      <c r="E936" s="38"/>
      <c r="F936" s="38"/>
      <c r="G936" s="38"/>
      <c r="H936" s="15"/>
      <c r="I936" s="45"/>
      <c r="J936" s="15"/>
    </row>
    <row r="937">
      <c r="A937" s="38" t="b">
        <v>0</v>
      </c>
      <c r="B937" s="38"/>
      <c r="C937" s="17"/>
      <c r="D937" s="17"/>
      <c r="E937" s="38"/>
      <c r="F937" s="38"/>
      <c r="G937" s="38"/>
      <c r="H937" s="15"/>
      <c r="I937" s="45"/>
      <c r="J937" s="15"/>
    </row>
    <row r="938">
      <c r="A938" s="38" t="b">
        <v>0</v>
      </c>
      <c r="B938" s="38"/>
      <c r="C938" s="17"/>
      <c r="D938" s="17"/>
      <c r="E938" s="38"/>
      <c r="F938" s="38"/>
      <c r="G938" s="38"/>
      <c r="H938" s="15"/>
      <c r="I938" s="45"/>
      <c r="J938" s="15"/>
    </row>
    <row r="939">
      <c r="A939" s="38" t="b">
        <v>0</v>
      </c>
      <c r="B939" s="38"/>
      <c r="C939" s="17"/>
      <c r="D939" s="17"/>
      <c r="E939" s="38"/>
      <c r="F939" s="38"/>
      <c r="G939" s="38"/>
      <c r="H939" s="15"/>
      <c r="I939" s="45"/>
      <c r="J939" s="15"/>
    </row>
    <row r="940">
      <c r="A940" s="38" t="b">
        <v>0</v>
      </c>
      <c r="B940" s="38"/>
      <c r="C940" s="17"/>
      <c r="D940" s="17"/>
      <c r="E940" s="38"/>
      <c r="F940" s="38"/>
      <c r="G940" s="38"/>
      <c r="H940" s="15"/>
      <c r="I940" s="45"/>
      <c r="J940" s="15"/>
    </row>
    <row r="941">
      <c r="A941" s="38" t="b">
        <v>0</v>
      </c>
      <c r="B941" s="38"/>
      <c r="C941" s="17"/>
      <c r="D941" s="17"/>
      <c r="E941" s="38"/>
      <c r="F941" s="38"/>
      <c r="G941" s="38"/>
      <c r="H941" s="15"/>
      <c r="I941" s="45"/>
      <c r="J941" s="15"/>
    </row>
    <row r="942">
      <c r="A942" s="38" t="b">
        <v>0</v>
      </c>
      <c r="B942" s="38"/>
      <c r="C942" s="17"/>
      <c r="D942" s="17"/>
      <c r="E942" s="38"/>
      <c r="F942" s="38"/>
      <c r="G942" s="38"/>
      <c r="H942" s="15"/>
      <c r="I942" s="45"/>
      <c r="J942" s="15"/>
    </row>
    <row r="943">
      <c r="A943" s="38" t="b">
        <v>0</v>
      </c>
      <c r="B943" s="38"/>
      <c r="C943" s="17"/>
      <c r="D943" s="17"/>
      <c r="E943" s="38"/>
      <c r="F943" s="38"/>
      <c r="G943" s="38"/>
      <c r="H943" s="15"/>
      <c r="I943" s="45"/>
      <c r="J943" s="15"/>
    </row>
    <row r="944">
      <c r="A944" s="38" t="b">
        <v>0</v>
      </c>
      <c r="B944" s="38"/>
      <c r="C944" s="17"/>
      <c r="D944" s="17"/>
      <c r="E944" s="38"/>
      <c r="F944" s="38"/>
      <c r="G944" s="38"/>
      <c r="H944" s="15"/>
      <c r="I944" s="45"/>
      <c r="J944" s="15"/>
    </row>
    <row r="945">
      <c r="A945" s="38" t="b">
        <v>0</v>
      </c>
      <c r="B945" s="38"/>
      <c r="C945" s="17"/>
      <c r="D945" s="17"/>
      <c r="E945" s="38"/>
      <c r="F945" s="38"/>
      <c r="G945" s="38"/>
      <c r="H945" s="15"/>
      <c r="I945" s="45"/>
      <c r="J945" s="15"/>
    </row>
    <row r="946">
      <c r="A946" s="38" t="b">
        <v>0</v>
      </c>
      <c r="B946" s="38"/>
      <c r="C946" s="17"/>
      <c r="D946" s="17"/>
      <c r="E946" s="38"/>
      <c r="F946" s="38"/>
      <c r="G946" s="38"/>
      <c r="H946" s="15"/>
      <c r="I946" s="45"/>
      <c r="J946" s="15"/>
    </row>
    <row r="947">
      <c r="A947" s="38" t="b">
        <v>0</v>
      </c>
      <c r="B947" s="38"/>
      <c r="C947" s="17"/>
      <c r="D947" s="17"/>
      <c r="E947" s="38"/>
      <c r="F947" s="38"/>
      <c r="G947" s="38"/>
      <c r="H947" s="15"/>
      <c r="I947" s="45"/>
      <c r="J947" s="15"/>
    </row>
    <row r="948">
      <c r="A948" s="38" t="b">
        <v>0</v>
      </c>
      <c r="B948" s="38"/>
      <c r="C948" s="17"/>
      <c r="D948" s="17"/>
      <c r="E948" s="38"/>
      <c r="F948" s="38"/>
      <c r="G948" s="38"/>
      <c r="H948" s="15"/>
      <c r="I948" s="45"/>
      <c r="J948" s="15"/>
    </row>
    <row r="949">
      <c r="A949" s="38" t="b">
        <v>0</v>
      </c>
      <c r="B949" s="38"/>
      <c r="C949" s="17"/>
      <c r="D949" s="17"/>
      <c r="E949" s="38"/>
      <c r="F949" s="38"/>
      <c r="G949" s="38"/>
      <c r="H949" s="15"/>
      <c r="I949" s="45"/>
      <c r="J949" s="15"/>
    </row>
    <row r="950">
      <c r="A950" s="38" t="b">
        <v>0</v>
      </c>
      <c r="B950" s="38"/>
      <c r="C950" s="17"/>
      <c r="D950" s="17"/>
      <c r="E950" s="38"/>
      <c r="F950" s="38"/>
      <c r="G950" s="38"/>
      <c r="H950" s="15"/>
      <c r="I950" s="45"/>
      <c r="J950" s="15"/>
    </row>
    <row r="951">
      <c r="A951" s="38" t="b">
        <v>0</v>
      </c>
      <c r="B951" s="38"/>
      <c r="C951" s="17"/>
      <c r="D951" s="17"/>
      <c r="E951" s="38"/>
      <c r="F951" s="38"/>
      <c r="G951" s="38"/>
      <c r="H951" s="15"/>
      <c r="I951" s="45"/>
      <c r="J951" s="15"/>
    </row>
    <row r="952">
      <c r="A952" s="38" t="b">
        <v>0</v>
      </c>
      <c r="B952" s="38"/>
      <c r="C952" s="17"/>
      <c r="D952" s="17"/>
      <c r="E952" s="38"/>
      <c r="F952" s="38"/>
      <c r="G952" s="38"/>
      <c r="H952" s="15"/>
      <c r="I952" s="45"/>
      <c r="J952" s="15"/>
    </row>
    <row r="953">
      <c r="A953" s="38" t="b">
        <v>0</v>
      </c>
      <c r="B953" s="38"/>
      <c r="C953" s="17"/>
      <c r="D953" s="17"/>
      <c r="E953" s="38"/>
      <c r="F953" s="38"/>
      <c r="G953" s="38"/>
      <c r="H953" s="15"/>
      <c r="I953" s="45"/>
      <c r="J953" s="15"/>
    </row>
    <row r="954">
      <c r="A954" s="38" t="b">
        <v>0</v>
      </c>
      <c r="B954" s="38"/>
      <c r="C954" s="17"/>
      <c r="D954" s="17"/>
      <c r="E954" s="38"/>
      <c r="F954" s="38"/>
      <c r="G954" s="38"/>
      <c r="H954" s="15"/>
      <c r="I954" s="45"/>
      <c r="J954" s="15"/>
    </row>
    <row r="955">
      <c r="A955" s="38" t="b">
        <v>0</v>
      </c>
      <c r="B955" s="38"/>
      <c r="C955" s="17"/>
      <c r="D955" s="17"/>
      <c r="E955" s="38"/>
      <c r="F955" s="38"/>
      <c r="G955" s="38"/>
      <c r="H955" s="15"/>
      <c r="I955" s="45"/>
      <c r="J955" s="15"/>
    </row>
    <row r="956">
      <c r="A956" s="38" t="b">
        <v>0</v>
      </c>
      <c r="B956" s="38"/>
      <c r="C956" s="17"/>
      <c r="D956" s="17"/>
      <c r="E956" s="38"/>
      <c r="F956" s="38"/>
      <c r="G956" s="38"/>
      <c r="H956" s="15"/>
      <c r="I956" s="45"/>
      <c r="J956" s="15"/>
    </row>
    <row r="957">
      <c r="A957" s="38" t="b">
        <v>0</v>
      </c>
      <c r="B957" s="38"/>
      <c r="C957" s="17"/>
      <c r="D957" s="17"/>
      <c r="E957" s="38"/>
      <c r="F957" s="38"/>
      <c r="G957" s="38"/>
      <c r="H957" s="15"/>
      <c r="I957" s="45"/>
      <c r="J957" s="15"/>
    </row>
    <row r="958">
      <c r="A958" s="38" t="b">
        <v>0</v>
      </c>
      <c r="B958" s="38"/>
      <c r="C958" s="17"/>
      <c r="D958" s="17"/>
      <c r="E958" s="38"/>
      <c r="F958" s="38"/>
      <c r="G958" s="38"/>
      <c r="H958" s="15"/>
      <c r="I958" s="45"/>
      <c r="J958" s="15"/>
    </row>
    <row r="959">
      <c r="A959" s="38" t="b">
        <v>0</v>
      </c>
      <c r="B959" s="38"/>
      <c r="C959" s="17"/>
      <c r="D959" s="17"/>
      <c r="E959" s="38"/>
      <c r="F959" s="38"/>
      <c r="G959" s="38"/>
      <c r="H959" s="15"/>
      <c r="I959" s="45"/>
      <c r="J959" s="15"/>
    </row>
    <row r="960">
      <c r="A960" s="38" t="b">
        <v>0</v>
      </c>
      <c r="B960" s="38"/>
      <c r="C960" s="17"/>
      <c r="D960" s="17"/>
      <c r="E960" s="38"/>
      <c r="F960" s="38"/>
      <c r="G960" s="38"/>
      <c r="H960" s="15"/>
      <c r="I960" s="45"/>
      <c r="J960" s="15"/>
    </row>
    <row r="961">
      <c r="A961" s="38" t="b">
        <v>0</v>
      </c>
      <c r="B961" s="38"/>
      <c r="C961" s="17"/>
      <c r="D961" s="17"/>
      <c r="E961" s="38"/>
      <c r="F961" s="38"/>
      <c r="G961" s="38"/>
      <c r="H961" s="15"/>
      <c r="I961" s="45"/>
      <c r="J961" s="15"/>
    </row>
    <row r="962">
      <c r="A962" s="38" t="b">
        <v>0</v>
      </c>
      <c r="B962" s="38"/>
      <c r="C962" s="17"/>
      <c r="D962" s="17"/>
      <c r="E962" s="38"/>
      <c r="F962" s="38"/>
      <c r="G962" s="38"/>
      <c r="H962" s="15"/>
      <c r="I962" s="45"/>
      <c r="J962" s="15"/>
    </row>
    <row r="963">
      <c r="A963" s="38" t="b">
        <v>0</v>
      </c>
      <c r="B963" s="38"/>
      <c r="C963" s="17"/>
      <c r="D963" s="17"/>
      <c r="E963" s="38"/>
      <c r="F963" s="38"/>
      <c r="G963" s="38"/>
      <c r="H963" s="15"/>
      <c r="I963" s="45"/>
      <c r="J963" s="15"/>
    </row>
    <row r="964">
      <c r="A964" s="38" t="b">
        <v>0</v>
      </c>
      <c r="B964" s="38"/>
      <c r="C964" s="17"/>
      <c r="D964" s="17"/>
      <c r="E964" s="38"/>
      <c r="F964" s="38"/>
      <c r="G964" s="38"/>
      <c r="H964" s="15"/>
      <c r="I964" s="45"/>
      <c r="J964" s="15"/>
    </row>
    <row r="965">
      <c r="A965" s="38" t="b">
        <v>0</v>
      </c>
      <c r="B965" s="38"/>
      <c r="C965" s="17"/>
      <c r="D965" s="17"/>
      <c r="E965" s="38"/>
      <c r="F965" s="38"/>
      <c r="G965" s="38"/>
      <c r="H965" s="15"/>
      <c r="I965" s="45"/>
      <c r="J965" s="15"/>
    </row>
    <row r="966">
      <c r="A966" s="38" t="b">
        <v>0</v>
      </c>
      <c r="B966" s="38"/>
      <c r="C966" s="17"/>
      <c r="D966" s="17"/>
      <c r="E966" s="38"/>
      <c r="F966" s="38"/>
      <c r="G966" s="38"/>
      <c r="H966" s="15"/>
      <c r="I966" s="45"/>
      <c r="J966" s="15"/>
    </row>
    <row r="967">
      <c r="A967" s="38" t="b">
        <v>0</v>
      </c>
      <c r="B967" s="38"/>
      <c r="C967" s="17"/>
      <c r="D967" s="17"/>
      <c r="E967" s="38"/>
      <c r="F967" s="38"/>
      <c r="G967" s="38"/>
      <c r="H967" s="15"/>
      <c r="I967" s="45"/>
      <c r="J967" s="15"/>
    </row>
    <row r="968">
      <c r="A968" s="38" t="b">
        <v>0</v>
      </c>
      <c r="B968" s="38"/>
      <c r="C968" s="17"/>
      <c r="D968" s="17"/>
      <c r="E968" s="38"/>
      <c r="F968" s="38"/>
      <c r="G968" s="38"/>
      <c r="H968" s="15"/>
      <c r="I968" s="45"/>
      <c r="J968" s="15"/>
    </row>
    <row r="969">
      <c r="A969" s="38" t="b">
        <v>0</v>
      </c>
      <c r="B969" s="38"/>
      <c r="C969" s="17"/>
      <c r="D969" s="17"/>
      <c r="E969" s="38"/>
      <c r="F969" s="38"/>
      <c r="G969" s="38"/>
      <c r="H969" s="15"/>
      <c r="I969" s="45"/>
      <c r="J969" s="15"/>
    </row>
    <row r="970">
      <c r="A970" s="38" t="b">
        <v>0</v>
      </c>
      <c r="B970" s="38"/>
      <c r="C970" s="17"/>
      <c r="D970" s="17"/>
      <c r="E970" s="38"/>
      <c r="F970" s="38"/>
      <c r="G970" s="38"/>
      <c r="H970" s="15"/>
      <c r="I970" s="45"/>
      <c r="J970" s="15"/>
    </row>
    <row r="971">
      <c r="A971" s="38" t="b">
        <v>0</v>
      </c>
      <c r="B971" s="38"/>
      <c r="C971" s="17"/>
      <c r="D971" s="17"/>
      <c r="E971" s="38"/>
      <c r="F971" s="38"/>
      <c r="G971" s="38"/>
      <c r="H971" s="15"/>
      <c r="I971" s="45"/>
      <c r="J971" s="15"/>
    </row>
    <row r="972">
      <c r="A972" s="38" t="b">
        <v>0</v>
      </c>
      <c r="B972" s="38"/>
      <c r="C972" s="17"/>
      <c r="D972" s="17"/>
      <c r="E972" s="38"/>
      <c r="F972" s="38"/>
      <c r="G972" s="38"/>
      <c r="H972" s="15"/>
      <c r="I972" s="45"/>
      <c r="J972" s="15"/>
    </row>
    <row r="973">
      <c r="A973" s="38" t="b">
        <v>0</v>
      </c>
      <c r="B973" s="38"/>
      <c r="C973" s="17"/>
      <c r="D973" s="17"/>
      <c r="E973" s="38"/>
      <c r="F973" s="38"/>
      <c r="G973" s="38"/>
      <c r="H973" s="15"/>
      <c r="I973" s="45"/>
      <c r="J973" s="15"/>
    </row>
    <row r="974">
      <c r="A974" s="38" t="b">
        <v>0</v>
      </c>
      <c r="B974" s="38"/>
      <c r="C974" s="17"/>
      <c r="D974" s="17"/>
      <c r="E974" s="38"/>
      <c r="F974" s="38"/>
      <c r="G974" s="38"/>
      <c r="H974" s="15"/>
      <c r="I974" s="45"/>
      <c r="J974" s="15"/>
    </row>
    <row r="975">
      <c r="A975" s="38" t="b">
        <v>0</v>
      </c>
      <c r="B975" s="38"/>
      <c r="C975" s="17"/>
      <c r="D975" s="17"/>
      <c r="E975" s="38"/>
      <c r="F975" s="38"/>
      <c r="G975" s="38"/>
      <c r="H975" s="15"/>
      <c r="I975" s="45"/>
      <c r="J975" s="15"/>
    </row>
    <row r="976">
      <c r="A976" s="38" t="b">
        <v>0</v>
      </c>
      <c r="B976" s="38"/>
      <c r="C976" s="17"/>
      <c r="D976" s="17"/>
      <c r="E976" s="38"/>
      <c r="F976" s="38"/>
      <c r="G976" s="38"/>
      <c r="H976" s="15"/>
      <c r="I976" s="45"/>
      <c r="J976" s="15"/>
    </row>
    <row r="977">
      <c r="A977" s="38" t="b">
        <v>0</v>
      </c>
      <c r="B977" s="38"/>
      <c r="C977" s="17"/>
      <c r="D977" s="17"/>
      <c r="E977" s="38"/>
      <c r="F977" s="38"/>
      <c r="G977" s="38"/>
      <c r="H977" s="15"/>
      <c r="I977" s="45"/>
      <c r="J977" s="15"/>
    </row>
    <row r="978">
      <c r="A978" s="38" t="b">
        <v>0</v>
      </c>
      <c r="B978" s="38"/>
      <c r="C978" s="17"/>
      <c r="D978" s="17"/>
      <c r="E978" s="38"/>
      <c r="F978" s="38"/>
      <c r="G978" s="38"/>
      <c r="H978" s="15"/>
      <c r="I978" s="45"/>
      <c r="J978" s="15"/>
    </row>
    <row r="979">
      <c r="A979" s="38" t="b">
        <v>0</v>
      </c>
      <c r="B979" s="38"/>
      <c r="C979" s="17"/>
      <c r="D979" s="17"/>
      <c r="E979" s="38"/>
      <c r="F979" s="38"/>
      <c r="G979" s="38"/>
      <c r="H979" s="15"/>
      <c r="I979" s="45"/>
      <c r="J979" s="15"/>
    </row>
    <row r="980">
      <c r="A980" s="38" t="b">
        <v>0</v>
      </c>
      <c r="B980" s="38"/>
      <c r="C980" s="17"/>
      <c r="D980" s="17"/>
      <c r="E980" s="38"/>
      <c r="F980" s="38"/>
      <c r="G980" s="38"/>
      <c r="H980" s="15"/>
      <c r="I980" s="45"/>
      <c r="J980" s="15"/>
    </row>
    <row r="981">
      <c r="A981" s="38" t="b">
        <v>0</v>
      </c>
      <c r="B981" s="38"/>
      <c r="C981" s="17"/>
      <c r="D981" s="17"/>
      <c r="E981" s="38"/>
      <c r="F981" s="38"/>
      <c r="G981" s="38"/>
      <c r="H981" s="15"/>
      <c r="I981" s="45"/>
      <c r="J981" s="15"/>
    </row>
    <row r="982">
      <c r="A982" s="38" t="b">
        <v>0</v>
      </c>
      <c r="B982" s="38"/>
      <c r="C982" s="17"/>
      <c r="D982" s="17"/>
      <c r="E982" s="38"/>
      <c r="F982" s="38"/>
      <c r="G982" s="38"/>
      <c r="H982" s="15"/>
      <c r="I982" s="45"/>
      <c r="J982" s="15"/>
    </row>
    <row r="983">
      <c r="A983" s="38" t="b">
        <v>0</v>
      </c>
      <c r="B983" s="38"/>
      <c r="C983" s="17"/>
      <c r="D983" s="17"/>
      <c r="E983" s="38"/>
      <c r="F983" s="38"/>
      <c r="G983" s="38"/>
      <c r="H983" s="15"/>
      <c r="I983" s="45"/>
      <c r="J983" s="15"/>
    </row>
    <row r="984">
      <c r="A984" s="38" t="b">
        <v>0</v>
      </c>
      <c r="B984" s="38"/>
      <c r="C984" s="17"/>
      <c r="D984" s="17"/>
      <c r="E984" s="38"/>
      <c r="F984" s="38"/>
      <c r="G984" s="38"/>
      <c r="H984" s="15"/>
      <c r="I984" s="45"/>
      <c r="J984" s="15"/>
    </row>
    <row r="985">
      <c r="A985" s="38" t="b">
        <v>0</v>
      </c>
      <c r="B985" s="38"/>
      <c r="C985" s="17"/>
      <c r="D985" s="17"/>
      <c r="E985" s="38"/>
      <c r="F985" s="38"/>
      <c r="G985" s="38"/>
      <c r="H985" s="15"/>
      <c r="I985" s="45"/>
      <c r="J985" s="15"/>
    </row>
    <row r="986">
      <c r="A986" s="38" t="b">
        <v>0</v>
      </c>
      <c r="B986" s="38"/>
      <c r="C986" s="17"/>
      <c r="D986" s="17"/>
      <c r="E986" s="38"/>
      <c r="F986" s="38"/>
      <c r="G986" s="38"/>
      <c r="H986" s="15"/>
      <c r="I986" s="45"/>
      <c r="J986" s="15"/>
    </row>
    <row r="987">
      <c r="A987" s="38" t="b">
        <v>0</v>
      </c>
      <c r="B987" s="38"/>
      <c r="C987" s="17"/>
      <c r="D987" s="17"/>
      <c r="E987" s="38"/>
      <c r="F987" s="38"/>
      <c r="G987" s="38"/>
      <c r="H987" s="15"/>
      <c r="I987" s="45"/>
      <c r="J987" s="15"/>
    </row>
    <row r="988">
      <c r="A988" s="38" t="b">
        <v>0</v>
      </c>
      <c r="B988" s="38"/>
      <c r="C988" s="17"/>
      <c r="D988" s="17"/>
      <c r="E988" s="38"/>
      <c r="F988" s="38"/>
      <c r="G988" s="38"/>
      <c r="H988" s="15"/>
      <c r="I988" s="45"/>
      <c r="J988" s="15"/>
    </row>
  </sheetData>
  <conditionalFormatting sqref="A2:C988 D2:D42 E2:AB988 D44:D988">
    <cfRule type="cellIs" dxfId="3" priority="1" operator="equal">
      <formula>"VRAI"</formula>
    </cfRule>
  </conditionalFormatting>
  <dataValidations>
    <dataValidation type="list" allowBlank="1" showErrorMessage="1" sqref="E2:E988">
      <formula1>'Données'!$G$2:$G988</formula1>
    </dataValidation>
    <dataValidation type="list" allowBlank="1" showErrorMessage="1" sqref="B2:B988">
      <formula1>'Données'!$A$2:$A988</formula1>
    </dataValidation>
    <dataValidation type="list" allowBlank="1" showErrorMessage="1" sqref="H2:H988">
      <formula1>'Données'!$K$2:$K$8</formula1>
    </dataValidation>
    <dataValidation type="list" allowBlank="1" showErrorMessage="1" sqref="G2:G988">
      <formula1>'Données'!$I$2:$I$7</formula1>
    </dataValidation>
    <dataValidation type="list" allowBlank="1" showErrorMessage="1" sqref="F2:F988">
      <formula1>'Données'!$E$2:$E988</formula1>
    </dataValidation>
    <dataValidation type="custom" allowBlank="1" showDropDown="1" sqref="I2:I70 I72:I988">
      <formula1>OR(NOT(ISERROR(DATEVALUE(I2))), AND(ISNUMBER(I2), LEFT(CELL("format", I2))="D"))</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2.63"/>
    <col customWidth="1" min="3" max="4" width="18.88"/>
    <col customWidth="1" min="5" max="5" width="21.38"/>
    <col customWidth="1" min="6" max="12" width="7.0"/>
    <col customWidth="1" min="13" max="13" width="13.25"/>
    <col customWidth="1" min="14" max="14" width="13.88"/>
    <col customWidth="1" min="15" max="15" width="8.88"/>
    <col customWidth="1" min="16" max="16" width="6.25"/>
    <col customWidth="1" min="17" max="17" width="43.63"/>
    <col customWidth="1" min="18" max="18" width="21.63"/>
  </cols>
  <sheetData>
    <row r="1" ht="15.75" customHeight="1">
      <c r="A1" s="7" t="s">
        <v>444</v>
      </c>
      <c r="B1" s="12" t="s">
        <v>448</v>
      </c>
      <c r="C1" s="12" t="s">
        <v>9</v>
      </c>
      <c r="D1" s="12" t="s">
        <v>283</v>
      </c>
      <c r="E1" s="12" t="s">
        <v>2</v>
      </c>
      <c r="F1" s="7" t="s">
        <v>460</v>
      </c>
      <c r="G1" s="7" t="s">
        <v>464</v>
      </c>
      <c r="H1" s="7" t="s">
        <v>466</v>
      </c>
      <c r="I1" s="7" t="s">
        <v>470</v>
      </c>
      <c r="J1" s="7" t="s">
        <v>472</v>
      </c>
      <c r="K1" s="7" t="s">
        <v>475</v>
      </c>
      <c r="L1" s="7" t="s">
        <v>477</v>
      </c>
      <c r="M1" s="7" t="s">
        <v>480</v>
      </c>
      <c r="N1" s="16" t="s">
        <v>485</v>
      </c>
      <c r="O1" s="7" t="s">
        <v>490</v>
      </c>
    </row>
    <row r="2">
      <c r="A2" s="18">
        <v>35.0</v>
      </c>
      <c r="B2" s="19" t="s">
        <v>501</v>
      </c>
      <c r="C2" s="19" t="s">
        <v>55</v>
      </c>
      <c r="D2" s="19" t="s">
        <v>505</v>
      </c>
      <c r="E2" s="19"/>
      <c r="F2" s="20" t="b">
        <v>0</v>
      </c>
      <c r="G2" s="20" t="b">
        <v>0</v>
      </c>
      <c r="H2" s="20" t="b">
        <v>0</v>
      </c>
      <c r="I2" s="20" t="b">
        <v>0</v>
      </c>
      <c r="J2" s="20" t="b">
        <v>0</v>
      </c>
      <c r="K2" s="20" t="b">
        <v>0</v>
      </c>
      <c r="L2" s="20" t="b">
        <v>0</v>
      </c>
      <c r="M2" s="21">
        <f t="shared" ref="M2:M288" si="1">COUNTIF(F2:L2,TRUE)</f>
        <v>0</v>
      </c>
      <c r="N2" s="22">
        <f t="shared" ref="N2:N54" si="2">IF(OR(B2="Hird du Jarl",C2="Recrue"),0,IF(C2="Aspirant-Garde",M2*50/2,M2*50))</f>
        <v>0</v>
      </c>
      <c r="O2" s="20" t="b">
        <v>0</v>
      </c>
      <c r="P2" s="24"/>
      <c r="Q2" s="24"/>
      <c r="R2" s="24"/>
      <c r="S2" s="24"/>
      <c r="T2" s="24"/>
      <c r="U2" s="24"/>
      <c r="V2" s="24"/>
      <c r="W2" s="24"/>
      <c r="X2" s="24"/>
      <c r="Y2" s="24"/>
      <c r="Z2" s="24"/>
    </row>
    <row r="3">
      <c r="A3" s="18">
        <v>35.0</v>
      </c>
      <c r="B3" s="19" t="s">
        <v>501</v>
      </c>
      <c r="C3" s="19" t="s">
        <v>55</v>
      </c>
      <c r="D3" s="19" t="s">
        <v>661</v>
      </c>
      <c r="E3" s="19" t="s">
        <v>672</v>
      </c>
      <c r="F3" s="20" t="b">
        <v>0</v>
      </c>
      <c r="G3" s="20" t="b">
        <v>0</v>
      </c>
      <c r="H3" s="20" t="b">
        <v>0</v>
      </c>
      <c r="I3" s="20" t="b">
        <v>0</v>
      </c>
      <c r="J3" s="20" t="b">
        <v>0</v>
      </c>
      <c r="K3" s="20" t="b">
        <v>0</v>
      </c>
      <c r="L3" s="20" t="b">
        <v>0</v>
      </c>
      <c r="M3" s="21">
        <f t="shared" si="1"/>
        <v>0</v>
      </c>
      <c r="N3" s="22">
        <f t="shared" si="2"/>
        <v>0</v>
      </c>
      <c r="O3" s="20" t="b">
        <v>0</v>
      </c>
      <c r="P3" s="24"/>
      <c r="Q3" s="25" t="s">
        <v>704</v>
      </c>
      <c r="U3" s="24"/>
      <c r="V3" s="24"/>
      <c r="W3" s="24"/>
      <c r="X3" s="24"/>
      <c r="Y3" s="24"/>
      <c r="Z3" s="24"/>
    </row>
    <row r="4">
      <c r="A4" s="26">
        <v>35.0</v>
      </c>
      <c r="B4" s="27" t="s">
        <v>501</v>
      </c>
      <c r="C4" s="27" t="s">
        <v>55</v>
      </c>
      <c r="D4" s="27" t="s">
        <v>721</v>
      </c>
      <c r="E4" s="27" t="s">
        <v>723</v>
      </c>
      <c r="F4" s="28" t="b">
        <v>0</v>
      </c>
      <c r="G4" s="28" t="b">
        <v>0</v>
      </c>
      <c r="H4" s="28" t="b">
        <v>0</v>
      </c>
      <c r="I4" s="28" t="b">
        <v>0</v>
      </c>
      <c r="J4" s="28" t="b">
        <v>0</v>
      </c>
      <c r="K4" s="28" t="b">
        <v>0</v>
      </c>
      <c r="L4" s="28" t="b">
        <v>0</v>
      </c>
      <c r="M4" s="29">
        <f t="shared" si="1"/>
        <v>0</v>
      </c>
      <c r="N4" s="30">
        <f t="shared" si="2"/>
        <v>0</v>
      </c>
      <c r="O4" s="28" t="b">
        <v>0</v>
      </c>
      <c r="P4" s="24"/>
      <c r="U4" s="24"/>
      <c r="V4" s="24"/>
      <c r="W4" s="24"/>
      <c r="X4" s="24"/>
      <c r="Y4" s="24"/>
      <c r="Z4" s="24"/>
    </row>
    <row r="5">
      <c r="A5" s="26">
        <v>35.0</v>
      </c>
      <c r="B5" s="27" t="s">
        <v>501</v>
      </c>
      <c r="C5" s="27" t="s">
        <v>35</v>
      </c>
      <c r="D5" s="27" t="s">
        <v>377</v>
      </c>
      <c r="E5" s="27"/>
      <c r="F5" s="28" t="b">
        <v>0</v>
      </c>
      <c r="G5" s="28" t="b">
        <v>0</v>
      </c>
      <c r="H5" s="28" t="b">
        <v>0</v>
      </c>
      <c r="I5" s="28" t="b">
        <v>0</v>
      </c>
      <c r="J5" s="28" t="b">
        <v>0</v>
      </c>
      <c r="K5" s="28" t="b">
        <v>0</v>
      </c>
      <c r="L5" s="28" t="b">
        <v>0</v>
      </c>
      <c r="M5" s="29">
        <f t="shared" si="1"/>
        <v>0</v>
      </c>
      <c r="N5" s="30">
        <f t="shared" si="2"/>
        <v>0</v>
      </c>
      <c r="O5" s="28" t="b">
        <v>0</v>
      </c>
      <c r="P5" s="24"/>
      <c r="U5" s="24"/>
      <c r="V5" s="24"/>
      <c r="W5" s="24"/>
      <c r="X5" s="24"/>
      <c r="Y5" s="24"/>
      <c r="Z5" s="24"/>
    </row>
    <row r="6">
      <c r="A6" s="26">
        <v>35.0</v>
      </c>
      <c r="B6" s="27" t="s">
        <v>501</v>
      </c>
      <c r="C6" s="27" t="s">
        <v>55</v>
      </c>
      <c r="D6" s="27" t="s">
        <v>780</v>
      </c>
      <c r="E6" s="27" t="s">
        <v>784</v>
      </c>
      <c r="F6" s="28" t="b">
        <v>0</v>
      </c>
      <c r="G6" s="28" t="b">
        <v>0</v>
      </c>
      <c r="H6" s="28" t="b">
        <v>0</v>
      </c>
      <c r="I6" s="28" t="b">
        <v>0</v>
      </c>
      <c r="J6" s="28" t="b">
        <v>0</v>
      </c>
      <c r="K6" s="28" t="b">
        <v>0</v>
      </c>
      <c r="L6" s="28" t="b">
        <v>0</v>
      </c>
      <c r="M6" s="29">
        <f t="shared" si="1"/>
        <v>0</v>
      </c>
      <c r="N6" s="30">
        <f t="shared" si="2"/>
        <v>0</v>
      </c>
      <c r="O6" s="28" t="b">
        <v>0</v>
      </c>
      <c r="P6" s="24"/>
      <c r="U6" s="24"/>
      <c r="V6" s="24"/>
      <c r="W6" s="24"/>
      <c r="X6" s="24"/>
      <c r="Y6" s="24"/>
      <c r="Z6" s="24"/>
    </row>
    <row r="7">
      <c r="A7" s="26">
        <v>35.0</v>
      </c>
      <c r="B7" s="27" t="s">
        <v>501</v>
      </c>
      <c r="C7" s="27" t="s">
        <v>37</v>
      </c>
      <c r="D7" s="27" t="s">
        <v>804</v>
      </c>
      <c r="E7" s="27" t="s">
        <v>806</v>
      </c>
      <c r="F7" s="28" t="b">
        <v>0</v>
      </c>
      <c r="G7" s="28" t="b">
        <v>0</v>
      </c>
      <c r="H7" s="28" t="b">
        <v>0</v>
      </c>
      <c r="I7" s="28" t="b">
        <v>0</v>
      </c>
      <c r="J7" s="28" t="b">
        <v>0</v>
      </c>
      <c r="K7" s="28" t="b">
        <v>0</v>
      </c>
      <c r="L7" s="28" t="b">
        <v>0</v>
      </c>
      <c r="M7" s="29">
        <f t="shared" si="1"/>
        <v>0</v>
      </c>
      <c r="N7" s="30">
        <f t="shared" si="2"/>
        <v>0</v>
      </c>
      <c r="O7" s="28" t="b">
        <v>0</v>
      </c>
      <c r="P7" s="24"/>
      <c r="U7" s="24"/>
      <c r="V7" s="24"/>
      <c r="W7" s="24"/>
      <c r="X7" s="24"/>
      <c r="Y7" s="24"/>
      <c r="Z7" s="24"/>
    </row>
    <row r="8">
      <c r="A8" s="31">
        <v>35.0</v>
      </c>
      <c r="B8" s="32" t="s">
        <v>501</v>
      </c>
      <c r="C8" s="32" t="s">
        <v>55</v>
      </c>
      <c r="D8" s="32" t="s">
        <v>844</v>
      </c>
      <c r="E8" s="32" t="s">
        <v>847</v>
      </c>
      <c r="F8" s="33" t="b">
        <v>0</v>
      </c>
      <c r="G8" s="33" t="b">
        <v>0</v>
      </c>
      <c r="H8" s="33" t="b">
        <v>0</v>
      </c>
      <c r="I8" s="33" t="b">
        <v>0</v>
      </c>
      <c r="J8" s="33" t="b">
        <v>0</v>
      </c>
      <c r="K8" s="33" t="b">
        <v>0</v>
      </c>
      <c r="L8" s="33" t="b">
        <v>0</v>
      </c>
      <c r="M8" s="34">
        <f t="shared" si="1"/>
        <v>0</v>
      </c>
      <c r="N8" s="35">
        <f t="shared" si="2"/>
        <v>0</v>
      </c>
      <c r="O8" s="33" t="b">
        <v>0</v>
      </c>
      <c r="P8" s="24"/>
      <c r="Q8" s="24"/>
      <c r="R8" s="24"/>
      <c r="S8" s="24"/>
      <c r="T8" s="24"/>
      <c r="U8" s="24"/>
      <c r="V8" s="24"/>
      <c r="W8" s="24"/>
      <c r="X8" s="24"/>
      <c r="Y8" s="24"/>
      <c r="Z8" s="24"/>
    </row>
    <row r="9">
      <c r="A9" s="26">
        <v>35.0</v>
      </c>
      <c r="B9" s="27" t="s">
        <v>501</v>
      </c>
      <c r="C9" s="27" t="s">
        <v>55</v>
      </c>
      <c r="D9" s="27" t="s">
        <v>886</v>
      </c>
      <c r="E9" s="27" t="s">
        <v>847</v>
      </c>
      <c r="F9" s="28" t="b">
        <v>0</v>
      </c>
      <c r="G9" s="28" t="b">
        <v>0</v>
      </c>
      <c r="H9" s="28" t="b">
        <v>0</v>
      </c>
      <c r="I9" s="28" t="b">
        <v>0</v>
      </c>
      <c r="J9" s="28" t="b">
        <v>0</v>
      </c>
      <c r="K9" s="28" t="b">
        <v>0</v>
      </c>
      <c r="L9" s="28" t="b">
        <v>0</v>
      </c>
      <c r="M9" s="29">
        <f t="shared" si="1"/>
        <v>0</v>
      </c>
      <c r="N9" s="30">
        <f t="shared" si="2"/>
        <v>0</v>
      </c>
      <c r="O9" s="28" t="b">
        <v>0</v>
      </c>
      <c r="P9" s="24"/>
      <c r="Q9" s="24"/>
      <c r="R9" s="24"/>
      <c r="S9" s="24"/>
      <c r="T9" s="24"/>
      <c r="U9" s="24"/>
      <c r="V9" s="24"/>
      <c r="W9" s="24"/>
      <c r="X9" s="24"/>
      <c r="Y9" s="24"/>
      <c r="Z9" s="24"/>
    </row>
    <row r="10">
      <c r="A10" s="26">
        <v>35.0</v>
      </c>
      <c r="B10" s="27" t="s">
        <v>550</v>
      </c>
      <c r="C10" s="27" t="s">
        <v>55</v>
      </c>
      <c r="D10" s="27" t="s">
        <v>543</v>
      </c>
      <c r="E10" s="27"/>
      <c r="F10" s="28" t="b">
        <v>1</v>
      </c>
      <c r="G10" s="28" t="b">
        <v>1</v>
      </c>
      <c r="H10" s="28" t="b">
        <v>1</v>
      </c>
      <c r="I10" s="28" t="b">
        <v>1</v>
      </c>
      <c r="J10" s="28" t="b">
        <v>1</v>
      </c>
      <c r="K10" s="28" t="b">
        <v>1</v>
      </c>
      <c r="L10" s="28" t="b">
        <v>1</v>
      </c>
      <c r="M10" s="29">
        <f t="shared" si="1"/>
        <v>7</v>
      </c>
      <c r="N10" s="30">
        <f t="shared" si="2"/>
        <v>350</v>
      </c>
      <c r="O10" s="28" t="b">
        <v>1</v>
      </c>
      <c r="P10" s="24"/>
      <c r="Q10" s="24"/>
      <c r="R10" s="24"/>
      <c r="S10" s="24"/>
      <c r="T10" s="24"/>
      <c r="U10" s="24"/>
      <c r="V10" s="24"/>
      <c r="W10" s="24"/>
      <c r="X10" s="24"/>
      <c r="Y10" s="24"/>
      <c r="Z10" s="24"/>
    </row>
    <row r="11">
      <c r="A11" s="26">
        <v>35.0</v>
      </c>
      <c r="B11" s="27" t="s">
        <v>550</v>
      </c>
      <c r="C11" s="27" t="s">
        <v>61</v>
      </c>
      <c r="D11" s="27" t="s">
        <v>934</v>
      </c>
      <c r="E11" s="27" t="s">
        <v>937</v>
      </c>
      <c r="F11" s="28" t="b">
        <v>0</v>
      </c>
      <c r="G11" s="28" t="b">
        <v>0</v>
      </c>
      <c r="H11" s="28" t="b">
        <v>0</v>
      </c>
      <c r="I11" s="28" t="b">
        <v>0</v>
      </c>
      <c r="J11" s="28" t="b">
        <v>0</v>
      </c>
      <c r="K11" s="28" t="b">
        <v>1</v>
      </c>
      <c r="L11" s="28" t="b">
        <v>0</v>
      </c>
      <c r="M11" s="29">
        <f t="shared" si="1"/>
        <v>1</v>
      </c>
      <c r="N11" s="30">
        <f t="shared" si="2"/>
        <v>0</v>
      </c>
      <c r="O11" s="28" t="b">
        <v>0</v>
      </c>
      <c r="P11" s="24"/>
      <c r="Q11" s="24"/>
      <c r="R11" s="24"/>
      <c r="S11" s="24"/>
      <c r="T11" s="24"/>
      <c r="U11" s="24"/>
      <c r="V11" s="24"/>
      <c r="W11" s="24"/>
      <c r="X11" s="24"/>
      <c r="Y11" s="24"/>
      <c r="Z11" s="24"/>
    </row>
    <row r="12">
      <c r="A12" s="26">
        <v>35.0</v>
      </c>
      <c r="B12" s="27" t="s">
        <v>550</v>
      </c>
      <c r="C12" s="27" t="s">
        <v>55</v>
      </c>
      <c r="D12" s="27" t="s">
        <v>959</v>
      </c>
      <c r="E12" s="27" t="s">
        <v>960</v>
      </c>
      <c r="F12" s="28" t="b">
        <v>0</v>
      </c>
      <c r="G12" s="28" t="b">
        <v>0</v>
      </c>
      <c r="H12" s="28" t="b">
        <v>0</v>
      </c>
      <c r="I12" s="28" t="b">
        <v>0</v>
      </c>
      <c r="J12" s="28" t="b">
        <v>0</v>
      </c>
      <c r="K12" s="28" t="b">
        <v>0</v>
      </c>
      <c r="L12" s="28" t="b">
        <v>0</v>
      </c>
      <c r="M12" s="29">
        <f t="shared" si="1"/>
        <v>0</v>
      </c>
      <c r="N12" s="30">
        <f t="shared" si="2"/>
        <v>0</v>
      </c>
      <c r="O12" s="28" t="b">
        <v>1</v>
      </c>
      <c r="P12" s="24"/>
      <c r="Q12" s="24"/>
      <c r="R12" s="24"/>
      <c r="S12" s="24"/>
      <c r="T12" s="24"/>
      <c r="U12" s="24"/>
      <c r="V12" s="24"/>
      <c r="W12" s="24"/>
      <c r="X12" s="24"/>
      <c r="Y12" s="24"/>
      <c r="Z12" s="24"/>
    </row>
    <row r="13">
      <c r="A13" s="26">
        <v>35.0</v>
      </c>
      <c r="B13" s="27" t="s">
        <v>550</v>
      </c>
      <c r="C13" s="27" t="s">
        <v>35</v>
      </c>
      <c r="D13" s="27" t="s">
        <v>544</v>
      </c>
      <c r="E13" s="27" t="s">
        <v>546</v>
      </c>
      <c r="F13" s="28" t="b">
        <v>1</v>
      </c>
      <c r="G13" s="28" t="b">
        <v>1</v>
      </c>
      <c r="H13" s="28" t="b">
        <v>1</v>
      </c>
      <c r="I13" s="28" t="b">
        <v>0</v>
      </c>
      <c r="J13" s="28" t="b">
        <v>1</v>
      </c>
      <c r="K13" s="28" t="b">
        <v>1</v>
      </c>
      <c r="L13" s="28" t="b">
        <v>1</v>
      </c>
      <c r="M13" s="29">
        <f t="shared" si="1"/>
        <v>6</v>
      </c>
      <c r="N13" s="30">
        <f t="shared" si="2"/>
        <v>300</v>
      </c>
      <c r="O13" s="28" t="b">
        <v>1</v>
      </c>
      <c r="P13" s="24"/>
      <c r="Q13" s="24"/>
      <c r="R13" s="24"/>
      <c r="S13" s="24"/>
      <c r="T13" s="24"/>
      <c r="U13" s="24"/>
      <c r="V13" s="24"/>
      <c r="W13" s="24"/>
      <c r="X13" s="24"/>
      <c r="Y13" s="24"/>
      <c r="Z13" s="24"/>
    </row>
    <row r="14">
      <c r="A14" s="26">
        <v>35.0</v>
      </c>
      <c r="B14" s="27" t="s">
        <v>550</v>
      </c>
      <c r="C14" s="27" t="s">
        <v>55</v>
      </c>
      <c r="D14" s="27" t="s">
        <v>526</v>
      </c>
      <c r="E14" s="27"/>
      <c r="F14" s="28" t="b">
        <v>0</v>
      </c>
      <c r="G14" s="28" t="b">
        <v>1</v>
      </c>
      <c r="H14" s="28" t="b">
        <v>1</v>
      </c>
      <c r="I14" s="28" t="b">
        <v>0</v>
      </c>
      <c r="J14" s="28" t="b">
        <v>0</v>
      </c>
      <c r="K14" s="28" t="b">
        <v>0</v>
      </c>
      <c r="L14" s="28" t="b">
        <v>0</v>
      </c>
      <c r="M14" s="29">
        <f t="shared" si="1"/>
        <v>2</v>
      </c>
      <c r="N14" s="30">
        <f t="shared" si="2"/>
        <v>100</v>
      </c>
      <c r="O14" s="28" t="b">
        <v>1</v>
      </c>
      <c r="P14" s="24"/>
      <c r="Q14" s="24"/>
      <c r="R14" s="24"/>
      <c r="S14" s="24"/>
      <c r="T14" s="24"/>
      <c r="U14" s="24"/>
      <c r="V14" s="24"/>
      <c r="W14" s="24"/>
      <c r="X14" s="24"/>
      <c r="Y14" s="24"/>
      <c r="Z14" s="24"/>
    </row>
    <row r="15">
      <c r="A15" s="26">
        <v>35.0</v>
      </c>
      <c r="B15" s="27" t="s">
        <v>550</v>
      </c>
      <c r="C15" s="27" t="s">
        <v>55</v>
      </c>
      <c r="D15" s="27" t="s">
        <v>1020</v>
      </c>
      <c r="E15" s="27" t="s">
        <v>1021</v>
      </c>
      <c r="F15" s="28" t="b">
        <v>1</v>
      </c>
      <c r="G15" s="28" t="b">
        <v>1</v>
      </c>
      <c r="H15" s="28" t="b">
        <v>0</v>
      </c>
      <c r="I15" s="28" t="b">
        <v>1</v>
      </c>
      <c r="J15" s="28" t="b">
        <v>0</v>
      </c>
      <c r="K15" s="28" t="b">
        <v>1</v>
      </c>
      <c r="L15" s="28" t="b">
        <v>1</v>
      </c>
      <c r="M15" s="29">
        <f t="shared" si="1"/>
        <v>5</v>
      </c>
      <c r="N15" s="30">
        <f t="shared" si="2"/>
        <v>250</v>
      </c>
      <c r="O15" s="28" t="b">
        <v>1</v>
      </c>
      <c r="P15" s="24"/>
      <c r="Q15" s="24"/>
      <c r="R15" s="24"/>
      <c r="S15" s="24"/>
      <c r="T15" s="24"/>
      <c r="U15" s="24"/>
      <c r="V15" s="24"/>
      <c r="W15" s="24"/>
      <c r="X15" s="24"/>
      <c r="Y15" s="24"/>
      <c r="Z15" s="24"/>
    </row>
    <row r="16">
      <c r="A16" s="26">
        <v>35.0</v>
      </c>
      <c r="B16" s="27" t="s">
        <v>550</v>
      </c>
      <c r="C16" s="27" t="s">
        <v>47</v>
      </c>
      <c r="D16" s="27" t="s">
        <v>442</v>
      </c>
      <c r="E16" s="27"/>
      <c r="F16" s="28" t="b">
        <v>0</v>
      </c>
      <c r="G16" s="28" t="b">
        <v>0</v>
      </c>
      <c r="H16" s="28" t="b">
        <v>0</v>
      </c>
      <c r="I16" s="28" t="b">
        <v>0</v>
      </c>
      <c r="J16" s="28" t="b">
        <v>0</v>
      </c>
      <c r="K16" s="28" t="b">
        <v>0</v>
      </c>
      <c r="L16" s="28" t="b">
        <v>0</v>
      </c>
      <c r="M16" s="29">
        <f t="shared" si="1"/>
        <v>0</v>
      </c>
      <c r="N16" s="30">
        <f t="shared" si="2"/>
        <v>0</v>
      </c>
      <c r="O16" s="28" t="b">
        <v>0</v>
      </c>
      <c r="P16" s="24"/>
      <c r="Q16" s="24"/>
      <c r="R16" s="24"/>
      <c r="S16" s="24"/>
      <c r="T16" s="24"/>
      <c r="U16" s="24"/>
      <c r="V16" s="24"/>
      <c r="W16" s="24"/>
      <c r="X16" s="24"/>
      <c r="Y16" s="24"/>
      <c r="Z16" s="24"/>
    </row>
    <row r="17">
      <c r="A17" s="18">
        <v>35.0</v>
      </c>
      <c r="B17" s="19" t="s">
        <v>550</v>
      </c>
      <c r="C17" s="19" t="s">
        <v>1062</v>
      </c>
      <c r="D17" s="19" t="s">
        <v>1064</v>
      </c>
      <c r="E17" s="19" t="s">
        <v>1066</v>
      </c>
      <c r="F17" s="20" t="b">
        <v>0</v>
      </c>
      <c r="G17" s="20" t="b">
        <v>0</v>
      </c>
      <c r="H17" s="20" t="b">
        <v>0</v>
      </c>
      <c r="I17" s="20" t="b">
        <v>0</v>
      </c>
      <c r="J17" s="20" t="b">
        <v>0</v>
      </c>
      <c r="K17" s="20" t="b">
        <v>0</v>
      </c>
      <c r="L17" s="20" t="b">
        <v>0</v>
      </c>
      <c r="M17" s="21">
        <f t="shared" si="1"/>
        <v>0</v>
      </c>
      <c r="N17" s="22">
        <f t="shared" si="2"/>
        <v>0</v>
      </c>
      <c r="O17" s="20" t="b">
        <v>0</v>
      </c>
      <c r="P17" s="24"/>
      <c r="Q17" s="24"/>
      <c r="R17" s="24"/>
      <c r="S17" s="24"/>
      <c r="T17" s="24"/>
      <c r="U17" s="24"/>
      <c r="V17" s="24"/>
      <c r="W17" s="24"/>
      <c r="X17" s="24"/>
      <c r="Y17" s="24"/>
      <c r="Z17" s="24"/>
    </row>
    <row r="18">
      <c r="A18" s="18">
        <v>35.0</v>
      </c>
      <c r="B18" s="19" t="s">
        <v>550</v>
      </c>
      <c r="C18" s="19" t="s">
        <v>55</v>
      </c>
      <c r="D18" s="19" t="s">
        <v>535</v>
      </c>
      <c r="E18" s="19"/>
      <c r="F18" s="20" t="b">
        <v>0</v>
      </c>
      <c r="G18" s="20" t="b">
        <v>0</v>
      </c>
      <c r="H18" s="20" t="b">
        <v>0</v>
      </c>
      <c r="I18" s="20" t="b">
        <v>0</v>
      </c>
      <c r="J18" s="20" t="b">
        <v>0</v>
      </c>
      <c r="K18" s="20" t="b">
        <v>0</v>
      </c>
      <c r="L18" s="20" t="b">
        <v>0</v>
      </c>
      <c r="M18" s="21">
        <f t="shared" si="1"/>
        <v>0</v>
      </c>
      <c r="N18" s="22">
        <f t="shared" si="2"/>
        <v>0</v>
      </c>
      <c r="O18" s="20" t="b">
        <v>0</v>
      </c>
      <c r="P18" s="24"/>
      <c r="Q18" s="24"/>
      <c r="R18" s="24"/>
      <c r="S18" s="24"/>
      <c r="T18" s="24"/>
      <c r="U18" s="24"/>
      <c r="V18" s="24"/>
      <c r="W18" s="24"/>
      <c r="X18" s="24"/>
      <c r="Y18" s="24"/>
      <c r="Z18" s="24"/>
    </row>
    <row r="19">
      <c r="A19" s="18">
        <v>35.0</v>
      </c>
      <c r="B19" s="19" t="s">
        <v>550</v>
      </c>
      <c r="C19" s="19" t="s">
        <v>47</v>
      </c>
      <c r="D19" s="19" t="s">
        <v>434</v>
      </c>
      <c r="E19" s="19"/>
      <c r="F19" s="20" t="b">
        <v>1</v>
      </c>
      <c r="G19" s="20" t="b">
        <v>1</v>
      </c>
      <c r="H19" s="20" t="b">
        <v>0</v>
      </c>
      <c r="I19" s="20" t="b">
        <v>1</v>
      </c>
      <c r="J19" s="20" t="b">
        <v>0</v>
      </c>
      <c r="K19" s="20" t="b">
        <v>1</v>
      </c>
      <c r="L19" s="20" t="b">
        <v>1</v>
      </c>
      <c r="M19" s="21">
        <f t="shared" si="1"/>
        <v>5</v>
      </c>
      <c r="N19" s="22">
        <f t="shared" si="2"/>
        <v>250</v>
      </c>
      <c r="O19" s="20" t="b">
        <v>1</v>
      </c>
      <c r="P19" s="24"/>
      <c r="Q19" s="24"/>
      <c r="R19" s="24"/>
      <c r="S19" s="24"/>
      <c r="T19" s="24"/>
      <c r="U19" s="24"/>
      <c r="V19" s="24"/>
      <c r="W19" s="24"/>
      <c r="X19" s="24"/>
      <c r="Y19" s="24"/>
      <c r="Z19" s="24"/>
    </row>
    <row r="20">
      <c r="A20" s="26">
        <v>35.0</v>
      </c>
      <c r="B20" s="27" t="s">
        <v>550</v>
      </c>
      <c r="C20" s="27" t="s">
        <v>42</v>
      </c>
      <c r="D20" s="27" t="s">
        <v>768</v>
      </c>
      <c r="E20" s="27" t="s">
        <v>769</v>
      </c>
      <c r="F20" s="28" t="b">
        <v>1</v>
      </c>
      <c r="G20" s="28" t="b">
        <v>1</v>
      </c>
      <c r="H20" s="28" t="b">
        <v>0</v>
      </c>
      <c r="I20" s="28" t="b">
        <v>0</v>
      </c>
      <c r="J20" s="28" t="b">
        <v>1</v>
      </c>
      <c r="K20" s="28" t="b">
        <v>0</v>
      </c>
      <c r="L20" s="28" t="b">
        <v>0</v>
      </c>
      <c r="M20" s="29">
        <f t="shared" si="1"/>
        <v>3</v>
      </c>
      <c r="N20" s="30">
        <f t="shared" si="2"/>
        <v>150</v>
      </c>
      <c r="O20" s="28" t="b">
        <v>1</v>
      </c>
      <c r="P20" s="24"/>
      <c r="Q20" s="36" t="s">
        <v>1142</v>
      </c>
      <c r="R20" s="37">
        <f>SUMIF('Présences'!A2:A619,ISOWEEKNUM(TODAY()),'Présences'!N2:N619)</f>
        <v>0</v>
      </c>
      <c r="S20" s="24"/>
      <c r="T20" s="24"/>
      <c r="U20" s="24"/>
      <c r="V20" s="24"/>
      <c r="W20" s="24"/>
      <c r="X20" s="24"/>
      <c r="Y20" s="24"/>
      <c r="Z20" s="24"/>
    </row>
    <row r="21">
      <c r="A21" s="26">
        <v>35.0</v>
      </c>
      <c r="B21" s="27" t="s">
        <v>550</v>
      </c>
      <c r="C21" s="27" t="s">
        <v>61</v>
      </c>
      <c r="D21" s="27" t="s">
        <v>1191</v>
      </c>
      <c r="E21" s="27"/>
      <c r="F21" s="28" t="b">
        <v>1</v>
      </c>
      <c r="G21" s="28" t="b">
        <v>1</v>
      </c>
      <c r="H21" s="28" t="b">
        <v>1</v>
      </c>
      <c r="I21" s="28" t="b">
        <v>0</v>
      </c>
      <c r="J21" s="28" t="b">
        <v>0</v>
      </c>
      <c r="K21" s="28" t="b">
        <v>0</v>
      </c>
      <c r="L21" s="28" t="b">
        <v>0</v>
      </c>
      <c r="M21" s="29">
        <f t="shared" si="1"/>
        <v>3</v>
      </c>
      <c r="N21" s="30">
        <f t="shared" si="2"/>
        <v>0</v>
      </c>
      <c r="O21" s="28" t="b">
        <v>0</v>
      </c>
      <c r="P21" s="24"/>
      <c r="Q21" s="39" t="s">
        <v>1216</v>
      </c>
      <c r="R21" s="37">
        <f>SUMIFS(
  'Présences'!N2:N619,
  'Présences'!N2:N619,"&gt;0",
  'Présences'!O2:O619,FALSE
)</f>
        <v>8500</v>
      </c>
      <c r="S21" s="24"/>
      <c r="T21" s="24"/>
      <c r="U21" s="24"/>
      <c r="V21" s="24"/>
      <c r="W21" s="24"/>
      <c r="X21" s="24"/>
      <c r="Y21" s="24"/>
      <c r="Z21" s="24"/>
    </row>
    <row r="22">
      <c r="A22" s="26">
        <v>35.0</v>
      </c>
      <c r="B22" s="27" t="s">
        <v>550</v>
      </c>
      <c r="C22" s="27" t="s">
        <v>49</v>
      </c>
      <c r="D22" s="27" t="s">
        <v>451</v>
      </c>
      <c r="E22" s="27"/>
      <c r="F22" s="28" t="b">
        <v>1</v>
      </c>
      <c r="G22" s="28" t="b">
        <v>1</v>
      </c>
      <c r="H22" s="28" t="b">
        <v>1</v>
      </c>
      <c r="I22" s="28" t="b">
        <v>1</v>
      </c>
      <c r="J22" s="28" t="b">
        <v>1</v>
      </c>
      <c r="K22" s="28" t="b">
        <v>1</v>
      </c>
      <c r="L22" s="28" t="b">
        <v>1</v>
      </c>
      <c r="M22" s="29">
        <f t="shared" si="1"/>
        <v>7</v>
      </c>
      <c r="N22" s="30">
        <f t="shared" si="2"/>
        <v>350</v>
      </c>
      <c r="O22" s="28" t="b">
        <v>1</v>
      </c>
      <c r="P22" s="24"/>
      <c r="Q22" s="39" t="s">
        <v>1273</v>
      </c>
      <c r="R22" s="40">
        <f>COUNTIFS(
  'Présences'!N2:N619,"&gt;0",
  'Présences'!O2:O619,FALSE
)</f>
        <v>47</v>
      </c>
      <c r="S22" s="24"/>
      <c r="T22" s="24"/>
      <c r="U22" s="24"/>
      <c r="V22" s="24"/>
      <c r="W22" s="24"/>
      <c r="X22" s="24"/>
      <c r="Y22" s="24"/>
      <c r="Z22" s="24"/>
    </row>
    <row r="23">
      <c r="A23" s="26">
        <v>35.0</v>
      </c>
      <c r="B23" s="27" t="s">
        <v>550</v>
      </c>
      <c r="C23" s="27" t="s">
        <v>55</v>
      </c>
      <c r="D23" s="27" t="s">
        <v>1105</v>
      </c>
      <c r="E23" s="27" t="s">
        <v>1107</v>
      </c>
      <c r="F23" s="28" t="b">
        <v>1</v>
      </c>
      <c r="G23" s="28" t="b">
        <v>1</v>
      </c>
      <c r="H23" s="28" t="b">
        <v>0</v>
      </c>
      <c r="I23" s="28" t="b">
        <v>1</v>
      </c>
      <c r="J23" s="28" t="b">
        <v>0</v>
      </c>
      <c r="K23" s="28" t="b">
        <v>1</v>
      </c>
      <c r="L23" s="28" t="b">
        <v>1</v>
      </c>
      <c r="M23" s="29">
        <f t="shared" si="1"/>
        <v>5</v>
      </c>
      <c r="N23" s="30">
        <f t="shared" si="2"/>
        <v>250</v>
      </c>
      <c r="O23" s="28" t="b">
        <v>1</v>
      </c>
      <c r="P23" s="24"/>
      <c r="Q23" s="24"/>
      <c r="R23" s="24"/>
      <c r="S23" s="24"/>
      <c r="T23" s="24"/>
      <c r="U23" s="24"/>
      <c r="V23" s="24"/>
      <c r="W23" s="24"/>
      <c r="X23" s="24"/>
      <c r="Y23" s="24"/>
      <c r="Z23" s="24"/>
    </row>
    <row r="24">
      <c r="A24" s="26">
        <v>35.0</v>
      </c>
      <c r="B24" s="27" t="s">
        <v>550</v>
      </c>
      <c r="C24" s="27" t="s">
        <v>61</v>
      </c>
      <c r="D24" s="27" t="s">
        <v>1159</v>
      </c>
      <c r="E24" s="27" t="s">
        <v>1161</v>
      </c>
      <c r="F24" s="28" t="b">
        <v>0</v>
      </c>
      <c r="G24" s="28" t="b">
        <v>0</v>
      </c>
      <c r="H24" s="28" t="b">
        <v>0</v>
      </c>
      <c r="I24" s="28" t="b">
        <v>0</v>
      </c>
      <c r="J24" s="28" t="b">
        <v>0</v>
      </c>
      <c r="K24" s="28" t="b">
        <v>0</v>
      </c>
      <c r="L24" s="28" t="b">
        <v>0</v>
      </c>
      <c r="M24" s="29">
        <f t="shared" si="1"/>
        <v>0</v>
      </c>
      <c r="N24" s="30">
        <f t="shared" si="2"/>
        <v>0</v>
      </c>
      <c r="O24" s="28" t="b">
        <v>0</v>
      </c>
      <c r="P24" s="24"/>
      <c r="Q24" s="24"/>
      <c r="R24" s="24"/>
      <c r="S24" s="24"/>
      <c r="T24" s="24"/>
      <c r="U24" s="24"/>
      <c r="V24" s="24"/>
      <c r="W24" s="24"/>
      <c r="X24" s="24"/>
      <c r="Y24" s="24"/>
      <c r="Z24" s="24"/>
    </row>
    <row r="25">
      <c r="A25" s="26">
        <v>35.0</v>
      </c>
      <c r="B25" s="27" t="s">
        <v>550</v>
      </c>
      <c r="C25" s="27" t="s">
        <v>61</v>
      </c>
      <c r="D25" s="27" t="s">
        <v>623</v>
      </c>
      <c r="E25" s="27"/>
      <c r="F25" s="28" t="b">
        <v>1</v>
      </c>
      <c r="G25" s="28" t="b">
        <v>0</v>
      </c>
      <c r="H25" s="28" t="b">
        <v>0</v>
      </c>
      <c r="I25" s="28" t="b">
        <v>0</v>
      </c>
      <c r="J25" s="28" t="b">
        <v>0</v>
      </c>
      <c r="K25" s="28" t="b">
        <v>0</v>
      </c>
      <c r="L25" s="28" t="b">
        <v>0</v>
      </c>
      <c r="M25" s="29">
        <f t="shared" si="1"/>
        <v>1</v>
      </c>
      <c r="N25" s="30">
        <f t="shared" si="2"/>
        <v>0</v>
      </c>
      <c r="O25" s="28" t="b">
        <v>0</v>
      </c>
      <c r="P25" s="24"/>
      <c r="Q25" s="24"/>
      <c r="R25" s="24"/>
      <c r="S25" s="24"/>
      <c r="T25" s="24"/>
      <c r="U25" s="24"/>
      <c r="V25" s="24"/>
      <c r="W25" s="24"/>
      <c r="X25" s="24"/>
      <c r="Y25" s="24"/>
      <c r="Z25" s="24"/>
    </row>
    <row r="26">
      <c r="A26" s="26">
        <v>35.0</v>
      </c>
      <c r="B26" s="27" t="s">
        <v>550</v>
      </c>
      <c r="C26" s="27" t="s">
        <v>42</v>
      </c>
      <c r="D26" s="27" t="s">
        <v>399</v>
      </c>
      <c r="E26" s="27"/>
      <c r="F26" s="28" t="b">
        <v>1</v>
      </c>
      <c r="G26" s="28" t="b">
        <v>1</v>
      </c>
      <c r="H26" s="28" t="b">
        <v>1</v>
      </c>
      <c r="I26" s="28" t="b">
        <v>1</v>
      </c>
      <c r="J26" s="28" t="b">
        <v>1</v>
      </c>
      <c r="K26" s="28" t="b">
        <v>1</v>
      </c>
      <c r="L26" s="28" t="b">
        <v>1</v>
      </c>
      <c r="M26" s="29">
        <f t="shared" si="1"/>
        <v>7</v>
      </c>
      <c r="N26" s="30">
        <f t="shared" si="2"/>
        <v>350</v>
      </c>
      <c r="O26" s="28" t="b">
        <v>1</v>
      </c>
      <c r="P26" s="24"/>
      <c r="Q26" s="24"/>
      <c r="R26" s="24"/>
      <c r="S26" s="24"/>
      <c r="T26" s="24"/>
      <c r="U26" s="24"/>
      <c r="V26" s="24"/>
      <c r="W26" s="24"/>
      <c r="X26" s="24"/>
      <c r="Y26" s="24"/>
      <c r="Z26" s="24"/>
    </row>
    <row r="27">
      <c r="A27" s="26">
        <v>35.0</v>
      </c>
      <c r="B27" s="27" t="s">
        <v>550</v>
      </c>
      <c r="C27" s="27" t="s">
        <v>43</v>
      </c>
      <c r="D27" s="27" t="s">
        <v>775</v>
      </c>
      <c r="E27" s="27" t="s">
        <v>776</v>
      </c>
      <c r="F27" s="28" t="b">
        <v>1</v>
      </c>
      <c r="G27" s="28" t="b">
        <v>1</v>
      </c>
      <c r="H27" s="28" t="b">
        <v>1</v>
      </c>
      <c r="I27" s="28" t="b">
        <v>1</v>
      </c>
      <c r="J27" s="28" t="b">
        <v>1</v>
      </c>
      <c r="K27" s="28" t="b">
        <v>1</v>
      </c>
      <c r="L27" s="28" t="b">
        <v>1</v>
      </c>
      <c r="M27" s="29">
        <f t="shared" si="1"/>
        <v>7</v>
      </c>
      <c r="N27" s="30">
        <f t="shared" si="2"/>
        <v>350</v>
      </c>
      <c r="O27" s="28" t="b">
        <v>1</v>
      </c>
      <c r="P27" s="24"/>
      <c r="Q27" s="24"/>
      <c r="R27" s="24"/>
      <c r="S27" s="24"/>
      <c r="T27" s="24"/>
      <c r="U27" s="24"/>
      <c r="V27" s="24"/>
      <c r="W27" s="24"/>
      <c r="X27" s="24"/>
      <c r="Y27" s="24"/>
      <c r="Z27" s="24"/>
    </row>
    <row r="28">
      <c r="A28" s="41">
        <v>35.0</v>
      </c>
      <c r="B28" s="42" t="s">
        <v>550</v>
      </c>
      <c r="C28" s="42" t="s">
        <v>37</v>
      </c>
      <c r="D28" s="42" t="s">
        <v>389</v>
      </c>
      <c r="E28" s="42"/>
      <c r="F28" s="43" t="b">
        <v>1</v>
      </c>
      <c r="G28" s="43" t="b">
        <v>0</v>
      </c>
      <c r="H28" s="43" t="b">
        <v>1</v>
      </c>
      <c r="I28" s="43" t="b">
        <v>0</v>
      </c>
      <c r="J28" s="43" t="b">
        <v>1</v>
      </c>
      <c r="K28" s="43" t="b">
        <v>0</v>
      </c>
      <c r="L28" s="43" t="b">
        <v>1</v>
      </c>
      <c r="M28" s="44">
        <f t="shared" si="1"/>
        <v>4</v>
      </c>
      <c r="N28" s="46">
        <f t="shared" si="2"/>
        <v>200</v>
      </c>
      <c r="O28" s="43" t="b">
        <v>1</v>
      </c>
      <c r="P28" s="24"/>
      <c r="Q28" s="24"/>
      <c r="R28" s="24"/>
      <c r="S28" s="24"/>
      <c r="T28" s="24"/>
      <c r="U28" s="24"/>
      <c r="V28" s="24"/>
      <c r="W28" s="24"/>
      <c r="X28" s="24"/>
      <c r="Y28" s="24"/>
      <c r="Z28" s="24"/>
    </row>
    <row r="29">
      <c r="A29" s="18">
        <v>35.0</v>
      </c>
      <c r="B29" s="19" t="s">
        <v>550</v>
      </c>
      <c r="C29" s="19" t="s">
        <v>55</v>
      </c>
      <c r="D29" s="19" t="s">
        <v>1374</v>
      </c>
      <c r="E29" s="19" t="s">
        <v>1375</v>
      </c>
      <c r="F29" s="20" t="b">
        <v>0</v>
      </c>
      <c r="G29" s="20" t="b">
        <v>0</v>
      </c>
      <c r="H29" s="20" t="b">
        <v>0</v>
      </c>
      <c r="I29" s="20" t="b">
        <v>0</v>
      </c>
      <c r="J29" s="20" t="b">
        <v>0</v>
      </c>
      <c r="K29" s="20" t="b">
        <v>0</v>
      </c>
      <c r="L29" s="20" t="b">
        <v>1</v>
      </c>
      <c r="M29" s="21">
        <f t="shared" si="1"/>
        <v>1</v>
      </c>
      <c r="N29" s="22">
        <f t="shared" si="2"/>
        <v>50</v>
      </c>
      <c r="O29" s="20" t="b">
        <v>1</v>
      </c>
      <c r="P29" s="24"/>
      <c r="Q29" s="24"/>
      <c r="R29" s="24"/>
      <c r="S29" s="24"/>
      <c r="T29" s="24"/>
      <c r="U29" s="24"/>
      <c r="V29" s="24"/>
      <c r="W29" s="24"/>
      <c r="X29" s="24"/>
      <c r="Y29" s="24"/>
      <c r="Z29" s="24"/>
    </row>
    <row r="30">
      <c r="A30" s="18">
        <v>35.0</v>
      </c>
      <c r="B30" s="19" t="s">
        <v>574</v>
      </c>
      <c r="C30" s="19" t="s">
        <v>61</v>
      </c>
      <c r="D30" s="19" t="s">
        <v>604</v>
      </c>
      <c r="E30" s="19"/>
      <c r="F30" s="20" t="b">
        <v>0</v>
      </c>
      <c r="G30" s="20" t="b">
        <v>0</v>
      </c>
      <c r="H30" s="20" t="b">
        <v>0</v>
      </c>
      <c r="I30" s="20" t="b">
        <v>0</v>
      </c>
      <c r="J30" s="20" t="b">
        <v>1</v>
      </c>
      <c r="K30" s="20" t="b">
        <v>1</v>
      </c>
      <c r="L30" s="20" t="b">
        <v>1</v>
      </c>
      <c r="M30" s="21">
        <f t="shared" si="1"/>
        <v>3</v>
      </c>
      <c r="N30" s="22">
        <f t="shared" si="2"/>
        <v>0</v>
      </c>
      <c r="O30" s="20" t="b">
        <v>1</v>
      </c>
      <c r="P30" s="24"/>
      <c r="Q30" s="24"/>
      <c r="R30" s="24"/>
      <c r="S30" s="24"/>
      <c r="T30" s="24"/>
      <c r="U30" s="24"/>
      <c r="V30" s="24"/>
      <c r="W30" s="24"/>
      <c r="X30" s="24"/>
      <c r="Y30" s="24"/>
      <c r="Z30" s="24"/>
    </row>
    <row r="31">
      <c r="A31" s="26">
        <v>35.0</v>
      </c>
      <c r="B31" s="27" t="s">
        <v>574</v>
      </c>
      <c r="C31" s="27" t="s">
        <v>35</v>
      </c>
      <c r="D31" s="27" t="s">
        <v>568</v>
      </c>
      <c r="E31" s="27" t="s">
        <v>570</v>
      </c>
      <c r="F31" s="28" t="b">
        <v>1</v>
      </c>
      <c r="G31" s="28" t="b">
        <v>1</v>
      </c>
      <c r="H31" s="28" t="b">
        <v>1</v>
      </c>
      <c r="I31" s="28" t="b">
        <v>1</v>
      </c>
      <c r="J31" s="28" t="b">
        <v>1</v>
      </c>
      <c r="K31" s="28" t="b">
        <v>1</v>
      </c>
      <c r="L31" s="28" t="b">
        <v>1</v>
      </c>
      <c r="M31" s="29">
        <f t="shared" si="1"/>
        <v>7</v>
      </c>
      <c r="N31" s="30">
        <f t="shared" si="2"/>
        <v>350</v>
      </c>
      <c r="O31" s="28" t="b">
        <v>1</v>
      </c>
      <c r="P31" s="24"/>
      <c r="Q31" s="24"/>
      <c r="R31" s="24"/>
      <c r="S31" s="24"/>
      <c r="T31" s="24"/>
      <c r="U31" s="24"/>
      <c r="V31" s="24"/>
      <c r="W31" s="24"/>
      <c r="X31" s="24"/>
      <c r="Y31" s="24"/>
      <c r="Z31" s="24"/>
    </row>
    <row r="32">
      <c r="A32" s="26">
        <v>35.0</v>
      </c>
      <c r="B32" s="27" t="s">
        <v>574</v>
      </c>
      <c r="C32" s="27" t="s">
        <v>55</v>
      </c>
      <c r="D32" s="27" t="s">
        <v>984</v>
      </c>
      <c r="E32" s="27" t="s">
        <v>986</v>
      </c>
      <c r="F32" s="28" t="b">
        <v>1</v>
      </c>
      <c r="G32" s="28" t="b">
        <v>1</v>
      </c>
      <c r="H32" s="28" t="b">
        <v>1</v>
      </c>
      <c r="I32" s="28" t="b">
        <v>1</v>
      </c>
      <c r="J32" s="28" t="b">
        <v>1</v>
      </c>
      <c r="K32" s="28" t="b">
        <v>1</v>
      </c>
      <c r="L32" s="28" t="b">
        <v>1</v>
      </c>
      <c r="M32" s="29">
        <f t="shared" si="1"/>
        <v>7</v>
      </c>
      <c r="N32" s="30">
        <f t="shared" si="2"/>
        <v>350</v>
      </c>
      <c r="O32" s="28" t="b">
        <v>1</v>
      </c>
      <c r="P32" s="24"/>
      <c r="Q32" s="24"/>
      <c r="R32" s="24"/>
      <c r="S32" s="24"/>
      <c r="T32" s="24"/>
      <c r="U32" s="24"/>
      <c r="V32" s="24"/>
      <c r="W32" s="24"/>
      <c r="X32" s="24"/>
      <c r="Y32" s="24"/>
      <c r="Z32" s="24"/>
    </row>
    <row r="33">
      <c r="A33" s="26">
        <v>35.0</v>
      </c>
      <c r="B33" s="27" t="s">
        <v>574</v>
      </c>
      <c r="C33" s="27" t="s">
        <v>61</v>
      </c>
      <c r="D33" s="27" t="s">
        <v>496</v>
      </c>
      <c r="E33" s="27"/>
      <c r="F33" s="28" t="b">
        <v>0</v>
      </c>
      <c r="G33" s="28" t="b">
        <v>1</v>
      </c>
      <c r="H33" s="28" t="b">
        <v>1</v>
      </c>
      <c r="I33" s="28" t="b">
        <v>0</v>
      </c>
      <c r="J33" s="28" t="b">
        <v>1</v>
      </c>
      <c r="K33" s="28" t="b">
        <v>1</v>
      </c>
      <c r="L33" s="28" t="b">
        <v>1</v>
      </c>
      <c r="M33" s="29">
        <f t="shared" si="1"/>
        <v>5</v>
      </c>
      <c r="N33" s="30">
        <f t="shared" si="2"/>
        <v>0</v>
      </c>
      <c r="O33" s="28" t="b">
        <v>1</v>
      </c>
      <c r="P33" s="24"/>
      <c r="Q33" s="24"/>
      <c r="R33" s="24"/>
      <c r="S33" s="24"/>
      <c r="T33" s="24"/>
      <c r="U33" s="24"/>
      <c r="V33" s="24"/>
      <c r="W33" s="24"/>
      <c r="X33" s="24"/>
      <c r="Y33" s="24"/>
      <c r="Z33" s="24"/>
    </row>
    <row r="34">
      <c r="A34" s="31">
        <v>35.0</v>
      </c>
      <c r="B34" s="32" t="s">
        <v>574</v>
      </c>
      <c r="C34" s="32" t="s">
        <v>55</v>
      </c>
      <c r="D34" s="32" t="s">
        <v>918</v>
      </c>
      <c r="E34" s="32" t="s">
        <v>921</v>
      </c>
      <c r="F34" s="33" t="b">
        <v>1</v>
      </c>
      <c r="G34" s="33" t="b">
        <v>1</v>
      </c>
      <c r="H34" s="33" t="b">
        <v>1</v>
      </c>
      <c r="I34" s="33" t="b">
        <v>1</v>
      </c>
      <c r="J34" s="33" t="b">
        <v>1</v>
      </c>
      <c r="K34" s="33" t="b">
        <v>0</v>
      </c>
      <c r="L34" s="33" t="b">
        <v>1</v>
      </c>
      <c r="M34" s="34">
        <f t="shared" si="1"/>
        <v>6</v>
      </c>
      <c r="N34" s="35">
        <f t="shared" si="2"/>
        <v>300</v>
      </c>
      <c r="O34" s="33" t="b">
        <v>1</v>
      </c>
      <c r="P34" s="24"/>
      <c r="Q34" s="24"/>
      <c r="R34" s="24"/>
      <c r="S34" s="24"/>
      <c r="T34" s="24"/>
      <c r="U34" s="24"/>
      <c r="V34" s="24"/>
      <c r="W34" s="24"/>
      <c r="X34" s="24"/>
      <c r="Y34" s="24"/>
      <c r="Z34" s="24"/>
    </row>
    <row r="35">
      <c r="A35" s="26">
        <v>35.0</v>
      </c>
      <c r="B35" s="27" t="s">
        <v>574</v>
      </c>
      <c r="C35" s="27" t="s">
        <v>42</v>
      </c>
      <c r="D35" s="27" t="s">
        <v>747</v>
      </c>
      <c r="E35" s="27" t="s">
        <v>749</v>
      </c>
      <c r="F35" s="28" t="b">
        <v>0</v>
      </c>
      <c r="G35" s="28" t="b">
        <v>0</v>
      </c>
      <c r="H35" s="28" t="b">
        <v>0</v>
      </c>
      <c r="I35" s="28" t="b">
        <v>0</v>
      </c>
      <c r="J35" s="28" t="b">
        <v>0</v>
      </c>
      <c r="K35" s="28" t="b">
        <v>0</v>
      </c>
      <c r="L35" s="28" t="b">
        <v>0</v>
      </c>
      <c r="M35" s="29">
        <f t="shared" si="1"/>
        <v>0</v>
      </c>
      <c r="N35" s="30">
        <f t="shared" si="2"/>
        <v>0</v>
      </c>
      <c r="O35" s="28" t="b">
        <v>0</v>
      </c>
      <c r="P35" s="24"/>
      <c r="Q35" s="24"/>
      <c r="R35" s="24"/>
      <c r="S35" s="24"/>
      <c r="T35" s="24"/>
      <c r="U35" s="24"/>
      <c r="V35" s="24"/>
      <c r="W35" s="24"/>
      <c r="X35" s="24"/>
      <c r="Y35" s="24"/>
      <c r="Z35" s="24"/>
    </row>
    <row r="36">
      <c r="A36" s="31">
        <v>35.0</v>
      </c>
      <c r="B36" s="32" t="s">
        <v>422</v>
      </c>
      <c r="C36" s="32" t="s">
        <v>1607</v>
      </c>
      <c r="D36" s="32" t="s">
        <v>312</v>
      </c>
      <c r="E36" s="32"/>
      <c r="F36" s="33" t="b">
        <v>1</v>
      </c>
      <c r="G36" s="33" t="b">
        <v>1</v>
      </c>
      <c r="H36" s="33" t="b">
        <v>1</v>
      </c>
      <c r="I36" s="33" t="b">
        <v>1</v>
      </c>
      <c r="J36" s="33" t="b">
        <v>1</v>
      </c>
      <c r="K36" s="33" t="b">
        <v>1</v>
      </c>
      <c r="L36" s="33" t="b">
        <v>1</v>
      </c>
      <c r="M36" s="34">
        <f t="shared" si="1"/>
        <v>7</v>
      </c>
      <c r="N36" s="35">
        <f t="shared" si="2"/>
        <v>350</v>
      </c>
      <c r="O36" s="33" t="b">
        <v>1</v>
      </c>
      <c r="P36" s="24"/>
      <c r="Q36" s="24"/>
      <c r="R36" s="24"/>
      <c r="S36" s="24"/>
      <c r="T36" s="24"/>
      <c r="U36" s="24"/>
      <c r="V36" s="24"/>
      <c r="W36" s="24"/>
      <c r="X36" s="24"/>
      <c r="Y36" s="24"/>
      <c r="Z36" s="24"/>
    </row>
    <row r="37">
      <c r="A37" s="26">
        <v>35.0</v>
      </c>
      <c r="B37" s="27" t="s">
        <v>422</v>
      </c>
      <c r="C37" s="27" t="s">
        <v>25</v>
      </c>
      <c r="D37" s="27" t="s">
        <v>397</v>
      </c>
      <c r="E37" s="27" t="s">
        <v>402</v>
      </c>
      <c r="F37" s="28" t="b">
        <v>0</v>
      </c>
      <c r="G37" s="28" t="b">
        <v>1</v>
      </c>
      <c r="H37" s="28" t="b">
        <v>0</v>
      </c>
      <c r="I37" s="28" t="b">
        <v>0</v>
      </c>
      <c r="J37" s="28" t="b">
        <v>1</v>
      </c>
      <c r="K37" s="28" t="b">
        <v>0</v>
      </c>
      <c r="L37" s="28" t="b">
        <v>0</v>
      </c>
      <c r="M37" s="29">
        <f t="shared" si="1"/>
        <v>2</v>
      </c>
      <c r="N37" s="30">
        <f t="shared" si="2"/>
        <v>100</v>
      </c>
      <c r="O37" s="28" t="b">
        <v>1</v>
      </c>
      <c r="P37" s="24"/>
      <c r="Q37" s="24"/>
      <c r="R37" s="24"/>
      <c r="S37" s="24"/>
      <c r="T37" s="24"/>
      <c r="U37" s="24"/>
      <c r="V37" s="24"/>
      <c r="W37" s="24"/>
      <c r="X37" s="24"/>
      <c r="Y37" s="24"/>
      <c r="Z37" s="24"/>
    </row>
    <row r="38">
      <c r="A38" s="26">
        <v>35.0</v>
      </c>
      <c r="B38" s="27" t="s">
        <v>622</v>
      </c>
      <c r="C38" s="27" t="s">
        <v>43</v>
      </c>
      <c r="D38" s="27" t="s">
        <v>514</v>
      </c>
      <c r="E38" s="27"/>
      <c r="F38" s="28" t="b">
        <v>0</v>
      </c>
      <c r="G38" s="28" t="b">
        <v>0</v>
      </c>
      <c r="H38" s="28" t="b">
        <v>0</v>
      </c>
      <c r="I38" s="28" t="b">
        <v>0</v>
      </c>
      <c r="J38" s="28" t="b">
        <v>0</v>
      </c>
      <c r="K38" s="28" t="b">
        <v>0</v>
      </c>
      <c r="L38" s="28" t="b">
        <v>0</v>
      </c>
      <c r="M38" s="29">
        <f t="shared" si="1"/>
        <v>0</v>
      </c>
      <c r="N38" s="30">
        <f t="shared" si="2"/>
        <v>0</v>
      </c>
      <c r="O38" s="28" t="b">
        <v>0</v>
      </c>
      <c r="P38" s="24"/>
      <c r="Q38" s="24"/>
      <c r="R38" s="24"/>
      <c r="S38" s="24"/>
      <c r="T38" s="24"/>
      <c r="U38" s="24"/>
      <c r="V38" s="24"/>
      <c r="W38" s="24"/>
      <c r="X38" s="24"/>
      <c r="Y38" s="24"/>
      <c r="Z38" s="24"/>
    </row>
    <row r="39">
      <c r="A39" s="26">
        <v>35.0</v>
      </c>
      <c r="B39" s="27" t="s">
        <v>622</v>
      </c>
      <c r="C39" s="27" t="s">
        <v>55</v>
      </c>
      <c r="D39" s="27" t="s">
        <v>755</v>
      </c>
      <c r="E39" s="27"/>
      <c r="F39" s="28" t="b">
        <v>0</v>
      </c>
      <c r="G39" s="28" t="b">
        <v>0</v>
      </c>
      <c r="H39" s="28" t="b">
        <v>0</v>
      </c>
      <c r="I39" s="28" t="b">
        <v>0</v>
      </c>
      <c r="J39" s="28" t="b">
        <v>0</v>
      </c>
      <c r="K39" s="28" t="b">
        <v>0</v>
      </c>
      <c r="L39" s="28" t="b">
        <v>0</v>
      </c>
      <c r="M39" s="29">
        <f t="shared" si="1"/>
        <v>0</v>
      </c>
      <c r="N39" s="30">
        <f t="shared" si="2"/>
        <v>0</v>
      </c>
      <c r="O39" s="28" t="b">
        <v>0</v>
      </c>
      <c r="P39" s="24"/>
      <c r="Q39" s="24"/>
      <c r="R39" s="24"/>
      <c r="S39" s="24"/>
      <c r="T39" s="24"/>
      <c r="U39" s="24"/>
      <c r="V39" s="24"/>
      <c r="W39" s="24"/>
      <c r="X39" s="24"/>
      <c r="Y39" s="24"/>
      <c r="Z39" s="24"/>
    </row>
    <row r="40">
      <c r="A40" s="26">
        <v>35.0</v>
      </c>
      <c r="B40" s="27" t="s">
        <v>622</v>
      </c>
      <c r="C40" s="27" t="s">
        <v>55</v>
      </c>
      <c r="D40" s="27" t="s">
        <v>726</v>
      </c>
      <c r="E40" s="27"/>
      <c r="F40" s="28" t="b">
        <v>0</v>
      </c>
      <c r="G40" s="28" t="b">
        <v>0</v>
      </c>
      <c r="H40" s="28" t="b">
        <v>0</v>
      </c>
      <c r="I40" s="28" t="b">
        <v>0</v>
      </c>
      <c r="J40" s="28" t="b">
        <v>0</v>
      </c>
      <c r="K40" s="28" t="b">
        <v>0</v>
      </c>
      <c r="L40" s="28" t="b">
        <v>0</v>
      </c>
      <c r="M40" s="29">
        <f t="shared" si="1"/>
        <v>0</v>
      </c>
      <c r="N40" s="30">
        <f t="shared" si="2"/>
        <v>0</v>
      </c>
      <c r="O40" s="28" t="b">
        <v>0</v>
      </c>
      <c r="P40" s="24"/>
      <c r="Q40" s="24"/>
      <c r="R40" s="24"/>
      <c r="S40" s="24"/>
      <c r="T40" s="24"/>
      <c r="U40" s="24"/>
      <c r="V40" s="24"/>
      <c r="W40" s="24"/>
      <c r="X40" s="24"/>
      <c r="Y40" s="24"/>
      <c r="Z40" s="24"/>
    </row>
    <row r="41">
      <c r="A41" s="26">
        <v>35.0</v>
      </c>
      <c r="B41" s="27" t="s">
        <v>622</v>
      </c>
      <c r="C41" s="27" t="s">
        <v>42</v>
      </c>
      <c r="D41" s="27" t="s">
        <v>1491</v>
      </c>
      <c r="E41" s="27" t="s">
        <v>1494</v>
      </c>
      <c r="F41" s="28" t="b">
        <v>0</v>
      </c>
      <c r="G41" s="28" t="b">
        <v>0</v>
      </c>
      <c r="H41" s="28" t="b">
        <v>0</v>
      </c>
      <c r="I41" s="28" t="b">
        <v>0</v>
      </c>
      <c r="J41" s="28" t="b">
        <v>0</v>
      </c>
      <c r="K41" s="28" t="b">
        <v>0</v>
      </c>
      <c r="L41" s="28" t="b">
        <v>0</v>
      </c>
      <c r="M41" s="29">
        <f t="shared" si="1"/>
        <v>0</v>
      </c>
      <c r="N41" s="30">
        <f t="shared" si="2"/>
        <v>0</v>
      </c>
      <c r="O41" s="28" t="b">
        <v>0</v>
      </c>
      <c r="P41" s="24"/>
      <c r="Q41" s="24"/>
      <c r="R41" s="24"/>
      <c r="S41" s="24"/>
      <c r="T41" s="24"/>
      <c r="U41" s="24"/>
      <c r="V41" s="24"/>
      <c r="W41" s="24"/>
      <c r="X41" s="24"/>
      <c r="Y41" s="24"/>
      <c r="Z41" s="24"/>
    </row>
    <row r="42">
      <c r="A42" s="26">
        <v>35.0</v>
      </c>
      <c r="B42" s="27" t="s">
        <v>622</v>
      </c>
      <c r="C42" s="27" t="s">
        <v>37</v>
      </c>
      <c r="D42" s="27" t="s">
        <v>1750</v>
      </c>
      <c r="E42" s="27" t="s">
        <v>1467</v>
      </c>
      <c r="F42" s="28" t="b">
        <v>0</v>
      </c>
      <c r="G42" s="28" t="b">
        <v>0</v>
      </c>
      <c r="H42" s="28" t="b">
        <v>0</v>
      </c>
      <c r="I42" s="28" t="b">
        <v>0</v>
      </c>
      <c r="J42" s="28" t="b">
        <v>0</v>
      </c>
      <c r="K42" s="28" t="b">
        <v>0</v>
      </c>
      <c r="L42" s="28" t="b">
        <v>0</v>
      </c>
      <c r="M42" s="29">
        <f t="shared" si="1"/>
        <v>0</v>
      </c>
      <c r="N42" s="30">
        <f t="shared" si="2"/>
        <v>0</v>
      </c>
      <c r="O42" s="28" t="b">
        <v>0</v>
      </c>
      <c r="P42" s="24"/>
      <c r="Q42" s="24"/>
      <c r="R42" s="24"/>
      <c r="S42" s="24"/>
      <c r="T42" s="24"/>
      <c r="U42" s="24"/>
      <c r="V42" s="24"/>
      <c r="W42" s="24"/>
      <c r="X42" s="24"/>
      <c r="Y42" s="24"/>
      <c r="Z42" s="24"/>
    </row>
    <row r="43">
      <c r="A43" s="26">
        <v>35.0</v>
      </c>
      <c r="B43" s="27" t="s">
        <v>622</v>
      </c>
      <c r="C43" s="27" t="s">
        <v>61</v>
      </c>
      <c r="D43" s="27" t="s">
        <v>764</v>
      </c>
      <c r="E43" s="27"/>
      <c r="F43" s="28" t="b">
        <v>0</v>
      </c>
      <c r="G43" s="28" t="b">
        <v>0</v>
      </c>
      <c r="H43" s="28" t="b">
        <v>0</v>
      </c>
      <c r="I43" s="28" t="b">
        <v>0</v>
      </c>
      <c r="J43" s="28" t="b">
        <v>0</v>
      </c>
      <c r="K43" s="28" t="b">
        <v>0</v>
      </c>
      <c r="L43" s="28" t="b">
        <v>0</v>
      </c>
      <c r="M43" s="29">
        <f t="shared" si="1"/>
        <v>0</v>
      </c>
      <c r="N43" s="30">
        <f t="shared" si="2"/>
        <v>0</v>
      </c>
      <c r="O43" s="28" t="b">
        <v>0</v>
      </c>
      <c r="P43" s="24"/>
      <c r="Q43" s="24"/>
      <c r="R43" s="24"/>
      <c r="S43" s="24"/>
      <c r="T43" s="24"/>
      <c r="U43" s="24"/>
      <c r="V43" s="24"/>
      <c r="W43" s="24"/>
      <c r="X43" s="24"/>
      <c r="Y43" s="24"/>
      <c r="Z43" s="24"/>
    </row>
    <row r="44">
      <c r="A44" s="18">
        <v>35.0</v>
      </c>
      <c r="B44" s="19" t="s">
        <v>622</v>
      </c>
      <c r="C44" s="19" t="s">
        <v>47</v>
      </c>
      <c r="D44" s="19" t="s">
        <v>772</v>
      </c>
      <c r="E44" s="19"/>
      <c r="F44" s="20" t="b">
        <v>0</v>
      </c>
      <c r="G44" s="20" t="b">
        <v>0</v>
      </c>
      <c r="H44" s="20" t="b">
        <v>0</v>
      </c>
      <c r="I44" s="20" t="b">
        <v>0</v>
      </c>
      <c r="J44" s="20" t="b">
        <v>0</v>
      </c>
      <c r="K44" s="20" t="b">
        <v>0</v>
      </c>
      <c r="L44" s="20" t="b">
        <v>0</v>
      </c>
      <c r="M44" s="21">
        <f t="shared" si="1"/>
        <v>0</v>
      </c>
      <c r="N44" s="22">
        <f t="shared" si="2"/>
        <v>0</v>
      </c>
      <c r="O44" s="20" t="b">
        <v>0</v>
      </c>
      <c r="P44" s="24"/>
      <c r="Q44" s="24"/>
      <c r="R44" s="24"/>
      <c r="S44" s="24"/>
      <c r="T44" s="24"/>
      <c r="U44" s="24"/>
      <c r="V44" s="24"/>
      <c r="W44" s="24"/>
      <c r="X44" s="24"/>
      <c r="Y44" s="24"/>
      <c r="Z44" s="24"/>
    </row>
    <row r="45">
      <c r="A45" s="18">
        <v>35.0</v>
      </c>
      <c r="B45" s="19" t="s">
        <v>622</v>
      </c>
      <c r="C45" s="19" t="s">
        <v>47</v>
      </c>
      <c r="D45" s="19" t="s">
        <v>735</v>
      </c>
      <c r="E45" s="19"/>
      <c r="F45" s="20" t="b">
        <v>0</v>
      </c>
      <c r="G45" s="20" t="b">
        <v>0</v>
      </c>
      <c r="H45" s="20" t="b">
        <v>0</v>
      </c>
      <c r="I45" s="20" t="b">
        <v>0</v>
      </c>
      <c r="J45" s="20" t="b">
        <v>0</v>
      </c>
      <c r="K45" s="20" t="b">
        <v>0</v>
      </c>
      <c r="L45" s="20" t="b">
        <v>0</v>
      </c>
      <c r="M45" s="21">
        <f t="shared" si="1"/>
        <v>0</v>
      </c>
      <c r="N45" s="22">
        <f t="shared" si="2"/>
        <v>0</v>
      </c>
      <c r="O45" s="20" t="b">
        <v>0</v>
      </c>
      <c r="P45" s="24"/>
      <c r="Q45" s="24"/>
      <c r="R45" s="24"/>
      <c r="S45" s="24"/>
      <c r="T45" s="24"/>
      <c r="U45" s="24"/>
      <c r="V45" s="24"/>
      <c r="W45" s="24"/>
      <c r="X45" s="24"/>
      <c r="Y45" s="24"/>
      <c r="Z45" s="24"/>
    </row>
    <row r="46">
      <c r="A46" s="18">
        <v>35.0</v>
      </c>
      <c r="B46" s="19" t="s">
        <v>622</v>
      </c>
      <c r="C46" s="19" t="s">
        <v>35</v>
      </c>
      <c r="D46" s="19" t="s">
        <v>616</v>
      </c>
      <c r="E46" s="19" t="s">
        <v>618</v>
      </c>
      <c r="F46" s="20" t="b">
        <v>0</v>
      </c>
      <c r="G46" s="20" t="b">
        <v>0</v>
      </c>
      <c r="H46" s="20" t="b">
        <v>0</v>
      </c>
      <c r="I46" s="20" t="b">
        <v>0</v>
      </c>
      <c r="J46" s="20" t="b">
        <v>0</v>
      </c>
      <c r="K46" s="20" t="b">
        <v>0</v>
      </c>
      <c r="L46" s="20" t="b">
        <v>0</v>
      </c>
      <c r="M46" s="21">
        <f t="shared" si="1"/>
        <v>0</v>
      </c>
      <c r="N46" s="22">
        <f t="shared" si="2"/>
        <v>0</v>
      </c>
      <c r="O46" s="20" t="b">
        <v>0</v>
      </c>
      <c r="P46" s="24"/>
      <c r="Q46" s="24"/>
      <c r="R46" s="24"/>
      <c r="S46" s="24"/>
      <c r="T46" s="24"/>
      <c r="U46" s="24"/>
      <c r="V46" s="24"/>
      <c r="W46" s="24"/>
      <c r="X46" s="24"/>
      <c r="Y46" s="24"/>
      <c r="Z46" s="24"/>
    </row>
    <row r="47">
      <c r="A47" s="18">
        <v>35.0</v>
      </c>
      <c r="B47" s="19" t="s">
        <v>622</v>
      </c>
      <c r="C47" s="19" t="s">
        <v>55</v>
      </c>
      <c r="D47" s="19" t="s">
        <v>1159</v>
      </c>
      <c r="E47" s="19"/>
      <c r="F47" s="20" t="b">
        <v>0</v>
      </c>
      <c r="G47" s="20" t="b">
        <v>0</v>
      </c>
      <c r="H47" s="20" t="b">
        <v>0</v>
      </c>
      <c r="I47" s="20" t="b">
        <v>0</v>
      </c>
      <c r="J47" s="20" t="b">
        <v>0</v>
      </c>
      <c r="K47" s="20" t="b">
        <v>0</v>
      </c>
      <c r="L47" s="20" t="b">
        <v>0</v>
      </c>
      <c r="M47" s="21">
        <f t="shared" si="1"/>
        <v>0</v>
      </c>
      <c r="N47" s="22">
        <f t="shared" si="2"/>
        <v>0</v>
      </c>
      <c r="O47" s="20" t="b">
        <v>0</v>
      </c>
    </row>
    <row r="48">
      <c r="A48" s="18">
        <v>35.0</v>
      </c>
      <c r="B48" s="19" t="s">
        <v>622</v>
      </c>
      <c r="C48" s="19" t="s">
        <v>55</v>
      </c>
      <c r="D48" s="19" t="s">
        <v>717</v>
      </c>
      <c r="E48" s="19"/>
      <c r="F48" s="20" t="b">
        <v>0</v>
      </c>
      <c r="G48" s="20" t="b">
        <v>0</v>
      </c>
      <c r="H48" s="20" t="b">
        <v>0</v>
      </c>
      <c r="I48" s="20" t="b">
        <v>0</v>
      </c>
      <c r="J48" s="20" t="b">
        <v>0</v>
      </c>
      <c r="K48" s="20" t="b">
        <v>0</v>
      </c>
      <c r="L48" s="20" t="b">
        <v>0</v>
      </c>
      <c r="M48" s="21">
        <f t="shared" si="1"/>
        <v>0</v>
      </c>
      <c r="N48" s="22">
        <f t="shared" si="2"/>
        <v>0</v>
      </c>
      <c r="O48" s="20" t="b">
        <v>0</v>
      </c>
    </row>
    <row r="49">
      <c r="A49" s="31">
        <v>35.0</v>
      </c>
      <c r="B49" s="32" t="s">
        <v>622</v>
      </c>
      <c r="C49" s="32" t="s">
        <v>55</v>
      </c>
      <c r="D49" s="32" t="s">
        <v>708</v>
      </c>
      <c r="E49" s="32"/>
      <c r="F49" s="33" t="b">
        <v>0</v>
      </c>
      <c r="G49" s="33" t="b">
        <v>0</v>
      </c>
      <c r="H49" s="33" t="b">
        <v>0</v>
      </c>
      <c r="I49" s="33" t="b">
        <v>0</v>
      </c>
      <c r="J49" s="33" t="b">
        <v>0</v>
      </c>
      <c r="K49" s="33" t="b">
        <v>0</v>
      </c>
      <c r="L49" s="33" t="b">
        <v>0</v>
      </c>
      <c r="M49" s="34">
        <f t="shared" si="1"/>
        <v>0</v>
      </c>
      <c r="N49" s="35">
        <f t="shared" si="2"/>
        <v>0</v>
      </c>
      <c r="O49" s="33" t="b">
        <v>0</v>
      </c>
    </row>
    <row r="50">
      <c r="A50" s="18">
        <v>35.0</v>
      </c>
      <c r="B50" s="19" t="s">
        <v>622</v>
      </c>
      <c r="C50" s="19" t="s">
        <v>55</v>
      </c>
      <c r="D50" s="19" t="s">
        <v>1612</v>
      </c>
      <c r="E50" s="19"/>
      <c r="F50" s="20" t="b">
        <v>0</v>
      </c>
      <c r="G50" s="20" t="b">
        <v>0</v>
      </c>
      <c r="H50" s="20" t="b">
        <v>0</v>
      </c>
      <c r="I50" s="20" t="b">
        <v>0</v>
      </c>
      <c r="J50" s="20" t="b">
        <v>0</v>
      </c>
      <c r="K50" s="20" t="b">
        <v>0</v>
      </c>
      <c r="L50" s="20" t="b">
        <v>0</v>
      </c>
      <c r="M50" s="21">
        <f t="shared" si="1"/>
        <v>0</v>
      </c>
      <c r="N50" s="22">
        <f t="shared" si="2"/>
        <v>0</v>
      </c>
      <c r="O50" s="20" t="b">
        <v>0</v>
      </c>
    </row>
    <row r="51">
      <c r="A51" s="18">
        <v>35.0</v>
      </c>
      <c r="B51" s="19" t="s">
        <v>1225</v>
      </c>
      <c r="C51" s="19" t="s">
        <v>55</v>
      </c>
      <c r="D51" s="19" t="s">
        <v>1245</v>
      </c>
      <c r="E51" s="19" t="s">
        <v>1220</v>
      </c>
      <c r="F51" s="20" t="b">
        <v>0</v>
      </c>
      <c r="G51" s="20" t="b">
        <v>0</v>
      </c>
      <c r="H51" s="20" t="b">
        <v>0</v>
      </c>
      <c r="I51" s="20" t="b">
        <v>0</v>
      </c>
      <c r="J51" s="20" t="b">
        <v>0</v>
      </c>
      <c r="K51" s="20" t="b">
        <v>0</v>
      </c>
      <c r="L51" s="20" t="b">
        <v>0</v>
      </c>
      <c r="M51" s="21">
        <f t="shared" si="1"/>
        <v>0</v>
      </c>
      <c r="N51" s="22">
        <f t="shared" si="2"/>
        <v>0</v>
      </c>
      <c r="O51" s="20" t="b">
        <v>0</v>
      </c>
    </row>
    <row r="52">
      <c r="A52" s="41">
        <v>35.0</v>
      </c>
      <c r="B52" s="42" t="s">
        <v>1225</v>
      </c>
      <c r="C52" s="42" t="s">
        <v>55</v>
      </c>
      <c r="D52" s="42" t="s">
        <v>1219</v>
      </c>
      <c r="E52" s="42" t="s">
        <v>1220</v>
      </c>
      <c r="F52" s="43" t="b">
        <v>0</v>
      </c>
      <c r="G52" s="43" t="b">
        <v>0</v>
      </c>
      <c r="H52" s="43" t="b">
        <v>0</v>
      </c>
      <c r="I52" s="43" t="b">
        <v>0</v>
      </c>
      <c r="J52" s="43" t="b">
        <v>0</v>
      </c>
      <c r="K52" s="43" t="b">
        <v>0</v>
      </c>
      <c r="L52" s="43" t="b">
        <v>0</v>
      </c>
      <c r="M52" s="44">
        <f t="shared" si="1"/>
        <v>0</v>
      </c>
      <c r="N52" s="46">
        <f t="shared" si="2"/>
        <v>0</v>
      </c>
      <c r="O52" s="43" t="b">
        <v>0</v>
      </c>
    </row>
    <row r="53">
      <c r="A53" s="49">
        <v>35.0</v>
      </c>
      <c r="B53" s="50" t="s">
        <v>1225</v>
      </c>
      <c r="C53" s="50" t="s">
        <v>55</v>
      </c>
      <c r="D53" s="50" t="s">
        <v>594</v>
      </c>
      <c r="E53" s="50"/>
      <c r="F53" s="51" t="b">
        <v>0</v>
      </c>
      <c r="G53" s="51" t="b">
        <v>0</v>
      </c>
      <c r="H53" s="51" t="b">
        <v>0</v>
      </c>
      <c r="I53" s="51" t="b">
        <v>0</v>
      </c>
      <c r="J53" s="51" t="b">
        <v>0</v>
      </c>
      <c r="K53" s="51" t="b">
        <v>0</v>
      </c>
      <c r="L53" s="51" t="b">
        <v>0</v>
      </c>
      <c r="M53" s="52">
        <f t="shared" si="1"/>
        <v>0</v>
      </c>
      <c r="N53" s="53">
        <f t="shared" si="2"/>
        <v>0</v>
      </c>
      <c r="O53" s="51" t="b">
        <v>0</v>
      </c>
    </row>
    <row r="54">
      <c r="A54" s="18">
        <v>35.0</v>
      </c>
      <c r="B54" s="19" t="s">
        <v>671</v>
      </c>
      <c r="C54" s="19" t="s">
        <v>35</v>
      </c>
      <c r="D54" s="19" t="s">
        <v>666</v>
      </c>
      <c r="E54" s="19" t="s">
        <v>2012</v>
      </c>
      <c r="F54" s="20" t="b">
        <v>0</v>
      </c>
      <c r="G54" s="20" t="b">
        <v>0</v>
      </c>
      <c r="H54" s="20" t="b">
        <v>0</v>
      </c>
      <c r="I54" s="20" t="b">
        <v>0</v>
      </c>
      <c r="J54" s="20" t="b">
        <v>0</v>
      </c>
      <c r="K54" s="20" t="b">
        <v>0</v>
      </c>
      <c r="L54" s="20" t="b">
        <v>0</v>
      </c>
      <c r="M54" s="21">
        <f t="shared" si="1"/>
        <v>0</v>
      </c>
      <c r="N54" s="22">
        <f t="shared" si="2"/>
        <v>0</v>
      </c>
      <c r="O54" s="20" t="b">
        <v>0</v>
      </c>
    </row>
    <row r="55">
      <c r="A55" s="18">
        <v>36.0</v>
      </c>
      <c r="B55" s="19" t="s">
        <v>1959</v>
      </c>
      <c r="C55" s="19" t="s">
        <v>55</v>
      </c>
      <c r="D55" s="19" t="s">
        <v>1096</v>
      </c>
      <c r="E55" s="19"/>
      <c r="F55" s="20" t="b">
        <v>0</v>
      </c>
      <c r="G55" s="20" t="b">
        <v>0</v>
      </c>
      <c r="H55" s="20" t="b">
        <v>0</v>
      </c>
      <c r="I55" s="20" t="b">
        <v>0</v>
      </c>
      <c r="J55" s="20" t="b">
        <v>0</v>
      </c>
      <c r="K55" s="20" t="b">
        <v>0</v>
      </c>
      <c r="L55" s="20" t="b">
        <v>0</v>
      </c>
      <c r="M55" s="21">
        <f t="shared" si="1"/>
        <v>0</v>
      </c>
      <c r="N55" s="22">
        <f t="shared" ref="N55:N56" si="3">M55*50</f>
        <v>0</v>
      </c>
      <c r="O55" s="20" t="b">
        <v>0</v>
      </c>
    </row>
    <row r="56">
      <c r="A56" s="26">
        <v>36.0</v>
      </c>
      <c r="B56" s="27" t="s">
        <v>1959</v>
      </c>
      <c r="C56" s="27" t="s">
        <v>55</v>
      </c>
      <c r="D56" s="27" t="s">
        <v>2075</v>
      </c>
      <c r="E56" s="27" t="s">
        <v>2079</v>
      </c>
      <c r="F56" s="28" t="b">
        <v>0</v>
      </c>
      <c r="G56" s="28" t="b">
        <v>0</v>
      </c>
      <c r="H56" s="28" t="b">
        <v>0</v>
      </c>
      <c r="I56" s="28" t="b">
        <v>0</v>
      </c>
      <c r="J56" s="28" t="b">
        <v>0</v>
      </c>
      <c r="K56" s="28" t="b">
        <v>0</v>
      </c>
      <c r="L56" s="28" t="b">
        <v>0</v>
      </c>
      <c r="M56" s="29">
        <f t="shared" si="1"/>
        <v>0</v>
      </c>
      <c r="N56" s="30">
        <f t="shared" si="3"/>
        <v>0</v>
      </c>
      <c r="O56" s="28" t="b">
        <v>0</v>
      </c>
    </row>
    <row r="57">
      <c r="A57" s="18">
        <v>36.0</v>
      </c>
      <c r="B57" s="19" t="s">
        <v>1959</v>
      </c>
      <c r="C57" s="19" t="s">
        <v>61</v>
      </c>
      <c r="D57" s="19" t="s">
        <v>1123</v>
      </c>
      <c r="E57" s="19"/>
      <c r="F57" s="20" t="b">
        <v>0</v>
      </c>
      <c r="G57" s="20" t="b">
        <v>0</v>
      </c>
      <c r="H57" s="20" t="b">
        <v>0</v>
      </c>
      <c r="I57" s="20" t="b">
        <v>0</v>
      </c>
      <c r="J57" s="20" t="b">
        <v>0</v>
      </c>
      <c r="K57" s="20" t="b">
        <v>0</v>
      </c>
      <c r="L57" s="20" t="b">
        <v>0</v>
      </c>
      <c r="M57" s="21">
        <f t="shared" si="1"/>
        <v>0</v>
      </c>
      <c r="N57" s="22">
        <f>M57*0</f>
        <v>0</v>
      </c>
      <c r="O57" s="20" t="b">
        <v>0</v>
      </c>
    </row>
    <row r="58">
      <c r="A58" s="26">
        <v>36.0</v>
      </c>
      <c r="B58" s="27" t="s">
        <v>1959</v>
      </c>
      <c r="C58" s="27" t="s">
        <v>55</v>
      </c>
      <c r="D58" s="27" t="s">
        <v>2129</v>
      </c>
      <c r="E58" s="27" t="s">
        <v>2130</v>
      </c>
      <c r="F58" s="28" t="b">
        <v>0</v>
      </c>
      <c r="G58" s="28" t="b">
        <v>0</v>
      </c>
      <c r="H58" s="28" t="b">
        <v>0</v>
      </c>
      <c r="I58" s="28" t="b">
        <v>0</v>
      </c>
      <c r="J58" s="28" t="b">
        <v>0</v>
      </c>
      <c r="K58" s="28" t="b">
        <v>0</v>
      </c>
      <c r="L58" s="28" t="b">
        <v>0</v>
      </c>
      <c r="M58" s="29">
        <f t="shared" si="1"/>
        <v>0</v>
      </c>
      <c r="N58" s="30">
        <f t="shared" ref="N58:N70" si="4">M58*50</f>
        <v>0</v>
      </c>
      <c r="O58" s="28" t="b">
        <v>0</v>
      </c>
    </row>
    <row r="59">
      <c r="A59" s="26">
        <v>36.0</v>
      </c>
      <c r="B59" s="27" t="s">
        <v>1959</v>
      </c>
      <c r="C59" s="27" t="s">
        <v>55</v>
      </c>
      <c r="D59" s="27" t="s">
        <v>2150</v>
      </c>
      <c r="E59" s="27" t="s">
        <v>2152</v>
      </c>
      <c r="F59" s="28" t="b">
        <v>0</v>
      </c>
      <c r="G59" s="28" t="b">
        <v>0</v>
      </c>
      <c r="H59" s="28" t="b">
        <v>0</v>
      </c>
      <c r="I59" s="28" t="b">
        <v>0</v>
      </c>
      <c r="J59" s="28" t="b">
        <v>0</v>
      </c>
      <c r="K59" s="28" t="b">
        <v>0</v>
      </c>
      <c r="L59" s="28" t="b">
        <v>0</v>
      </c>
      <c r="M59" s="29">
        <f t="shared" si="1"/>
        <v>0</v>
      </c>
      <c r="N59" s="30">
        <f t="shared" si="4"/>
        <v>0</v>
      </c>
      <c r="O59" s="28" t="b">
        <v>0</v>
      </c>
    </row>
    <row r="60">
      <c r="A60" s="26">
        <v>36.0</v>
      </c>
      <c r="B60" s="27" t="s">
        <v>1959</v>
      </c>
      <c r="C60" s="27" t="s">
        <v>35</v>
      </c>
      <c r="D60" s="27" t="s">
        <v>2172</v>
      </c>
      <c r="E60" s="27" t="s">
        <v>2175</v>
      </c>
      <c r="F60" s="28" t="b">
        <v>0</v>
      </c>
      <c r="G60" s="28" t="b">
        <v>0</v>
      </c>
      <c r="H60" s="28" t="b">
        <v>0</v>
      </c>
      <c r="I60" s="28" t="b">
        <v>0</v>
      </c>
      <c r="J60" s="28" t="b">
        <v>0</v>
      </c>
      <c r="K60" s="28" t="b">
        <v>0</v>
      </c>
      <c r="L60" s="28" t="b">
        <v>0</v>
      </c>
      <c r="M60" s="29">
        <f t="shared" si="1"/>
        <v>0</v>
      </c>
      <c r="N60" s="30">
        <f t="shared" si="4"/>
        <v>0</v>
      </c>
      <c r="O60" s="28" t="b">
        <v>0</v>
      </c>
    </row>
    <row r="61">
      <c r="A61" s="26">
        <v>36.0</v>
      </c>
      <c r="B61" s="27" t="s">
        <v>1959</v>
      </c>
      <c r="C61" s="27" t="s">
        <v>30</v>
      </c>
      <c r="D61" s="27" t="s">
        <v>909</v>
      </c>
      <c r="E61" s="27"/>
      <c r="F61" s="28" t="b">
        <v>0</v>
      </c>
      <c r="G61" s="28" t="b">
        <v>0</v>
      </c>
      <c r="H61" s="28" t="b">
        <v>0</v>
      </c>
      <c r="I61" s="28" t="b">
        <v>0</v>
      </c>
      <c r="J61" s="28" t="b">
        <v>0</v>
      </c>
      <c r="K61" s="28" t="b">
        <v>0</v>
      </c>
      <c r="L61" s="28" t="b">
        <v>0</v>
      </c>
      <c r="M61" s="29">
        <f t="shared" si="1"/>
        <v>0</v>
      </c>
      <c r="N61" s="30">
        <f t="shared" si="4"/>
        <v>0</v>
      </c>
      <c r="O61" s="28" t="b">
        <v>0</v>
      </c>
    </row>
    <row r="62">
      <c r="A62" s="31">
        <v>36.0</v>
      </c>
      <c r="B62" s="32" t="s">
        <v>1959</v>
      </c>
      <c r="C62" s="32" t="s">
        <v>55</v>
      </c>
      <c r="D62" s="32" t="s">
        <v>2223</v>
      </c>
      <c r="E62" s="32" t="s">
        <v>2225</v>
      </c>
      <c r="F62" s="33" t="b">
        <v>0</v>
      </c>
      <c r="G62" s="33" t="b">
        <v>0</v>
      </c>
      <c r="H62" s="33" t="b">
        <v>0</v>
      </c>
      <c r="I62" s="33" t="b">
        <v>0</v>
      </c>
      <c r="J62" s="33" t="b">
        <v>0</v>
      </c>
      <c r="K62" s="33" t="b">
        <v>0</v>
      </c>
      <c r="L62" s="33" t="b">
        <v>0</v>
      </c>
      <c r="M62" s="34">
        <f t="shared" si="1"/>
        <v>0</v>
      </c>
      <c r="N62" s="35">
        <f t="shared" si="4"/>
        <v>0</v>
      </c>
      <c r="O62" s="33" t="b">
        <v>0</v>
      </c>
    </row>
    <row r="63">
      <c r="A63" s="26">
        <v>36.0</v>
      </c>
      <c r="B63" s="27" t="s">
        <v>1959</v>
      </c>
      <c r="C63" s="27" t="s">
        <v>55</v>
      </c>
      <c r="D63" s="27" t="s">
        <v>1089</v>
      </c>
      <c r="E63" s="27"/>
      <c r="F63" s="28" t="b">
        <v>0</v>
      </c>
      <c r="G63" s="28" t="b">
        <v>0</v>
      </c>
      <c r="H63" s="28" t="b">
        <v>0</v>
      </c>
      <c r="I63" s="28" t="b">
        <v>0</v>
      </c>
      <c r="J63" s="28" t="b">
        <v>0</v>
      </c>
      <c r="K63" s="28" t="b">
        <v>0</v>
      </c>
      <c r="L63" s="28" t="b">
        <v>0</v>
      </c>
      <c r="M63" s="29">
        <f t="shared" si="1"/>
        <v>0</v>
      </c>
      <c r="N63" s="30">
        <f t="shared" si="4"/>
        <v>0</v>
      </c>
      <c r="O63" s="28" t="b">
        <v>0</v>
      </c>
    </row>
    <row r="64">
      <c r="A64" s="18">
        <v>36.0</v>
      </c>
      <c r="B64" s="19" t="s">
        <v>501</v>
      </c>
      <c r="C64" s="19" t="s">
        <v>55</v>
      </c>
      <c r="D64" s="19" t="s">
        <v>505</v>
      </c>
      <c r="E64" s="19"/>
      <c r="F64" s="20" t="b">
        <v>1</v>
      </c>
      <c r="G64" s="20" t="b">
        <v>1</v>
      </c>
      <c r="H64" s="20" t="b">
        <v>1</v>
      </c>
      <c r="I64" s="20" t="b">
        <v>0</v>
      </c>
      <c r="J64" s="20" t="b">
        <v>1</v>
      </c>
      <c r="K64" s="20" t="b">
        <v>1</v>
      </c>
      <c r="L64" s="20" t="b">
        <v>0</v>
      </c>
      <c r="M64" s="21">
        <f t="shared" si="1"/>
        <v>5</v>
      </c>
      <c r="N64" s="22">
        <f t="shared" si="4"/>
        <v>250</v>
      </c>
      <c r="O64" s="20" t="b">
        <v>1</v>
      </c>
    </row>
    <row r="65">
      <c r="A65" s="26">
        <v>36.0</v>
      </c>
      <c r="B65" s="27" t="s">
        <v>501</v>
      </c>
      <c r="C65" s="27" t="s">
        <v>43</v>
      </c>
      <c r="D65" s="27" t="s">
        <v>661</v>
      </c>
      <c r="E65" s="27" t="s">
        <v>672</v>
      </c>
      <c r="F65" s="28" t="b">
        <v>1</v>
      </c>
      <c r="G65" s="28" t="b">
        <v>1</v>
      </c>
      <c r="H65" s="28" t="b">
        <v>0</v>
      </c>
      <c r="I65" s="28" t="b">
        <v>1</v>
      </c>
      <c r="J65" s="28" t="b">
        <v>1</v>
      </c>
      <c r="K65" s="28" t="b">
        <v>1</v>
      </c>
      <c r="L65" s="28" t="b">
        <v>0</v>
      </c>
      <c r="M65" s="29">
        <f t="shared" si="1"/>
        <v>5</v>
      </c>
      <c r="N65" s="30">
        <f t="shared" si="4"/>
        <v>250</v>
      </c>
      <c r="O65" s="28" t="b">
        <v>1</v>
      </c>
    </row>
    <row r="66">
      <c r="A66" s="18">
        <v>36.0</v>
      </c>
      <c r="B66" s="19" t="s">
        <v>501</v>
      </c>
      <c r="C66" s="19" t="s">
        <v>35</v>
      </c>
      <c r="D66" s="19" t="s">
        <v>377</v>
      </c>
      <c r="E66" s="19"/>
      <c r="F66" s="20" t="b">
        <v>0</v>
      </c>
      <c r="G66" s="20" t="b">
        <v>0</v>
      </c>
      <c r="H66" s="20" t="b">
        <v>0</v>
      </c>
      <c r="I66" s="20" t="b">
        <v>0</v>
      </c>
      <c r="J66" s="20" t="b">
        <v>0</v>
      </c>
      <c r="K66" s="20" t="b">
        <v>0</v>
      </c>
      <c r="L66" s="20" t="b">
        <v>0</v>
      </c>
      <c r="M66" s="21">
        <f t="shared" si="1"/>
        <v>0</v>
      </c>
      <c r="N66" s="22">
        <f t="shared" si="4"/>
        <v>0</v>
      </c>
      <c r="O66" s="20" t="b">
        <v>1</v>
      </c>
    </row>
    <row r="67">
      <c r="A67" s="18">
        <v>36.0</v>
      </c>
      <c r="B67" s="19" t="s">
        <v>501</v>
      </c>
      <c r="C67" s="19" t="s">
        <v>55</v>
      </c>
      <c r="D67" s="19" t="s">
        <v>780</v>
      </c>
      <c r="E67" s="19" t="s">
        <v>784</v>
      </c>
      <c r="F67" s="20" t="b">
        <v>1</v>
      </c>
      <c r="G67" s="20" t="b">
        <v>1</v>
      </c>
      <c r="H67" s="20" t="b">
        <v>1</v>
      </c>
      <c r="I67" s="20" t="b">
        <v>1</v>
      </c>
      <c r="J67" s="20" t="b">
        <v>1</v>
      </c>
      <c r="K67" s="20" t="b">
        <v>0</v>
      </c>
      <c r="L67" s="20" t="b">
        <v>0</v>
      </c>
      <c r="M67" s="21">
        <f t="shared" si="1"/>
        <v>5</v>
      </c>
      <c r="N67" s="22">
        <f t="shared" si="4"/>
        <v>250</v>
      </c>
      <c r="O67" s="20" t="b">
        <v>1</v>
      </c>
    </row>
    <row r="68">
      <c r="A68" s="26">
        <v>36.0</v>
      </c>
      <c r="B68" s="27" t="s">
        <v>501</v>
      </c>
      <c r="C68" s="27" t="s">
        <v>37</v>
      </c>
      <c r="D68" s="27" t="s">
        <v>804</v>
      </c>
      <c r="E68" s="27" t="s">
        <v>806</v>
      </c>
      <c r="F68" s="28" t="b">
        <v>0</v>
      </c>
      <c r="G68" s="28" t="b">
        <v>0</v>
      </c>
      <c r="H68" s="28" t="b">
        <v>0</v>
      </c>
      <c r="I68" s="28" t="b">
        <v>1</v>
      </c>
      <c r="J68" s="28" t="b">
        <v>0</v>
      </c>
      <c r="K68" s="28" t="b">
        <v>0</v>
      </c>
      <c r="L68" s="28" t="b">
        <v>0</v>
      </c>
      <c r="M68" s="29">
        <f t="shared" si="1"/>
        <v>1</v>
      </c>
      <c r="N68" s="30">
        <f t="shared" si="4"/>
        <v>50</v>
      </c>
      <c r="O68" s="28" t="b">
        <v>1</v>
      </c>
    </row>
    <row r="69">
      <c r="A69" s="26">
        <v>36.0</v>
      </c>
      <c r="B69" s="27" t="s">
        <v>501</v>
      </c>
      <c r="C69" s="27" t="s">
        <v>55</v>
      </c>
      <c r="D69" s="27" t="s">
        <v>2356</v>
      </c>
      <c r="E69" s="27" t="s">
        <v>847</v>
      </c>
      <c r="F69" s="28" t="b">
        <v>0</v>
      </c>
      <c r="G69" s="28" t="b">
        <v>0</v>
      </c>
      <c r="H69" s="28" t="b">
        <v>0</v>
      </c>
      <c r="I69" s="28" t="b">
        <v>0</v>
      </c>
      <c r="J69" s="28" t="b">
        <v>0</v>
      </c>
      <c r="K69" s="28" t="b">
        <v>0</v>
      </c>
      <c r="L69" s="28" t="b">
        <v>1</v>
      </c>
      <c r="M69" s="29">
        <f t="shared" si="1"/>
        <v>1</v>
      </c>
      <c r="N69" s="30">
        <f t="shared" si="4"/>
        <v>50</v>
      </c>
      <c r="O69" s="28" t="b">
        <v>1</v>
      </c>
    </row>
    <row r="70">
      <c r="A70" s="41">
        <v>36.0</v>
      </c>
      <c r="B70" s="42" t="s">
        <v>501</v>
      </c>
      <c r="C70" s="42" t="s">
        <v>43</v>
      </c>
      <c r="D70" s="42" t="s">
        <v>886</v>
      </c>
      <c r="E70" s="42" t="s">
        <v>847</v>
      </c>
      <c r="F70" s="43" t="b">
        <v>1</v>
      </c>
      <c r="G70" s="43" t="b">
        <v>1</v>
      </c>
      <c r="H70" s="43" t="b">
        <v>1</v>
      </c>
      <c r="I70" s="43" t="b">
        <v>1</v>
      </c>
      <c r="J70" s="43" t="b">
        <v>1</v>
      </c>
      <c r="K70" s="43" t="b">
        <v>1</v>
      </c>
      <c r="L70" s="43" t="b">
        <v>1</v>
      </c>
      <c r="M70" s="44">
        <f t="shared" si="1"/>
        <v>7</v>
      </c>
      <c r="N70" s="46">
        <f t="shared" si="4"/>
        <v>350</v>
      </c>
      <c r="O70" s="43" t="b">
        <v>1</v>
      </c>
    </row>
    <row r="71">
      <c r="A71" s="18">
        <v>36.0</v>
      </c>
      <c r="B71" s="19" t="s">
        <v>501</v>
      </c>
      <c r="C71" s="19" t="s">
        <v>61</v>
      </c>
      <c r="D71" s="19" t="s">
        <v>2232</v>
      </c>
      <c r="E71" s="19" t="s">
        <v>2235</v>
      </c>
      <c r="F71" s="20" t="b">
        <v>0</v>
      </c>
      <c r="G71" s="20" t="b">
        <v>0</v>
      </c>
      <c r="H71" s="20" t="b">
        <v>0</v>
      </c>
      <c r="I71" s="20" t="b">
        <v>1</v>
      </c>
      <c r="J71" s="20" t="b">
        <v>1</v>
      </c>
      <c r="K71" s="20" t="b">
        <v>0</v>
      </c>
      <c r="L71" s="20" t="b">
        <v>0</v>
      </c>
      <c r="M71" s="21">
        <f t="shared" si="1"/>
        <v>2</v>
      </c>
      <c r="N71" s="22">
        <f>M71*0</f>
        <v>0</v>
      </c>
      <c r="O71" s="20" t="b">
        <v>1</v>
      </c>
    </row>
    <row r="72">
      <c r="A72" s="26">
        <v>36.0</v>
      </c>
      <c r="B72" s="27" t="s">
        <v>550</v>
      </c>
      <c r="C72" s="27" t="s">
        <v>55</v>
      </c>
      <c r="D72" s="27" t="s">
        <v>543</v>
      </c>
      <c r="E72" s="27"/>
      <c r="F72" s="28" t="b">
        <v>0</v>
      </c>
      <c r="G72" s="28" t="b">
        <v>0</v>
      </c>
      <c r="H72" s="28" t="b">
        <v>0</v>
      </c>
      <c r="I72" s="28" t="b">
        <v>0</v>
      </c>
      <c r="J72" s="28" t="b">
        <v>0</v>
      </c>
      <c r="K72" s="28" t="b">
        <v>0</v>
      </c>
      <c r="L72" s="28" t="b">
        <v>0</v>
      </c>
      <c r="M72" s="29">
        <f t="shared" si="1"/>
        <v>0</v>
      </c>
      <c r="N72" s="30">
        <f>M72*50</f>
        <v>0</v>
      </c>
      <c r="O72" s="28" t="b">
        <v>0</v>
      </c>
    </row>
    <row r="73">
      <c r="A73" s="26">
        <v>36.0</v>
      </c>
      <c r="B73" s="27" t="s">
        <v>550</v>
      </c>
      <c r="C73" s="27" t="s">
        <v>61</v>
      </c>
      <c r="D73" s="27" t="s">
        <v>934</v>
      </c>
      <c r="E73" s="27" t="s">
        <v>937</v>
      </c>
      <c r="F73" s="28" t="b">
        <v>0</v>
      </c>
      <c r="G73" s="28" t="b">
        <v>1</v>
      </c>
      <c r="H73" s="28" t="b">
        <v>0</v>
      </c>
      <c r="I73" s="28" t="b">
        <v>0</v>
      </c>
      <c r="J73" s="28" t="b">
        <v>0</v>
      </c>
      <c r="K73" s="28" t="b">
        <v>0</v>
      </c>
      <c r="L73" s="28" t="b">
        <v>0</v>
      </c>
      <c r="M73" s="29">
        <f t="shared" si="1"/>
        <v>1</v>
      </c>
      <c r="N73" s="30">
        <f>M73*0</f>
        <v>0</v>
      </c>
      <c r="O73" s="28" t="b">
        <v>0</v>
      </c>
    </row>
    <row r="74">
      <c r="A74" s="26">
        <v>36.0</v>
      </c>
      <c r="B74" s="27" t="s">
        <v>550</v>
      </c>
      <c r="C74" s="27" t="s">
        <v>35</v>
      </c>
      <c r="D74" s="27" t="s">
        <v>544</v>
      </c>
      <c r="E74" s="27" t="s">
        <v>546</v>
      </c>
      <c r="F74" s="28" t="b">
        <v>1</v>
      </c>
      <c r="G74" s="28" t="b">
        <v>1</v>
      </c>
      <c r="H74" s="28" t="b">
        <v>1</v>
      </c>
      <c r="I74" s="28" t="b">
        <v>1</v>
      </c>
      <c r="J74" s="28" t="b">
        <v>1</v>
      </c>
      <c r="K74" s="28" t="b">
        <v>1</v>
      </c>
      <c r="L74" s="28" t="b">
        <v>1</v>
      </c>
      <c r="M74" s="29">
        <f t="shared" si="1"/>
        <v>7</v>
      </c>
      <c r="N74" s="30">
        <f t="shared" ref="N74:N87" si="5">M74*50</f>
        <v>350</v>
      </c>
      <c r="O74" s="28" t="b">
        <v>1</v>
      </c>
    </row>
    <row r="75">
      <c r="A75" s="26">
        <v>36.0</v>
      </c>
      <c r="B75" s="27" t="s">
        <v>550</v>
      </c>
      <c r="C75" s="27" t="s">
        <v>55</v>
      </c>
      <c r="D75" s="27" t="s">
        <v>1020</v>
      </c>
      <c r="E75" s="27" t="s">
        <v>1021</v>
      </c>
      <c r="F75" s="28" t="b">
        <v>1</v>
      </c>
      <c r="G75" s="28" t="b">
        <v>1</v>
      </c>
      <c r="H75" s="28" t="b">
        <v>1</v>
      </c>
      <c r="I75" s="28" t="b">
        <v>1</v>
      </c>
      <c r="J75" s="28" t="b">
        <v>1</v>
      </c>
      <c r="K75" s="28" t="b">
        <v>1</v>
      </c>
      <c r="L75" s="28" t="b">
        <v>0</v>
      </c>
      <c r="M75" s="29">
        <f t="shared" si="1"/>
        <v>6</v>
      </c>
      <c r="N75" s="30">
        <f t="shared" si="5"/>
        <v>300</v>
      </c>
      <c r="O75" s="28" t="b">
        <v>1</v>
      </c>
    </row>
    <row r="76">
      <c r="A76" s="26">
        <v>36.0</v>
      </c>
      <c r="B76" s="27" t="s">
        <v>550</v>
      </c>
      <c r="C76" s="27" t="s">
        <v>42</v>
      </c>
      <c r="D76" s="27" t="s">
        <v>535</v>
      </c>
      <c r="E76" s="27"/>
      <c r="F76" s="28" t="b">
        <v>1</v>
      </c>
      <c r="G76" s="28" t="b">
        <v>1</v>
      </c>
      <c r="H76" s="28" t="b">
        <v>1</v>
      </c>
      <c r="I76" s="28" t="b">
        <v>0</v>
      </c>
      <c r="J76" s="28" t="b">
        <v>0</v>
      </c>
      <c r="K76" s="28" t="b">
        <v>1</v>
      </c>
      <c r="L76" s="28" t="b">
        <v>1</v>
      </c>
      <c r="M76" s="29">
        <f t="shared" si="1"/>
        <v>5</v>
      </c>
      <c r="N76" s="30">
        <f t="shared" si="5"/>
        <v>250</v>
      </c>
      <c r="O76" s="28" t="b">
        <v>1</v>
      </c>
    </row>
    <row r="77">
      <c r="A77" s="26">
        <v>36.0</v>
      </c>
      <c r="B77" s="27" t="s">
        <v>550</v>
      </c>
      <c r="C77" s="27" t="s">
        <v>43</v>
      </c>
      <c r="D77" s="27" t="s">
        <v>434</v>
      </c>
      <c r="E77" s="27"/>
      <c r="F77" s="28" t="b">
        <v>1</v>
      </c>
      <c r="G77" s="28" t="b">
        <v>0</v>
      </c>
      <c r="H77" s="28" t="b">
        <v>1</v>
      </c>
      <c r="I77" s="28" t="b">
        <v>1</v>
      </c>
      <c r="J77" s="28" t="b">
        <v>0</v>
      </c>
      <c r="K77" s="28" t="b">
        <v>1</v>
      </c>
      <c r="L77" s="28" t="b">
        <v>0</v>
      </c>
      <c r="M77" s="29">
        <f t="shared" si="1"/>
        <v>4</v>
      </c>
      <c r="N77" s="30">
        <f t="shared" si="5"/>
        <v>200</v>
      </c>
      <c r="O77" s="28" t="b">
        <v>1</v>
      </c>
    </row>
    <row r="78">
      <c r="A78" s="26">
        <v>36.0</v>
      </c>
      <c r="B78" s="27" t="s">
        <v>550</v>
      </c>
      <c r="C78" s="27" t="s">
        <v>37</v>
      </c>
      <c r="D78" s="27" t="s">
        <v>768</v>
      </c>
      <c r="E78" s="27" t="s">
        <v>769</v>
      </c>
      <c r="F78" s="28" t="b">
        <v>0</v>
      </c>
      <c r="G78" s="28" t="b">
        <v>1</v>
      </c>
      <c r="H78" s="28" t="b">
        <v>0</v>
      </c>
      <c r="I78" s="28" t="b">
        <v>1</v>
      </c>
      <c r="J78" s="28" t="b">
        <v>1</v>
      </c>
      <c r="K78" s="28" t="b">
        <v>0</v>
      </c>
      <c r="L78" s="28" t="b">
        <v>1</v>
      </c>
      <c r="M78" s="29">
        <f t="shared" si="1"/>
        <v>4</v>
      </c>
      <c r="N78" s="30">
        <f t="shared" si="5"/>
        <v>200</v>
      </c>
      <c r="O78" s="28" t="b">
        <v>1</v>
      </c>
    </row>
    <row r="79">
      <c r="A79" s="26">
        <v>36.0</v>
      </c>
      <c r="B79" s="27" t="s">
        <v>550</v>
      </c>
      <c r="C79" s="27" t="s">
        <v>49</v>
      </c>
      <c r="D79" s="27" t="s">
        <v>451</v>
      </c>
      <c r="E79" s="27"/>
      <c r="F79" s="28" t="b">
        <v>1</v>
      </c>
      <c r="G79" s="28" t="b">
        <v>1</v>
      </c>
      <c r="H79" s="28" t="b">
        <v>1</v>
      </c>
      <c r="I79" s="28" t="b">
        <v>1</v>
      </c>
      <c r="J79" s="28" t="b">
        <v>0</v>
      </c>
      <c r="K79" s="28" t="b">
        <v>1</v>
      </c>
      <c r="L79" s="28" t="b">
        <v>1</v>
      </c>
      <c r="M79" s="29">
        <f t="shared" si="1"/>
        <v>6</v>
      </c>
      <c r="N79" s="30">
        <f t="shared" si="5"/>
        <v>300</v>
      </c>
      <c r="O79" s="28" t="b">
        <v>1</v>
      </c>
    </row>
    <row r="80">
      <c r="A80" s="26">
        <v>36.0</v>
      </c>
      <c r="B80" s="27" t="s">
        <v>550</v>
      </c>
      <c r="C80" s="27" t="s">
        <v>55</v>
      </c>
      <c r="D80" s="27" t="s">
        <v>1105</v>
      </c>
      <c r="E80" s="27" t="s">
        <v>1107</v>
      </c>
      <c r="F80" s="28" t="b">
        <v>0</v>
      </c>
      <c r="G80" s="28" t="b">
        <v>1</v>
      </c>
      <c r="H80" s="28" t="b">
        <v>1</v>
      </c>
      <c r="I80" s="28" t="b">
        <v>1</v>
      </c>
      <c r="J80" s="28" t="b">
        <v>1</v>
      </c>
      <c r="K80" s="28" t="b">
        <v>1</v>
      </c>
      <c r="L80" s="28" t="b">
        <v>1</v>
      </c>
      <c r="M80" s="29">
        <f t="shared" si="1"/>
        <v>6</v>
      </c>
      <c r="N80" s="30">
        <f t="shared" si="5"/>
        <v>300</v>
      </c>
      <c r="O80" s="28" t="b">
        <v>1</v>
      </c>
    </row>
    <row r="81">
      <c r="A81" s="26">
        <v>36.0</v>
      </c>
      <c r="B81" s="27" t="s">
        <v>550</v>
      </c>
      <c r="C81" s="27" t="s">
        <v>37</v>
      </c>
      <c r="D81" s="27" t="s">
        <v>399</v>
      </c>
      <c r="E81" s="27"/>
      <c r="F81" s="28" t="b">
        <v>1</v>
      </c>
      <c r="G81" s="28" t="b">
        <v>1</v>
      </c>
      <c r="H81" s="28" t="b">
        <v>1</v>
      </c>
      <c r="I81" s="28" t="b">
        <v>1</v>
      </c>
      <c r="J81" s="28" t="b">
        <v>1</v>
      </c>
      <c r="K81" s="28" t="b">
        <v>1</v>
      </c>
      <c r="L81" s="28" t="b">
        <v>1</v>
      </c>
      <c r="M81" s="29">
        <f t="shared" si="1"/>
        <v>7</v>
      </c>
      <c r="N81" s="30">
        <f t="shared" si="5"/>
        <v>350</v>
      </c>
      <c r="O81" s="28" t="b">
        <v>1</v>
      </c>
    </row>
    <row r="82">
      <c r="A82" s="26">
        <v>36.0</v>
      </c>
      <c r="B82" s="27" t="s">
        <v>550</v>
      </c>
      <c r="C82" s="27" t="s">
        <v>42</v>
      </c>
      <c r="D82" s="27" t="s">
        <v>775</v>
      </c>
      <c r="E82" s="27" t="s">
        <v>776</v>
      </c>
      <c r="F82" s="28" t="b">
        <v>1</v>
      </c>
      <c r="G82" s="28" t="b">
        <v>1</v>
      </c>
      <c r="H82" s="28" t="b">
        <v>1</v>
      </c>
      <c r="I82" s="28" t="b">
        <v>1</v>
      </c>
      <c r="J82" s="28" t="b">
        <v>1</v>
      </c>
      <c r="K82" s="28" t="b">
        <v>1</v>
      </c>
      <c r="L82" s="28" t="b">
        <v>1</v>
      </c>
      <c r="M82" s="29">
        <f t="shared" si="1"/>
        <v>7</v>
      </c>
      <c r="N82" s="30">
        <f t="shared" si="5"/>
        <v>350</v>
      </c>
      <c r="O82" s="28" t="b">
        <v>1</v>
      </c>
    </row>
    <row r="83">
      <c r="A83" s="26">
        <v>36.0</v>
      </c>
      <c r="B83" s="27" t="s">
        <v>550</v>
      </c>
      <c r="C83" s="27" t="s">
        <v>42</v>
      </c>
      <c r="D83" s="27" t="s">
        <v>747</v>
      </c>
      <c r="E83" s="27" t="s">
        <v>749</v>
      </c>
      <c r="F83" s="28" t="b">
        <v>0</v>
      </c>
      <c r="G83" s="28" t="b">
        <v>0</v>
      </c>
      <c r="H83" s="28" t="b">
        <v>0</v>
      </c>
      <c r="I83" s="28" t="b">
        <v>0</v>
      </c>
      <c r="J83" s="28" t="b">
        <v>0</v>
      </c>
      <c r="K83" s="28" t="b">
        <v>0</v>
      </c>
      <c r="L83" s="28" t="b">
        <v>0</v>
      </c>
      <c r="M83" s="29">
        <f t="shared" si="1"/>
        <v>0</v>
      </c>
      <c r="N83" s="30">
        <f t="shared" si="5"/>
        <v>0</v>
      </c>
      <c r="O83" s="28" t="b">
        <v>0</v>
      </c>
    </row>
    <row r="84">
      <c r="A84" s="31">
        <v>36.0</v>
      </c>
      <c r="B84" s="32" t="s">
        <v>550</v>
      </c>
      <c r="C84" s="32" t="s">
        <v>55</v>
      </c>
      <c r="D84" s="32" t="s">
        <v>1374</v>
      </c>
      <c r="E84" s="32" t="s">
        <v>1375</v>
      </c>
      <c r="F84" s="33" t="b">
        <v>1</v>
      </c>
      <c r="G84" s="33" t="b">
        <v>1</v>
      </c>
      <c r="H84" s="33" t="b">
        <v>1</v>
      </c>
      <c r="I84" s="33" t="b">
        <v>1</v>
      </c>
      <c r="J84" s="33" t="b">
        <v>1</v>
      </c>
      <c r="K84" s="33" t="b">
        <v>1</v>
      </c>
      <c r="L84" s="33" t="b">
        <v>1</v>
      </c>
      <c r="M84" s="34">
        <f t="shared" si="1"/>
        <v>7</v>
      </c>
      <c r="N84" s="35">
        <f t="shared" si="5"/>
        <v>350</v>
      </c>
      <c r="O84" s="33" t="b">
        <v>1</v>
      </c>
    </row>
    <row r="85">
      <c r="A85" s="18">
        <v>36.0</v>
      </c>
      <c r="B85" s="19" t="s">
        <v>550</v>
      </c>
      <c r="C85" s="19" t="s">
        <v>58</v>
      </c>
      <c r="D85" s="19" t="s">
        <v>2060</v>
      </c>
      <c r="E85" s="19" t="s">
        <v>2061</v>
      </c>
      <c r="F85" s="20" t="b">
        <v>0</v>
      </c>
      <c r="G85" s="20" t="b">
        <v>1</v>
      </c>
      <c r="H85" s="20" t="b">
        <v>1</v>
      </c>
      <c r="I85" s="20" t="b">
        <v>1</v>
      </c>
      <c r="J85" s="20" t="b">
        <v>1</v>
      </c>
      <c r="K85" s="20" t="b">
        <v>1</v>
      </c>
      <c r="L85" s="20" t="b">
        <v>1</v>
      </c>
      <c r="M85" s="21">
        <f t="shared" si="1"/>
        <v>6</v>
      </c>
      <c r="N85" s="22">
        <f t="shared" si="5"/>
        <v>300</v>
      </c>
      <c r="O85" s="20" t="b">
        <v>1</v>
      </c>
    </row>
    <row r="86">
      <c r="A86" s="18">
        <v>36.0</v>
      </c>
      <c r="B86" s="19" t="s">
        <v>574</v>
      </c>
      <c r="C86" s="19" t="s">
        <v>58</v>
      </c>
      <c r="D86" s="19" t="s">
        <v>604</v>
      </c>
      <c r="E86" s="19"/>
      <c r="F86" s="20" t="b">
        <v>1</v>
      </c>
      <c r="G86" s="20" t="b">
        <v>1</v>
      </c>
      <c r="H86" s="20" t="b">
        <v>1</v>
      </c>
      <c r="I86" s="20" t="b">
        <v>1</v>
      </c>
      <c r="J86" s="20" t="b">
        <v>1</v>
      </c>
      <c r="K86" s="20" t="b">
        <v>1</v>
      </c>
      <c r="L86" s="20" t="b">
        <v>1</v>
      </c>
      <c r="M86" s="21">
        <f t="shared" si="1"/>
        <v>7</v>
      </c>
      <c r="N86" s="22">
        <f t="shared" si="5"/>
        <v>350</v>
      </c>
      <c r="O86" s="20" t="b">
        <v>1</v>
      </c>
    </row>
    <row r="87">
      <c r="A87" s="18">
        <v>36.0</v>
      </c>
      <c r="B87" s="19" t="s">
        <v>574</v>
      </c>
      <c r="C87" s="19" t="s">
        <v>35</v>
      </c>
      <c r="D87" s="19" t="s">
        <v>568</v>
      </c>
      <c r="E87" s="19" t="s">
        <v>570</v>
      </c>
      <c r="F87" s="20" t="b">
        <v>1</v>
      </c>
      <c r="G87" s="20" t="b">
        <v>1</v>
      </c>
      <c r="H87" s="20" t="b">
        <v>1</v>
      </c>
      <c r="I87" s="20" t="b">
        <v>1</v>
      </c>
      <c r="J87" s="20" t="b">
        <v>1</v>
      </c>
      <c r="K87" s="20" t="b">
        <v>1</v>
      </c>
      <c r="L87" s="20" t="b">
        <v>1</v>
      </c>
      <c r="M87" s="21">
        <f t="shared" si="1"/>
        <v>7</v>
      </c>
      <c r="N87" s="22">
        <f t="shared" si="5"/>
        <v>350</v>
      </c>
      <c r="O87" s="20" t="b">
        <v>1</v>
      </c>
    </row>
    <row r="88">
      <c r="A88" s="26">
        <v>36.0</v>
      </c>
      <c r="B88" s="27" t="s">
        <v>574</v>
      </c>
      <c r="C88" s="27" t="s">
        <v>61</v>
      </c>
      <c r="D88" s="27" t="s">
        <v>1056</v>
      </c>
      <c r="E88" s="27"/>
      <c r="F88" s="28" t="b">
        <v>0</v>
      </c>
      <c r="G88" s="28" t="b">
        <v>0</v>
      </c>
      <c r="H88" s="28" t="b">
        <v>0</v>
      </c>
      <c r="I88" s="28" t="b">
        <v>0</v>
      </c>
      <c r="J88" s="28" t="b">
        <v>0</v>
      </c>
      <c r="K88" s="28" t="b">
        <v>1</v>
      </c>
      <c r="L88" s="28" t="b">
        <v>1</v>
      </c>
      <c r="M88" s="29">
        <f t="shared" si="1"/>
        <v>2</v>
      </c>
      <c r="N88" s="30">
        <f>M88*0</f>
        <v>0</v>
      </c>
      <c r="O88" s="28" t="b">
        <v>0</v>
      </c>
    </row>
    <row r="89">
      <c r="A89" s="26">
        <v>36.0</v>
      </c>
      <c r="B89" s="27" t="s">
        <v>574</v>
      </c>
      <c r="C89" s="27" t="s">
        <v>55</v>
      </c>
      <c r="D89" s="27" t="s">
        <v>984</v>
      </c>
      <c r="E89" s="27" t="s">
        <v>986</v>
      </c>
      <c r="F89" s="28" t="b">
        <v>1</v>
      </c>
      <c r="G89" s="28" t="b">
        <v>1</v>
      </c>
      <c r="H89" s="28" t="b">
        <v>1</v>
      </c>
      <c r="I89" s="28" t="b">
        <v>1</v>
      </c>
      <c r="J89" s="28" t="b">
        <v>0</v>
      </c>
      <c r="K89" s="28" t="b">
        <v>1</v>
      </c>
      <c r="L89" s="28" t="b">
        <v>1</v>
      </c>
      <c r="M89" s="29">
        <f t="shared" si="1"/>
        <v>6</v>
      </c>
      <c r="N89" s="30">
        <f t="shared" ref="N89:N92" si="6">M89*50</f>
        <v>300</v>
      </c>
      <c r="O89" s="28" t="b">
        <v>1</v>
      </c>
    </row>
    <row r="90">
      <c r="A90" s="26">
        <v>36.0</v>
      </c>
      <c r="B90" s="27" t="s">
        <v>574</v>
      </c>
      <c r="C90" s="27" t="s">
        <v>58</v>
      </c>
      <c r="D90" s="27" t="s">
        <v>496</v>
      </c>
      <c r="E90" s="27"/>
      <c r="F90" s="28" t="b">
        <v>1</v>
      </c>
      <c r="G90" s="28" t="b">
        <v>1</v>
      </c>
      <c r="H90" s="28" t="b">
        <v>1</v>
      </c>
      <c r="I90" s="28" t="b">
        <v>1</v>
      </c>
      <c r="J90" s="28" t="b">
        <v>1</v>
      </c>
      <c r="K90" s="28" t="b">
        <v>1</v>
      </c>
      <c r="L90" s="28" t="b">
        <v>1</v>
      </c>
      <c r="M90" s="29">
        <f t="shared" si="1"/>
        <v>7</v>
      </c>
      <c r="N90" s="30">
        <f t="shared" si="6"/>
        <v>350</v>
      </c>
      <c r="O90" s="28" t="b">
        <v>1</v>
      </c>
    </row>
    <row r="91">
      <c r="A91" s="26">
        <v>36.0</v>
      </c>
      <c r="B91" s="27" t="s">
        <v>574</v>
      </c>
      <c r="C91" s="27" t="s">
        <v>43</v>
      </c>
      <c r="D91" s="27" t="s">
        <v>918</v>
      </c>
      <c r="E91" s="27" t="s">
        <v>921</v>
      </c>
      <c r="F91" s="28" t="b">
        <v>1</v>
      </c>
      <c r="G91" s="28" t="b">
        <v>1</v>
      </c>
      <c r="H91" s="28" t="b">
        <v>1</v>
      </c>
      <c r="I91" s="28" t="b">
        <v>1</v>
      </c>
      <c r="J91" s="28" t="b">
        <v>1</v>
      </c>
      <c r="K91" s="28" t="b">
        <v>1</v>
      </c>
      <c r="L91" s="28" t="b">
        <v>1</v>
      </c>
      <c r="M91" s="29">
        <f t="shared" si="1"/>
        <v>7</v>
      </c>
      <c r="N91" s="30">
        <f t="shared" si="6"/>
        <v>350</v>
      </c>
      <c r="O91" s="28" t="b">
        <v>1</v>
      </c>
    </row>
    <row r="92">
      <c r="A92" s="31">
        <v>36.0</v>
      </c>
      <c r="B92" s="32" t="s">
        <v>574</v>
      </c>
      <c r="C92" s="32" t="s">
        <v>37</v>
      </c>
      <c r="D92" s="32" t="s">
        <v>965</v>
      </c>
      <c r="E92" s="32" t="s">
        <v>966</v>
      </c>
      <c r="F92" s="33" t="b">
        <v>0</v>
      </c>
      <c r="G92" s="33" t="b">
        <v>0</v>
      </c>
      <c r="H92" s="33" t="b">
        <v>0</v>
      </c>
      <c r="I92" s="33" t="b">
        <v>0</v>
      </c>
      <c r="J92" s="33" t="b">
        <v>0</v>
      </c>
      <c r="K92" s="33" t="b">
        <v>0</v>
      </c>
      <c r="L92" s="33" t="b">
        <v>1</v>
      </c>
      <c r="M92" s="34">
        <f t="shared" si="1"/>
        <v>1</v>
      </c>
      <c r="N92" s="35">
        <f t="shared" si="6"/>
        <v>50</v>
      </c>
      <c r="O92" s="33" t="b">
        <v>1</v>
      </c>
    </row>
    <row r="93">
      <c r="A93" s="26">
        <v>36.0</v>
      </c>
      <c r="B93" s="27" t="s">
        <v>574</v>
      </c>
      <c r="C93" s="27" t="s">
        <v>61</v>
      </c>
      <c r="D93" s="27" t="s">
        <v>2036</v>
      </c>
      <c r="E93" s="27" t="s">
        <v>2037</v>
      </c>
      <c r="F93" s="28" t="b">
        <v>0</v>
      </c>
      <c r="G93" s="28" t="b">
        <v>1</v>
      </c>
      <c r="H93" s="28" t="b">
        <v>1</v>
      </c>
      <c r="I93" s="28" t="b">
        <v>1</v>
      </c>
      <c r="J93" s="28" t="b">
        <v>1</v>
      </c>
      <c r="K93" s="28" t="b">
        <v>1</v>
      </c>
      <c r="L93" s="28" t="b">
        <v>0</v>
      </c>
      <c r="M93" s="29">
        <f t="shared" si="1"/>
        <v>5</v>
      </c>
      <c r="N93" s="30">
        <f>M93*0</f>
        <v>0</v>
      </c>
      <c r="O93" s="28" t="b">
        <v>0</v>
      </c>
    </row>
    <row r="94">
      <c r="A94" s="26">
        <v>36.0</v>
      </c>
      <c r="B94" s="27" t="s">
        <v>422</v>
      </c>
      <c r="C94" s="27" t="s">
        <v>28</v>
      </c>
      <c r="D94" s="27" t="s">
        <v>312</v>
      </c>
      <c r="E94" s="27"/>
      <c r="F94" s="28" t="b">
        <v>1</v>
      </c>
      <c r="G94" s="28" t="b">
        <v>1</v>
      </c>
      <c r="H94" s="28" t="b">
        <v>1</v>
      </c>
      <c r="I94" s="28" t="b">
        <v>1</v>
      </c>
      <c r="J94" s="28" t="b">
        <v>1</v>
      </c>
      <c r="K94" s="28" t="b">
        <v>1</v>
      </c>
      <c r="L94" s="28" t="b">
        <v>1</v>
      </c>
      <c r="M94" s="29">
        <f t="shared" si="1"/>
        <v>7</v>
      </c>
      <c r="N94" s="30">
        <f>M94*100</f>
        <v>700</v>
      </c>
      <c r="O94" s="28" t="b">
        <v>1</v>
      </c>
    </row>
    <row r="95">
      <c r="A95" s="31">
        <v>36.0</v>
      </c>
      <c r="B95" s="32" t="s">
        <v>422</v>
      </c>
      <c r="C95" s="32" t="s">
        <v>25</v>
      </c>
      <c r="D95" s="32" t="s">
        <v>397</v>
      </c>
      <c r="E95" s="32" t="s">
        <v>402</v>
      </c>
      <c r="F95" s="33" t="b">
        <v>1</v>
      </c>
      <c r="G95" s="33" t="b">
        <v>0</v>
      </c>
      <c r="H95" s="33" t="b">
        <v>1</v>
      </c>
      <c r="I95" s="33" t="b">
        <v>0</v>
      </c>
      <c r="J95" s="33" t="b">
        <v>0</v>
      </c>
      <c r="K95" s="33" t="b">
        <v>0</v>
      </c>
      <c r="L95" s="33" t="b">
        <v>0</v>
      </c>
      <c r="M95" s="34">
        <f t="shared" si="1"/>
        <v>2</v>
      </c>
      <c r="N95" s="35">
        <f t="shared" ref="N95:N111" si="7">M95*50</f>
        <v>100</v>
      </c>
      <c r="O95" s="33" t="b">
        <v>1</v>
      </c>
    </row>
    <row r="96">
      <c r="A96" s="18">
        <v>36.0</v>
      </c>
      <c r="B96" s="19" t="s">
        <v>422</v>
      </c>
      <c r="C96" s="19" t="s">
        <v>30</v>
      </c>
      <c r="D96" s="19" t="s">
        <v>389</v>
      </c>
      <c r="E96" s="19"/>
      <c r="F96" s="20" t="b">
        <v>0</v>
      </c>
      <c r="G96" s="20" t="b">
        <v>0</v>
      </c>
      <c r="H96" s="20" t="b">
        <v>0</v>
      </c>
      <c r="I96" s="20" t="b">
        <v>1</v>
      </c>
      <c r="J96" s="20" t="b">
        <v>1</v>
      </c>
      <c r="K96" s="20" t="b">
        <v>1</v>
      </c>
      <c r="L96" s="20" t="b">
        <v>1</v>
      </c>
      <c r="M96" s="21">
        <f t="shared" si="1"/>
        <v>4</v>
      </c>
      <c r="N96" s="22">
        <f t="shared" si="7"/>
        <v>200</v>
      </c>
      <c r="O96" s="20" t="b">
        <v>1</v>
      </c>
    </row>
    <row r="97">
      <c r="A97" s="18">
        <v>36.0</v>
      </c>
      <c r="B97" s="19" t="s">
        <v>622</v>
      </c>
      <c r="C97" s="19" t="s">
        <v>43</v>
      </c>
      <c r="D97" s="19" t="s">
        <v>514</v>
      </c>
      <c r="E97" s="19"/>
      <c r="F97" s="20" t="b">
        <v>1</v>
      </c>
      <c r="G97" s="20" t="b">
        <v>1</v>
      </c>
      <c r="H97" s="20" t="b">
        <v>1</v>
      </c>
      <c r="I97" s="20" t="b">
        <v>0</v>
      </c>
      <c r="J97" s="20" t="b">
        <v>1</v>
      </c>
      <c r="K97" s="20" t="b">
        <v>1</v>
      </c>
      <c r="L97" s="20" t="b">
        <v>0</v>
      </c>
      <c r="M97" s="21">
        <f t="shared" si="1"/>
        <v>5</v>
      </c>
      <c r="N97" s="22">
        <f t="shared" si="7"/>
        <v>250</v>
      </c>
      <c r="O97" s="20" t="b">
        <v>1</v>
      </c>
    </row>
    <row r="98">
      <c r="A98" s="18">
        <v>36.0</v>
      </c>
      <c r="B98" s="19" t="s">
        <v>622</v>
      </c>
      <c r="C98" s="19" t="s">
        <v>55</v>
      </c>
      <c r="D98" s="19" t="s">
        <v>755</v>
      </c>
      <c r="E98" s="19"/>
      <c r="F98" s="20" t="b">
        <v>0</v>
      </c>
      <c r="G98" s="20" t="b">
        <v>0</v>
      </c>
      <c r="H98" s="20" t="b">
        <v>0</v>
      </c>
      <c r="I98" s="20" t="b">
        <v>0</v>
      </c>
      <c r="J98" s="20" t="b">
        <v>0</v>
      </c>
      <c r="K98" s="20" t="b">
        <v>0</v>
      </c>
      <c r="L98" s="20" t="b">
        <v>0</v>
      </c>
      <c r="M98" s="21">
        <f t="shared" si="1"/>
        <v>0</v>
      </c>
      <c r="N98" s="22">
        <f t="shared" si="7"/>
        <v>0</v>
      </c>
      <c r="O98" s="20" t="b">
        <v>0</v>
      </c>
    </row>
    <row r="99">
      <c r="A99" s="26">
        <v>36.0</v>
      </c>
      <c r="B99" s="27" t="s">
        <v>622</v>
      </c>
      <c r="C99" s="27" t="s">
        <v>55</v>
      </c>
      <c r="D99" s="27" t="s">
        <v>726</v>
      </c>
      <c r="E99" s="27"/>
      <c r="F99" s="28" t="b">
        <v>0</v>
      </c>
      <c r="G99" s="28" t="b">
        <v>0</v>
      </c>
      <c r="H99" s="28" t="b">
        <v>0</v>
      </c>
      <c r="I99" s="28" t="b">
        <v>0</v>
      </c>
      <c r="J99" s="28" t="b">
        <v>0</v>
      </c>
      <c r="K99" s="28" t="b">
        <v>0</v>
      </c>
      <c r="L99" s="28" t="b">
        <v>1</v>
      </c>
      <c r="M99" s="29">
        <f t="shared" si="1"/>
        <v>1</v>
      </c>
      <c r="N99" s="30">
        <f t="shared" si="7"/>
        <v>50</v>
      </c>
      <c r="O99" s="28" t="b">
        <v>1</v>
      </c>
    </row>
    <row r="100">
      <c r="A100" s="26">
        <v>36.0</v>
      </c>
      <c r="B100" s="27" t="s">
        <v>622</v>
      </c>
      <c r="C100" s="27" t="s">
        <v>42</v>
      </c>
      <c r="D100" s="27" t="s">
        <v>1491</v>
      </c>
      <c r="E100" s="27" t="s">
        <v>1494</v>
      </c>
      <c r="F100" s="28" t="b">
        <v>1</v>
      </c>
      <c r="G100" s="28" t="b">
        <v>1</v>
      </c>
      <c r="H100" s="28" t="b">
        <v>1</v>
      </c>
      <c r="I100" s="28" t="b">
        <v>0</v>
      </c>
      <c r="J100" s="28" t="b">
        <v>0</v>
      </c>
      <c r="K100" s="28" t="b">
        <v>1</v>
      </c>
      <c r="L100" s="28" t="b">
        <v>1</v>
      </c>
      <c r="M100" s="29">
        <f t="shared" si="1"/>
        <v>5</v>
      </c>
      <c r="N100" s="30">
        <f t="shared" si="7"/>
        <v>250</v>
      </c>
      <c r="O100" s="28" t="b">
        <v>1</v>
      </c>
    </row>
    <row r="101">
      <c r="A101" s="26">
        <v>36.0</v>
      </c>
      <c r="B101" s="27" t="s">
        <v>622</v>
      </c>
      <c r="C101" s="27" t="s">
        <v>37</v>
      </c>
      <c r="D101" s="27" t="s">
        <v>1750</v>
      </c>
      <c r="E101" s="27" t="s">
        <v>1467</v>
      </c>
      <c r="F101" s="28" t="b">
        <v>1</v>
      </c>
      <c r="G101" s="28" t="b">
        <v>1</v>
      </c>
      <c r="H101" s="28" t="b">
        <v>1</v>
      </c>
      <c r="I101" s="28" t="b">
        <v>1</v>
      </c>
      <c r="J101" s="28" t="b">
        <v>1</v>
      </c>
      <c r="K101" s="28" t="b">
        <v>1</v>
      </c>
      <c r="L101" s="28" t="b">
        <v>1</v>
      </c>
      <c r="M101" s="29">
        <f t="shared" si="1"/>
        <v>7</v>
      </c>
      <c r="N101" s="30">
        <f t="shared" si="7"/>
        <v>350</v>
      </c>
      <c r="O101" s="28" t="b">
        <v>1</v>
      </c>
    </row>
    <row r="102">
      <c r="A102" s="26">
        <v>36.0</v>
      </c>
      <c r="B102" s="27" t="s">
        <v>622</v>
      </c>
      <c r="C102" s="27" t="s">
        <v>58</v>
      </c>
      <c r="D102" s="27" t="s">
        <v>764</v>
      </c>
      <c r="E102" s="27"/>
      <c r="F102" s="28" t="b">
        <v>1</v>
      </c>
      <c r="G102" s="28" t="b">
        <v>1</v>
      </c>
      <c r="H102" s="28" t="b">
        <v>1</v>
      </c>
      <c r="I102" s="28" t="b">
        <v>0</v>
      </c>
      <c r="J102" s="28" t="b">
        <v>1</v>
      </c>
      <c r="K102" s="28" t="b">
        <v>1</v>
      </c>
      <c r="L102" s="28" t="b">
        <v>1</v>
      </c>
      <c r="M102" s="29">
        <f t="shared" si="1"/>
        <v>6</v>
      </c>
      <c r="N102" s="30">
        <f t="shared" si="7"/>
        <v>300</v>
      </c>
      <c r="O102" s="28" t="b">
        <v>1</v>
      </c>
    </row>
    <row r="103">
      <c r="A103" s="26">
        <v>36.0</v>
      </c>
      <c r="B103" s="27" t="s">
        <v>622</v>
      </c>
      <c r="C103" s="27" t="s">
        <v>47</v>
      </c>
      <c r="D103" s="27" t="s">
        <v>735</v>
      </c>
      <c r="E103" s="27"/>
      <c r="F103" s="28" t="b">
        <v>0</v>
      </c>
      <c r="G103" s="28" t="b">
        <v>1</v>
      </c>
      <c r="H103" s="28" t="b">
        <v>1</v>
      </c>
      <c r="I103" s="28" t="b">
        <v>1</v>
      </c>
      <c r="J103" s="28" t="b">
        <v>0</v>
      </c>
      <c r="K103" s="28" t="b">
        <v>1</v>
      </c>
      <c r="L103" s="28" t="b">
        <v>0</v>
      </c>
      <c r="M103" s="29">
        <f t="shared" si="1"/>
        <v>4</v>
      </c>
      <c r="N103" s="30">
        <f t="shared" si="7"/>
        <v>200</v>
      </c>
      <c r="O103" s="28" t="b">
        <v>1</v>
      </c>
    </row>
    <row r="104">
      <c r="A104" s="26">
        <v>36.0</v>
      </c>
      <c r="B104" s="27" t="s">
        <v>622</v>
      </c>
      <c r="C104" s="27" t="s">
        <v>35</v>
      </c>
      <c r="D104" s="27" t="s">
        <v>616</v>
      </c>
      <c r="E104" s="27" t="s">
        <v>618</v>
      </c>
      <c r="F104" s="28" t="b">
        <v>1</v>
      </c>
      <c r="G104" s="28" t="b">
        <v>1</v>
      </c>
      <c r="H104" s="28" t="b">
        <v>1</v>
      </c>
      <c r="I104" s="28" t="b">
        <v>1</v>
      </c>
      <c r="J104" s="28" t="b">
        <v>1</v>
      </c>
      <c r="K104" s="28" t="b">
        <v>1</v>
      </c>
      <c r="L104" s="28" t="b">
        <v>1</v>
      </c>
      <c r="M104" s="29">
        <f t="shared" si="1"/>
        <v>7</v>
      </c>
      <c r="N104" s="30">
        <f t="shared" si="7"/>
        <v>350</v>
      </c>
      <c r="O104" s="28" t="b">
        <v>1</v>
      </c>
    </row>
    <row r="105">
      <c r="A105" s="26">
        <v>36.0</v>
      </c>
      <c r="B105" s="27" t="s">
        <v>622</v>
      </c>
      <c r="C105" s="27" t="s">
        <v>55</v>
      </c>
      <c r="D105" s="27" t="s">
        <v>1159</v>
      </c>
      <c r="E105" s="27" t="s">
        <v>1161</v>
      </c>
      <c r="F105" s="28" t="b">
        <v>0</v>
      </c>
      <c r="G105" s="28" t="b">
        <v>1</v>
      </c>
      <c r="H105" s="28" t="b">
        <v>0</v>
      </c>
      <c r="I105" s="28" t="b">
        <v>0</v>
      </c>
      <c r="J105" s="28" t="b">
        <v>0</v>
      </c>
      <c r="K105" s="28" t="b">
        <v>1</v>
      </c>
      <c r="L105" s="28" t="b">
        <v>0</v>
      </c>
      <c r="M105" s="29">
        <f t="shared" si="1"/>
        <v>2</v>
      </c>
      <c r="N105" s="30">
        <f t="shared" si="7"/>
        <v>100</v>
      </c>
      <c r="O105" s="28" t="b">
        <v>1</v>
      </c>
    </row>
    <row r="106">
      <c r="A106" s="26">
        <v>36.0</v>
      </c>
      <c r="B106" s="27" t="s">
        <v>622</v>
      </c>
      <c r="C106" s="27" t="s">
        <v>55</v>
      </c>
      <c r="D106" s="27" t="s">
        <v>1207</v>
      </c>
      <c r="E106" s="27"/>
      <c r="F106" s="28" t="b">
        <v>0</v>
      </c>
      <c r="G106" s="28" t="b">
        <v>0</v>
      </c>
      <c r="H106" s="28" t="b">
        <v>0</v>
      </c>
      <c r="I106" s="28" t="b">
        <v>1</v>
      </c>
      <c r="J106" s="28" t="b">
        <v>1</v>
      </c>
      <c r="K106" s="28" t="b">
        <v>1</v>
      </c>
      <c r="L106" s="28" t="b">
        <v>0</v>
      </c>
      <c r="M106" s="29">
        <f t="shared" si="1"/>
        <v>3</v>
      </c>
      <c r="N106" s="30">
        <f t="shared" si="7"/>
        <v>150</v>
      </c>
      <c r="O106" s="28" t="b">
        <v>1</v>
      </c>
    </row>
    <row r="107">
      <c r="A107" s="18">
        <v>36.0</v>
      </c>
      <c r="B107" s="19" t="s">
        <v>622</v>
      </c>
      <c r="C107" s="19" t="s">
        <v>55</v>
      </c>
      <c r="D107" s="19" t="s">
        <v>717</v>
      </c>
      <c r="E107" s="19"/>
      <c r="F107" s="20" t="b">
        <v>0</v>
      </c>
      <c r="G107" s="20" t="b">
        <v>0</v>
      </c>
      <c r="H107" s="20" t="b">
        <v>0</v>
      </c>
      <c r="I107" s="20" t="b">
        <v>0</v>
      </c>
      <c r="J107" s="20" t="b">
        <v>0</v>
      </c>
      <c r="K107" s="20" t="b">
        <v>0</v>
      </c>
      <c r="L107" s="20" t="b">
        <v>0</v>
      </c>
      <c r="M107" s="21">
        <f t="shared" si="1"/>
        <v>0</v>
      </c>
      <c r="N107" s="22">
        <f t="shared" si="7"/>
        <v>0</v>
      </c>
      <c r="O107" s="20" t="b">
        <v>1</v>
      </c>
    </row>
    <row r="108">
      <c r="A108" s="41">
        <v>36.0</v>
      </c>
      <c r="B108" s="42" t="s">
        <v>622</v>
      </c>
      <c r="C108" s="42" t="s">
        <v>55</v>
      </c>
      <c r="D108" s="42" t="s">
        <v>708</v>
      </c>
      <c r="E108" s="42"/>
      <c r="F108" s="43" t="b">
        <v>1</v>
      </c>
      <c r="G108" s="43" t="b">
        <v>1</v>
      </c>
      <c r="H108" s="43" t="b">
        <v>0</v>
      </c>
      <c r="I108" s="43" t="b">
        <v>1</v>
      </c>
      <c r="J108" s="43" t="b">
        <v>1</v>
      </c>
      <c r="K108" s="43" t="b">
        <v>1</v>
      </c>
      <c r="L108" s="43" t="b">
        <v>1</v>
      </c>
      <c r="M108" s="44">
        <f t="shared" si="1"/>
        <v>6</v>
      </c>
      <c r="N108" s="46">
        <f t="shared" si="7"/>
        <v>300</v>
      </c>
      <c r="O108" s="43" t="b">
        <v>1</v>
      </c>
    </row>
    <row r="109">
      <c r="A109" s="18">
        <v>36.0</v>
      </c>
      <c r="B109" s="19" t="s">
        <v>622</v>
      </c>
      <c r="C109" s="19" t="s">
        <v>55</v>
      </c>
      <c r="D109" s="19" t="s">
        <v>1612</v>
      </c>
      <c r="E109" s="19" t="s">
        <v>1615</v>
      </c>
      <c r="F109" s="20" t="b">
        <v>0</v>
      </c>
      <c r="G109" s="20" t="b">
        <v>0</v>
      </c>
      <c r="H109" s="20" t="b">
        <v>1</v>
      </c>
      <c r="I109" s="20" t="b">
        <v>0</v>
      </c>
      <c r="J109" s="20" t="b">
        <v>1</v>
      </c>
      <c r="K109" s="20" t="b">
        <v>1</v>
      </c>
      <c r="L109" s="20" t="b">
        <v>1</v>
      </c>
      <c r="M109" s="21">
        <f t="shared" si="1"/>
        <v>4</v>
      </c>
      <c r="N109" s="22">
        <f t="shared" si="7"/>
        <v>200</v>
      </c>
      <c r="O109" s="20" t="b">
        <v>1</v>
      </c>
    </row>
    <row r="110">
      <c r="A110" s="18">
        <v>36.0</v>
      </c>
      <c r="B110" s="19" t="s">
        <v>671</v>
      </c>
      <c r="C110" s="19" t="s">
        <v>52</v>
      </c>
      <c r="D110" s="19" t="s">
        <v>526</v>
      </c>
      <c r="E110" s="19"/>
      <c r="F110" s="20" t="b">
        <v>0</v>
      </c>
      <c r="G110" s="20" t="b">
        <v>0</v>
      </c>
      <c r="H110" s="20" t="b">
        <v>0</v>
      </c>
      <c r="I110" s="20" t="b">
        <v>0</v>
      </c>
      <c r="J110" s="20" t="b">
        <v>1</v>
      </c>
      <c r="K110" s="20" t="b">
        <v>0</v>
      </c>
      <c r="L110" s="20" t="b">
        <v>0</v>
      </c>
      <c r="M110" s="21">
        <f t="shared" si="1"/>
        <v>1</v>
      </c>
      <c r="N110" s="22">
        <f t="shared" si="7"/>
        <v>50</v>
      </c>
      <c r="O110" s="20" t="b">
        <v>1</v>
      </c>
    </row>
    <row r="111">
      <c r="A111" s="18">
        <v>36.0</v>
      </c>
      <c r="B111" s="19" t="s">
        <v>671</v>
      </c>
      <c r="C111" s="19" t="s">
        <v>42</v>
      </c>
      <c r="D111" s="19" t="s">
        <v>2182</v>
      </c>
      <c r="E111" s="19" t="s">
        <v>668</v>
      </c>
      <c r="F111" s="20" t="b">
        <v>1</v>
      </c>
      <c r="G111" s="20" t="b">
        <v>1</v>
      </c>
      <c r="H111" s="20" t="b">
        <v>1</v>
      </c>
      <c r="I111" s="20" t="b">
        <v>1</v>
      </c>
      <c r="J111" s="20" t="b">
        <v>1</v>
      </c>
      <c r="K111" s="20" t="b">
        <v>1</v>
      </c>
      <c r="L111" s="20" t="b">
        <v>1</v>
      </c>
      <c r="M111" s="21">
        <f t="shared" si="1"/>
        <v>7</v>
      </c>
      <c r="N111" s="22">
        <f t="shared" si="7"/>
        <v>350</v>
      </c>
      <c r="O111" s="20" t="b">
        <v>1</v>
      </c>
    </row>
    <row r="112">
      <c r="A112" s="26">
        <v>36.0</v>
      </c>
      <c r="B112" s="27" t="s">
        <v>671</v>
      </c>
      <c r="C112" s="27" t="s">
        <v>61</v>
      </c>
      <c r="D112" s="27" t="s">
        <v>1169</v>
      </c>
      <c r="E112" s="27"/>
      <c r="F112" s="28" t="b">
        <v>0</v>
      </c>
      <c r="G112" s="28" t="b">
        <v>0</v>
      </c>
      <c r="H112" s="28" t="b">
        <v>0</v>
      </c>
      <c r="I112" s="28" t="b">
        <v>0</v>
      </c>
      <c r="J112" s="28" t="b">
        <v>0</v>
      </c>
      <c r="K112" s="28" t="b">
        <v>0</v>
      </c>
      <c r="L112" s="28" t="b">
        <v>1</v>
      </c>
      <c r="M112" s="29">
        <f t="shared" si="1"/>
        <v>1</v>
      </c>
      <c r="N112" s="30">
        <f>M112*0</f>
        <v>0</v>
      </c>
      <c r="O112" s="28" t="b">
        <v>1</v>
      </c>
    </row>
    <row r="113">
      <c r="A113" s="18">
        <v>36.0</v>
      </c>
      <c r="B113" s="19" t="s">
        <v>671</v>
      </c>
      <c r="C113" s="19" t="s">
        <v>42</v>
      </c>
      <c r="D113" s="19" t="s">
        <v>442</v>
      </c>
      <c r="E113" s="19"/>
      <c r="F113" s="20" t="b">
        <v>0</v>
      </c>
      <c r="G113" s="20" t="b">
        <v>1</v>
      </c>
      <c r="H113" s="20" t="b">
        <v>1</v>
      </c>
      <c r="I113" s="20" t="b">
        <v>1</v>
      </c>
      <c r="J113" s="20" t="b">
        <v>0</v>
      </c>
      <c r="K113" s="20" t="b">
        <v>1</v>
      </c>
      <c r="L113" s="20" t="b">
        <v>1</v>
      </c>
      <c r="M113" s="21">
        <f t="shared" si="1"/>
        <v>5</v>
      </c>
      <c r="N113" s="22">
        <f t="shared" ref="N113:N116" si="8">M113*50</f>
        <v>250</v>
      </c>
      <c r="O113" s="20" t="b">
        <v>1</v>
      </c>
    </row>
    <row r="114">
      <c r="A114" s="18">
        <v>36.0</v>
      </c>
      <c r="B114" s="19" t="s">
        <v>671</v>
      </c>
      <c r="C114" s="19" t="s">
        <v>35</v>
      </c>
      <c r="D114" s="19" t="s">
        <v>2138</v>
      </c>
      <c r="E114" s="19" t="s">
        <v>668</v>
      </c>
      <c r="F114" s="20" t="b">
        <v>1</v>
      </c>
      <c r="G114" s="20" t="b">
        <v>1</v>
      </c>
      <c r="H114" s="20" t="b">
        <v>1</v>
      </c>
      <c r="I114" s="20" t="b">
        <v>1</v>
      </c>
      <c r="J114" s="20" t="b">
        <v>1</v>
      </c>
      <c r="K114" s="20" t="b">
        <v>1</v>
      </c>
      <c r="L114" s="20" t="b">
        <v>1</v>
      </c>
      <c r="M114" s="21">
        <f t="shared" si="1"/>
        <v>7</v>
      </c>
      <c r="N114" s="22">
        <f t="shared" si="8"/>
        <v>350</v>
      </c>
      <c r="O114" s="20" t="b">
        <v>1</v>
      </c>
    </row>
    <row r="115">
      <c r="A115" s="18">
        <v>36.0</v>
      </c>
      <c r="B115" s="19" t="s">
        <v>671</v>
      </c>
      <c r="C115" s="19" t="s">
        <v>30</v>
      </c>
      <c r="D115" s="19" t="s">
        <v>2961</v>
      </c>
      <c r="E115" s="19" t="s">
        <v>1942</v>
      </c>
      <c r="F115" s="20" t="b">
        <v>0</v>
      </c>
      <c r="G115" s="20" t="b">
        <v>0</v>
      </c>
      <c r="H115" s="20" t="b">
        <v>0</v>
      </c>
      <c r="I115" s="20" t="b">
        <v>0</v>
      </c>
      <c r="J115" s="20" t="b">
        <v>0</v>
      </c>
      <c r="K115" s="20" t="b">
        <v>0</v>
      </c>
      <c r="L115" s="20" t="b">
        <v>0</v>
      </c>
      <c r="M115" s="21">
        <f t="shared" si="1"/>
        <v>0</v>
      </c>
      <c r="N115" s="22">
        <f t="shared" si="8"/>
        <v>0</v>
      </c>
      <c r="O115" s="20" t="b">
        <v>0</v>
      </c>
    </row>
    <row r="116">
      <c r="A116" s="49">
        <v>36.0</v>
      </c>
      <c r="B116" s="50" t="s">
        <v>671</v>
      </c>
      <c r="C116" s="50" t="s">
        <v>55</v>
      </c>
      <c r="D116" s="50" t="s">
        <v>2159</v>
      </c>
      <c r="E116" s="50" t="s">
        <v>2162</v>
      </c>
      <c r="F116" s="51" t="b">
        <v>0</v>
      </c>
      <c r="G116" s="51" t="b">
        <v>1</v>
      </c>
      <c r="H116" s="51" t="b">
        <v>1</v>
      </c>
      <c r="I116" s="51" t="b">
        <v>1</v>
      </c>
      <c r="J116" s="51" t="b">
        <v>1</v>
      </c>
      <c r="K116" s="51" t="b">
        <v>1</v>
      </c>
      <c r="L116" s="51" t="b">
        <v>1</v>
      </c>
      <c r="M116" s="52">
        <f t="shared" si="1"/>
        <v>6</v>
      </c>
      <c r="N116" s="53">
        <f t="shared" si="8"/>
        <v>300</v>
      </c>
      <c r="O116" s="51" t="b">
        <v>1</v>
      </c>
    </row>
    <row r="117">
      <c r="A117" s="18">
        <v>36.0</v>
      </c>
      <c r="B117" s="19" t="s">
        <v>671</v>
      </c>
      <c r="C117" s="19" t="s">
        <v>61</v>
      </c>
      <c r="D117" s="19" t="s">
        <v>2257</v>
      </c>
      <c r="E117" s="19" t="s">
        <v>2259</v>
      </c>
      <c r="F117" s="20" t="b">
        <v>0</v>
      </c>
      <c r="G117" s="20" t="b">
        <v>0</v>
      </c>
      <c r="H117" s="20" t="b">
        <v>0</v>
      </c>
      <c r="I117" s="20" t="b">
        <v>0</v>
      </c>
      <c r="J117" s="20" t="b">
        <v>1</v>
      </c>
      <c r="K117" s="20" t="b">
        <v>1</v>
      </c>
      <c r="L117" s="20" t="b">
        <v>1</v>
      </c>
      <c r="M117" s="21">
        <f t="shared" si="1"/>
        <v>3</v>
      </c>
      <c r="N117" s="22">
        <f>M117*0</f>
        <v>0</v>
      </c>
      <c r="O117" s="20" t="b">
        <v>1</v>
      </c>
    </row>
    <row r="118">
      <c r="A118" s="18">
        <v>37.0</v>
      </c>
      <c r="B118" s="19" t="s">
        <v>1959</v>
      </c>
      <c r="C118" s="19" t="s">
        <v>55</v>
      </c>
      <c r="D118" s="19" t="s">
        <v>1096</v>
      </c>
      <c r="E118" s="19"/>
      <c r="F118" s="20" t="b">
        <v>0</v>
      </c>
      <c r="G118" s="20" t="b">
        <v>0</v>
      </c>
      <c r="H118" s="20" t="b">
        <v>0</v>
      </c>
      <c r="I118" s="20" t="b">
        <v>0</v>
      </c>
      <c r="J118" s="20" t="b">
        <v>0</v>
      </c>
      <c r="K118" s="20" t="b">
        <v>0</v>
      </c>
      <c r="L118" s="20" t="b">
        <v>0</v>
      </c>
      <c r="M118" s="21">
        <f t="shared" si="1"/>
        <v>0</v>
      </c>
      <c r="N118" s="22">
        <f t="shared" ref="N118:N119" si="9">M118*50</f>
        <v>0</v>
      </c>
      <c r="O118" s="20" t="b">
        <v>0</v>
      </c>
    </row>
    <row r="119">
      <c r="A119" s="26">
        <v>37.0</v>
      </c>
      <c r="B119" s="27" t="s">
        <v>1959</v>
      </c>
      <c r="C119" s="27" t="s">
        <v>55</v>
      </c>
      <c r="D119" s="27" t="s">
        <v>2075</v>
      </c>
      <c r="E119" s="27" t="s">
        <v>2079</v>
      </c>
      <c r="F119" s="28" t="b">
        <v>0</v>
      </c>
      <c r="G119" s="28" t="b">
        <v>0</v>
      </c>
      <c r="H119" s="28" t="b">
        <v>0</v>
      </c>
      <c r="I119" s="28" t="b">
        <v>0</v>
      </c>
      <c r="J119" s="28" t="b">
        <v>0</v>
      </c>
      <c r="K119" s="28" t="b">
        <v>0</v>
      </c>
      <c r="L119" s="28" t="b">
        <v>0</v>
      </c>
      <c r="M119" s="29">
        <f t="shared" si="1"/>
        <v>0</v>
      </c>
      <c r="N119" s="30">
        <f t="shared" si="9"/>
        <v>0</v>
      </c>
      <c r="O119" s="28" t="b">
        <v>0</v>
      </c>
    </row>
    <row r="120">
      <c r="A120" s="18">
        <v>37.0</v>
      </c>
      <c r="B120" s="19" t="s">
        <v>1959</v>
      </c>
      <c r="C120" s="19" t="s">
        <v>61</v>
      </c>
      <c r="D120" s="19" t="s">
        <v>1123</v>
      </c>
      <c r="E120" s="19"/>
      <c r="F120" s="20" t="b">
        <v>0</v>
      </c>
      <c r="G120" s="20" t="b">
        <v>0</v>
      </c>
      <c r="H120" s="20" t="b">
        <v>0</v>
      </c>
      <c r="I120" s="20" t="b">
        <v>0</v>
      </c>
      <c r="J120" s="20" t="b">
        <v>0</v>
      </c>
      <c r="K120" s="20" t="b">
        <v>0</v>
      </c>
      <c r="L120" s="20" t="b">
        <v>0</v>
      </c>
      <c r="M120" s="21">
        <f t="shared" si="1"/>
        <v>0</v>
      </c>
      <c r="N120" s="22">
        <f>M120*0</f>
        <v>0</v>
      </c>
      <c r="O120" s="20" t="b">
        <v>0</v>
      </c>
    </row>
    <row r="121">
      <c r="A121" s="26">
        <v>37.0</v>
      </c>
      <c r="B121" s="27" t="s">
        <v>1959</v>
      </c>
      <c r="C121" s="27" t="s">
        <v>55</v>
      </c>
      <c r="D121" s="27" t="s">
        <v>2129</v>
      </c>
      <c r="E121" s="27" t="s">
        <v>2130</v>
      </c>
      <c r="F121" s="28" t="b">
        <v>0</v>
      </c>
      <c r="G121" s="28" t="b">
        <v>0</v>
      </c>
      <c r="H121" s="28" t="b">
        <v>0</v>
      </c>
      <c r="I121" s="28" t="b">
        <v>0</v>
      </c>
      <c r="J121" s="28" t="b">
        <v>0</v>
      </c>
      <c r="K121" s="28" t="b">
        <v>0</v>
      </c>
      <c r="L121" s="28" t="b">
        <v>0</v>
      </c>
      <c r="M121" s="29">
        <f t="shared" si="1"/>
        <v>0</v>
      </c>
      <c r="N121" s="30">
        <f t="shared" ref="N121:N132" si="10">M121*50</f>
        <v>0</v>
      </c>
      <c r="O121" s="28" t="b">
        <v>0</v>
      </c>
    </row>
    <row r="122">
      <c r="A122" s="26">
        <v>37.0</v>
      </c>
      <c r="B122" s="27" t="s">
        <v>1959</v>
      </c>
      <c r="C122" s="27" t="s">
        <v>55</v>
      </c>
      <c r="D122" s="27" t="s">
        <v>2150</v>
      </c>
      <c r="E122" s="27" t="s">
        <v>2152</v>
      </c>
      <c r="F122" s="28" t="b">
        <v>0</v>
      </c>
      <c r="G122" s="28" t="b">
        <v>0</v>
      </c>
      <c r="H122" s="28" t="b">
        <v>0</v>
      </c>
      <c r="I122" s="28" t="b">
        <v>0</v>
      </c>
      <c r="J122" s="28" t="b">
        <v>0</v>
      </c>
      <c r="K122" s="28" t="b">
        <v>0</v>
      </c>
      <c r="L122" s="28" t="b">
        <v>0</v>
      </c>
      <c r="M122" s="29">
        <f t="shared" si="1"/>
        <v>0</v>
      </c>
      <c r="N122" s="30">
        <f t="shared" si="10"/>
        <v>0</v>
      </c>
      <c r="O122" s="28" t="b">
        <v>0</v>
      </c>
    </row>
    <row r="123">
      <c r="A123" s="26">
        <v>37.0</v>
      </c>
      <c r="B123" s="27" t="s">
        <v>1959</v>
      </c>
      <c r="C123" s="27" t="s">
        <v>35</v>
      </c>
      <c r="D123" s="27" t="s">
        <v>2172</v>
      </c>
      <c r="E123" s="27" t="s">
        <v>2175</v>
      </c>
      <c r="F123" s="28" t="b">
        <v>0</v>
      </c>
      <c r="G123" s="28" t="b">
        <v>0</v>
      </c>
      <c r="H123" s="28" t="b">
        <v>0</v>
      </c>
      <c r="I123" s="28" t="b">
        <v>0</v>
      </c>
      <c r="J123" s="28" t="b">
        <v>0</v>
      </c>
      <c r="K123" s="28" t="b">
        <v>0</v>
      </c>
      <c r="L123" s="28" t="b">
        <v>0</v>
      </c>
      <c r="M123" s="29">
        <f t="shared" si="1"/>
        <v>0</v>
      </c>
      <c r="N123" s="30">
        <f t="shared" si="10"/>
        <v>0</v>
      </c>
      <c r="O123" s="28" t="b">
        <v>0</v>
      </c>
    </row>
    <row r="124">
      <c r="A124" s="26">
        <v>37.0</v>
      </c>
      <c r="B124" s="27" t="s">
        <v>1959</v>
      </c>
      <c r="C124" s="27" t="s">
        <v>30</v>
      </c>
      <c r="D124" s="27" t="s">
        <v>909</v>
      </c>
      <c r="E124" s="27"/>
      <c r="F124" s="28" t="b">
        <v>0</v>
      </c>
      <c r="G124" s="28" t="b">
        <v>0</v>
      </c>
      <c r="H124" s="28" t="b">
        <v>0</v>
      </c>
      <c r="I124" s="28" t="b">
        <v>0</v>
      </c>
      <c r="J124" s="28" t="b">
        <v>0</v>
      </c>
      <c r="K124" s="28" t="b">
        <v>0</v>
      </c>
      <c r="L124" s="28" t="b">
        <v>0</v>
      </c>
      <c r="M124" s="29">
        <f t="shared" si="1"/>
        <v>0</v>
      </c>
      <c r="N124" s="30">
        <f t="shared" si="10"/>
        <v>0</v>
      </c>
      <c r="O124" s="28" t="b">
        <v>0</v>
      </c>
    </row>
    <row r="125">
      <c r="A125" s="31">
        <v>37.0</v>
      </c>
      <c r="B125" s="32" t="s">
        <v>1959</v>
      </c>
      <c r="C125" s="32" t="s">
        <v>55</v>
      </c>
      <c r="D125" s="32" t="s">
        <v>2223</v>
      </c>
      <c r="E125" s="32" t="s">
        <v>2225</v>
      </c>
      <c r="F125" s="33" t="b">
        <v>0</v>
      </c>
      <c r="G125" s="33" t="b">
        <v>0</v>
      </c>
      <c r="H125" s="33" t="b">
        <v>0</v>
      </c>
      <c r="I125" s="33" t="b">
        <v>0</v>
      </c>
      <c r="J125" s="33" t="b">
        <v>0</v>
      </c>
      <c r="K125" s="33" t="b">
        <v>0</v>
      </c>
      <c r="L125" s="33" t="b">
        <v>0</v>
      </c>
      <c r="M125" s="34">
        <f t="shared" si="1"/>
        <v>0</v>
      </c>
      <c r="N125" s="35">
        <f t="shared" si="10"/>
        <v>0</v>
      </c>
      <c r="O125" s="33" t="b">
        <v>0</v>
      </c>
    </row>
    <row r="126">
      <c r="A126" s="26">
        <v>37.0</v>
      </c>
      <c r="B126" s="27" t="s">
        <v>1959</v>
      </c>
      <c r="C126" s="27" t="s">
        <v>55</v>
      </c>
      <c r="D126" s="27" t="s">
        <v>1089</v>
      </c>
      <c r="E126" s="27"/>
      <c r="F126" s="28" t="b">
        <v>0</v>
      </c>
      <c r="G126" s="28" t="b">
        <v>0</v>
      </c>
      <c r="H126" s="28" t="b">
        <v>0</v>
      </c>
      <c r="I126" s="28" t="b">
        <v>0</v>
      </c>
      <c r="J126" s="28" t="b">
        <v>0</v>
      </c>
      <c r="K126" s="28" t="b">
        <v>0</v>
      </c>
      <c r="L126" s="28" t="b">
        <v>0</v>
      </c>
      <c r="M126" s="29">
        <f t="shared" si="1"/>
        <v>0</v>
      </c>
      <c r="N126" s="30">
        <f t="shared" si="10"/>
        <v>0</v>
      </c>
      <c r="O126" s="28" t="b">
        <v>0</v>
      </c>
    </row>
    <row r="127">
      <c r="A127" s="18">
        <v>37.0</v>
      </c>
      <c r="B127" s="19" t="s">
        <v>501</v>
      </c>
      <c r="C127" s="19" t="s">
        <v>55</v>
      </c>
      <c r="D127" s="19" t="s">
        <v>505</v>
      </c>
      <c r="E127" s="19"/>
      <c r="F127" s="20" t="b">
        <v>1</v>
      </c>
      <c r="G127" s="20" t="b">
        <v>1</v>
      </c>
      <c r="H127" s="20" t="b">
        <v>0</v>
      </c>
      <c r="I127" s="20" t="b">
        <v>0</v>
      </c>
      <c r="J127" s="20" t="b">
        <v>1</v>
      </c>
      <c r="K127" s="20" t="b">
        <v>1</v>
      </c>
      <c r="L127" s="20" t="b">
        <v>0</v>
      </c>
      <c r="M127" s="21">
        <f t="shared" si="1"/>
        <v>4</v>
      </c>
      <c r="N127" s="22">
        <f t="shared" si="10"/>
        <v>200</v>
      </c>
      <c r="O127" s="20" t="b">
        <v>1</v>
      </c>
    </row>
    <row r="128">
      <c r="A128" s="26">
        <v>37.0</v>
      </c>
      <c r="B128" s="27" t="s">
        <v>501</v>
      </c>
      <c r="C128" s="27" t="s">
        <v>43</v>
      </c>
      <c r="D128" s="27" t="s">
        <v>661</v>
      </c>
      <c r="E128" s="27" t="s">
        <v>672</v>
      </c>
      <c r="F128" s="28" t="b">
        <v>1</v>
      </c>
      <c r="G128" s="28" t="b">
        <v>1</v>
      </c>
      <c r="H128" s="28" t="b">
        <v>0</v>
      </c>
      <c r="I128" s="28" t="b">
        <v>0</v>
      </c>
      <c r="J128" s="28" t="b">
        <v>1</v>
      </c>
      <c r="K128" s="28" t="b">
        <v>1</v>
      </c>
      <c r="L128" s="28" t="b">
        <v>1</v>
      </c>
      <c r="M128" s="29">
        <f t="shared" si="1"/>
        <v>5</v>
      </c>
      <c r="N128" s="30">
        <f t="shared" si="10"/>
        <v>250</v>
      </c>
      <c r="O128" s="28" t="b">
        <v>1</v>
      </c>
    </row>
    <row r="129">
      <c r="A129" s="18">
        <v>37.0</v>
      </c>
      <c r="B129" s="19" t="s">
        <v>501</v>
      </c>
      <c r="C129" s="19" t="s">
        <v>55</v>
      </c>
      <c r="D129" s="19" t="s">
        <v>780</v>
      </c>
      <c r="E129" s="19" t="s">
        <v>784</v>
      </c>
      <c r="F129" s="20" t="b">
        <v>1</v>
      </c>
      <c r="G129" s="20" t="b">
        <v>1</v>
      </c>
      <c r="H129" s="20" t="b">
        <v>0</v>
      </c>
      <c r="I129" s="20" t="b">
        <v>0</v>
      </c>
      <c r="J129" s="20" t="b">
        <v>0</v>
      </c>
      <c r="K129" s="20" t="b">
        <v>1</v>
      </c>
      <c r="L129" s="20" t="b">
        <v>1</v>
      </c>
      <c r="M129" s="21">
        <f t="shared" si="1"/>
        <v>4</v>
      </c>
      <c r="N129" s="22">
        <f t="shared" si="10"/>
        <v>200</v>
      </c>
      <c r="O129" s="20" t="b">
        <v>1</v>
      </c>
    </row>
    <row r="130">
      <c r="A130" s="18">
        <v>37.0</v>
      </c>
      <c r="B130" s="19" t="s">
        <v>501</v>
      </c>
      <c r="C130" s="19" t="s">
        <v>37</v>
      </c>
      <c r="D130" s="19" t="s">
        <v>804</v>
      </c>
      <c r="E130" s="19" t="s">
        <v>806</v>
      </c>
      <c r="F130" s="20" t="b">
        <v>1</v>
      </c>
      <c r="G130" s="20" t="b">
        <v>1</v>
      </c>
      <c r="H130" s="20" t="b">
        <v>0</v>
      </c>
      <c r="I130" s="20" t="b">
        <v>1</v>
      </c>
      <c r="J130" s="20" t="b">
        <v>1</v>
      </c>
      <c r="K130" s="20" t="b">
        <v>0</v>
      </c>
      <c r="L130" s="20" t="b">
        <v>1</v>
      </c>
      <c r="M130" s="21">
        <f t="shared" si="1"/>
        <v>5</v>
      </c>
      <c r="N130" s="22">
        <f t="shared" si="10"/>
        <v>250</v>
      </c>
      <c r="O130" s="20" t="b">
        <v>1</v>
      </c>
    </row>
    <row r="131">
      <c r="A131" s="26">
        <v>37.0</v>
      </c>
      <c r="B131" s="27" t="s">
        <v>501</v>
      </c>
      <c r="C131" s="27" t="s">
        <v>55</v>
      </c>
      <c r="D131" s="27" t="s">
        <v>2356</v>
      </c>
      <c r="E131" s="27" t="s">
        <v>847</v>
      </c>
      <c r="F131" s="28" t="b">
        <v>1</v>
      </c>
      <c r="G131" s="28" t="b">
        <v>1</v>
      </c>
      <c r="H131" s="28" t="b">
        <v>0</v>
      </c>
      <c r="I131" s="28" t="b">
        <v>0</v>
      </c>
      <c r="J131" s="28" t="b">
        <v>0</v>
      </c>
      <c r="K131" s="28" t="b">
        <v>0</v>
      </c>
      <c r="L131" s="28" t="b">
        <v>1</v>
      </c>
      <c r="M131" s="29">
        <f t="shared" si="1"/>
        <v>3</v>
      </c>
      <c r="N131" s="30">
        <f t="shared" si="10"/>
        <v>150</v>
      </c>
      <c r="O131" s="28" t="b">
        <v>0</v>
      </c>
    </row>
    <row r="132">
      <c r="A132" s="31">
        <v>37.0</v>
      </c>
      <c r="B132" s="32" t="s">
        <v>501</v>
      </c>
      <c r="C132" s="32" t="s">
        <v>35</v>
      </c>
      <c r="D132" s="32" t="s">
        <v>886</v>
      </c>
      <c r="E132" s="32" t="s">
        <v>847</v>
      </c>
      <c r="F132" s="33" t="b">
        <v>1</v>
      </c>
      <c r="G132" s="33" t="b">
        <v>1</v>
      </c>
      <c r="H132" s="33" t="b">
        <v>0</v>
      </c>
      <c r="I132" s="33" t="b">
        <v>1</v>
      </c>
      <c r="J132" s="33" t="b">
        <v>1</v>
      </c>
      <c r="K132" s="33" t="b">
        <v>1</v>
      </c>
      <c r="L132" s="33" t="b">
        <v>1</v>
      </c>
      <c r="M132" s="34">
        <f t="shared" si="1"/>
        <v>6</v>
      </c>
      <c r="N132" s="35">
        <f t="shared" si="10"/>
        <v>300</v>
      </c>
      <c r="O132" s="33" t="b">
        <v>1</v>
      </c>
    </row>
    <row r="133">
      <c r="A133" s="18">
        <v>37.0</v>
      </c>
      <c r="B133" s="19" t="s">
        <v>501</v>
      </c>
      <c r="C133" s="19" t="s">
        <v>61</v>
      </c>
      <c r="D133" s="19" t="s">
        <v>2232</v>
      </c>
      <c r="E133" s="19" t="s">
        <v>2235</v>
      </c>
      <c r="F133" s="20" t="b">
        <v>1</v>
      </c>
      <c r="G133" s="20" t="b">
        <v>1</v>
      </c>
      <c r="H133" s="20" t="b">
        <v>0</v>
      </c>
      <c r="I133" s="20" t="b">
        <v>1</v>
      </c>
      <c r="J133" s="20" t="b">
        <v>1</v>
      </c>
      <c r="K133" s="20" t="b">
        <v>1</v>
      </c>
      <c r="L133" s="20" t="b">
        <v>1</v>
      </c>
      <c r="M133" s="21">
        <f t="shared" si="1"/>
        <v>6</v>
      </c>
      <c r="N133" s="22">
        <f>M133*0</f>
        <v>0</v>
      </c>
      <c r="O133" s="20" t="b">
        <v>0</v>
      </c>
    </row>
    <row r="134">
      <c r="A134" s="18">
        <v>37.0</v>
      </c>
      <c r="B134" s="19" t="s">
        <v>550</v>
      </c>
      <c r="C134" s="19" t="s">
        <v>55</v>
      </c>
      <c r="D134" s="19" t="s">
        <v>543</v>
      </c>
      <c r="E134" s="19"/>
      <c r="F134" s="20" t="b">
        <v>0</v>
      </c>
      <c r="G134" s="20" t="b">
        <v>0</v>
      </c>
      <c r="H134" s="20" t="b">
        <v>0</v>
      </c>
      <c r="I134" s="20" t="b">
        <v>0</v>
      </c>
      <c r="J134" s="20" t="b">
        <v>0</v>
      </c>
      <c r="K134" s="20" t="b">
        <v>0</v>
      </c>
      <c r="L134" s="20" t="b">
        <v>0</v>
      </c>
      <c r="M134" s="21">
        <f t="shared" si="1"/>
        <v>0</v>
      </c>
      <c r="N134" s="22">
        <f>M134*50</f>
        <v>0</v>
      </c>
      <c r="O134" s="20" t="b">
        <v>0</v>
      </c>
    </row>
    <row r="135">
      <c r="A135" s="26">
        <v>37.0</v>
      </c>
      <c r="B135" s="27" t="s">
        <v>550</v>
      </c>
      <c r="C135" s="27" t="s">
        <v>61</v>
      </c>
      <c r="D135" s="27" t="s">
        <v>934</v>
      </c>
      <c r="E135" s="27" t="s">
        <v>937</v>
      </c>
      <c r="F135" s="28" t="b">
        <v>1</v>
      </c>
      <c r="G135" s="28" t="b">
        <v>0</v>
      </c>
      <c r="H135" s="28" t="b">
        <v>0</v>
      </c>
      <c r="I135" s="28" t="b">
        <v>1</v>
      </c>
      <c r="J135" s="28" t="b">
        <v>0</v>
      </c>
      <c r="K135" s="28" t="b">
        <v>0</v>
      </c>
      <c r="L135" s="28" t="b">
        <v>0</v>
      </c>
      <c r="M135" s="29">
        <f t="shared" si="1"/>
        <v>2</v>
      </c>
      <c r="N135" s="30">
        <f t="shared" ref="N135:N136" si="11">M135*0</f>
        <v>0</v>
      </c>
      <c r="O135" s="28" t="b">
        <v>0</v>
      </c>
    </row>
    <row r="136">
      <c r="A136" s="26">
        <v>37.0</v>
      </c>
      <c r="B136" s="27" t="s">
        <v>550</v>
      </c>
      <c r="C136" s="27" t="s">
        <v>61</v>
      </c>
      <c r="D136" s="27" t="s">
        <v>1560</v>
      </c>
      <c r="E136" s="27"/>
      <c r="F136" s="28" t="b">
        <v>0</v>
      </c>
      <c r="G136" s="28" t="b">
        <v>0</v>
      </c>
      <c r="H136" s="28" t="b">
        <v>0</v>
      </c>
      <c r="I136" s="28" t="b">
        <v>0</v>
      </c>
      <c r="J136" s="28" t="b">
        <v>0</v>
      </c>
      <c r="K136" s="28" t="b">
        <v>0</v>
      </c>
      <c r="L136" s="28" t="b">
        <v>0</v>
      </c>
      <c r="M136" s="29">
        <f t="shared" si="1"/>
        <v>0</v>
      </c>
      <c r="N136" s="30">
        <f t="shared" si="11"/>
        <v>0</v>
      </c>
      <c r="O136" s="28" t="b">
        <v>0</v>
      </c>
    </row>
    <row r="137">
      <c r="A137" s="26">
        <v>37.0</v>
      </c>
      <c r="B137" s="27" t="s">
        <v>550</v>
      </c>
      <c r="C137" s="27" t="s">
        <v>35</v>
      </c>
      <c r="D137" s="27" t="s">
        <v>544</v>
      </c>
      <c r="E137" s="27" t="s">
        <v>546</v>
      </c>
      <c r="F137" s="28" t="b">
        <v>1</v>
      </c>
      <c r="G137" s="28" t="b">
        <v>1</v>
      </c>
      <c r="H137" s="28" t="b">
        <v>0</v>
      </c>
      <c r="I137" s="28" t="b">
        <v>1</v>
      </c>
      <c r="J137" s="28" t="b">
        <v>1</v>
      </c>
      <c r="K137" s="28" t="b">
        <v>1</v>
      </c>
      <c r="L137" s="28" t="b">
        <v>1</v>
      </c>
      <c r="M137" s="29">
        <f t="shared" si="1"/>
        <v>6</v>
      </c>
      <c r="N137" s="30">
        <f t="shared" ref="N137:N139" si="12">M137*50</f>
        <v>300</v>
      </c>
      <c r="O137" s="28" t="b">
        <v>1</v>
      </c>
    </row>
    <row r="138">
      <c r="A138" s="26">
        <v>37.0</v>
      </c>
      <c r="B138" s="27" t="s">
        <v>550</v>
      </c>
      <c r="C138" s="27" t="s">
        <v>43</v>
      </c>
      <c r="D138" s="27" t="s">
        <v>514</v>
      </c>
      <c r="E138" s="27"/>
      <c r="F138" s="28" t="b">
        <v>1</v>
      </c>
      <c r="G138" s="28" t="b">
        <v>1</v>
      </c>
      <c r="H138" s="28" t="b">
        <v>0</v>
      </c>
      <c r="I138" s="28" t="b">
        <v>1</v>
      </c>
      <c r="J138" s="28" t="b">
        <v>0</v>
      </c>
      <c r="K138" s="28" t="b">
        <v>1</v>
      </c>
      <c r="L138" s="28" t="b">
        <v>0</v>
      </c>
      <c r="M138" s="29">
        <f t="shared" si="1"/>
        <v>4</v>
      </c>
      <c r="N138" s="30">
        <f t="shared" si="12"/>
        <v>200</v>
      </c>
      <c r="O138" s="28" t="b">
        <v>1</v>
      </c>
    </row>
    <row r="139">
      <c r="A139" s="26">
        <v>37.0</v>
      </c>
      <c r="B139" s="27" t="s">
        <v>550</v>
      </c>
      <c r="C139" s="27" t="s">
        <v>55</v>
      </c>
      <c r="D139" s="27" t="s">
        <v>1020</v>
      </c>
      <c r="E139" s="27" t="s">
        <v>1021</v>
      </c>
      <c r="F139" s="28" t="b">
        <v>1</v>
      </c>
      <c r="G139" s="28" t="b">
        <v>0</v>
      </c>
      <c r="H139" s="28" t="b">
        <v>0</v>
      </c>
      <c r="I139" s="28" t="b">
        <v>1</v>
      </c>
      <c r="J139" s="28" t="b">
        <v>0</v>
      </c>
      <c r="K139" s="28" t="b">
        <v>0</v>
      </c>
      <c r="L139" s="28" t="b">
        <v>1</v>
      </c>
      <c r="M139" s="29">
        <f t="shared" si="1"/>
        <v>3</v>
      </c>
      <c r="N139" s="30">
        <f t="shared" si="12"/>
        <v>150</v>
      </c>
      <c r="O139" s="28" t="b">
        <v>1</v>
      </c>
    </row>
    <row r="140">
      <c r="A140" s="26">
        <v>37.0</v>
      </c>
      <c r="B140" s="27" t="s">
        <v>550</v>
      </c>
      <c r="C140" s="27" t="s">
        <v>61</v>
      </c>
      <c r="D140" s="27" t="s">
        <v>1581</v>
      </c>
      <c r="E140" s="27"/>
      <c r="F140" s="28" t="b">
        <v>0</v>
      </c>
      <c r="G140" s="28" t="b">
        <v>0</v>
      </c>
      <c r="H140" s="28" t="b">
        <v>0</v>
      </c>
      <c r="I140" s="28" t="b">
        <v>0</v>
      </c>
      <c r="J140" s="28" t="b">
        <v>0</v>
      </c>
      <c r="K140" s="28" t="b">
        <v>0</v>
      </c>
      <c r="L140" s="28" t="b">
        <v>1</v>
      </c>
      <c r="M140" s="29">
        <f t="shared" si="1"/>
        <v>1</v>
      </c>
      <c r="N140" s="30">
        <f>M140*0</f>
        <v>0</v>
      </c>
      <c r="O140" s="28" t="b">
        <v>0</v>
      </c>
    </row>
    <row r="141">
      <c r="A141" s="26">
        <v>37.0</v>
      </c>
      <c r="B141" s="27" t="s">
        <v>550</v>
      </c>
      <c r="C141" s="27" t="s">
        <v>43</v>
      </c>
      <c r="D141" s="27" t="s">
        <v>434</v>
      </c>
      <c r="E141" s="27"/>
      <c r="F141" s="28" t="b">
        <v>1</v>
      </c>
      <c r="G141" s="28" t="b">
        <v>1</v>
      </c>
      <c r="H141" s="28" t="b">
        <v>0</v>
      </c>
      <c r="I141" s="28" t="b">
        <v>1</v>
      </c>
      <c r="J141" s="28" t="b">
        <v>0</v>
      </c>
      <c r="K141" s="28" t="b">
        <v>1</v>
      </c>
      <c r="L141" s="28" t="b">
        <v>0</v>
      </c>
      <c r="M141" s="29">
        <f t="shared" si="1"/>
        <v>4</v>
      </c>
      <c r="N141" s="30">
        <f t="shared" ref="N141:N144" si="13">M141*50</f>
        <v>200</v>
      </c>
      <c r="O141" s="28" t="b">
        <v>1</v>
      </c>
    </row>
    <row r="142">
      <c r="A142" s="26">
        <v>37.0</v>
      </c>
      <c r="B142" s="27" t="s">
        <v>550</v>
      </c>
      <c r="C142" s="27" t="s">
        <v>49</v>
      </c>
      <c r="D142" s="27" t="s">
        <v>451</v>
      </c>
      <c r="E142" s="27"/>
      <c r="F142" s="28" t="b">
        <v>1</v>
      </c>
      <c r="G142" s="28" t="b">
        <v>1</v>
      </c>
      <c r="H142" s="28" t="b">
        <v>0</v>
      </c>
      <c r="I142" s="28" t="b">
        <v>1</v>
      </c>
      <c r="J142" s="28" t="b">
        <v>1</v>
      </c>
      <c r="K142" s="28" t="b">
        <v>1</v>
      </c>
      <c r="L142" s="28" t="b">
        <v>1</v>
      </c>
      <c r="M142" s="29">
        <f t="shared" si="1"/>
        <v>6</v>
      </c>
      <c r="N142" s="30">
        <f t="shared" si="13"/>
        <v>300</v>
      </c>
      <c r="O142" s="28" t="b">
        <v>1</v>
      </c>
    </row>
    <row r="143">
      <c r="A143" s="26">
        <v>37.0</v>
      </c>
      <c r="B143" s="27" t="s">
        <v>550</v>
      </c>
      <c r="C143" s="27" t="s">
        <v>55</v>
      </c>
      <c r="D143" s="27" t="s">
        <v>1105</v>
      </c>
      <c r="E143" s="27" t="s">
        <v>1107</v>
      </c>
      <c r="F143" s="28" t="b">
        <v>1</v>
      </c>
      <c r="G143" s="28" t="b">
        <v>0</v>
      </c>
      <c r="H143" s="28" t="b">
        <v>0</v>
      </c>
      <c r="I143" s="28" t="b">
        <v>1</v>
      </c>
      <c r="J143" s="28" t="b">
        <v>0</v>
      </c>
      <c r="K143" s="28" t="b">
        <v>1</v>
      </c>
      <c r="L143" s="28" t="b">
        <v>1</v>
      </c>
      <c r="M143" s="29">
        <f t="shared" si="1"/>
        <v>4</v>
      </c>
      <c r="N143" s="30">
        <f t="shared" si="13"/>
        <v>200</v>
      </c>
      <c r="O143" s="28" t="b">
        <v>1</v>
      </c>
    </row>
    <row r="144">
      <c r="A144" s="26">
        <v>37.0</v>
      </c>
      <c r="B144" s="27" t="s">
        <v>550</v>
      </c>
      <c r="C144" s="27" t="s">
        <v>55</v>
      </c>
      <c r="D144" s="27" t="s">
        <v>984</v>
      </c>
      <c r="E144" s="27" t="s">
        <v>986</v>
      </c>
      <c r="F144" s="28" t="b">
        <v>1</v>
      </c>
      <c r="G144" s="28" t="b">
        <v>0</v>
      </c>
      <c r="H144" s="28" t="b">
        <v>0</v>
      </c>
      <c r="I144" s="28" t="b">
        <v>1</v>
      </c>
      <c r="J144" s="28" t="b">
        <v>0</v>
      </c>
      <c r="K144" s="28" t="b">
        <v>1</v>
      </c>
      <c r="L144" s="28" t="b">
        <v>1</v>
      </c>
      <c r="M144" s="29">
        <f t="shared" si="1"/>
        <v>4</v>
      </c>
      <c r="N144" s="30">
        <f t="shared" si="13"/>
        <v>200</v>
      </c>
      <c r="O144" s="28" t="b">
        <v>1</v>
      </c>
    </row>
    <row r="145">
      <c r="A145" s="26">
        <v>37.0</v>
      </c>
      <c r="B145" s="27" t="s">
        <v>550</v>
      </c>
      <c r="C145" s="27" t="s">
        <v>61</v>
      </c>
      <c r="D145" s="27" t="s">
        <v>2460</v>
      </c>
      <c r="E145" s="27" t="s">
        <v>2461</v>
      </c>
      <c r="F145" s="28" t="b">
        <v>0</v>
      </c>
      <c r="G145" s="28" t="b">
        <v>0</v>
      </c>
      <c r="H145" s="28" t="b">
        <v>0</v>
      </c>
      <c r="I145" s="28" t="b">
        <v>0</v>
      </c>
      <c r="J145" s="28" t="b">
        <v>0</v>
      </c>
      <c r="K145" s="28" t="b">
        <v>0</v>
      </c>
      <c r="L145" s="28" t="b">
        <v>0</v>
      </c>
      <c r="M145" s="29">
        <f t="shared" si="1"/>
        <v>0</v>
      </c>
      <c r="N145" s="30">
        <f>M145*0</f>
        <v>0</v>
      </c>
      <c r="O145" s="28" t="b">
        <v>0</v>
      </c>
    </row>
    <row r="146">
      <c r="A146" s="26">
        <v>37.0</v>
      </c>
      <c r="B146" s="27" t="s">
        <v>550</v>
      </c>
      <c r="C146" s="27" t="s">
        <v>37</v>
      </c>
      <c r="D146" s="27" t="s">
        <v>399</v>
      </c>
      <c r="E146" s="27"/>
      <c r="F146" s="28" t="b">
        <v>1</v>
      </c>
      <c r="G146" s="28" t="b">
        <v>1</v>
      </c>
      <c r="H146" s="28" t="b">
        <v>0</v>
      </c>
      <c r="I146" s="28" t="b">
        <v>1</v>
      </c>
      <c r="J146" s="28" t="b">
        <v>1</v>
      </c>
      <c r="K146" s="28" t="b">
        <v>1</v>
      </c>
      <c r="L146" s="28" t="b">
        <v>1</v>
      </c>
      <c r="M146" s="29">
        <f t="shared" si="1"/>
        <v>6</v>
      </c>
      <c r="N146" s="30">
        <f t="shared" ref="N146:N157" si="14">M146*50</f>
        <v>300</v>
      </c>
      <c r="O146" s="28" t="b">
        <v>1</v>
      </c>
    </row>
    <row r="147">
      <c r="A147" s="26">
        <v>37.0</v>
      </c>
      <c r="B147" s="27" t="s">
        <v>550</v>
      </c>
      <c r="C147" s="27" t="s">
        <v>42</v>
      </c>
      <c r="D147" s="27" t="s">
        <v>775</v>
      </c>
      <c r="E147" s="27" t="s">
        <v>776</v>
      </c>
      <c r="F147" s="28" t="b">
        <v>1</v>
      </c>
      <c r="G147" s="28" t="b">
        <v>1</v>
      </c>
      <c r="H147" s="28" t="b">
        <v>0</v>
      </c>
      <c r="I147" s="28" t="b">
        <v>1</v>
      </c>
      <c r="J147" s="28" t="b">
        <v>1</v>
      </c>
      <c r="K147" s="28" t="b">
        <v>1</v>
      </c>
      <c r="L147" s="28" t="b">
        <v>1</v>
      </c>
      <c r="M147" s="29">
        <f t="shared" si="1"/>
        <v>6</v>
      </c>
      <c r="N147" s="30">
        <f t="shared" si="14"/>
        <v>300</v>
      </c>
      <c r="O147" s="28" t="b">
        <v>1</v>
      </c>
    </row>
    <row r="148">
      <c r="A148" s="26">
        <v>37.0</v>
      </c>
      <c r="B148" s="27" t="s">
        <v>550</v>
      </c>
      <c r="C148" s="27" t="s">
        <v>42</v>
      </c>
      <c r="D148" s="27" t="s">
        <v>747</v>
      </c>
      <c r="E148" s="27" t="s">
        <v>749</v>
      </c>
      <c r="F148" s="28" t="b">
        <v>0</v>
      </c>
      <c r="G148" s="28" t="b">
        <v>0</v>
      </c>
      <c r="H148" s="28" t="b">
        <v>0</v>
      </c>
      <c r="I148" s="28" t="b">
        <v>0</v>
      </c>
      <c r="J148" s="28" t="b">
        <v>0</v>
      </c>
      <c r="K148" s="28" t="b">
        <v>0</v>
      </c>
      <c r="L148" s="28" t="b">
        <v>0</v>
      </c>
      <c r="M148" s="29">
        <f t="shared" si="1"/>
        <v>0</v>
      </c>
      <c r="N148" s="30">
        <f t="shared" si="14"/>
        <v>0</v>
      </c>
      <c r="O148" s="28" t="b">
        <v>0</v>
      </c>
    </row>
    <row r="149">
      <c r="A149" s="31">
        <v>37.0</v>
      </c>
      <c r="B149" s="32" t="s">
        <v>550</v>
      </c>
      <c r="C149" s="32" t="s">
        <v>55</v>
      </c>
      <c r="D149" s="32" t="s">
        <v>1374</v>
      </c>
      <c r="E149" s="32" t="s">
        <v>1375</v>
      </c>
      <c r="F149" s="33" t="b">
        <v>1</v>
      </c>
      <c r="G149" s="33" t="b">
        <v>0</v>
      </c>
      <c r="H149" s="33" t="b">
        <v>0</v>
      </c>
      <c r="I149" s="33" t="b">
        <v>1</v>
      </c>
      <c r="J149" s="33" t="b">
        <v>0</v>
      </c>
      <c r="K149" s="33" t="b">
        <v>0</v>
      </c>
      <c r="L149" s="33" t="b">
        <v>0</v>
      </c>
      <c r="M149" s="34">
        <f t="shared" si="1"/>
        <v>2</v>
      </c>
      <c r="N149" s="35">
        <f t="shared" si="14"/>
        <v>100</v>
      </c>
      <c r="O149" s="33" t="b">
        <v>1</v>
      </c>
    </row>
    <row r="150">
      <c r="A150" s="26">
        <v>37.0</v>
      </c>
      <c r="B150" s="27" t="s">
        <v>550</v>
      </c>
      <c r="C150" s="27" t="s">
        <v>55</v>
      </c>
      <c r="D150" s="27" t="s">
        <v>2060</v>
      </c>
      <c r="E150" s="27" t="s">
        <v>2061</v>
      </c>
      <c r="F150" s="28" t="b">
        <v>1</v>
      </c>
      <c r="G150" s="28" t="b">
        <v>1</v>
      </c>
      <c r="H150" s="28" t="b">
        <v>0</v>
      </c>
      <c r="I150" s="28" t="b">
        <v>1</v>
      </c>
      <c r="J150" s="28" t="b">
        <v>1</v>
      </c>
      <c r="K150" s="28" t="b">
        <v>1</v>
      </c>
      <c r="L150" s="28" t="b">
        <v>1</v>
      </c>
      <c r="M150" s="29">
        <f t="shared" si="1"/>
        <v>6</v>
      </c>
      <c r="N150" s="30">
        <f t="shared" si="14"/>
        <v>300</v>
      </c>
      <c r="O150" s="28" t="b">
        <v>1</v>
      </c>
    </row>
    <row r="151">
      <c r="A151" s="26">
        <v>37.0</v>
      </c>
      <c r="B151" s="27" t="s">
        <v>574</v>
      </c>
      <c r="C151" s="27" t="s">
        <v>58</v>
      </c>
      <c r="D151" s="27" t="s">
        <v>604</v>
      </c>
      <c r="E151" s="27"/>
      <c r="F151" s="28" t="b">
        <v>1</v>
      </c>
      <c r="G151" s="28" t="b">
        <v>1</v>
      </c>
      <c r="H151" s="28" t="b">
        <v>0</v>
      </c>
      <c r="I151" s="28" t="b">
        <v>1</v>
      </c>
      <c r="J151" s="28" t="b">
        <v>1</v>
      </c>
      <c r="K151" s="28" t="b">
        <v>1</v>
      </c>
      <c r="L151" s="28" t="b">
        <v>1</v>
      </c>
      <c r="M151" s="29">
        <f t="shared" si="1"/>
        <v>6</v>
      </c>
      <c r="N151" s="30">
        <f t="shared" si="14"/>
        <v>300</v>
      </c>
      <c r="O151" s="28" t="b">
        <v>1</v>
      </c>
    </row>
    <row r="152">
      <c r="A152" s="55">
        <v>37.0</v>
      </c>
      <c r="B152" s="4" t="s">
        <v>574</v>
      </c>
      <c r="C152" s="4" t="s">
        <v>35</v>
      </c>
      <c r="D152" s="4" t="s">
        <v>568</v>
      </c>
      <c r="E152" s="4" t="s">
        <v>570</v>
      </c>
      <c r="F152" s="13" t="b">
        <v>1</v>
      </c>
      <c r="G152" s="13" t="b">
        <v>1</v>
      </c>
      <c r="H152" s="13" t="b">
        <v>0</v>
      </c>
      <c r="I152" s="13" t="b">
        <v>1</v>
      </c>
      <c r="J152" s="13" t="b">
        <v>1</v>
      </c>
      <c r="K152" s="13" t="b">
        <v>1</v>
      </c>
      <c r="L152" s="13" t="b">
        <v>1</v>
      </c>
      <c r="M152" s="56">
        <f t="shared" si="1"/>
        <v>6</v>
      </c>
      <c r="N152" s="57">
        <f t="shared" si="14"/>
        <v>300</v>
      </c>
      <c r="O152" s="13" t="b">
        <v>1</v>
      </c>
    </row>
    <row r="153">
      <c r="A153" s="55">
        <v>37.0</v>
      </c>
      <c r="B153" s="4" t="s">
        <v>574</v>
      </c>
      <c r="C153" s="4" t="s">
        <v>58</v>
      </c>
      <c r="D153" s="4" t="s">
        <v>1056</v>
      </c>
      <c r="E153" s="4"/>
      <c r="F153" s="13" t="b">
        <v>0</v>
      </c>
      <c r="G153" s="13" t="b">
        <v>0</v>
      </c>
      <c r="H153" s="13" t="b">
        <v>0</v>
      </c>
      <c r="I153" s="13" t="b">
        <v>1</v>
      </c>
      <c r="J153" s="13" t="b">
        <v>0</v>
      </c>
      <c r="K153" s="13" t="b">
        <v>1</v>
      </c>
      <c r="L153" s="13" t="b">
        <v>0</v>
      </c>
      <c r="M153" s="56">
        <f t="shared" si="1"/>
        <v>2</v>
      </c>
      <c r="N153" s="57">
        <f t="shared" si="14"/>
        <v>100</v>
      </c>
      <c r="O153" s="13" t="b">
        <v>1</v>
      </c>
    </row>
    <row r="154">
      <c r="A154" s="55">
        <v>37.0</v>
      </c>
      <c r="B154" s="4" t="s">
        <v>574</v>
      </c>
      <c r="C154" s="4" t="s">
        <v>58</v>
      </c>
      <c r="D154" s="4" t="s">
        <v>496</v>
      </c>
      <c r="E154" s="4"/>
      <c r="F154" s="13" t="b">
        <v>1</v>
      </c>
      <c r="G154" s="13" t="b">
        <v>1</v>
      </c>
      <c r="H154" s="13" t="b">
        <v>0</v>
      </c>
      <c r="I154" s="13" t="b">
        <v>1</v>
      </c>
      <c r="J154" s="13" t="b">
        <v>1</v>
      </c>
      <c r="K154" s="13" t="b">
        <v>1</v>
      </c>
      <c r="L154" s="13" t="b">
        <v>1</v>
      </c>
      <c r="M154" s="56">
        <f t="shared" si="1"/>
        <v>6</v>
      </c>
      <c r="N154" s="57">
        <f t="shared" si="14"/>
        <v>300</v>
      </c>
      <c r="O154" s="13" t="b">
        <v>1</v>
      </c>
    </row>
    <row r="155">
      <c r="A155" s="55">
        <v>37.0</v>
      </c>
      <c r="B155" s="4" t="s">
        <v>574</v>
      </c>
      <c r="C155" s="4" t="s">
        <v>43</v>
      </c>
      <c r="D155" s="4" t="s">
        <v>918</v>
      </c>
      <c r="E155" s="4" t="s">
        <v>921</v>
      </c>
      <c r="F155" s="13" t="b">
        <v>1</v>
      </c>
      <c r="G155" s="13" t="b">
        <v>1</v>
      </c>
      <c r="H155" s="13" t="b">
        <v>0</v>
      </c>
      <c r="I155" s="13" t="b">
        <v>1</v>
      </c>
      <c r="J155" s="13" t="b">
        <v>1</v>
      </c>
      <c r="K155" s="13" t="b">
        <v>1</v>
      </c>
      <c r="L155" s="13" t="b">
        <v>1</v>
      </c>
      <c r="M155" s="56">
        <f t="shared" si="1"/>
        <v>6</v>
      </c>
      <c r="N155" s="57">
        <f t="shared" si="14"/>
        <v>300</v>
      </c>
      <c r="O155" s="13" t="b">
        <v>1</v>
      </c>
    </row>
    <row r="156">
      <c r="A156" s="58">
        <v>37.0</v>
      </c>
      <c r="B156" s="59" t="s">
        <v>574</v>
      </c>
      <c r="C156" s="59" t="s">
        <v>37</v>
      </c>
      <c r="D156" s="59" t="s">
        <v>965</v>
      </c>
      <c r="E156" s="59" t="s">
        <v>966</v>
      </c>
      <c r="F156" s="60" t="b">
        <v>1</v>
      </c>
      <c r="G156" s="60" t="b">
        <v>1</v>
      </c>
      <c r="H156" s="60" t="b">
        <v>0</v>
      </c>
      <c r="I156" s="60" t="b">
        <v>1</v>
      </c>
      <c r="J156" s="60" t="b">
        <v>1</v>
      </c>
      <c r="K156" s="60" t="b">
        <v>1</v>
      </c>
      <c r="L156" s="60" t="b">
        <v>1</v>
      </c>
      <c r="M156" s="61">
        <f t="shared" si="1"/>
        <v>6</v>
      </c>
      <c r="N156" s="62">
        <f t="shared" si="14"/>
        <v>300</v>
      </c>
      <c r="O156" s="60" t="b">
        <v>1</v>
      </c>
    </row>
    <row r="157">
      <c r="A157" s="55">
        <v>37.0</v>
      </c>
      <c r="B157" s="4" t="s">
        <v>574</v>
      </c>
      <c r="C157" s="4" t="s">
        <v>58</v>
      </c>
      <c r="D157" s="4" t="s">
        <v>2036</v>
      </c>
      <c r="E157" s="4" t="s">
        <v>2037</v>
      </c>
      <c r="F157" s="13" t="b">
        <v>1</v>
      </c>
      <c r="G157" s="13" t="b">
        <v>1</v>
      </c>
      <c r="H157" s="13" t="b">
        <v>0</v>
      </c>
      <c r="I157" s="13" t="b">
        <v>1</v>
      </c>
      <c r="J157" s="13" t="b">
        <v>1</v>
      </c>
      <c r="K157" s="13" t="b">
        <v>1</v>
      </c>
      <c r="L157" s="13" t="b">
        <v>1</v>
      </c>
      <c r="M157" s="56">
        <f t="shared" si="1"/>
        <v>6</v>
      </c>
      <c r="N157" s="57">
        <f t="shared" si="14"/>
        <v>300</v>
      </c>
      <c r="O157" s="13" t="b">
        <v>1</v>
      </c>
    </row>
    <row r="158">
      <c r="A158" s="55">
        <v>37.0</v>
      </c>
      <c r="B158" s="4" t="s">
        <v>422</v>
      </c>
      <c r="C158" s="4" t="s">
        <v>28</v>
      </c>
      <c r="D158" s="4" t="s">
        <v>312</v>
      </c>
      <c r="E158" s="4"/>
      <c r="F158" s="13" t="b">
        <v>1</v>
      </c>
      <c r="G158" s="13" t="b">
        <v>1</v>
      </c>
      <c r="H158" s="13" t="b">
        <v>0</v>
      </c>
      <c r="I158" s="13" t="b">
        <v>1</v>
      </c>
      <c r="J158" s="13" t="b">
        <v>1</v>
      </c>
      <c r="K158" s="13" t="b">
        <v>1</v>
      </c>
      <c r="L158" s="13" t="b">
        <v>1</v>
      </c>
      <c r="M158" s="56">
        <f t="shared" si="1"/>
        <v>6</v>
      </c>
      <c r="N158" s="57">
        <f t="shared" ref="N158:N159" si="15">M158*100</f>
        <v>600</v>
      </c>
      <c r="O158" s="13" t="b">
        <v>1</v>
      </c>
    </row>
    <row r="159">
      <c r="A159" s="58">
        <v>37.0</v>
      </c>
      <c r="B159" s="59" t="s">
        <v>422</v>
      </c>
      <c r="C159" s="59" t="s">
        <v>25</v>
      </c>
      <c r="D159" s="59" t="s">
        <v>397</v>
      </c>
      <c r="E159" s="59" t="s">
        <v>402</v>
      </c>
      <c r="F159" s="60" t="b">
        <v>1</v>
      </c>
      <c r="G159" s="60" t="b">
        <v>0</v>
      </c>
      <c r="H159" s="60" t="b">
        <v>0</v>
      </c>
      <c r="I159" s="60" t="b">
        <v>0</v>
      </c>
      <c r="J159" s="60" t="b">
        <v>1</v>
      </c>
      <c r="K159" s="60" t="b">
        <v>0</v>
      </c>
      <c r="L159" s="60" t="b">
        <v>1</v>
      </c>
      <c r="M159" s="61">
        <f t="shared" si="1"/>
        <v>3</v>
      </c>
      <c r="N159" s="62">
        <f t="shared" si="15"/>
        <v>300</v>
      </c>
      <c r="O159" s="60" t="b">
        <v>1</v>
      </c>
    </row>
    <row r="160">
      <c r="A160" s="55">
        <v>37.0</v>
      </c>
      <c r="B160" s="4" t="s">
        <v>422</v>
      </c>
      <c r="C160" s="4" t="s">
        <v>30</v>
      </c>
      <c r="D160" s="4" t="s">
        <v>389</v>
      </c>
      <c r="E160" s="4"/>
      <c r="F160" s="13" t="b">
        <v>1</v>
      </c>
      <c r="G160" s="13" t="b">
        <v>0</v>
      </c>
      <c r="H160" s="13" t="b">
        <v>0</v>
      </c>
      <c r="I160" s="13" t="b">
        <v>0</v>
      </c>
      <c r="J160" s="13" t="b">
        <v>1</v>
      </c>
      <c r="K160" s="13" t="b">
        <v>0</v>
      </c>
      <c r="L160" s="13" t="b">
        <v>1</v>
      </c>
      <c r="M160" s="56">
        <f t="shared" si="1"/>
        <v>3</v>
      </c>
      <c r="N160" s="57">
        <f t="shared" ref="N160:N165" si="16">M160*50</f>
        <v>150</v>
      </c>
      <c r="O160" s="13" t="b">
        <v>1</v>
      </c>
    </row>
    <row r="161">
      <c r="A161" s="55">
        <v>37.0</v>
      </c>
      <c r="B161" s="4" t="s">
        <v>622</v>
      </c>
      <c r="C161" s="4" t="s">
        <v>55</v>
      </c>
      <c r="D161" s="4" t="s">
        <v>1532</v>
      </c>
      <c r="E161" s="4"/>
      <c r="F161" s="13" t="b">
        <v>0</v>
      </c>
      <c r="G161" s="13" t="b">
        <v>0</v>
      </c>
      <c r="H161" s="13" t="b">
        <v>0</v>
      </c>
      <c r="I161" s="13" t="b">
        <v>0</v>
      </c>
      <c r="J161" s="13" t="b">
        <v>0</v>
      </c>
      <c r="K161" s="13" t="b">
        <v>0</v>
      </c>
      <c r="L161" s="13" t="b">
        <v>0</v>
      </c>
      <c r="M161" s="56">
        <f t="shared" si="1"/>
        <v>0</v>
      </c>
      <c r="N161" s="57">
        <f t="shared" si="16"/>
        <v>0</v>
      </c>
      <c r="O161" s="13" t="b">
        <v>0</v>
      </c>
    </row>
    <row r="162">
      <c r="A162" s="58">
        <v>37.0</v>
      </c>
      <c r="B162" s="59" t="s">
        <v>622</v>
      </c>
      <c r="C162" s="59" t="s">
        <v>55</v>
      </c>
      <c r="D162" s="59" t="s">
        <v>1570</v>
      </c>
      <c r="E162" s="59"/>
      <c r="F162" s="60" t="b">
        <v>0</v>
      </c>
      <c r="G162" s="60" t="b">
        <v>0</v>
      </c>
      <c r="H162" s="60" t="b">
        <v>0</v>
      </c>
      <c r="I162" s="60" t="b">
        <v>0</v>
      </c>
      <c r="J162" s="60" t="b">
        <v>0</v>
      </c>
      <c r="K162" s="60" t="b">
        <v>0</v>
      </c>
      <c r="L162" s="60" t="b">
        <v>0</v>
      </c>
      <c r="M162" s="61">
        <f t="shared" si="1"/>
        <v>0</v>
      </c>
      <c r="N162" s="62">
        <f t="shared" si="16"/>
        <v>0</v>
      </c>
      <c r="O162" s="60" t="b">
        <v>0</v>
      </c>
    </row>
    <row r="163">
      <c r="A163" s="55">
        <v>37.0</v>
      </c>
      <c r="B163" s="4" t="s">
        <v>622</v>
      </c>
      <c r="C163" s="4" t="s">
        <v>35</v>
      </c>
      <c r="D163" s="4" t="s">
        <v>2487</v>
      </c>
      <c r="E163" s="4" t="s">
        <v>2489</v>
      </c>
      <c r="F163" s="13" t="b">
        <v>0</v>
      </c>
      <c r="G163" s="13" t="b">
        <v>0</v>
      </c>
      <c r="H163" s="13" t="b">
        <v>0</v>
      </c>
      <c r="I163" s="13" t="b">
        <v>0</v>
      </c>
      <c r="J163" s="13" t="b">
        <v>0</v>
      </c>
      <c r="K163" s="13" t="b">
        <v>0</v>
      </c>
      <c r="L163" s="13" t="b">
        <v>0</v>
      </c>
      <c r="M163" s="56">
        <f t="shared" si="1"/>
        <v>0</v>
      </c>
      <c r="N163" s="57">
        <f t="shared" si="16"/>
        <v>0</v>
      </c>
      <c r="O163" s="13" t="b">
        <v>0</v>
      </c>
    </row>
    <row r="164">
      <c r="A164" s="55">
        <v>37.0</v>
      </c>
      <c r="B164" s="4" t="s">
        <v>671</v>
      </c>
      <c r="C164" s="4" t="s">
        <v>52</v>
      </c>
      <c r="D164" s="4" t="s">
        <v>526</v>
      </c>
      <c r="E164" s="4"/>
      <c r="F164" s="13" t="b">
        <v>1</v>
      </c>
      <c r="G164" s="13" t="b">
        <v>0</v>
      </c>
      <c r="H164" s="13" t="b">
        <v>0</v>
      </c>
      <c r="I164" s="13" t="b">
        <v>0</v>
      </c>
      <c r="J164" s="13" t="b">
        <v>0</v>
      </c>
      <c r="K164" s="13" t="b">
        <v>0</v>
      </c>
      <c r="L164" s="13" t="b">
        <v>0</v>
      </c>
      <c r="M164" s="56">
        <f t="shared" si="1"/>
        <v>1</v>
      </c>
      <c r="N164" s="57">
        <f t="shared" si="16"/>
        <v>50</v>
      </c>
      <c r="O164" s="13" t="b">
        <v>1</v>
      </c>
    </row>
    <row r="165">
      <c r="A165" s="55">
        <v>37.0</v>
      </c>
      <c r="B165" s="4" t="s">
        <v>671</v>
      </c>
      <c r="C165" s="4" t="s">
        <v>37</v>
      </c>
      <c r="D165" s="4" t="s">
        <v>2182</v>
      </c>
      <c r="E165" s="4" t="s">
        <v>668</v>
      </c>
      <c r="F165" s="13" t="b">
        <v>1</v>
      </c>
      <c r="G165" s="13" t="b">
        <v>1</v>
      </c>
      <c r="H165" s="13" t="b">
        <v>0</v>
      </c>
      <c r="I165" s="13" t="b">
        <v>0</v>
      </c>
      <c r="J165" s="13" t="b">
        <v>1</v>
      </c>
      <c r="K165" s="13" t="b">
        <v>1</v>
      </c>
      <c r="L165" s="13" t="b">
        <v>0</v>
      </c>
      <c r="M165" s="56">
        <f t="shared" si="1"/>
        <v>4</v>
      </c>
      <c r="N165" s="57">
        <f t="shared" si="16"/>
        <v>200</v>
      </c>
      <c r="O165" s="13" t="b">
        <v>1</v>
      </c>
    </row>
    <row r="166">
      <c r="A166" s="55">
        <v>37.0</v>
      </c>
      <c r="B166" s="4" t="s">
        <v>671</v>
      </c>
      <c r="C166" s="4" t="s">
        <v>61</v>
      </c>
      <c r="D166" s="4" t="s">
        <v>1169</v>
      </c>
      <c r="E166" s="4"/>
      <c r="F166" s="13" t="b">
        <v>1</v>
      </c>
      <c r="G166" s="13" t="b">
        <v>1</v>
      </c>
      <c r="H166" s="13" t="b">
        <v>0</v>
      </c>
      <c r="I166" s="13" t="b">
        <v>0</v>
      </c>
      <c r="J166" s="13" t="b">
        <v>0</v>
      </c>
      <c r="K166" s="13" t="b">
        <v>0</v>
      </c>
      <c r="L166" s="13" t="b">
        <v>0</v>
      </c>
      <c r="M166" s="56">
        <f t="shared" si="1"/>
        <v>2</v>
      </c>
      <c r="N166" s="57">
        <f>M166*0</f>
        <v>0</v>
      </c>
      <c r="O166" s="13" t="b">
        <v>0</v>
      </c>
    </row>
    <row r="167">
      <c r="A167" s="55">
        <v>37.0</v>
      </c>
      <c r="B167" s="4" t="s">
        <v>671</v>
      </c>
      <c r="C167" s="4" t="s">
        <v>42</v>
      </c>
      <c r="D167" s="4" t="s">
        <v>442</v>
      </c>
      <c r="E167" s="4"/>
      <c r="F167" s="13" t="b">
        <v>0</v>
      </c>
      <c r="G167" s="13" t="b">
        <v>1</v>
      </c>
      <c r="H167" s="13" t="b">
        <v>0</v>
      </c>
      <c r="I167" s="13" t="b">
        <v>1</v>
      </c>
      <c r="J167" s="13" t="b">
        <v>1</v>
      </c>
      <c r="K167" s="13" t="b">
        <v>1</v>
      </c>
      <c r="L167" s="13" t="b">
        <v>0</v>
      </c>
      <c r="M167" s="56">
        <f t="shared" si="1"/>
        <v>4</v>
      </c>
      <c r="N167" s="57">
        <f t="shared" ref="N167:N175" si="17">M167*50</f>
        <v>200</v>
      </c>
      <c r="O167" s="13" t="b">
        <v>1</v>
      </c>
    </row>
    <row r="168">
      <c r="A168" s="55">
        <v>37.0</v>
      </c>
      <c r="B168" s="4" t="s">
        <v>671</v>
      </c>
      <c r="C168" s="4" t="s">
        <v>35</v>
      </c>
      <c r="D168" s="4" t="s">
        <v>2138</v>
      </c>
      <c r="E168" s="4" t="s">
        <v>668</v>
      </c>
      <c r="F168" s="13" t="b">
        <v>0</v>
      </c>
      <c r="G168" s="13" t="b">
        <v>0</v>
      </c>
      <c r="H168" s="13" t="b">
        <v>0</v>
      </c>
      <c r="I168" s="13" t="b">
        <v>0</v>
      </c>
      <c r="J168" s="13" t="b">
        <v>0</v>
      </c>
      <c r="K168" s="13" t="b">
        <v>1</v>
      </c>
      <c r="L168" s="13" t="b">
        <v>0</v>
      </c>
      <c r="M168" s="56">
        <f t="shared" si="1"/>
        <v>1</v>
      </c>
      <c r="N168" s="57">
        <f t="shared" si="17"/>
        <v>50</v>
      </c>
      <c r="O168" s="13" t="b">
        <v>1</v>
      </c>
    </row>
    <row r="169">
      <c r="A169" s="55">
        <v>37.0</v>
      </c>
      <c r="B169" s="4" t="s">
        <v>671</v>
      </c>
      <c r="C169" s="4" t="s">
        <v>55</v>
      </c>
      <c r="D169" s="4" t="s">
        <v>2410</v>
      </c>
      <c r="E169" s="4" t="s">
        <v>2412</v>
      </c>
      <c r="F169" s="13" t="b">
        <v>1</v>
      </c>
      <c r="G169" s="13" t="b">
        <v>1</v>
      </c>
      <c r="H169" s="13" t="b">
        <v>0</v>
      </c>
      <c r="I169" s="13" t="b">
        <v>0</v>
      </c>
      <c r="J169" s="13" t="b">
        <v>1</v>
      </c>
      <c r="K169" s="13" t="b">
        <v>0</v>
      </c>
      <c r="L169" s="13" t="b">
        <v>0</v>
      </c>
      <c r="M169" s="56">
        <f t="shared" si="1"/>
        <v>3</v>
      </c>
      <c r="N169" s="57">
        <f t="shared" si="17"/>
        <v>150</v>
      </c>
      <c r="O169" s="13" t="b">
        <v>0</v>
      </c>
    </row>
    <row r="170">
      <c r="A170" s="55">
        <v>37.0</v>
      </c>
      <c r="B170" s="4" t="s">
        <v>671</v>
      </c>
      <c r="C170" s="4" t="s">
        <v>30</v>
      </c>
      <c r="D170" s="4" t="s">
        <v>2961</v>
      </c>
      <c r="E170" s="4" t="s">
        <v>1942</v>
      </c>
      <c r="F170" s="13" t="b">
        <v>0</v>
      </c>
      <c r="G170" s="13" t="b">
        <v>0</v>
      </c>
      <c r="H170" s="13" t="b">
        <v>0</v>
      </c>
      <c r="I170" s="13" t="b">
        <v>0</v>
      </c>
      <c r="J170" s="13" t="b">
        <v>0</v>
      </c>
      <c r="K170" s="13" t="b">
        <v>0</v>
      </c>
      <c r="L170" s="13" t="b">
        <v>0</v>
      </c>
      <c r="M170" s="56">
        <f t="shared" si="1"/>
        <v>0</v>
      </c>
      <c r="N170" s="57">
        <f t="shared" si="17"/>
        <v>0</v>
      </c>
      <c r="O170" s="13" t="b">
        <v>0</v>
      </c>
    </row>
    <row r="171">
      <c r="A171" s="55">
        <v>37.0</v>
      </c>
      <c r="B171" s="4" t="s">
        <v>671</v>
      </c>
      <c r="C171" s="4" t="s">
        <v>55</v>
      </c>
      <c r="D171" s="4" t="s">
        <v>2433</v>
      </c>
      <c r="E171" s="4" t="s">
        <v>2435</v>
      </c>
      <c r="F171" s="13" t="b">
        <v>0</v>
      </c>
      <c r="G171" s="13" t="b">
        <v>0</v>
      </c>
      <c r="H171" s="13" t="b">
        <v>0</v>
      </c>
      <c r="I171" s="13" t="b">
        <v>0</v>
      </c>
      <c r="J171" s="13" t="b">
        <v>1</v>
      </c>
      <c r="K171" s="13" t="b">
        <v>1</v>
      </c>
      <c r="L171" s="13" t="b">
        <v>0</v>
      </c>
      <c r="M171" s="56">
        <f t="shared" si="1"/>
        <v>2</v>
      </c>
      <c r="N171" s="57">
        <f t="shared" si="17"/>
        <v>100</v>
      </c>
      <c r="O171" s="13" t="b">
        <v>1</v>
      </c>
    </row>
    <row r="172">
      <c r="A172" s="55">
        <v>37.0</v>
      </c>
      <c r="B172" s="4" t="s">
        <v>671</v>
      </c>
      <c r="C172" s="4" t="s">
        <v>47</v>
      </c>
      <c r="D172" s="4" t="s">
        <v>2159</v>
      </c>
      <c r="E172" s="4" t="s">
        <v>2162</v>
      </c>
      <c r="F172" s="13" t="b">
        <v>1</v>
      </c>
      <c r="G172" s="13" t="b">
        <v>1</v>
      </c>
      <c r="H172" s="13" t="b">
        <v>0</v>
      </c>
      <c r="I172" s="13" t="b">
        <v>1</v>
      </c>
      <c r="J172" s="13" t="b">
        <v>1</v>
      </c>
      <c r="K172" s="13" t="b">
        <v>1</v>
      </c>
      <c r="L172" s="13" t="b">
        <v>1</v>
      </c>
      <c r="M172" s="56">
        <f t="shared" si="1"/>
        <v>6</v>
      </c>
      <c r="N172" s="57">
        <f t="shared" si="17"/>
        <v>300</v>
      </c>
      <c r="O172" s="13" t="b">
        <v>1</v>
      </c>
    </row>
    <row r="173">
      <c r="A173" s="55">
        <v>37.0</v>
      </c>
      <c r="B173" s="4" t="s">
        <v>671</v>
      </c>
      <c r="C173" s="4" t="s">
        <v>55</v>
      </c>
      <c r="D173" s="4" t="s">
        <v>2446</v>
      </c>
      <c r="E173" s="4" t="s">
        <v>2448</v>
      </c>
      <c r="F173" s="13" t="b">
        <v>0</v>
      </c>
      <c r="G173" s="13" t="b">
        <v>1</v>
      </c>
      <c r="H173" s="13" t="b">
        <v>0</v>
      </c>
      <c r="I173" s="13" t="b">
        <v>1</v>
      </c>
      <c r="J173" s="13" t="b">
        <v>1</v>
      </c>
      <c r="K173" s="13" t="b">
        <v>1</v>
      </c>
      <c r="L173" s="13" t="b">
        <v>0</v>
      </c>
      <c r="M173" s="56">
        <f t="shared" si="1"/>
        <v>4</v>
      </c>
      <c r="N173" s="57">
        <f t="shared" si="17"/>
        <v>200</v>
      </c>
      <c r="O173" s="13" t="b">
        <v>1</v>
      </c>
    </row>
    <row r="174">
      <c r="A174" s="63">
        <v>37.0</v>
      </c>
      <c r="B174" s="64" t="s">
        <v>671</v>
      </c>
      <c r="C174" s="64" t="s">
        <v>55</v>
      </c>
      <c r="D174" s="64" t="s">
        <v>2257</v>
      </c>
      <c r="E174" s="64" t="s">
        <v>2259</v>
      </c>
      <c r="F174" s="65" t="b">
        <v>0</v>
      </c>
      <c r="G174" s="65" t="b">
        <v>1</v>
      </c>
      <c r="H174" s="65" t="b">
        <v>0</v>
      </c>
      <c r="I174" s="65" t="b">
        <v>1</v>
      </c>
      <c r="J174" s="65" t="b">
        <v>0</v>
      </c>
      <c r="K174" s="65" t="b">
        <v>0</v>
      </c>
      <c r="L174" s="65" t="b">
        <v>0</v>
      </c>
      <c r="M174" s="66">
        <f t="shared" si="1"/>
        <v>2</v>
      </c>
      <c r="N174" s="67">
        <f t="shared" si="17"/>
        <v>100</v>
      </c>
      <c r="O174" s="65" t="b">
        <v>1</v>
      </c>
    </row>
    <row r="175">
      <c r="A175" s="55">
        <v>37.0</v>
      </c>
      <c r="B175" s="4" t="s">
        <v>671</v>
      </c>
      <c r="C175" s="4" t="s">
        <v>42</v>
      </c>
      <c r="D175" s="4" t="s">
        <v>2473</v>
      </c>
      <c r="E175" s="4" t="s">
        <v>2475</v>
      </c>
      <c r="F175" s="13" t="b">
        <v>0</v>
      </c>
      <c r="G175" s="13" t="b">
        <v>0</v>
      </c>
      <c r="H175" s="13" t="b">
        <v>0</v>
      </c>
      <c r="I175" s="13" t="b">
        <v>1</v>
      </c>
      <c r="J175" s="13" t="b">
        <v>1</v>
      </c>
      <c r="K175" s="13" t="b">
        <v>1</v>
      </c>
      <c r="L175" s="13" t="b">
        <v>1</v>
      </c>
      <c r="M175" s="56">
        <f t="shared" si="1"/>
        <v>4</v>
      </c>
      <c r="N175" s="57">
        <f t="shared" si="17"/>
        <v>200</v>
      </c>
      <c r="O175" s="13" t="b">
        <v>1</v>
      </c>
    </row>
    <row r="176">
      <c r="A176" s="55">
        <v>38.0</v>
      </c>
      <c r="B176" s="4" t="s">
        <v>1959</v>
      </c>
      <c r="C176" s="4" t="s">
        <v>61</v>
      </c>
      <c r="D176" s="4" t="s">
        <v>1123</v>
      </c>
      <c r="E176" s="4"/>
      <c r="F176" s="13" t="b">
        <v>0</v>
      </c>
      <c r="G176" s="13" t="b">
        <v>0</v>
      </c>
      <c r="H176" s="13" t="b">
        <v>0</v>
      </c>
      <c r="I176" s="13" t="b">
        <v>0</v>
      </c>
      <c r="J176" s="13" t="b">
        <v>0</v>
      </c>
      <c r="K176" s="13" t="b">
        <v>0</v>
      </c>
      <c r="L176" s="13" t="b">
        <v>0</v>
      </c>
      <c r="M176" s="56">
        <f t="shared" si="1"/>
        <v>0</v>
      </c>
      <c r="N176" s="57">
        <f>M176*0</f>
        <v>0</v>
      </c>
      <c r="O176" s="13" t="b">
        <v>0</v>
      </c>
    </row>
    <row r="177">
      <c r="A177" s="55">
        <v>38.0</v>
      </c>
      <c r="B177" s="4" t="s">
        <v>1959</v>
      </c>
      <c r="C177" s="4" t="s">
        <v>55</v>
      </c>
      <c r="D177" s="4" t="s">
        <v>2129</v>
      </c>
      <c r="E177" s="4" t="s">
        <v>2130</v>
      </c>
      <c r="F177" s="13" t="b">
        <v>0</v>
      </c>
      <c r="G177" s="13" t="b">
        <v>0</v>
      </c>
      <c r="H177" s="13" t="b">
        <v>0</v>
      </c>
      <c r="I177" s="13" t="b">
        <v>0</v>
      </c>
      <c r="J177" s="13" t="b">
        <v>0</v>
      </c>
      <c r="K177" s="13" t="b">
        <v>0</v>
      </c>
      <c r="L177" s="13" t="b">
        <v>0</v>
      </c>
      <c r="M177" s="56">
        <f t="shared" si="1"/>
        <v>0</v>
      </c>
      <c r="N177" s="57">
        <f t="shared" ref="N177:N179" si="18">M177*50</f>
        <v>0</v>
      </c>
      <c r="O177" s="13" t="b">
        <v>0</v>
      </c>
    </row>
    <row r="178">
      <c r="A178" s="55">
        <v>38.0</v>
      </c>
      <c r="B178" s="4" t="s">
        <v>1959</v>
      </c>
      <c r="C178" s="4" t="s">
        <v>55</v>
      </c>
      <c r="D178" s="4" t="s">
        <v>2150</v>
      </c>
      <c r="E178" s="4" t="s">
        <v>2152</v>
      </c>
      <c r="F178" s="13" t="b">
        <v>0</v>
      </c>
      <c r="G178" s="13" t="b">
        <v>0</v>
      </c>
      <c r="H178" s="13" t="b">
        <v>0</v>
      </c>
      <c r="I178" s="13" t="b">
        <v>0</v>
      </c>
      <c r="J178" s="13" t="b">
        <v>0</v>
      </c>
      <c r="K178" s="13" t="b">
        <v>0</v>
      </c>
      <c r="L178" s="13" t="b">
        <v>0</v>
      </c>
      <c r="M178" s="56">
        <f t="shared" si="1"/>
        <v>0</v>
      </c>
      <c r="N178" s="57">
        <f t="shared" si="18"/>
        <v>0</v>
      </c>
      <c r="O178" s="13" t="b">
        <v>0</v>
      </c>
    </row>
    <row r="179">
      <c r="A179" s="55">
        <v>38.0</v>
      </c>
      <c r="B179" s="4" t="s">
        <v>1959</v>
      </c>
      <c r="C179" s="4" t="s">
        <v>35</v>
      </c>
      <c r="D179" s="4" t="s">
        <v>2172</v>
      </c>
      <c r="E179" s="4" t="s">
        <v>2175</v>
      </c>
      <c r="F179" s="13" t="b">
        <v>0</v>
      </c>
      <c r="G179" s="13" t="b">
        <v>0</v>
      </c>
      <c r="H179" s="13" t="b">
        <v>0</v>
      </c>
      <c r="I179" s="13" t="b">
        <v>0</v>
      </c>
      <c r="J179" s="13" t="b">
        <v>0</v>
      </c>
      <c r="K179" s="13" t="b">
        <v>0</v>
      </c>
      <c r="L179" s="13" t="b">
        <v>0</v>
      </c>
      <c r="M179" s="56">
        <f t="shared" si="1"/>
        <v>0</v>
      </c>
      <c r="N179" s="57">
        <f t="shared" si="18"/>
        <v>0</v>
      </c>
      <c r="O179" s="13" t="b">
        <v>0</v>
      </c>
    </row>
    <row r="180">
      <c r="A180" s="55">
        <v>38.0</v>
      </c>
      <c r="B180" s="4" t="s">
        <v>1959</v>
      </c>
      <c r="C180" s="4" t="s">
        <v>30</v>
      </c>
      <c r="D180" s="4" t="s">
        <v>909</v>
      </c>
      <c r="E180" s="4"/>
      <c r="F180" s="13" t="b">
        <v>0</v>
      </c>
      <c r="G180" s="13" t="b">
        <v>0</v>
      </c>
      <c r="H180" s="13" t="b">
        <v>0</v>
      </c>
      <c r="I180" s="13" t="b">
        <v>0</v>
      </c>
      <c r="J180" s="13" t="b">
        <v>0</v>
      </c>
      <c r="K180" s="13" t="b">
        <v>0</v>
      </c>
      <c r="L180" s="13" t="b">
        <v>0</v>
      </c>
      <c r="M180" s="56">
        <f t="shared" si="1"/>
        <v>0</v>
      </c>
      <c r="N180" s="57">
        <f>M180*75</f>
        <v>0</v>
      </c>
      <c r="O180" s="13" t="b">
        <v>0</v>
      </c>
    </row>
    <row r="181">
      <c r="A181" s="58">
        <v>38.0</v>
      </c>
      <c r="B181" s="59" t="s">
        <v>1959</v>
      </c>
      <c r="C181" s="59" t="s">
        <v>55</v>
      </c>
      <c r="D181" s="59" t="s">
        <v>2223</v>
      </c>
      <c r="E181" s="59" t="s">
        <v>2225</v>
      </c>
      <c r="F181" s="60" t="b">
        <v>0</v>
      </c>
      <c r="G181" s="60" t="b">
        <v>0</v>
      </c>
      <c r="H181" s="60" t="b">
        <v>0</v>
      </c>
      <c r="I181" s="60" t="b">
        <v>0</v>
      </c>
      <c r="J181" s="60" t="b">
        <v>0</v>
      </c>
      <c r="K181" s="60" t="b">
        <v>0</v>
      </c>
      <c r="L181" s="60" t="b">
        <v>0</v>
      </c>
      <c r="M181" s="61">
        <f t="shared" si="1"/>
        <v>0</v>
      </c>
      <c r="N181" s="62">
        <f t="shared" ref="N181:N187" si="19">M181*50</f>
        <v>0</v>
      </c>
      <c r="O181" s="60" t="b">
        <v>0</v>
      </c>
    </row>
    <row r="182">
      <c r="A182" s="55">
        <v>38.0</v>
      </c>
      <c r="B182" s="4" t="s">
        <v>1959</v>
      </c>
      <c r="C182" s="4" t="s">
        <v>55</v>
      </c>
      <c r="D182" s="4" t="s">
        <v>1089</v>
      </c>
      <c r="E182" s="4"/>
      <c r="F182" s="13" t="b">
        <v>0</v>
      </c>
      <c r="G182" s="13" t="b">
        <v>0</v>
      </c>
      <c r="H182" s="13" t="b">
        <v>0</v>
      </c>
      <c r="I182" s="13" t="b">
        <v>0</v>
      </c>
      <c r="J182" s="13" t="b">
        <v>0</v>
      </c>
      <c r="K182" s="13" t="b">
        <v>0</v>
      </c>
      <c r="L182" s="13" t="b">
        <v>0</v>
      </c>
      <c r="M182" s="56">
        <f t="shared" si="1"/>
        <v>0</v>
      </c>
      <c r="N182" s="57">
        <f t="shared" si="19"/>
        <v>0</v>
      </c>
      <c r="O182" s="13" t="b">
        <v>0</v>
      </c>
    </row>
    <row r="183">
      <c r="A183" s="55">
        <v>38.0</v>
      </c>
      <c r="B183" s="4" t="s">
        <v>501</v>
      </c>
      <c r="C183" s="4" t="s">
        <v>55</v>
      </c>
      <c r="D183" s="4" t="s">
        <v>505</v>
      </c>
      <c r="E183" s="4"/>
      <c r="F183" s="13" t="b">
        <v>0</v>
      </c>
      <c r="G183" s="13" t="b">
        <v>0</v>
      </c>
      <c r="H183" s="13" t="b">
        <v>0</v>
      </c>
      <c r="I183" s="13" t="b">
        <v>0</v>
      </c>
      <c r="J183" s="13" t="b">
        <v>0</v>
      </c>
      <c r="K183" s="13" t="b">
        <v>0</v>
      </c>
      <c r="L183" s="13" t="b">
        <v>1</v>
      </c>
      <c r="M183" s="56">
        <f t="shared" si="1"/>
        <v>1</v>
      </c>
      <c r="N183" s="57">
        <f t="shared" si="19"/>
        <v>50</v>
      </c>
      <c r="O183" s="13" t="b">
        <v>1</v>
      </c>
    </row>
    <row r="184">
      <c r="A184" s="55">
        <v>38.0</v>
      </c>
      <c r="B184" s="4" t="s">
        <v>501</v>
      </c>
      <c r="C184" s="4" t="s">
        <v>43</v>
      </c>
      <c r="D184" s="4" t="s">
        <v>661</v>
      </c>
      <c r="E184" s="4" t="s">
        <v>672</v>
      </c>
      <c r="F184" s="13" t="b">
        <v>0</v>
      </c>
      <c r="G184" s="13" t="b">
        <v>0</v>
      </c>
      <c r="H184" s="13" t="b">
        <v>0</v>
      </c>
      <c r="I184" s="13" t="b">
        <v>0</v>
      </c>
      <c r="J184" s="13" t="b">
        <v>1</v>
      </c>
      <c r="K184" s="13" t="b">
        <v>1</v>
      </c>
      <c r="L184" s="13" t="b">
        <v>1</v>
      </c>
      <c r="M184" s="56">
        <f t="shared" si="1"/>
        <v>3</v>
      </c>
      <c r="N184" s="57">
        <f t="shared" si="19"/>
        <v>150</v>
      </c>
      <c r="O184" s="13" t="b">
        <v>1</v>
      </c>
    </row>
    <row r="185">
      <c r="A185" s="55">
        <v>38.0</v>
      </c>
      <c r="B185" s="4" t="s">
        <v>501</v>
      </c>
      <c r="C185" s="4" t="s">
        <v>37</v>
      </c>
      <c r="D185" s="4" t="s">
        <v>804</v>
      </c>
      <c r="E185" s="4" t="s">
        <v>806</v>
      </c>
      <c r="F185" s="13" t="b">
        <v>0</v>
      </c>
      <c r="G185" s="13" t="b">
        <v>0</v>
      </c>
      <c r="H185" s="13" t="b">
        <v>1</v>
      </c>
      <c r="I185" s="13" t="b">
        <v>1</v>
      </c>
      <c r="J185" s="13" t="b">
        <v>0</v>
      </c>
      <c r="K185" s="13" t="b">
        <v>0</v>
      </c>
      <c r="L185" s="13" t="b">
        <v>1</v>
      </c>
      <c r="M185" s="56">
        <f t="shared" si="1"/>
        <v>3</v>
      </c>
      <c r="N185" s="57">
        <f t="shared" si="19"/>
        <v>150</v>
      </c>
      <c r="O185" s="13" t="b">
        <v>1</v>
      </c>
    </row>
    <row r="186">
      <c r="A186" s="55">
        <v>38.0</v>
      </c>
      <c r="B186" s="4" t="s">
        <v>501</v>
      </c>
      <c r="C186" s="4" t="s">
        <v>55</v>
      </c>
      <c r="D186" s="4" t="s">
        <v>2356</v>
      </c>
      <c r="E186" s="4" t="s">
        <v>847</v>
      </c>
      <c r="F186" s="13" t="b">
        <v>0</v>
      </c>
      <c r="G186" s="13" t="b">
        <v>0</v>
      </c>
      <c r="H186" s="13" t="b">
        <v>0</v>
      </c>
      <c r="I186" s="13" t="b">
        <v>0</v>
      </c>
      <c r="J186" s="13" t="b">
        <v>0</v>
      </c>
      <c r="K186" s="13" t="b">
        <v>0</v>
      </c>
      <c r="L186" s="13" t="b">
        <v>0</v>
      </c>
      <c r="M186" s="56">
        <f t="shared" si="1"/>
        <v>0</v>
      </c>
      <c r="N186" s="57">
        <f t="shared" si="19"/>
        <v>0</v>
      </c>
      <c r="O186" s="13" t="b">
        <v>0</v>
      </c>
    </row>
    <row r="187">
      <c r="A187" s="58">
        <v>38.0</v>
      </c>
      <c r="B187" s="59" t="s">
        <v>501</v>
      </c>
      <c r="C187" s="59" t="s">
        <v>35</v>
      </c>
      <c r="D187" s="59" t="s">
        <v>886</v>
      </c>
      <c r="E187" s="59" t="s">
        <v>847</v>
      </c>
      <c r="F187" s="60" t="b">
        <v>1</v>
      </c>
      <c r="G187" s="60" t="b">
        <v>1</v>
      </c>
      <c r="H187" s="60" t="b">
        <v>1</v>
      </c>
      <c r="I187" s="60" t="b">
        <v>1</v>
      </c>
      <c r="J187" s="60" t="b">
        <v>0</v>
      </c>
      <c r="K187" s="60" t="b">
        <v>0</v>
      </c>
      <c r="L187" s="60" t="b">
        <v>0</v>
      </c>
      <c r="M187" s="61">
        <f t="shared" si="1"/>
        <v>4</v>
      </c>
      <c r="N187" s="62">
        <f t="shared" si="19"/>
        <v>200</v>
      </c>
      <c r="O187" s="60" t="b">
        <v>1</v>
      </c>
    </row>
    <row r="188">
      <c r="A188" s="55">
        <v>38.0</v>
      </c>
      <c r="B188" s="4" t="s">
        <v>501</v>
      </c>
      <c r="C188" s="4" t="s">
        <v>61</v>
      </c>
      <c r="D188" s="4" t="s">
        <v>2232</v>
      </c>
      <c r="E188" s="4" t="s">
        <v>2235</v>
      </c>
      <c r="F188" s="13" t="b">
        <v>1</v>
      </c>
      <c r="G188" s="13" t="b">
        <v>1</v>
      </c>
      <c r="H188" s="13" t="b">
        <v>1</v>
      </c>
      <c r="I188" s="13" t="b">
        <v>1</v>
      </c>
      <c r="J188" s="13" t="b">
        <v>0</v>
      </c>
      <c r="K188" s="13" t="b">
        <v>1</v>
      </c>
      <c r="L188" s="13" t="b">
        <v>1</v>
      </c>
      <c r="M188" s="56">
        <f t="shared" si="1"/>
        <v>6</v>
      </c>
      <c r="N188" s="57">
        <f>M188*0</f>
        <v>0</v>
      </c>
      <c r="O188" s="13" t="b">
        <v>1</v>
      </c>
    </row>
    <row r="189">
      <c r="A189" s="55">
        <v>38.0</v>
      </c>
      <c r="B189" s="4" t="s">
        <v>550</v>
      </c>
      <c r="C189" s="4" t="s">
        <v>35</v>
      </c>
      <c r="D189" s="4" t="s">
        <v>544</v>
      </c>
      <c r="E189" s="4" t="s">
        <v>546</v>
      </c>
      <c r="F189" s="13" t="b">
        <v>0</v>
      </c>
      <c r="G189" s="13" t="b">
        <v>0</v>
      </c>
      <c r="H189" s="13" t="b">
        <v>0</v>
      </c>
      <c r="I189" s="13" t="b">
        <v>0</v>
      </c>
      <c r="J189" s="13" t="b">
        <v>0</v>
      </c>
      <c r="K189" s="13" t="b">
        <v>0</v>
      </c>
      <c r="L189" s="13" t="b">
        <v>0</v>
      </c>
      <c r="M189" s="56">
        <f t="shared" si="1"/>
        <v>0</v>
      </c>
      <c r="N189" s="57">
        <f t="shared" ref="N189:N191" si="20">M189*50</f>
        <v>0</v>
      </c>
      <c r="O189" s="13" t="b">
        <v>0</v>
      </c>
    </row>
    <row r="190">
      <c r="A190" s="55">
        <v>38.0</v>
      </c>
      <c r="B190" s="4" t="s">
        <v>550</v>
      </c>
      <c r="C190" s="4" t="s">
        <v>43</v>
      </c>
      <c r="D190" s="4" t="s">
        <v>514</v>
      </c>
      <c r="E190" s="4"/>
      <c r="F190" s="13" t="b">
        <v>0</v>
      </c>
      <c r="G190" s="13" t="b">
        <v>0</v>
      </c>
      <c r="H190" s="13" t="b">
        <v>1</v>
      </c>
      <c r="I190" s="13" t="b">
        <v>0</v>
      </c>
      <c r="J190" s="13" t="b">
        <v>1</v>
      </c>
      <c r="K190" s="13" t="b">
        <v>0</v>
      </c>
      <c r="L190" s="13" t="b">
        <v>0</v>
      </c>
      <c r="M190" s="56">
        <f t="shared" si="1"/>
        <v>2</v>
      </c>
      <c r="N190" s="57">
        <f t="shared" si="20"/>
        <v>100</v>
      </c>
      <c r="O190" s="13" t="b">
        <v>1</v>
      </c>
    </row>
    <row r="191">
      <c r="A191" s="55">
        <v>38.0</v>
      </c>
      <c r="B191" s="4" t="s">
        <v>550</v>
      </c>
      <c r="C191" s="4" t="s">
        <v>55</v>
      </c>
      <c r="D191" s="4" t="s">
        <v>1020</v>
      </c>
      <c r="E191" s="4" t="s">
        <v>1021</v>
      </c>
      <c r="F191" s="13" t="b">
        <v>1</v>
      </c>
      <c r="G191" s="13" t="b">
        <v>1</v>
      </c>
      <c r="H191" s="13" t="b">
        <v>1</v>
      </c>
      <c r="I191" s="13" t="b">
        <v>0</v>
      </c>
      <c r="J191" s="13" t="b">
        <v>1</v>
      </c>
      <c r="K191" s="13" t="b">
        <v>1</v>
      </c>
      <c r="L191" s="13" t="b">
        <v>1</v>
      </c>
      <c r="M191" s="56">
        <f t="shared" si="1"/>
        <v>6</v>
      </c>
      <c r="N191" s="57">
        <f t="shared" si="20"/>
        <v>300</v>
      </c>
      <c r="O191" s="13" t="b">
        <v>1</v>
      </c>
    </row>
    <row r="192">
      <c r="A192" s="55">
        <v>38.0</v>
      </c>
      <c r="B192" s="4" t="s">
        <v>550</v>
      </c>
      <c r="C192" s="4" t="s">
        <v>61</v>
      </c>
      <c r="D192" s="4" t="s">
        <v>1581</v>
      </c>
      <c r="E192" s="4"/>
      <c r="F192" s="13" t="b">
        <v>0</v>
      </c>
      <c r="G192" s="13" t="b">
        <v>1</v>
      </c>
      <c r="H192" s="13" t="b">
        <v>1</v>
      </c>
      <c r="I192" s="13" t="b">
        <v>1</v>
      </c>
      <c r="J192" s="13" t="b">
        <v>1</v>
      </c>
      <c r="K192" s="13" t="b">
        <v>1</v>
      </c>
      <c r="L192" s="13" t="b">
        <v>1</v>
      </c>
      <c r="M192" s="56">
        <f t="shared" si="1"/>
        <v>6</v>
      </c>
      <c r="N192" s="57">
        <f t="shared" ref="N192:N193" si="21">M192*0</f>
        <v>0</v>
      </c>
      <c r="O192" s="13" t="b">
        <v>0</v>
      </c>
    </row>
    <row r="193">
      <c r="A193" s="55">
        <v>38.0</v>
      </c>
      <c r="B193" s="4" t="s">
        <v>550</v>
      </c>
      <c r="C193" s="4" t="s">
        <v>61</v>
      </c>
      <c r="D193" s="4" t="s">
        <v>2198</v>
      </c>
      <c r="E193" s="4" t="s">
        <v>2537</v>
      </c>
      <c r="F193" s="13" t="b">
        <v>0</v>
      </c>
      <c r="G193" s="13" t="b">
        <v>0</v>
      </c>
      <c r="H193" s="13" t="b">
        <v>1</v>
      </c>
      <c r="I193" s="13" t="b">
        <v>1</v>
      </c>
      <c r="J193" s="13" t="b">
        <v>0</v>
      </c>
      <c r="K193" s="13" t="b">
        <v>0</v>
      </c>
      <c r="L193" s="13" t="b">
        <v>0</v>
      </c>
      <c r="M193" s="56">
        <f t="shared" si="1"/>
        <v>2</v>
      </c>
      <c r="N193" s="57">
        <f t="shared" si="21"/>
        <v>0</v>
      </c>
      <c r="O193" s="13" t="b">
        <v>0</v>
      </c>
    </row>
    <row r="194">
      <c r="A194" s="55">
        <v>38.0</v>
      </c>
      <c r="B194" s="4" t="s">
        <v>550</v>
      </c>
      <c r="C194" s="4" t="s">
        <v>43</v>
      </c>
      <c r="D194" s="4" t="s">
        <v>434</v>
      </c>
      <c r="E194" s="4"/>
      <c r="F194" s="13" t="b">
        <v>0</v>
      </c>
      <c r="G194" s="13" t="b">
        <v>1</v>
      </c>
      <c r="H194" s="13" t="b">
        <v>1</v>
      </c>
      <c r="I194" s="13" t="b">
        <v>0</v>
      </c>
      <c r="J194" s="13" t="b">
        <v>0</v>
      </c>
      <c r="K194" s="13" t="b">
        <v>1</v>
      </c>
      <c r="L194" s="13" t="b">
        <v>1</v>
      </c>
      <c r="M194" s="56">
        <f t="shared" si="1"/>
        <v>4</v>
      </c>
      <c r="N194" s="57">
        <f t="shared" ref="N194:N197" si="22">M194*50</f>
        <v>200</v>
      </c>
      <c r="O194" s="13" t="b">
        <v>1</v>
      </c>
    </row>
    <row r="195">
      <c r="A195" s="55">
        <v>38.0</v>
      </c>
      <c r="B195" s="4" t="s">
        <v>550</v>
      </c>
      <c r="C195" s="4" t="s">
        <v>49</v>
      </c>
      <c r="D195" s="4" t="s">
        <v>451</v>
      </c>
      <c r="E195" s="4"/>
      <c r="F195" s="13" t="b">
        <v>1</v>
      </c>
      <c r="G195" s="13" t="b">
        <v>0</v>
      </c>
      <c r="H195" s="13" t="b">
        <v>1</v>
      </c>
      <c r="I195" s="13" t="b">
        <v>1</v>
      </c>
      <c r="J195" s="13" t="b">
        <v>1</v>
      </c>
      <c r="K195" s="13" t="b">
        <v>1</v>
      </c>
      <c r="L195" s="13" t="b">
        <v>1</v>
      </c>
      <c r="M195" s="56">
        <f t="shared" si="1"/>
        <v>6</v>
      </c>
      <c r="N195" s="57">
        <f t="shared" si="22"/>
        <v>300</v>
      </c>
      <c r="O195" s="13" t="b">
        <v>1</v>
      </c>
    </row>
    <row r="196">
      <c r="A196" s="55">
        <v>38.0</v>
      </c>
      <c r="B196" s="4" t="s">
        <v>550</v>
      </c>
      <c r="C196" s="4" t="s">
        <v>52</v>
      </c>
      <c r="D196" s="4" t="s">
        <v>1105</v>
      </c>
      <c r="E196" s="4" t="s">
        <v>1107</v>
      </c>
      <c r="F196" s="13" t="b">
        <v>0</v>
      </c>
      <c r="G196" s="13" t="b">
        <v>1</v>
      </c>
      <c r="H196" s="13" t="b">
        <v>1</v>
      </c>
      <c r="I196" s="13" t="b">
        <v>0</v>
      </c>
      <c r="J196" s="13" t="b">
        <v>1</v>
      </c>
      <c r="K196" s="13" t="b">
        <v>1</v>
      </c>
      <c r="L196" s="13" t="b">
        <v>1</v>
      </c>
      <c r="M196" s="56">
        <f t="shared" si="1"/>
        <v>5</v>
      </c>
      <c r="N196" s="57">
        <f t="shared" si="22"/>
        <v>250</v>
      </c>
      <c r="O196" s="13" t="b">
        <v>1</v>
      </c>
    </row>
    <row r="197">
      <c r="A197" s="55">
        <v>38.0</v>
      </c>
      <c r="B197" s="4" t="s">
        <v>550</v>
      </c>
      <c r="C197" s="4" t="s">
        <v>55</v>
      </c>
      <c r="D197" s="4" t="s">
        <v>984</v>
      </c>
      <c r="E197" s="4" t="s">
        <v>986</v>
      </c>
      <c r="F197" s="13" t="b">
        <v>0</v>
      </c>
      <c r="G197" s="13" t="b">
        <v>1</v>
      </c>
      <c r="H197" s="13" t="b">
        <v>1</v>
      </c>
      <c r="I197" s="13" t="b">
        <v>1</v>
      </c>
      <c r="J197" s="13" t="b">
        <v>0</v>
      </c>
      <c r="K197" s="13" t="b">
        <v>1</v>
      </c>
      <c r="L197" s="13" t="b">
        <v>1</v>
      </c>
      <c r="M197" s="56">
        <f t="shared" si="1"/>
        <v>5</v>
      </c>
      <c r="N197" s="57">
        <f t="shared" si="22"/>
        <v>250</v>
      </c>
      <c r="O197" s="13" t="b">
        <v>1</v>
      </c>
    </row>
    <row r="198">
      <c r="A198" s="55">
        <v>38.0</v>
      </c>
      <c r="B198" s="4" t="s">
        <v>550</v>
      </c>
      <c r="C198" s="4" t="s">
        <v>61</v>
      </c>
      <c r="D198" s="4" t="s">
        <v>2553</v>
      </c>
      <c r="E198" s="4" t="s">
        <v>2554</v>
      </c>
      <c r="F198" s="13" t="b">
        <v>1</v>
      </c>
      <c r="G198" s="13" t="b">
        <v>0</v>
      </c>
      <c r="H198" s="13" t="b">
        <v>1</v>
      </c>
      <c r="I198" s="13" t="b">
        <v>1</v>
      </c>
      <c r="J198" s="13" t="b">
        <v>0</v>
      </c>
      <c r="K198" s="13" t="b">
        <v>0</v>
      </c>
      <c r="L198" s="13" t="b">
        <v>1</v>
      </c>
      <c r="M198" s="56">
        <f t="shared" si="1"/>
        <v>4</v>
      </c>
      <c r="N198" s="57">
        <f t="shared" ref="N198:N199" si="23">M198*0</f>
        <v>0</v>
      </c>
      <c r="O198" s="13" t="b">
        <v>0</v>
      </c>
    </row>
    <row r="199">
      <c r="A199" s="55">
        <v>38.0</v>
      </c>
      <c r="B199" s="4" t="s">
        <v>550</v>
      </c>
      <c r="C199" s="4" t="s">
        <v>61</v>
      </c>
      <c r="D199" s="4" t="s">
        <v>2663</v>
      </c>
      <c r="E199" s="4" t="s">
        <v>2554</v>
      </c>
      <c r="F199" s="13" t="b">
        <v>1</v>
      </c>
      <c r="G199" s="13" t="b">
        <v>1</v>
      </c>
      <c r="H199" s="13" t="b">
        <v>0</v>
      </c>
      <c r="I199" s="13" t="b">
        <v>0</v>
      </c>
      <c r="J199" s="13" t="b">
        <v>0</v>
      </c>
      <c r="K199" s="13" t="b">
        <v>0</v>
      </c>
      <c r="L199" s="13" t="b">
        <v>0</v>
      </c>
      <c r="M199" s="56">
        <f t="shared" si="1"/>
        <v>2</v>
      </c>
      <c r="N199" s="57">
        <f t="shared" si="23"/>
        <v>0</v>
      </c>
      <c r="O199" s="13" t="b">
        <v>0</v>
      </c>
    </row>
    <row r="200">
      <c r="A200" s="55">
        <v>38.0</v>
      </c>
      <c r="B200" s="4" t="s">
        <v>550</v>
      </c>
      <c r="C200" s="4" t="s">
        <v>37</v>
      </c>
      <c r="D200" s="4" t="s">
        <v>399</v>
      </c>
      <c r="E200" s="4"/>
      <c r="F200" s="13" t="b">
        <v>1</v>
      </c>
      <c r="G200" s="13" t="b">
        <v>1</v>
      </c>
      <c r="H200" s="13" t="b">
        <v>1</v>
      </c>
      <c r="I200" s="13" t="b">
        <v>1</v>
      </c>
      <c r="J200" s="13" t="b">
        <v>1</v>
      </c>
      <c r="K200" s="13" t="b">
        <v>1</v>
      </c>
      <c r="L200" s="13" t="b">
        <v>1</v>
      </c>
      <c r="M200" s="56">
        <f t="shared" si="1"/>
        <v>7</v>
      </c>
      <c r="N200" s="57">
        <f t="shared" ref="N200:N210" si="24">M200*50</f>
        <v>350</v>
      </c>
      <c r="O200" s="13" t="b">
        <v>1</v>
      </c>
    </row>
    <row r="201">
      <c r="A201" s="55">
        <v>38.0</v>
      </c>
      <c r="B201" s="4" t="s">
        <v>550</v>
      </c>
      <c r="C201" s="4" t="s">
        <v>42</v>
      </c>
      <c r="D201" s="4" t="s">
        <v>775</v>
      </c>
      <c r="E201" s="4" t="s">
        <v>776</v>
      </c>
      <c r="F201" s="13" t="b">
        <v>1</v>
      </c>
      <c r="G201" s="13" t="b">
        <v>1</v>
      </c>
      <c r="H201" s="13" t="b">
        <v>1</v>
      </c>
      <c r="I201" s="13" t="b">
        <v>1</v>
      </c>
      <c r="J201" s="13" t="b">
        <v>0</v>
      </c>
      <c r="K201" s="13" t="b">
        <v>0</v>
      </c>
      <c r="L201" s="13" t="b">
        <v>1</v>
      </c>
      <c r="M201" s="56">
        <f t="shared" si="1"/>
        <v>5</v>
      </c>
      <c r="N201" s="57">
        <f t="shared" si="24"/>
        <v>250</v>
      </c>
      <c r="O201" s="13" t="b">
        <v>1</v>
      </c>
    </row>
    <row r="202">
      <c r="A202" s="58">
        <v>38.0</v>
      </c>
      <c r="B202" s="59" t="s">
        <v>550</v>
      </c>
      <c r="C202" s="59" t="s">
        <v>55</v>
      </c>
      <c r="D202" s="59" t="s">
        <v>1374</v>
      </c>
      <c r="E202" s="59" t="s">
        <v>1375</v>
      </c>
      <c r="F202" s="60" t="b">
        <v>1</v>
      </c>
      <c r="G202" s="60" t="b">
        <v>1</v>
      </c>
      <c r="H202" s="60" t="b">
        <v>0</v>
      </c>
      <c r="I202" s="60" t="b">
        <v>1</v>
      </c>
      <c r="J202" s="60" t="b">
        <v>1</v>
      </c>
      <c r="K202" s="60" t="b">
        <v>1</v>
      </c>
      <c r="L202" s="60" t="b">
        <v>1</v>
      </c>
      <c r="M202" s="61">
        <f t="shared" si="1"/>
        <v>6</v>
      </c>
      <c r="N202" s="62">
        <f t="shared" si="24"/>
        <v>300</v>
      </c>
      <c r="O202" s="60" t="b">
        <v>1</v>
      </c>
    </row>
    <row r="203">
      <c r="A203" s="55">
        <v>38.0</v>
      </c>
      <c r="B203" s="4" t="s">
        <v>550</v>
      </c>
      <c r="C203" s="4" t="s">
        <v>55</v>
      </c>
      <c r="D203" s="4" t="s">
        <v>2060</v>
      </c>
      <c r="E203" s="4" t="s">
        <v>2061</v>
      </c>
      <c r="F203" s="13" t="b">
        <v>1</v>
      </c>
      <c r="G203" s="13" t="b">
        <v>1</v>
      </c>
      <c r="H203" s="13" t="b">
        <v>1</v>
      </c>
      <c r="I203" s="13" t="b">
        <v>1</v>
      </c>
      <c r="J203" s="13" t="b">
        <v>1</v>
      </c>
      <c r="K203" s="13" t="b">
        <v>1</v>
      </c>
      <c r="L203" s="13" t="b">
        <v>1</v>
      </c>
      <c r="M203" s="56">
        <f t="shared" si="1"/>
        <v>7</v>
      </c>
      <c r="N203" s="57">
        <f t="shared" si="24"/>
        <v>350</v>
      </c>
      <c r="O203" s="13" t="b">
        <v>1</v>
      </c>
    </row>
    <row r="204">
      <c r="A204" s="55">
        <v>38.0</v>
      </c>
      <c r="B204" s="4" t="s">
        <v>574</v>
      </c>
      <c r="C204" s="4" t="s">
        <v>55</v>
      </c>
      <c r="D204" s="4" t="s">
        <v>604</v>
      </c>
      <c r="E204" s="4"/>
      <c r="F204" s="13" t="b">
        <v>1</v>
      </c>
      <c r="G204" s="13" t="b">
        <v>1</v>
      </c>
      <c r="H204" s="13" t="b">
        <v>1</v>
      </c>
      <c r="I204" s="13" t="b">
        <v>1</v>
      </c>
      <c r="J204" s="13" t="b">
        <v>1</v>
      </c>
      <c r="K204" s="13" t="b">
        <v>1</v>
      </c>
      <c r="L204" s="13" t="b">
        <v>1</v>
      </c>
      <c r="M204" s="56">
        <f t="shared" si="1"/>
        <v>7</v>
      </c>
      <c r="N204" s="57">
        <f t="shared" si="24"/>
        <v>350</v>
      </c>
      <c r="O204" s="13" t="b">
        <v>1</v>
      </c>
    </row>
    <row r="205">
      <c r="A205" s="55">
        <v>38.0</v>
      </c>
      <c r="B205" s="4" t="s">
        <v>574</v>
      </c>
      <c r="C205" s="4" t="s">
        <v>35</v>
      </c>
      <c r="D205" s="4" t="s">
        <v>568</v>
      </c>
      <c r="E205" s="4" t="s">
        <v>570</v>
      </c>
      <c r="F205" s="13" t="b">
        <v>1</v>
      </c>
      <c r="G205" s="13" t="b">
        <v>1</v>
      </c>
      <c r="H205" s="13" t="b">
        <v>1</v>
      </c>
      <c r="I205" s="13" t="b">
        <v>1</v>
      </c>
      <c r="J205" s="13" t="b">
        <v>1</v>
      </c>
      <c r="K205" s="13" t="b">
        <v>1</v>
      </c>
      <c r="L205" s="13" t="b">
        <v>1</v>
      </c>
      <c r="M205" s="56">
        <f t="shared" si="1"/>
        <v>7</v>
      </c>
      <c r="N205" s="57">
        <f t="shared" si="24"/>
        <v>350</v>
      </c>
      <c r="O205" s="13" t="b">
        <v>1</v>
      </c>
    </row>
    <row r="206">
      <c r="A206" s="55">
        <v>38.0</v>
      </c>
      <c r="B206" s="4" t="s">
        <v>574</v>
      </c>
      <c r="C206" s="4" t="s">
        <v>55</v>
      </c>
      <c r="D206" s="4" t="s">
        <v>1056</v>
      </c>
      <c r="E206" s="4"/>
      <c r="F206" s="13" t="b">
        <v>1</v>
      </c>
      <c r="G206" s="13" t="b">
        <v>0</v>
      </c>
      <c r="H206" s="13" t="b">
        <v>0</v>
      </c>
      <c r="I206" s="13" t="b">
        <v>1</v>
      </c>
      <c r="J206" s="13" t="b">
        <v>1</v>
      </c>
      <c r="K206" s="13" t="b">
        <v>1</v>
      </c>
      <c r="L206" s="13" t="b">
        <v>1</v>
      </c>
      <c r="M206" s="56">
        <f t="shared" si="1"/>
        <v>5</v>
      </c>
      <c r="N206" s="57">
        <f t="shared" si="24"/>
        <v>250</v>
      </c>
      <c r="O206" s="13" t="b">
        <v>1</v>
      </c>
    </row>
    <row r="207">
      <c r="A207" s="55">
        <v>38.0</v>
      </c>
      <c r="B207" s="4" t="s">
        <v>574</v>
      </c>
      <c r="C207" s="4" t="s">
        <v>55</v>
      </c>
      <c r="D207" s="4" t="s">
        <v>496</v>
      </c>
      <c r="E207" s="4"/>
      <c r="F207" s="13" t="b">
        <v>1</v>
      </c>
      <c r="G207" s="13" t="b">
        <v>1</v>
      </c>
      <c r="H207" s="13" t="b">
        <v>1</v>
      </c>
      <c r="I207" s="13" t="b">
        <v>1</v>
      </c>
      <c r="J207" s="13" t="b">
        <v>1</v>
      </c>
      <c r="K207" s="13" t="b">
        <v>1</v>
      </c>
      <c r="L207" s="13" t="b">
        <v>1</v>
      </c>
      <c r="M207" s="56">
        <f t="shared" si="1"/>
        <v>7</v>
      </c>
      <c r="N207" s="57">
        <f t="shared" si="24"/>
        <v>350</v>
      </c>
      <c r="O207" s="13" t="b">
        <v>1</v>
      </c>
    </row>
    <row r="208">
      <c r="A208" s="55">
        <v>38.0</v>
      </c>
      <c r="B208" s="4" t="s">
        <v>574</v>
      </c>
      <c r="C208" s="4" t="s">
        <v>43</v>
      </c>
      <c r="D208" s="4" t="s">
        <v>918</v>
      </c>
      <c r="E208" s="4" t="s">
        <v>921</v>
      </c>
      <c r="F208" s="13" t="b">
        <v>1</v>
      </c>
      <c r="G208" s="13" t="b">
        <v>1</v>
      </c>
      <c r="H208" s="13" t="b">
        <v>1</v>
      </c>
      <c r="I208" s="13" t="b">
        <v>1</v>
      </c>
      <c r="J208" s="13" t="b">
        <v>1</v>
      </c>
      <c r="K208" s="13" t="b">
        <v>1</v>
      </c>
      <c r="L208" s="13" t="b">
        <v>1</v>
      </c>
      <c r="M208" s="56">
        <f t="shared" si="1"/>
        <v>7</v>
      </c>
      <c r="N208" s="57">
        <f t="shared" si="24"/>
        <v>350</v>
      </c>
      <c r="O208" s="13" t="b">
        <v>1</v>
      </c>
    </row>
    <row r="209">
      <c r="A209" s="58">
        <v>38.0</v>
      </c>
      <c r="B209" s="59" t="s">
        <v>574</v>
      </c>
      <c r="C209" s="59" t="s">
        <v>37</v>
      </c>
      <c r="D209" s="59" t="s">
        <v>965</v>
      </c>
      <c r="E209" s="59" t="s">
        <v>966</v>
      </c>
      <c r="F209" s="60" t="b">
        <v>1</v>
      </c>
      <c r="G209" s="60" t="b">
        <v>1</v>
      </c>
      <c r="H209" s="60" t="b">
        <v>1</v>
      </c>
      <c r="I209" s="60" t="b">
        <v>1</v>
      </c>
      <c r="J209" s="60" t="b">
        <v>1</v>
      </c>
      <c r="K209" s="60" t="b">
        <v>1</v>
      </c>
      <c r="L209" s="60" t="b">
        <v>1</v>
      </c>
      <c r="M209" s="61">
        <f t="shared" si="1"/>
        <v>7</v>
      </c>
      <c r="N209" s="62">
        <f t="shared" si="24"/>
        <v>350</v>
      </c>
      <c r="O209" s="60" t="b">
        <v>1</v>
      </c>
    </row>
    <row r="210">
      <c r="A210" s="55">
        <v>38.0</v>
      </c>
      <c r="B210" s="4" t="s">
        <v>574</v>
      </c>
      <c r="C210" s="4" t="s">
        <v>55</v>
      </c>
      <c r="D210" s="4" t="s">
        <v>2036</v>
      </c>
      <c r="E210" s="4" t="s">
        <v>2037</v>
      </c>
      <c r="F210" s="13" t="b">
        <v>1</v>
      </c>
      <c r="G210" s="13" t="b">
        <v>1</v>
      </c>
      <c r="H210" s="13" t="b">
        <v>1</v>
      </c>
      <c r="I210" s="13" t="b">
        <v>1</v>
      </c>
      <c r="J210" s="13" t="b">
        <v>1</v>
      </c>
      <c r="K210" s="13" t="b">
        <v>1</v>
      </c>
      <c r="L210" s="13" t="b">
        <v>1</v>
      </c>
      <c r="M210" s="56">
        <f t="shared" si="1"/>
        <v>7</v>
      </c>
      <c r="N210" s="57">
        <f t="shared" si="24"/>
        <v>350</v>
      </c>
      <c r="O210" s="13" t="b">
        <v>1</v>
      </c>
    </row>
    <row r="211">
      <c r="A211" s="55">
        <v>38.0</v>
      </c>
      <c r="B211" s="4" t="s">
        <v>422</v>
      </c>
      <c r="C211" s="4" t="s">
        <v>28</v>
      </c>
      <c r="D211" s="4" t="s">
        <v>312</v>
      </c>
      <c r="E211" s="4"/>
      <c r="F211" s="13" t="b">
        <v>0</v>
      </c>
      <c r="G211" s="13" t="b">
        <v>0</v>
      </c>
      <c r="H211" s="13" t="b">
        <v>1</v>
      </c>
      <c r="I211" s="13" t="b">
        <v>0</v>
      </c>
      <c r="J211" s="13" t="b">
        <v>0</v>
      </c>
      <c r="K211" s="13" t="b">
        <v>1</v>
      </c>
      <c r="L211" s="13" t="b">
        <v>1</v>
      </c>
      <c r="M211" s="56">
        <f t="shared" si="1"/>
        <v>3</v>
      </c>
      <c r="N211" s="57">
        <f t="shared" ref="N211:N212" si="25">M211*100</f>
        <v>300</v>
      </c>
      <c r="O211" s="13" t="b">
        <v>1</v>
      </c>
    </row>
    <row r="212">
      <c r="A212" s="58">
        <v>38.0</v>
      </c>
      <c r="B212" s="59" t="s">
        <v>422</v>
      </c>
      <c r="C212" s="59" t="s">
        <v>25</v>
      </c>
      <c r="D212" s="59" t="s">
        <v>397</v>
      </c>
      <c r="E212" s="59" t="s">
        <v>402</v>
      </c>
      <c r="F212" s="60" t="b">
        <v>0</v>
      </c>
      <c r="G212" s="60" t="b">
        <v>1</v>
      </c>
      <c r="H212" s="60" t="b">
        <v>0</v>
      </c>
      <c r="I212" s="60" t="b">
        <v>0</v>
      </c>
      <c r="J212" s="60" t="b">
        <v>0</v>
      </c>
      <c r="K212" s="60" t="b">
        <v>0</v>
      </c>
      <c r="L212" s="60" t="b">
        <v>0</v>
      </c>
      <c r="M212" s="61">
        <f t="shared" si="1"/>
        <v>1</v>
      </c>
      <c r="N212" s="62">
        <f t="shared" si="25"/>
        <v>100</v>
      </c>
      <c r="O212" s="60" t="b">
        <v>0</v>
      </c>
    </row>
    <row r="213">
      <c r="A213" s="55">
        <v>38.0</v>
      </c>
      <c r="B213" s="4" t="s">
        <v>422</v>
      </c>
      <c r="C213" s="4" t="s">
        <v>30</v>
      </c>
      <c r="D213" s="4" t="s">
        <v>389</v>
      </c>
      <c r="E213" s="4"/>
      <c r="F213" s="13" t="b">
        <v>0</v>
      </c>
      <c r="G213" s="13" t="b">
        <v>1</v>
      </c>
      <c r="H213" s="13" t="b">
        <v>0</v>
      </c>
      <c r="I213" s="13" t="b">
        <v>1</v>
      </c>
      <c r="J213" s="13" t="b">
        <v>0</v>
      </c>
      <c r="K213" s="13" t="b">
        <v>1</v>
      </c>
      <c r="L213" s="13" t="b">
        <v>1</v>
      </c>
      <c r="M213" s="56">
        <f t="shared" si="1"/>
        <v>4</v>
      </c>
      <c r="N213" s="57">
        <f>M213*75</f>
        <v>300</v>
      </c>
      <c r="O213" s="13" t="b">
        <v>1</v>
      </c>
    </row>
    <row r="214">
      <c r="A214" s="58">
        <v>38.0</v>
      </c>
      <c r="B214" s="59" t="s">
        <v>622</v>
      </c>
      <c r="C214" s="59" t="s">
        <v>55</v>
      </c>
      <c r="D214" s="59" t="s">
        <v>1570</v>
      </c>
      <c r="E214" s="59"/>
      <c r="F214" s="60" t="b">
        <v>0</v>
      </c>
      <c r="G214" s="60" t="b">
        <v>0</v>
      </c>
      <c r="H214" s="60" t="b">
        <v>0</v>
      </c>
      <c r="I214" s="60" t="b">
        <v>0</v>
      </c>
      <c r="J214" s="60" t="b">
        <v>0</v>
      </c>
      <c r="K214" s="60" t="b">
        <v>0</v>
      </c>
      <c r="L214" s="60" t="b">
        <v>0</v>
      </c>
      <c r="M214" s="61">
        <f t="shared" si="1"/>
        <v>0</v>
      </c>
      <c r="N214" s="62">
        <f t="shared" ref="N214:N220" si="26">M214*50</f>
        <v>0</v>
      </c>
      <c r="O214" s="60" t="b">
        <v>0</v>
      </c>
    </row>
    <row r="215">
      <c r="A215" s="55">
        <v>38.0</v>
      </c>
      <c r="B215" s="4" t="s">
        <v>622</v>
      </c>
      <c r="C215" s="4" t="s">
        <v>35</v>
      </c>
      <c r="D215" s="4" t="s">
        <v>2487</v>
      </c>
      <c r="E215" s="4" t="s">
        <v>2489</v>
      </c>
      <c r="F215" s="13" t="b">
        <v>0</v>
      </c>
      <c r="G215" s="13" t="b">
        <v>0</v>
      </c>
      <c r="H215" s="13" t="b">
        <v>1</v>
      </c>
      <c r="I215" s="13" t="b">
        <v>0</v>
      </c>
      <c r="J215" s="13" t="b">
        <v>0</v>
      </c>
      <c r="K215" s="13" t="b">
        <v>0</v>
      </c>
      <c r="L215" s="13" t="b">
        <v>1</v>
      </c>
      <c r="M215" s="56">
        <f t="shared" si="1"/>
        <v>2</v>
      </c>
      <c r="N215" s="57">
        <f t="shared" si="26"/>
        <v>100</v>
      </c>
      <c r="O215" s="13" t="b">
        <v>0</v>
      </c>
    </row>
    <row r="216">
      <c r="A216" s="55">
        <v>38.0</v>
      </c>
      <c r="B216" s="4" t="s">
        <v>671</v>
      </c>
      <c r="C216" s="4" t="s">
        <v>52</v>
      </c>
      <c r="D216" s="4" t="s">
        <v>526</v>
      </c>
      <c r="E216" s="4"/>
      <c r="F216" s="13" t="b">
        <v>0</v>
      </c>
      <c r="G216" s="13" t="b">
        <v>0</v>
      </c>
      <c r="H216" s="13" t="b">
        <v>1</v>
      </c>
      <c r="I216" s="13" t="b">
        <v>1</v>
      </c>
      <c r="J216" s="13" t="b">
        <v>0</v>
      </c>
      <c r="K216" s="13" t="b">
        <v>0</v>
      </c>
      <c r="L216" s="13" t="b">
        <v>1</v>
      </c>
      <c r="M216" s="56">
        <f t="shared" si="1"/>
        <v>3</v>
      </c>
      <c r="N216" s="57">
        <f t="shared" si="26"/>
        <v>150</v>
      </c>
      <c r="O216" s="13" t="b">
        <v>1</v>
      </c>
    </row>
    <row r="217">
      <c r="A217" s="55">
        <v>38.0</v>
      </c>
      <c r="B217" s="4" t="s">
        <v>671</v>
      </c>
      <c r="C217" s="4" t="s">
        <v>35</v>
      </c>
      <c r="D217" s="4" t="s">
        <v>2182</v>
      </c>
      <c r="E217" s="4" t="s">
        <v>668</v>
      </c>
      <c r="F217" s="13" t="b">
        <v>1</v>
      </c>
      <c r="G217" s="13" t="b">
        <v>1</v>
      </c>
      <c r="H217" s="13" t="b">
        <v>1</v>
      </c>
      <c r="I217" s="13" t="b">
        <v>1</v>
      </c>
      <c r="J217" s="13" t="b">
        <v>0</v>
      </c>
      <c r="K217" s="13" t="b">
        <v>1</v>
      </c>
      <c r="L217" s="13" t="b">
        <v>1</v>
      </c>
      <c r="M217" s="56">
        <f t="shared" si="1"/>
        <v>6</v>
      </c>
      <c r="N217" s="57">
        <f t="shared" si="26"/>
        <v>300</v>
      </c>
      <c r="O217" s="13" t="b">
        <v>1</v>
      </c>
    </row>
    <row r="218">
      <c r="A218" s="55">
        <v>38.0</v>
      </c>
      <c r="B218" s="4" t="s">
        <v>671</v>
      </c>
      <c r="C218" s="4" t="s">
        <v>55</v>
      </c>
      <c r="D218" s="4" t="s">
        <v>1169</v>
      </c>
      <c r="E218" s="4"/>
      <c r="F218" s="13" t="b">
        <v>0</v>
      </c>
      <c r="G218" s="13" t="b">
        <v>1</v>
      </c>
      <c r="H218" s="13" t="b">
        <v>0</v>
      </c>
      <c r="I218" s="13" t="b">
        <v>0</v>
      </c>
      <c r="J218" s="13" t="b">
        <v>0</v>
      </c>
      <c r="K218" s="13" t="b">
        <v>1</v>
      </c>
      <c r="L218" s="13" t="b">
        <v>0</v>
      </c>
      <c r="M218" s="56">
        <f t="shared" si="1"/>
        <v>2</v>
      </c>
      <c r="N218" s="57">
        <f t="shared" si="26"/>
        <v>100</v>
      </c>
      <c r="O218" s="13" t="b">
        <v>0</v>
      </c>
    </row>
    <row r="219">
      <c r="A219" s="55">
        <v>38.0</v>
      </c>
      <c r="B219" s="4" t="s">
        <v>671</v>
      </c>
      <c r="C219" s="4" t="s">
        <v>42</v>
      </c>
      <c r="D219" s="4" t="s">
        <v>442</v>
      </c>
      <c r="E219" s="4"/>
      <c r="F219" s="13" t="b">
        <v>1</v>
      </c>
      <c r="G219" s="13" t="b">
        <v>1</v>
      </c>
      <c r="H219" s="13" t="b">
        <v>0</v>
      </c>
      <c r="I219" s="13" t="b">
        <v>1</v>
      </c>
      <c r="J219" s="13" t="b">
        <v>0</v>
      </c>
      <c r="K219" s="13" t="b">
        <v>0</v>
      </c>
      <c r="L219" s="13" t="b">
        <v>0</v>
      </c>
      <c r="M219" s="56">
        <f t="shared" si="1"/>
        <v>3</v>
      </c>
      <c r="N219" s="57">
        <f t="shared" si="26"/>
        <v>150</v>
      </c>
      <c r="O219" s="13" t="b">
        <v>1</v>
      </c>
    </row>
    <row r="220">
      <c r="A220" s="55">
        <v>38.0</v>
      </c>
      <c r="B220" s="4" t="s">
        <v>671</v>
      </c>
      <c r="C220" s="4" t="s">
        <v>55</v>
      </c>
      <c r="D220" s="4" t="s">
        <v>2410</v>
      </c>
      <c r="E220" s="4" t="s">
        <v>2412</v>
      </c>
      <c r="F220" s="13" t="b">
        <v>0</v>
      </c>
      <c r="G220" s="13" t="b">
        <v>0</v>
      </c>
      <c r="H220" s="13" t="b">
        <v>0</v>
      </c>
      <c r="I220" s="13" t="b">
        <v>0</v>
      </c>
      <c r="J220" s="13" t="b">
        <v>0</v>
      </c>
      <c r="K220" s="13" t="b">
        <v>0</v>
      </c>
      <c r="L220" s="13" t="b">
        <v>0</v>
      </c>
      <c r="M220" s="56">
        <f t="shared" si="1"/>
        <v>0</v>
      </c>
      <c r="N220" s="57">
        <f t="shared" si="26"/>
        <v>0</v>
      </c>
      <c r="O220" s="13" t="b">
        <v>0</v>
      </c>
    </row>
    <row r="221">
      <c r="A221" s="55">
        <v>38.0</v>
      </c>
      <c r="B221" s="4" t="s">
        <v>671</v>
      </c>
      <c r="C221" s="4" t="s">
        <v>30</v>
      </c>
      <c r="D221" s="4" t="s">
        <v>2961</v>
      </c>
      <c r="E221" s="4" t="s">
        <v>1942</v>
      </c>
      <c r="F221" s="13" t="b">
        <v>0</v>
      </c>
      <c r="G221" s="13" t="b">
        <v>0</v>
      </c>
      <c r="H221" s="13" t="b">
        <v>0</v>
      </c>
      <c r="I221" s="13" t="b">
        <v>0</v>
      </c>
      <c r="J221" s="13" t="b">
        <v>0</v>
      </c>
      <c r="K221" s="13" t="b">
        <v>0</v>
      </c>
      <c r="L221" s="13" t="b">
        <v>0</v>
      </c>
      <c r="M221" s="56">
        <f t="shared" si="1"/>
        <v>0</v>
      </c>
      <c r="N221" s="57">
        <f>M221*75</f>
        <v>0</v>
      </c>
      <c r="O221" s="13" t="b">
        <v>0</v>
      </c>
    </row>
    <row r="222">
      <c r="A222" s="55">
        <v>38.0</v>
      </c>
      <c r="B222" s="4" t="s">
        <v>671</v>
      </c>
      <c r="C222" s="4" t="s">
        <v>55</v>
      </c>
      <c r="D222" s="4" t="s">
        <v>2433</v>
      </c>
      <c r="E222" s="4" t="s">
        <v>2435</v>
      </c>
      <c r="F222" s="13" t="b">
        <v>1</v>
      </c>
      <c r="G222" s="13" t="b">
        <v>1</v>
      </c>
      <c r="H222" s="13" t="b">
        <v>0</v>
      </c>
      <c r="I222" s="13" t="b">
        <v>1</v>
      </c>
      <c r="J222" s="13" t="b">
        <v>0</v>
      </c>
      <c r="K222" s="13" t="b">
        <v>1</v>
      </c>
      <c r="L222" s="13" t="b">
        <v>1</v>
      </c>
      <c r="M222" s="56">
        <f t="shared" si="1"/>
        <v>5</v>
      </c>
      <c r="N222" s="57">
        <f t="shared" ref="N222:N229" si="27">M222*50</f>
        <v>250</v>
      </c>
      <c r="O222" s="13" t="b">
        <v>1</v>
      </c>
    </row>
    <row r="223">
      <c r="A223" s="55">
        <v>38.0</v>
      </c>
      <c r="B223" s="4" t="s">
        <v>671</v>
      </c>
      <c r="C223" s="4" t="s">
        <v>49</v>
      </c>
      <c r="D223" s="4" t="s">
        <v>2159</v>
      </c>
      <c r="E223" s="4" t="s">
        <v>2162</v>
      </c>
      <c r="F223" s="13" t="b">
        <v>1</v>
      </c>
      <c r="G223" s="13" t="b">
        <v>1</v>
      </c>
      <c r="H223" s="13" t="b">
        <v>0</v>
      </c>
      <c r="I223" s="13" t="b">
        <v>1</v>
      </c>
      <c r="J223" s="13" t="b">
        <v>1</v>
      </c>
      <c r="K223" s="13" t="b">
        <v>1</v>
      </c>
      <c r="L223" s="13" t="b">
        <v>1</v>
      </c>
      <c r="M223" s="56">
        <f t="shared" si="1"/>
        <v>6</v>
      </c>
      <c r="N223" s="57">
        <f t="shared" si="27"/>
        <v>300</v>
      </c>
      <c r="O223" s="13" t="b">
        <v>1</v>
      </c>
    </row>
    <row r="224">
      <c r="A224" s="55">
        <v>38.0</v>
      </c>
      <c r="B224" s="4" t="s">
        <v>671</v>
      </c>
      <c r="C224" s="4" t="s">
        <v>55</v>
      </c>
      <c r="D224" s="4" t="s">
        <v>2446</v>
      </c>
      <c r="E224" s="4" t="s">
        <v>2448</v>
      </c>
      <c r="F224" s="13" t="b">
        <v>0</v>
      </c>
      <c r="G224" s="13" t="b">
        <v>1</v>
      </c>
      <c r="H224" s="13" t="b">
        <v>0</v>
      </c>
      <c r="I224" s="13" t="b">
        <v>1</v>
      </c>
      <c r="J224" s="13" t="b">
        <v>0</v>
      </c>
      <c r="K224" s="13" t="b">
        <v>1</v>
      </c>
      <c r="L224" s="13" t="b">
        <v>1</v>
      </c>
      <c r="M224" s="56">
        <f t="shared" si="1"/>
        <v>4</v>
      </c>
      <c r="N224" s="57">
        <f t="shared" si="27"/>
        <v>200</v>
      </c>
      <c r="O224" s="13" t="b">
        <v>1</v>
      </c>
    </row>
    <row r="225">
      <c r="A225" s="63">
        <v>38.0</v>
      </c>
      <c r="B225" s="64" t="s">
        <v>671</v>
      </c>
      <c r="C225" s="64" t="s">
        <v>55</v>
      </c>
      <c r="D225" s="64" t="s">
        <v>2257</v>
      </c>
      <c r="E225" s="64" t="s">
        <v>2259</v>
      </c>
      <c r="F225" s="65" t="b">
        <v>0</v>
      </c>
      <c r="G225" s="65" t="b">
        <v>0</v>
      </c>
      <c r="H225" s="65" t="b">
        <v>0</v>
      </c>
      <c r="I225" s="65" t="b">
        <v>0</v>
      </c>
      <c r="J225" s="65" t="b">
        <v>0</v>
      </c>
      <c r="K225" s="65" t="b">
        <v>1</v>
      </c>
      <c r="L225" s="65" t="b">
        <v>1</v>
      </c>
      <c r="M225" s="66">
        <f t="shared" si="1"/>
        <v>2</v>
      </c>
      <c r="N225" s="67">
        <f t="shared" si="27"/>
        <v>100</v>
      </c>
      <c r="O225" s="65" t="b">
        <v>1</v>
      </c>
    </row>
    <row r="226">
      <c r="A226" s="75">
        <v>38.0</v>
      </c>
      <c r="B226" s="76" t="s">
        <v>671</v>
      </c>
      <c r="C226" s="76" t="s">
        <v>42</v>
      </c>
      <c r="D226" s="76" t="s">
        <v>2473</v>
      </c>
      <c r="E226" s="76" t="s">
        <v>2475</v>
      </c>
      <c r="F226" s="77" t="b">
        <v>1</v>
      </c>
      <c r="G226" s="77" t="b">
        <v>1</v>
      </c>
      <c r="H226" s="77" t="b">
        <v>1</v>
      </c>
      <c r="I226" s="77" t="b">
        <v>1</v>
      </c>
      <c r="J226" s="77" t="b">
        <v>1</v>
      </c>
      <c r="K226" s="77" t="b">
        <v>1</v>
      </c>
      <c r="L226" s="77" t="b">
        <v>1</v>
      </c>
      <c r="M226" s="78">
        <f t="shared" si="1"/>
        <v>7</v>
      </c>
      <c r="N226" s="79">
        <f t="shared" si="27"/>
        <v>350</v>
      </c>
      <c r="O226" s="77" t="b">
        <v>1</v>
      </c>
    </row>
    <row r="227">
      <c r="A227" s="75">
        <v>39.0</v>
      </c>
      <c r="B227" s="76" t="s">
        <v>1959</v>
      </c>
      <c r="C227" s="76" t="s">
        <v>55</v>
      </c>
      <c r="D227" s="76" t="s">
        <v>1123</v>
      </c>
      <c r="E227" s="76"/>
      <c r="F227" s="77" t="b">
        <v>1</v>
      </c>
      <c r="G227" s="77" t="b">
        <v>1</v>
      </c>
      <c r="H227" s="77" t="b">
        <v>1</v>
      </c>
      <c r="I227" s="77" t="b">
        <v>1</v>
      </c>
      <c r="J227" s="77" t="b">
        <v>0</v>
      </c>
      <c r="K227" s="77" t="b">
        <v>0</v>
      </c>
      <c r="L227" s="77" t="b">
        <v>0</v>
      </c>
      <c r="M227" s="80">
        <f t="shared" si="1"/>
        <v>4</v>
      </c>
      <c r="N227" s="81">
        <f t="shared" si="27"/>
        <v>200</v>
      </c>
      <c r="O227" s="77" t="b">
        <v>0</v>
      </c>
    </row>
    <row r="228">
      <c r="A228" s="75">
        <v>39.0</v>
      </c>
      <c r="B228" s="76" t="s">
        <v>1959</v>
      </c>
      <c r="C228" s="76" t="s">
        <v>43</v>
      </c>
      <c r="D228" s="76" t="s">
        <v>2129</v>
      </c>
      <c r="E228" s="76" t="s">
        <v>2130</v>
      </c>
      <c r="F228" s="77" t="b">
        <v>0</v>
      </c>
      <c r="G228" s="77" t="b">
        <v>0</v>
      </c>
      <c r="H228" s="77" t="b">
        <v>0</v>
      </c>
      <c r="I228" s="77" t="b">
        <v>0</v>
      </c>
      <c r="J228" s="77" t="b">
        <v>0</v>
      </c>
      <c r="K228" s="77" t="b">
        <v>0</v>
      </c>
      <c r="L228" s="77" t="b">
        <v>0</v>
      </c>
      <c r="M228" s="80">
        <f t="shared" si="1"/>
        <v>0</v>
      </c>
      <c r="N228" s="81">
        <f t="shared" si="27"/>
        <v>0</v>
      </c>
      <c r="O228" s="77" t="b">
        <v>0</v>
      </c>
    </row>
    <row r="229">
      <c r="A229" s="75">
        <v>39.0</v>
      </c>
      <c r="B229" s="76" t="s">
        <v>1959</v>
      </c>
      <c r="C229" s="76" t="s">
        <v>35</v>
      </c>
      <c r="D229" s="76" t="s">
        <v>2172</v>
      </c>
      <c r="E229" s="76" t="s">
        <v>2175</v>
      </c>
      <c r="F229" s="77" t="b">
        <v>1</v>
      </c>
      <c r="G229" s="77" t="b">
        <v>1</v>
      </c>
      <c r="H229" s="77" t="b">
        <v>1</v>
      </c>
      <c r="I229" s="77" t="b">
        <v>1</v>
      </c>
      <c r="J229" s="77" t="b">
        <v>1</v>
      </c>
      <c r="K229" s="77" t="b">
        <v>0</v>
      </c>
      <c r="L229" s="77" t="b">
        <v>0</v>
      </c>
      <c r="M229" s="80">
        <f t="shared" si="1"/>
        <v>5</v>
      </c>
      <c r="N229" s="81">
        <f t="shared" si="27"/>
        <v>250</v>
      </c>
      <c r="O229" s="77" t="b">
        <v>0</v>
      </c>
    </row>
    <row r="230">
      <c r="A230" s="82">
        <v>39.0</v>
      </c>
      <c r="B230" s="83" t="s">
        <v>1959</v>
      </c>
      <c r="C230" s="83" t="s">
        <v>30</v>
      </c>
      <c r="D230" s="83" t="s">
        <v>909</v>
      </c>
      <c r="E230" s="84"/>
      <c r="F230" s="85" t="b">
        <v>1</v>
      </c>
      <c r="G230" s="85" t="b">
        <v>0</v>
      </c>
      <c r="H230" s="85" t="b">
        <v>0</v>
      </c>
      <c r="I230" s="85" t="b">
        <v>0</v>
      </c>
      <c r="J230" s="85" t="b">
        <v>0</v>
      </c>
      <c r="K230" s="85" t="b">
        <v>0</v>
      </c>
      <c r="L230" s="85" t="b">
        <v>0</v>
      </c>
      <c r="M230" s="86">
        <f t="shared" si="1"/>
        <v>1</v>
      </c>
      <c r="N230" s="87">
        <f>M230*75</f>
        <v>75</v>
      </c>
      <c r="O230" s="85" t="b">
        <v>0</v>
      </c>
    </row>
    <row r="231">
      <c r="A231" s="75">
        <v>39.0</v>
      </c>
      <c r="B231" s="76" t="s">
        <v>1959</v>
      </c>
      <c r="C231" s="76" t="s">
        <v>43</v>
      </c>
      <c r="D231" s="76" t="s">
        <v>1089</v>
      </c>
      <c r="E231" s="76"/>
      <c r="F231" s="77" t="b">
        <v>0</v>
      </c>
      <c r="G231" s="77" t="b">
        <v>1</v>
      </c>
      <c r="H231" s="77" t="b">
        <v>0</v>
      </c>
      <c r="I231" s="77" t="b">
        <v>0</v>
      </c>
      <c r="J231" s="77" t="b">
        <v>1</v>
      </c>
      <c r="K231" s="77" t="b">
        <v>0</v>
      </c>
      <c r="L231" s="77" t="b">
        <v>0</v>
      </c>
      <c r="M231" s="80">
        <f t="shared" si="1"/>
        <v>2</v>
      </c>
      <c r="N231" s="81">
        <f t="shared" ref="N231:N233" si="28">M231*50</f>
        <v>100</v>
      </c>
      <c r="O231" s="77" t="b">
        <v>0</v>
      </c>
    </row>
    <row r="232">
      <c r="A232" s="75">
        <v>39.0</v>
      </c>
      <c r="B232" s="76" t="s">
        <v>501</v>
      </c>
      <c r="C232" s="76" t="s">
        <v>55</v>
      </c>
      <c r="D232" s="76" t="s">
        <v>505</v>
      </c>
      <c r="E232" s="76"/>
      <c r="F232" s="77" t="b">
        <v>0</v>
      </c>
      <c r="G232" s="77" t="b">
        <v>0</v>
      </c>
      <c r="H232" s="77" t="b">
        <v>0</v>
      </c>
      <c r="I232" s="77" t="b">
        <v>1</v>
      </c>
      <c r="J232" s="77" t="b">
        <v>1</v>
      </c>
      <c r="K232" s="77" t="b">
        <v>0</v>
      </c>
      <c r="L232" s="77" t="b">
        <v>0</v>
      </c>
      <c r="M232" s="80">
        <f t="shared" si="1"/>
        <v>2</v>
      </c>
      <c r="N232" s="81">
        <f t="shared" si="28"/>
        <v>100</v>
      </c>
      <c r="O232" s="77" t="b">
        <v>0</v>
      </c>
    </row>
    <row r="233">
      <c r="A233" s="75">
        <v>39.0</v>
      </c>
      <c r="B233" s="76" t="s">
        <v>501</v>
      </c>
      <c r="C233" s="76" t="s">
        <v>42</v>
      </c>
      <c r="D233" s="76" t="s">
        <v>661</v>
      </c>
      <c r="E233" s="76" t="s">
        <v>672</v>
      </c>
      <c r="F233" s="77" t="b">
        <v>1</v>
      </c>
      <c r="G233" s="77" t="b">
        <v>1</v>
      </c>
      <c r="H233" s="77" t="b">
        <v>1</v>
      </c>
      <c r="I233" s="77" t="b">
        <v>1</v>
      </c>
      <c r="J233" s="77" t="b">
        <v>1</v>
      </c>
      <c r="K233" s="77" t="b">
        <v>0</v>
      </c>
      <c r="L233" s="77" t="b">
        <v>0</v>
      </c>
      <c r="M233" s="80">
        <f t="shared" si="1"/>
        <v>5</v>
      </c>
      <c r="N233" s="81">
        <f t="shared" si="28"/>
        <v>250</v>
      </c>
      <c r="O233" s="77" t="b">
        <v>0</v>
      </c>
    </row>
    <row r="234">
      <c r="A234" s="75">
        <v>39.0</v>
      </c>
      <c r="B234" s="76" t="s">
        <v>501</v>
      </c>
      <c r="C234" s="76" t="s">
        <v>61</v>
      </c>
      <c r="D234" s="76" t="s">
        <v>2027</v>
      </c>
      <c r="E234" s="76"/>
      <c r="F234" s="77" t="b">
        <v>0</v>
      </c>
      <c r="G234" s="77" t="b">
        <v>0</v>
      </c>
      <c r="H234" s="77" t="b">
        <v>0</v>
      </c>
      <c r="I234" s="77" t="b">
        <v>1</v>
      </c>
      <c r="J234" s="77" t="b">
        <v>1</v>
      </c>
      <c r="K234" s="77" t="b">
        <v>0</v>
      </c>
      <c r="L234" s="77" t="b">
        <v>0</v>
      </c>
      <c r="M234" s="80">
        <f t="shared" si="1"/>
        <v>2</v>
      </c>
      <c r="N234" s="81">
        <f>M234*0</f>
        <v>0</v>
      </c>
      <c r="O234" s="77" t="b">
        <v>0</v>
      </c>
    </row>
    <row r="235">
      <c r="A235" s="75">
        <v>39.0</v>
      </c>
      <c r="B235" s="76" t="s">
        <v>501</v>
      </c>
      <c r="C235" s="76" t="s">
        <v>35</v>
      </c>
      <c r="D235" s="76" t="s">
        <v>804</v>
      </c>
      <c r="E235" s="76" t="s">
        <v>806</v>
      </c>
      <c r="F235" s="77" t="b">
        <v>1</v>
      </c>
      <c r="G235" s="77" t="b">
        <v>0</v>
      </c>
      <c r="H235" s="77" t="b">
        <v>1</v>
      </c>
      <c r="I235" s="77" t="b">
        <v>1</v>
      </c>
      <c r="J235" s="77" t="b">
        <v>0</v>
      </c>
      <c r="K235" s="77" t="b">
        <v>0</v>
      </c>
      <c r="L235" s="77" t="b">
        <v>0</v>
      </c>
      <c r="M235" s="80">
        <f t="shared" si="1"/>
        <v>3</v>
      </c>
      <c r="N235" s="81">
        <f t="shared" ref="N235:N239" si="29">M235*50</f>
        <v>150</v>
      </c>
      <c r="O235" s="77" t="b">
        <v>0</v>
      </c>
    </row>
    <row r="236">
      <c r="A236" s="82">
        <v>39.0</v>
      </c>
      <c r="B236" s="83" t="s">
        <v>501</v>
      </c>
      <c r="C236" s="83" t="s">
        <v>55</v>
      </c>
      <c r="D236" s="83" t="s">
        <v>2356</v>
      </c>
      <c r="E236" s="83" t="s">
        <v>847</v>
      </c>
      <c r="F236" s="85" t="b">
        <v>0</v>
      </c>
      <c r="G236" s="85" t="b">
        <v>0</v>
      </c>
      <c r="H236" s="85" t="b">
        <v>0</v>
      </c>
      <c r="I236" s="85" t="b">
        <v>0</v>
      </c>
      <c r="J236" s="85" t="b">
        <v>0</v>
      </c>
      <c r="K236" s="85" t="b">
        <v>0</v>
      </c>
      <c r="L236" s="85" t="b">
        <v>0</v>
      </c>
      <c r="M236" s="86">
        <f t="shared" si="1"/>
        <v>0</v>
      </c>
      <c r="N236" s="87">
        <f t="shared" si="29"/>
        <v>0</v>
      </c>
      <c r="O236" s="85" t="b">
        <v>0</v>
      </c>
    </row>
    <row r="237">
      <c r="A237" s="75">
        <v>39.0</v>
      </c>
      <c r="B237" s="76" t="s">
        <v>501</v>
      </c>
      <c r="C237" s="76" t="s">
        <v>37</v>
      </c>
      <c r="D237" s="76" t="s">
        <v>886</v>
      </c>
      <c r="E237" s="76" t="s">
        <v>847</v>
      </c>
      <c r="F237" s="77" t="b">
        <v>0</v>
      </c>
      <c r="G237" s="77" t="b">
        <v>0</v>
      </c>
      <c r="H237" s="77" t="b">
        <v>0</v>
      </c>
      <c r="I237" s="77" t="b">
        <v>0</v>
      </c>
      <c r="J237" s="77" t="b">
        <v>0</v>
      </c>
      <c r="K237" s="77" t="b">
        <v>0</v>
      </c>
      <c r="L237" s="77" t="b">
        <v>0</v>
      </c>
      <c r="M237" s="80">
        <f t="shared" si="1"/>
        <v>0</v>
      </c>
      <c r="N237" s="81">
        <f t="shared" si="29"/>
        <v>0</v>
      </c>
      <c r="O237" s="77" t="b">
        <v>0</v>
      </c>
    </row>
    <row r="238">
      <c r="A238" s="75">
        <v>39.0</v>
      </c>
      <c r="B238" s="76" t="s">
        <v>501</v>
      </c>
      <c r="C238" s="76" t="s">
        <v>43</v>
      </c>
      <c r="D238" s="76" t="s">
        <v>2232</v>
      </c>
      <c r="E238" s="76" t="s">
        <v>2235</v>
      </c>
      <c r="F238" s="77" t="b">
        <v>0</v>
      </c>
      <c r="G238" s="77" t="b">
        <v>0</v>
      </c>
      <c r="H238" s="77" t="b">
        <v>1</v>
      </c>
      <c r="I238" s="77" t="b">
        <v>0</v>
      </c>
      <c r="J238" s="77" t="b">
        <v>1</v>
      </c>
      <c r="K238" s="77" t="b">
        <v>0</v>
      </c>
      <c r="L238" s="77" t="b">
        <v>0</v>
      </c>
      <c r="M238" s="80">
        <f t="shared" si="1"/>
        <v>2</v>
      </c>
      <c r="N238" s="81">
        <f t="shared" si="29"/>
        <v>100</v>
      </c>
      <c r="O238" s="77" t="b">
        <v>0</v>
      </c>
    </row>
    <row r="239">
      <c r="A239" s="75">
        <v>39.0</v>
      </c>
      <c r="B239" s="76" t="s">
        <v>550</v>
      </c>
      <c r="C239" s="76" t="s">
        <v>55</v>
      </c>
      <c r="D239" s="76" t="s">
        <v>934</v>
      </c>
      <c r="E239" s="76" t="s">
        <v>937</v>
      </c>
      <c r="F239" s="77" t="b">
        <v>0</v>
      </c>
      <c r="G239" s="77" t="b">
        <v>0</v>
      </c>
      <c r="H239" s="77" t="b">
        <v>1</v>
      </c>
      <c r="I239" s="77" t="b">
        <v>0</v>
      </c>
      <c r="J239" s="77" t="b">
        <v>0</v>
      </c>
      <c r="K239" s="77" t="b">
        <v>0</v>
      </c>
      <c r="L239" s="77" t="b">
        <v>0</v>
      </c>
      <c r="M239" s="80">
        <f t="shared" si="1"/>
        <v>1</v>
      </c>
      <c r="N239" s="81">
        <f t="shared" si="29"/>
        <v>50</v>
      </c>
      <c r="O239" s="77" t="b">
        <v>0</v>
      </c>
    </row>
    <row r="240">
      <c r="A240" s="75">
        <v>39.0</v>
      </c>
      <c r="B240" s="76" t="s">
        <v>550</v>
      </c>
      <c r="C240" s="76" t="s">
        <v>61</v>
      </c>
      <c r="D240" s="76" t="s">
        <v>2835</v>
      </c>
      <c r="E240" s="76" t="s">
        <v>2837</v>
      </c>
      <c r="F240" s="77" t="b">
        <v>0</v>
      </c>
      <c r="G240" s="77" t="b">
        <v>0</v>
      </c>
      <c r="H240" s="77" t="b">
        <v>0</v>
      </c>
      <c r="I240" s="77" t="b">
        <v>0</v>
      </c>
      <c r="J240" s="77" t="b">
        <v>0</v>
      </c>
      <c r="K240" s="77" t="b">
        <v>0</v>
      </c>
      <c r="L240" s="77" t="b">
        <v>0</v>
      </c>
      <c r="M240" s="80">
        <f t="shared" si="1"/>
        <v>0</v>
      </c>
      <c r="N240" s="81">
        <f>M240*0</f>
        <v>0</v>
      </c>
      <c r="O240" s="77" t="b">
        <v>0</v>
      </c>
    </row>
    <row r="241">
      <c r="A241" s="75">
        <v>39.0</v>
      </c>
      <c r="B241" s="76" t="s">
        <v>550</v>
      </c>
      <c r="C241" s="76" t="s">
        <v>35</v>
      </c>
      <c r="D241" s="76" t="s">
        <v>544</v>
      </c>
      <c r="E241" s="76" t="s">
        <v>546</v>
      </c>
      <c r="F241" s="77" t="b">
        <v>0</v>
      </c>
      <c r="G241" s="77" t="b">
        <v>0</v>
      </c>
      <c r="H241" s="77" t="b">
        <v>1</v>
      </c>
      <c r="I241" s="77" t="b">
        <v>0</v>
      </c>
      <c r="J241" s="77" t="b">
        <v>1</v>
      </c>
      <c r="K241" s="77" t="b">
        <v>1</v>
      </c>
      <c r="L241" s="77" t="b">
        <v>0</v>
      </c>
      <c r="M241" s="80">
        <f t="shared" si="1"/>
        <v>3</v>
      </c>
      <c r="N241" s="81">
        <f t="shared" ref="N241:N243" si="30">M241*50</f>
        <v>150</v>
      </c>
      <c r="O241" s="77" t="b">
        <v>0</v>
      </c>
    </row>
    <row r="242">
      <c r="A242" s="75">
        <v>39.0</v>
      </c>
      <c r="B242" s="76" t="s">
        <v>550</v>
      </c>
      <c r="C242" s="76" t="s">
        <v>43</v>
      </c>
      <c r="D242" s="76" t="s">
        <v>514</v>
      </c>
      <c r="E242" s="76"/>
      <c r="F242" s="77" t="b">
        <v>0</v>
      </c>
      <c r="G242" s="77" t="b">
        <v>0</v>
      </c>
      <c r="H242" s="77" t="b">
        <v>0</v>
      </c>
      <c r="I242" s="77" t="b">
        <v>0</v>
      </c>
      <c r="J242" s="77" t="b">
        <v>0</v>
      </c>
      <c r="K242" s="77" t="b">
        <v>0</v>
      </c>
      <c r="L242" s="77" t="b">
        <v>0</v>
      </c>
      <c r="M242" s="80">
        <f t="shared" si="1"/>
        <v>0</v>
      </c>
      <c r="N242" s="81">
        <f t="shared" si="30"/>
        <v>0</v>
      </c>
      <c r="O242" s="77" t="b">
        <v>0</v>
      </c>
    </row>
    <row r="243">
      <c r="A243" s="75">
        <v>39.0</v>
      </c>
      <c r="B243" s="76" t="s">
        <v>550</v>
      </c>
      <c r="C243" s="76" t="s">
        <v>55</v>
      </c>
      <c r="D243" s="76" t="s">
        <v>1020</v>
      </c>
      <c r="E243" s="76" t="s">
        <v>1021</v>
      </c>
      <c r="F243" s="77" t="b">
        <v>1</v>
      </c>
      <c r="G243" s="77" t="b">
        <v>1</v>
      </c>
      <c r="H243" s="77" t="b">
        <v>1</v>
      </c>
      <c r="I243" s="77" t="b">
        <v>1</v>
      </c>
      <c r="J243" s="77" t="b">
        <v>1</v>
      </c>
      <c r="K243" s="77" t="b">
        <v>1</v>
      </c>
      <c r="L243" s="77" t="b">
        <v>0</v>
      </c>
      <c r="M243" s="80">
        <f t="shared" si="1"/>
        <v>6</v>
      </c>
      <c r="N243" s="81">
        <f t="shared" si="30"/>
        <v>300</v>
      </c>
      <c r="O243" s="77" t="b">
        <v>0</v>
      </c>
    </row>
    <row r="244">
      <c r="A244" s="75">
        <v>39.0</v>
      </c>
      <c r="B244" s="76" t="s">
        <v>550</v>
      </c>
      <c r="C244" s="76" t="s">
        <v>58</v>
      </c>
      <c r="D244" s="76" t="s">
        <v>1581</v>
      </c>
      <c r="E244" s="76"/>
      <c r="F244" s="77" t="b">
        <v>1</v>
      </c>
      <c r="G244" s="77" t="b">
        <v>1</v>
      </c>
      <c r="H244" s="77" t="b">
        <v>1</v>
      </c>
      <c r="I244" s="77" t="b">
        <v>0</v>
      </c>
      <c r="J244" s="77" t="b">
        <v>1</v>
      </c>
      <c r="K244" s="77" t="b">
        <v>0</v>
      </c>
      <c r="L244" s="77" t="b">
        <v>0</v>
      </c>
      <c r="M244" s="80">
        <f t="shared" si="1"/>
        <v>4</v>
      </c>
      <c r="N244" s="81">
        <f>M244*25</f>
        <v>100</v>
      </c>
      <c r="O244" s="77" t="b">
        <v>0</v>
      </c>
    </row>
    <row r="245">
      <c r="A245" s="75">
        <v>39.0</v>
      </c>
      <c r="B245" s="76" t="s">
        <v>550</v>
      </c>
      <c r="C245" s="76" t="s">
        <v>61</v>
      </c>
      <c r="D245" s="76" t="s">
        <v>2198</v>
      </c>
      <c r="E245" s="76" t="s">
        <v>2537</v>
      </c>
      <c r="F245" s="77" t="b">
        <v>0</v>
      </c>
      <c r="G245" s="77" t="b">
        <v>0</v>
      </c>
      <c r="H245" s="77" t="b">
        <v>0</v>
      </c>
      <c r="I245" s="77" t="b">
        <v>0</v>
      </c>
      <c r="J245" s="77" t="b">
        <v>0</v>
      </c>
      <c r="K245" s="77" t="b">
        <v>0</v>
      </c>
      <c r="L245" s="77" t="b">
        <v>0</v>
      </c>
      <c r="M245" s="80">
        <f t="shared" si="1"/>
        <v>0</v>
      </c>
      <c r="N245" s="81">
        <f t="shared" ref="N245:N246" si="31">M245*0</f>
        <v>0</v>
      </c>
      <c r="O245" s="77" t="b">
        <v>0</v>
      </c>
    </row>
    <row r="246">
      <c r="A246" s="75">
        <v>39.0</v>
      </c>
      <c r="B246" s="76" t="s">
        <v>550</v>
      </c>
      <c r="C246" s="76" t="s">
        <v>61</v>
      </c>
      <c r="D246" s="76" t="s">
        <v>2176</v>
      </c>
      <c r="E246" s="76"/>
      <c r="F246" s="77" t="b">
        <v>0</v>
      </c>
      <c r="G246" s="77" t="b">
        <v>0</v>
      </c>
      <c r="H246" s="77" t="b">
        <v>0</v>
      </c>
      <c r="I246" s="77" t="b">
        <v>0</v>
      </c>
      <c r="J246" s="77" t="b">
        <v>1</v>
      </c>
      <c r="K246" s="77" t="b">
        <v>1</v>
      </c>
      <c r="L246" s="77" t="b">
        <v>0</v>
      </c>
      <c r="M246" s="80">
        <f t="shared" si="1"/>
        <v>2</v>
      </c>
      <c r="N246" s="81">
        <f t="shared" si="31"/>
        <v>0</v>
      </c>
      <c r="O246" s="77" t="b">
        <v>0</v>
      </c>
    </row>
    <row r="247">
      <c r="A247" s="75">
        <v>39.0</v>
      </c>
      <c r="B247" s="76" t="s">
        <v>550</v>
      </c>
      <c r="C247" s="76" t="s">
        <v>43</v>
      </c>
      <c r="D247" s="76" t="s">
        <v>434</v>
      </c>
      <c r="E247" s="76"/>
      <c r="F247" s="77" t="b">
        <v>1</v>
      </c>
      <c r="G247" s="77" t="b">
        <v>0</v>
      </c>
      <c r="H247" s="77" t="b">
        <v>1</v>
      </c>
      <c r="I247" s="77" t="b">
        <v>1</v>
      </c>
      <c r="J247" s="77" t="b">
        <v>0</v>
      </c>
      <c r="K247" s="77" t="b">
        <v>1</v>
      </c>
      <c r="L247" s="77" t="b">
        <v>0</v>
      </c>
      <c r="M247" s="80">
        <f t="shared" si="1"/>
        <v>4</v>
      </c>
      <c r="N247" s="81">
        <f>M247*50</f>
        <v>200</v>
      </c>
      <c r="O247" s="77" t="b">
        <v>0</v>
      </c>
    </row>
    <row r="248">
      <c r="A248" s="75">
        <v>39.0</v>
      </c>
      <c r="B248" s="76" t="s">
        <v>550</v>
      </c>
      <c r="C248" s="76" t="s">
        <v>61</v>
      </c>
      <c r="D248" s="76" t="s">
        <v>2783</v>
      </c>
      <c r="E248" s="76" t="s">
        <v>2784</v>
      </c>
      <c r="F248" s="77" t="b">
        <v>0</v>
      </c>
      <c r="G248" s="77" t="b">
        <v>0</v>
      </c>
      <c r="H248" s="77" t="b">
        <v>0</v>
      </c>
      <c r="I248" s="77" t="b">
        <v>0</v>
      </c>
      <c r="J248" s="77" t="b">
        <v>1</v>
      </c>
      <c r="K248" s="77" t="b">
        <v>0</v>
      </c>
      <c r="L248" s="77" t="b">
        <v>0</v>
      </c>
      <c r="M248" s="80">
        <f t="shared" si="1"/>
        <v>1</v>
      </c>
      <c r="N248" s="81">
        <f>M248*0</f>
        <v>0</v>
      </c>
      <c r="O248" s="77" t="b">
        <v>0</v>
      </c>
    </row>
    <row r="249">
      <c r="A249" s="75">
        <v>39.0</v>
      </c>
      <c r="B249" s="76" t="s">
        <v>550</v>
      </c>
      <c r="C249" s="76" t="s">
        <v>49</v>
      </c>
      <c r="D249" s="76" t="s">
        <v>451</v>
      </c>
      <c r="E249" s="76"/>
      <c r="F249" s="77" t="b">
        <v>0</v>
      </c>
      <c r="G249" s="77" t="b">
        <v>0</v>
      </c>
      <c r="H249" s="77" t="b">
        <v>0</v>
      </c>
      <c r="I249" s="77" t="b">
        <v>0</v>
      </c>
      <c r="J249" s="77" t="b">
        <v>1</v>
      </c>
      <c r="K249" s="77" t="b">
        <v>0</v>
      </c>
      <c r="L249" s="77" t="b">
        <v>0</v>
      </c>
      <c r="M249" s="80">
        <f t="shared" si="1"/>
        <v>1</v>
      </c>
      <c r="N249" s="81">
        <f>M249*50</f>
        <v>50</v>
      </c>
      <c r="O249" s="77" t="b">
        <v>0</v>
      </c>
    </row>
    <row r="250">
      <c r="A250" s="75">
        <v>39.0</v>
      </c>
      <c r="B250" s="76" t="s">
        <v>550</v>
      </c>
      <c r="C250" s="76" t="s">
        <v>61</v>
      </c>
      <c r="D250" s="76" t="s">
        <v>2849</v>
      </c>
      <c r="E250" s="76" t="s">
        <v>2851</v>
      </c>
      <c r="F250" s="77" t="b">
        <v>0</v>
      </c>
      <c r="G250" s="77" t="b">
        <v>0</v>
      </c>
      <c r="H250" s="77" t="b">
        <v>0</v>
      </c>
      <c r="I250" s="77" t="b">
        <v>0</v>
      </c>
      <c r="J250" s="77" t="b">
        <v>0</v>
      </c>
      <c r="K250" s="77" t="b">
        <v>0</v>
      </c>
      <c r="L250" s="77" t="b">
        <v>0</v>
      </c>
      <c r="M250" s="80">
        <f t="shared" si="1"/>
        <v>0</v>
      </c>
      <c r="N250" s="81">
        <f>M250*0</f>
        <v>0</v>
      </c>
      <c r="O250" s="77" t="b">
        <v>0</v>
      </c>
    </row>
    <row r="251">
      <c r="A251" s="82">
        <v>39.0</v>
      </c>
      <c r="B251" s="83" t="s">
        <v>550</v>
      </c>
      <c r="C251" s="83" t="s">
        <v>52</v>
      </c>
      <c r="D251" s="83" t="s">
        <v>1105</v>
      </c>
      <c r="E251" s="83" t="s">
        <v>1107</v>
      </c>
      <c r="F251" s="85" t="b">
        <v>1</v>
      </c>
      <c r="G251" s="85" t="b">
        <v>1</v>
      </c>
      <c r="H251" s="85" t="b">
        <v>0</v>
      </c>
      <c r="I251" s="85" t="b">
        <v>0</v>
      </c>
      <c r="J251" s="85" t="b">
        <v>1</v>
      </c>
      <c r="K251" s="85" t="b">
        <v>0</v>
      </c>
      <c r="L251" s="85" t="b">
        <v>0</v>
      </c>
      <c r="M251" s="86">
        <f t="shared" si="1"/>
        <v>3</v>
      </c>
      <c r="N251" s="87">
        <f t="shared" ref="N251:N252" si="32">M251*50</f>
        <v>150</v>
      </c>
      <c r="O251" s="85" t="b">
        <v>0</v>
      </c>
    </row>
    <row r="252">
      <c r="A252" s="75">
        <v>39.0</v>
      </c>
      <c r="B252" s="76" t="s">
        <v>550</v>
      </c>
      <c r="C252" s="76" t="s">
        <v>55</v>
      </c>
      <c r="D252" s="76" t="s">
        <v>984</v>
      </c>
      <c r="E252" s="76" t="s">
        <v>986</v>
      </c>
      <c r="F252" s="77" t="b">
        <v>1</v>
      </c>
      <c r="G252" s="77" t="b">
        <v>1</v>
      </c>
      <c r="H252" s="77" t="b">
        <v>0</v>
      </c>
      <c r="I252" s="77" t="b">
        <v>0</v>
      </c>
      <c r="J252" s="77" t="b">
        <v>1</v>
      </c>
      <c r="K252" s="77" t="b">
        <v>1</v>
      </c>
      <c r="L252" s="77" t="b">
        <v>0</v>
      </c>
      <c r="M252" s="80">
        <f t="shared" si="1"/>
        <v>4</v>
      </c>
      <c r="N252" s="81">
        <f t="shared" si="32"/>
        <v>200</v>
      </c>
      <c r="O252" s="77" t="b">
        <v>0</v>
      </c>
    </row>
    <row r="253">
      <c r="A253" s="75">
        <v>39.0</v>
      </c>
      <c r="B253" s="76" t="s">
        <v>550</v>
      </c>
      <c r="C253" s="76" t="s">
        <v>61</v>
      </c>
      <c r="D253" s="76" t="s">
        <v>2803</v>
      </c>
      <c r="E253" s="76" t="s">
        <v>2804</v>
      </c>
      <c r="F253" s="77" t="b">
        <v>0</v>
      </c>
      <c r="G253" s="77" t="b">
        <v>0</v>
      </c>
      <c r="H253" s="77" t="b">
        <v>0</v>
      </c>
      <c r="I253" s="77" t="b">
        <v>0</v>
      </c>
      <c r="J253" s="77" t="b">
        <v>0</v>
      </c>
      <c r="K253" s="77" t="b">
        <v>0</v>
      </c>
      <c r="L253" s="77" t="b">
        <v>0</v>
      </c>
      <c r="M253" s="80">
        <f t="shared" si="1"/>
        <v>0</v>
      </c>
      <c r="N253" s="81">
        <f t="shared" ref="N253:N256" si="33">M253*0</f>
        <v>0</v>
      </c>
      <c r="O253" s="77" t="b">
        <v>0</v>
      </c>
    </row>
    <row r="254">
      <c r="A254" s="75">
        <v>39.0</v>
      </c>
      <c r="B254" s="76" t="s">
        <v>550</v>
      </c>
      <c r="C254" s="76" t="s">
        <v>61</v>
      </c>
      <c r="D254" s="76" t="s">
        <v>2254</v>
      </c>
      <c r="E254" s="76"/>
      <c r="F254" s="77" t="b">
        <v>0</v>
      </c>
      <c r="G254" s="77" t="b">
        <v>0</v>
      </c>
      <c r="H254" s="77" t="b">
        <v>0</v>
      </c>
      <c r="I254" s="77" t="b">
        <v>0</v>
      </c>
      <c r="J254" s="77" t="b">
        <v>0</v>
      </c>
      <c r="K254" s="77" t="b">
        <v>0</v>
      </c>
      <c r="L254" s="77" t="b">
        <v>0</v>
      </c>
      <c r="M254" s="80">
        <f t="shared" si="1"/>
        <v>0</v>
      </c>
      <c r="N254" s="81">
        <f t="shared" si="33"/>
        <v>0</v>
      </c>
      <c r="O254" s="77" t="b">
        <v>0</v>
      </c>
    </row>
    <row r="255">
      <c r="A255" s="75">
        <v>39.0</v>
      </c>
      <c r="B255" s="76" t="s">
        <v>550</v>
      </c>
      <c r="C255" s="76" t="s">
        <v>61</v>
      </c>
      <c r="D255" s="76" t="s">
        <v>2553</v>
      </c>
      <c r="E255" s="76" t="s">
        <v>2554</v>
      </c>
      <c r="F255" s="77" t="b">
        <v>0</v>
      </c>
      <c r="G255" s="77" t="b">
        <v>0</v>
      </c>
      <c r="H255" s="77" t="b">
        <v>0</v>
      </c>
      <c r="I255" s="77" t="b">
        <v>0</v>
      </c>
      <c r="J255" s="77" t="b">
        <v>0</v>
      </c>
      <c r="K255" s="77" t="b">
        <v>0</v>
      </c>
      <c r="L255" s="77" t="b">
        <v>0</v>
      </c>
      <c r="M255" s="80">
        <f t="shared" si="1"/>
        <v>0</v>
      </c>
      <c r="N255" s="81">
        <f t="shared" si="33"/>
        <v>0</v>
      </c>
      <c r="O255" s="77" t="b">
        <v>0</v>
      </c>
    </row>
    <row r="256">
      <c r="A256" s="75">
        <v>39.0</v>
      </c>
      <c r="B256" s="76" t="s">
        <v>550</v>
      </c>
      <c r="C256" s="76" t="s">
        <v>61</v>
      </c>
      <c r="D256" s="76" t="s">
        <v>2873</v>
      </c>
      <c r="E256" s="76" t="s">
        <v>2874</v>
      </c>
      <c r="F256" s="77" t="b">
        <v>0</v>
      </c>
      <c r="G256" s="77" t="b">
        <v>0</v>
      </c>
      <c r="H256" s="77" t="b">
        <v>0</v>
      </c>
      <c r="I256" s="77" t="b">
        <v>0</v>
      </c>
      <c r="J256" s="77" t="b">
        <v>0</v>
      </c>
      <c r="K256" s="77" t="b">
        <v>0</v>
      </c>
      <c r="L256" s="77" t="b">
        <v>0</v>
      </c>
      <c r="M256" s="80">
        <f t="shared" si="1"/>
        <v>0</v>
      </c>
      <c r="N256" s="81">
        <f t="shared" si="33"/>
        <v>0</v>
      </c>
      <c r="O256" s="77" t="b">
        <v>0</v>
      </c>
    </row>
    <row r="257">
      <c r="A257" s="75">
        <v>39.0</v>
      </c>
      <c r="B257" s="76" t="s">
        <v>550</v>
      </c>
      <c r="C257" s="76" t="s">
        <v>37</v>
      </c>
      <c r="D257" s="76" t="s">
        <v>399</v>
      </c>
      <c r="E257" s="76"/>
      <c r="F257" s="77" t="b">
        <v>1</v>
      </c>
      <c r="G257" s="77" t="b">
        <v>1</v>
      </c>
      <c r="H257" s="77" t="b">
        <v>1</v>
      </c>
      <c r="I257" s="77" t="b">
        <v>1</v>
      </c>
      <c r="J257" s="77" t="b">
        <v>1</v>
      </c>
      <c r="K257" s="77" t="b">
        <v>1</v>
      </c>
      <c r="L257" s="77" t="b">
        <v>0</v>
      </c>
      <c r="M257" s="80">
        <f t="shared" si="1"/>
        <v>6</v>
      </c>
      <c r="N257" s="81">
        <f t="shared" ref="N257:N258" si="34">M257*50</f>
        <v>300</v>
      </c>
      <c r="O257" s="77" t="b">
        <v>0</v>
      </c>
    </row>
    <row r="258">
      <c r="A258" s="82">
        <v>39.0</v>
      </c>
      <c r="B258" s="83" t="s">
        <v>550</v>
      </c>
      <c r="C258" s="83" t="s">
        <v>42</v>
      </c>
      <c r="D258" s="83" t="s">
        <v>775</v>
      </c>
      <c r="E258" s="83" t="s">
        <v>776</v>
      </c>
      <c r="F258" s="85" t="b">
        <v>1</v>
      </c>
      <c r="G258" s="85" t="b">
        <v>1</v>
      </c>
      <c r="H258" s="85" t="b">
        <v>1</v>
      </c>
      <c r="I258" s="85" t="b">
        <v>1</v>
      </c>
      <c r="J258" s="85" t="b">
        <v>1</v>
      </c>
      <c r="K258" s="85" t="b">
        <v>1</v>
      </c>
      <c r="L258" s="85" t="b">
        <v>0</v>
      </c>
      <c r="M258" s="86">
        <f t="shared" si="1"/>
        <v>6</v>
      </c>
      <c r="N258" s="87">
        <f t="shared" si="34"/>
        <v>300</v>
      </c>
      <c r="O258" s="85" t="b">
        <v>0</v>
      </c>
    </row>
    <row r="259">
      <c r="A259" s="75">
        <v>39.0</v>
      </c>
      <c r="B259" s="76" t="s">
        <v>550</v>
      </c>
      <c r="C259" s="76" t="s">
        <v>61</v>
      </c>
      <c r="D259" s="76" t="s">
        <v>2218</v>
      </c>
      <c r="E259" s="76"/>
      <c r="F259" s="77" t="b">
        <v>0</v>
      </c>
      <c r="G259" s="77" t="b">
        <v>0</v>
      </c>
      <c r="H259" s="77" t="b">
        <v>0</v>
      </c>
      <c r="I259" s="77" t="b">
        <v>0</v>
      </c>
      <c r="J259" s="77" t="b">
        <v>0</v>
      </c>
      <c r="K259" s="77" t="b">
        <v>0</v>
      </c>
      <c r="L259" s="77" t="b">
        <v>0</v>
      </c>
      <c r="M259" s="80">
        <f t="shared" si="1"/>
        <v>0</v>
      </c>
      <c r="N259" s="81">
        <f>M259*0</f>
        <v>0</v>
      </c>
      <c r="O259" s="77" t="b">
        <v>0</v>
      </c>
    </row>
    <row r="260">
      <c r="A260" s="75">
        <v>39.0</v>
      </c>
      <c r="B260" s="76" t="s">
        <v>550</v>
      </c>
      <c r="C260" s="76" t="s">
        <v>55</v>
      </c>
      <c r="D260" s="76" t="s">
        <v>1374</v>
      </c>
      <c r="E260" s="76" t="s">
        <v>1375</v>
      </c>
      <c r="F260" s="77" t="b">
        <v>1</v>
      </c>
      <c r="G260" s="77" t="b">
        <v>1</v>
      </c>
      <c r="H260" s="77" t="b">
        <v>1</v>
      </c>
      <c r="I260" s="77" t="b">
        <v>0</v>
      </c>
      <c r="J260" s="77" t="b">
        <v>0</v>
      </c>
      <c r="K260" s="77" t="b">
        <v>0</v>
      </c>
      <c r="L260" s="77" t="b">
        <v>0</v>
      </c>
      <c r="M260" s="80">
        <f t="shared" si="1"/>
        <v>3</v>
      </c>
      <c r="N260" s="81">
        <f t="shared" ref="N260:N268" si="35">M260*50</f>
        <v>150</v>
      </c>
      <c r="O260" s="77" t="b">
        <v>0</v>
      </c>
    </row>
    <row r="261">
      <c r="A261" s="82">
        <v>39.0</v>
      </c>
      <c r="B261" s="83" t="s">
        <v>550</v>
      </c>
      <c r="C261" s="83" t="s">
        <v>55</v>
      </c>
      <c r="D261" s="83" t="s">
        <v>2060</v>
      </c>
      <c r="E261" s="83" t="s">
        <v>2061</v>
      </c>
      <c r="F261" s="85" t="b">
        <v>1</v>
      </c>
      <c r="G261" s="85" t="b">
        <v>1</v>
      </c>
      <c r="H261" s="85" t="b">
        <v>1</v>
      </c>
      <c r="I261" s="85" t="b">
        <v>1</v>
      </c>
      <c r="J261" s="85" t="b">
        <v>1</v>
      </c>
      <c r="K261" s="85" t="b">
        <v>0</v>
      </c>
      <c r="L261" s="85" t="b">
        <v>0</v>
      </c>
      <c r="M261" s="86">
        <f t="shared" si="1"/>
        <v>5</v>
      </c>
      <c r="N261" s="87">
        <f t="shared" si="35"/>
        <v>250</v>
      </c>
      <c r="O261" s="85" t="b">
        <v>0</v>
      </c>
    </row>
    <row r="262">
      <c r="A262" s="75">
        <v>39.0</v>
      </c>
      <c r="B262" s="76" t="s">
        <v>574</v>
      </c>
      <c r="C262" s="76" t="s">
        <v>55</v>
      </c>
      <c r="D262" s="76" t="s">
        <v>604</v>
      </c>
      <c r="E262" s="76"/>
      <c r="F262" s="77" t="b">
        <v>1</v>
      </c>
      <c r="G262" s="77" t="b">
        <v>1</v>
      </c>
      <c r="H262" s="77" t="b">
        <v>1</v>
      </c>
      <c r="I262" s="77" t="b">
        <v>1</v>
      </c>
      <c r="J262" s="77" t="b">
        <v>1</v>
      </c>
      <c r="K262" s="77" t="b">
        <v>1</v>
      </c>
      <c r="L262" s="77" t="b">
        <v>0</v>
      </c>
      <c r="M262" s="80">
        <f t="shared" si="1"/>
        <v>6</v>
      </c>
      <c r="N262" s="81">
        <f t="shared" si="35"/>
        <v>300</v>
      </c>
      <c r="O262" s="77" t="b">
        <v>0</v>
      </c>
    </row>
    <row r="263">
      <c r="A263" s="82">
        <v>39.0</v>
      </c>
      <c r="B263" s="83" t="s">
        <v>574</v>
      </c>
      <c r="C263" s="83" t="s">
        <v>35</v>
      </c>
      <c r="D263" s="83" t="s">
        <v>568</v>
      </c>
      <c r="E263" s="83" t="s">
        <v>570</v>
      </c>
      <c r="F263" s="85" t="b">
        <v>1</v>
      </c>
      <c r="G263" s="85" t="b">
        <v>1</v>
      </c>
      <c r="H263" s="85" t="b">
        <v>1</v>
      </c>
      <c r="I263" s="85" t="b">
        <v>1</v>
      </c>
      <c r="J263" s="85" t="b">
        <v>1</v>
      </c>
      <c r="K263" s="85" t="b">
        <v>1</v>
      </c>
      <c r="L263" s="85" t="b">
        <v>0</v>
      </c>
      <c r="M263" s="86">
        <f t="shared" si="1"/>
        <v>6</v>
      </c>
      <c r="N263" s="87">
        <f t="shared" si="35"/>
        <v>300</v>
      </c>
      <c r="O263" s="85" t="b">
        <v>0</v>
      </c>
    </row>
    <row r="264">
      <c r="A264" s="75">
        <v>39.0</v>
      </c>
      <c r="B264" s="76" t="s">
        <v>574</v>
      </c>
      <c r="C264" s="76" t="s">
        <v>55</v>
      </c>
      <c r="D264" s="76" t="s">
        <v>1056</v>
      </c>
      <c r="E264" s="76"/>
      <c r="F264" s="77" t="b">
        <v>1</v>
      </c>
      <c r="G264" s="77" t="b">
        <v>1</v>
      </c>
      <c r="H264" s="77" t="b">
        <v>1</v>
      </c>
      <c r="I264" s="77" t="b">
        <v>0</v>
      </c>
      <c r="J264" s="77" t="b">
        <v>1</v>
      </c>
      <c r="K264" s="77" t="b">
        <v>1</v>
      </c>
      <c r="L264" s="77" t="b">
        <v>0</v>
      </c>
      <c r="M264" s="80">
        <f t="shared" si="1"/>
        <v>5</v>
      </c>
      <c r="N264" s="81">
        <f t="shared" si="35"/>
        <v>250</v>
      </c>
      <c r="O264" s="77" t="b">
        <v>0</v>
      </c>
    </row>
    <row r="265">
      <c r="A265" s="75">
        <v>39.0</v>
      </c>
      <c r="B265" s="76" t="s">
        <v>574</v>
      </c>
      <c r="C265" s="76" t="s">
        <v>55</v>
      </c>
      <c r="D265" s="76" t="s">
        <v>496</v>
      </c>
      <c r="E265" s="76"/>
      <c r="F265" s="77" t="b">
        <v>1</v>
      </c>
      <c r="G265" s="77" t="b">
        <v>1</v>
      </c>
      <c r="H265" s="77" t="b">
        <v>1</v>
      </c>
      <c r="I265" s="77" t="b">
        <v>1</v>
      </c>
      <c r="J265" s="77" t="b">
        <v>1</v>
      </c>
      <c r="K265" s="77" t="b">
        <v>1</v>
      </c>
      <c r="L265" s="77" t="b">
        <v>0</v>
      </c>
      <c r="M265" s="80">
        <f t="shared" si="1"/>
        <v>6</v>
      </c>
      <c r="N265" s="81">
        <f t="shared" si="35"/>
        <v>300</v>
      </c>
      <c r="O265" s="77" t="b">
        <v>0</v>
      </c>
    </row>
    <row r="266">
      <c r="A266" s="75">
        <v>39.0</v>
      </c>
      <c r="B266" s="76" t="s">
        <v>574</v>
      </c>
      <c r="C266" s="76" t="s">
        <v>43</v>
      </c>
      <c r="D266" s="76" t="s">
        <v>918</v>
      </c>
      <c r="E266" s="76" t="s">
        <v>921</v>
      </c>
      <c r="F266" s="77" t="b">
        <v>1</v>
      </c>
      <c r="G266" s="77" t="b">
        <v>1</v>
      </c>
      <c r="H266" s="77" t="b">
        <v>1</v>
      </c>
      <c r="I266" s="77" t="b">
        <v>0</v>
      </c>
      <c r="J266" s="77" t="b">
        <v>1</v>
      </c>
      <c r="K266" s="77" t="b">
        <v>0</v>
      </c>
      <c r="L266" s="77" t="b">
        <v>0</v>
      </c>
      <c r="M266" s="80">
        <f t="shared" si="1"/>
        <v>4</v>
      </c>
      <c r="N266" s="81">
        <f t="shared" si="35"/>
        <v>200</v>
      </c>
      <c r="O266" s="77" t="b">
        <v>0</v>
      </c>
    </row>
    <row r="267">
      <c r="A267" s="75">
        <v>39.0</v>
      </c>
      <c r="B267" s="76" t="s">
        <v>574</v>
      </c>
      <c r="C267" s="76" t="s">
        <v>37</v>
      </c>
      <c r="D267" s="76" t="s">
        <v>965</v>
      </c>
      <c r="E267" s="76" t="s">
        <v>966</v>
      </c>
      <c r="F267" s="77" t="b">
        <v>1</v>
      </c>
      <c r="G267" s="77" t="b">
        <v>1</v>
      </c>
      <c r="H267" s="77" t="b">
        <v>1</v>
      </c>
      <c r="I267" s="77" t="b">
        <v>1</v>
      </c>
      <c r="J267" s="77" t="b">
        <v>1</v>
      </c>
      <c r="K267" s="77" t="b">
        <v>0</v>
      </c>
      <c r="L267" s="77" t="b">
        <v>0</v>
      </c>
      <c r="M267" s="80">
        <f t="shared" si="1"/>
        <v>5</v>
      </c>
      <c r="N267" s="81">
        <f t="shared" si="35"/>
        <v>250</v>
      </c>
      <c r="O267" s="77" t="b">
        <v>0</v>
      </c>
    </row>
    <row r="268">
      <c r="A268" s="75">
        <v>39.0</v>
      </c>
      <c r="B268" s="76" t="s">
        <v>574</v>
      </c>
      <c r="C268" s="76" t="s">
        <v>55</v>
      </c>
      <c r="D268" s="76" t="s">
        <v>2036</v>
      </c>
      <c r="E268" s="76" t="s">
        <v>2037</v>
      </c>
      <c r="F268" s="77" t="b">
        <v>1</v>
      </c>
      <c r="G268" s="77" t="b">
        <v>1</v>
      </c>
      <c r="H268" s="77" t="b">
        <v>1</v>
      </c>
      <c r="I268" s="77" t="b">
        <v>1</v>
      </c>
      <c r="J268" s="77" t="b">
        <v>1</v>
      </c>
      <c r="K268" s="77" t="b">
        <v>1</v>
      </c>
      <c r="L268" s="77" t="b">
        <v>0</v>
      </c>
      <c r="M268" s="80">
        <f t="shared" si="1"/>
        <v>6</v>
      </c>
      <c r="N268" s="81">
        <f t="shared" si="35"/>
        <v>300</v>
      </c>
      <c r="O268" s="77" t="b">
        <v>0</v>
      </c>
    </row>
    <row r="269">
      <c r="A269" s="75">
        <v>39.0</v>
      </c>
      <c r="B269" s="76" t="s">
        <v>422</v>
      </c>
      <c r="C269" s="76" t="s">
        <v>28</v>
      </c>
      <c r="D269" s="76" t="s">
        <v>312</v>
      </c>
      <c r="E269" s="76"/>
      <c r="F269" s="77" t="b">
        <v>0</v>
      </c>
      <c r="G269" s="77" t="b">
        <v>0</v>
      </c>
      <c r="H269" s="77" t="b">
        <v>1</v>
      </c>
      <c r="I269" s="77" t="b">
        <v>1</v>
      </c>
      <c r="J269" s="77" t="b">
        <v>1</v>
      </c>
      <c r="K269" s="77" t="b">
        <v>1</v>
      </c>
      <c r="L269" s="77" t="b">
        <v>0</v>
      </c>
      <c r="M269" s="80">
        <f t="shared" si="1"/>
        <v>4</v>
      </c>
      <c r="N269" s="81">
        <f t="shared" ref="N269:N270" si="36">M269*100</f>
        <v>400</v>
      </c>
      <c r="O269" s="77" t="b">
        <v>0</v>
      </c>
    </row>
    <row r="270">
      <c r="A270" s="75">
        <v>39.0</v>
      </c>
      <c r="B270" s="76" t="s">
        <v>422</v>
      </c>
      <c r="C270" s="76" t="s">
        <v>25</v>
      </c>
      <c r="D270" s="76" t="s">
        <v>397</v>
      </c>
      <c r="E270" s="76" t="s">
        <v>402</v>
      </c>
      <c r="F270" s="77" t="b">
        <v>0</v>
      </c>
      <c r="G270" s="77" t="b">
        <v>1</v>
      </c>
      <c r="H270" s="77" t="b">
        <v>0</v>
      </c>
      <c r="I270" s="77" t="b">
        <v>0</v>
      </c>
      <c r="J270" s="77" t="b">
        <v>1</v>
      </c>
      <c r="K270" s="77" t="b">
        <v>0</v>
      </c>
      <c r="L270" s="77" t="b">
        <v>0</v>
      </c>
      <c r="M270" s="80">
        <f t="shared" si="1"/>
        <v>2</v>
      </c>
      <c r="N270" s="81">
        <f t="shared" si="36"/>
        <v>200</v>
      </c>
      <c r="O270" s="77" t="b">
        <v>0</v>
      </c>
    </row>
    <row r="271">
      <c r="A271" s="75">
        <v>39.0</v>
      </c>
      <c r="B271" s="76" t="s">
        <v>422</v>
      </c>
      <c r="C271" s="76" t="s">
        <v>30</v>
      </c>
      <c r="D271" s="76" t="s">
        <v>389</v>
      </c>
      <c r="E271" s="76"/>
      <c r="F271" s="77" t="b">
        <v>1</v>
      </c>
      <c r="G271" s="77" t="b">
        <v>0</v>
      </c>
      <c r="H271" s="77" t="b">
        <v>1</v>
      </c>
      <c r="I271" s="77" t="b">
        <v>0</v>
      </c>
      <c r="J271" s="77" t="b">
        <v>1</v>
      </c>
      <c r="K271" s="77" t="b">
        <v>0</v>
      </c>
      <c r="L271" s="77" t="b">
        <v>0</v>
      </c>
      <c r="M271" s="80">
        <f t="shared" si="1"/>
        <v>3</v>
      </c>
      <c r="N271" s="81">
        <f>M271*75</f>
        <v>225</v>
      </c>
      <c r="O271" s="77" t="b">
        <v>0</v>
      </c>
    </row>
    <row r="272">
      <c r="A272" s="75">
        <v>39.0</v>
      </c>
      <c r="B272" s="76" t="s">
        <v>622</v>
      </c>
      <c r="C272" s="76" t="s">
        <v>42</v>
      </c>
      <c r="D272" s="76" t="s">
        <v>2074</v>
      </c>
      <c r="E272" s="76"/>
      <c r="F272" s="77" t="b">
        <v>0</v>
      </c>
      <c r="G272" s="77" t="b">
        <v>0</v>
      </c>
      <c r="H272" s="77" t="b">
        <v>0</v>
      </c>
      <c r="I272" s="77" t="b">
        <v>0</v>
      </c>
      <c r="J272" s="77" t="b">
        <v>1</v>
      </c>
      <c r="K272" s="77" t="b">
        <v>0</v>
      </c>
      <c r="L272" s="77" t="b">
        <v>0</v>
      </c>
      <c r="M272" s="80">
        <f t="shared" si="1"/>
        <v>1</v>
      </c>
      <c r="N272" s="81">
        <f t="shared" ref="N272:N274" si="37">M272*50</f>
        <v>50</v>
      </c>
      <c r="O272" s="77" t="b">
        <v>0</v>
      </c>
    </row>
    <row r="273">
      <c r="A273" s="75">
        <v>39.0</v>
      </c>
      <c r="B273" s="76" t="s">
        <v>622</v>
      </c>
      <c r="C273" s="76" t="s">
        <v>42</v>
      </c>
      <c r="D273" s="76" t="s">
        <v>1570</v>
      </c>
      <c r="E273" s="76"/>
      <c r="F273" s="77" t="b">
        <v>0</v>
      </c>
      <c r="G273" s="77" t="b">
        <v>0</v>
      </c>
      <c r="H273" s="77" t="b">
        <v>0</v>
      </c>
      <c r="I273" s="77" t="b">
        <v>0</v>
      </c>
      <c r="J273" s="77" t="b">
        <v>1</v>
      </c>
      <c r="K273" s="77" t="b">
        <v>1</v>
      </c>
      <c r="L273" s="77" t="b">
        <v>0</v>
      </c>
      <c r="M273" s="80">
        <f t="shared" si="1"/>
        <v>2</v>
      </c>
      <c r="N273" s="81">
        <f t="shared" si="37"/>
        <v>100</v>
      </c>
      <c r="O273" s="77" t="b">
        <v>0</v>
      </c>
    </row>
    <row r="274">
      <c r="A274" s="82">
        <v>39.0</v>
      </c>
      <c r="B274" s="83" t="s">
        <v>622</v>
      </c>
      <c r="C274" s="83" t="s">
        <v>35</v>
      </c>
      <c r="D274" s="83" t="s">
        <v>2049</v>
      </c>
      <c r="E274" s="83"/>
      <c r="F274" s="85" t="b">
        <v>0</v>
      </c>
      <c r="G274" s="85" t="b">
        <v>0</v>
      </c>
      <c r="H274" s="85" t="b">
        <v>0</v>
      </c>
      <c r="I274" s="85" t="b">
        <v>0</v>
      </c>
      <c r="J274" s="85" t="b">
        <v>1</v>
      </c>
      <c r="K274" s="85" t="b">
        <v>1</v>
      </c>
      <c r="L274" s="85" t="b">
        <v>0</v>
      </c>
      <c r="M274" s="86">
        <f t="shared" si="1"/>
        <v>2</v>
      </c>
      <c r="N274" s="87">
        <f t="shared" si="37"/>
        <v>100</v>
      </c>
      <c r="O274" s="85" t="b">
        <v>0</v>
      </c>
    </row>
    <row r="275">
      <c r="A275" s="75">
        <v>39.0</v>
      </c>
      <c r="B275" s="76" t="s">
        <v>622</v>
      </c>
      <c r="C275" s="76" t="s">
        <v>61</v>
      </c>
      <c r="D275" s="76" t="s">
        <v>2102</v>
      </c>
      <c r="E275" s="76"/>
      <c r="F275" s="77" t="b">
        <v>0</v>
      </c>
      <c r="G275" s="77" t="b">
        <v>0</v>
      </c>
      <c r="H275" s="77" t="b">
        <v>0</v>
      </c>
      <c r="I275" s="77" t="b">
        <v>0</v>
      </c>
      <c r="J275" s="77" t="b">
        <v>1</v>
      </c>
      <c r="K275" s="77" t="b">
        <v>0</v>
      </c>
      <c r="L275" s="77" t="b">
        <v>0</v>
      </c>
      <c r="M275" s="80">
        <f t="shared" si="1"/>
        <v>1</v>
      </c>
      <c r="N275" s="81">
        <f>M275*0</f>
        <v>0</v>
      </c>
      <c r="O275" s="77" t="b">
        <v>0</v>
      </c>
    </row>
    <row r="276">
      <c r="A276" s="75">
        <v>39.0</v>
      </c>
      <c r="B276" s="76" t="s">
        <v>622</v>
      </c>
      <c r="C276" s="76" t="s">
        <v>37</v>
      </c>
      <c r="D276" s="76" t="s">
        <v>2487</v>
      </c>
      <c r="E276" s="76" t="s">
        <v>2489</v>
      </c>
      <c r="F276" s="77" t="b">
        <v>0</v>
      </c>
      <c r="G276" s="77" t="b">
        <v>0</v>
      </c>
      <c r="H276" s="77" t="b">
        <v>0</v>
      </c>
      <c r="I276" s="77" t="b">
        <v>0</v>
      </c>
      <c r="J276" s="77" t="b">
        <v>1</v>
      </c>
      <c r="K276" s="77" t="b">
        <v>1</v>
      </c>
      <c r="L276" s="77" t="b">
        <v>0</v>
      </c>
      <c r="M276" s="80">
        <f t="shared" si="1"/>
        <v>2</v>
      </c>
      <c r="N276" s="81">
        <f>M276*50</f>
        <v>100</v>
      </c>
      <c r="O276" s="77" t="b">
        <v>0</v>
      </c>
    </row>
    <row r="277">
      <c r="A277" s="75">
        <v>39.0</v>
      </c>
      <c r="B277" s="76" t="s">
        <v>622</v>
      </c>
      <c r="C277" s="76" t="s">
        <v>61</v>
      </c>
      <c r="D277" s="76" t="s">
        <v>2088</v>
      </c>
      <c r="E277" s="76"/>
      <c r="F277" s="77" t="b">
        <v>0</v>
      </c>
      <c r="G277" s="77" t="b">
        <v>0</v>
      </c>
      <c r="H277" s="77" t="b">
        <v>0</v>
      </c>
      <c r="I277" s="77" t="b">
        <v>0</v>
      </c>
      <c r="J277" s="77" t="b">
        <v>1</v>
      </c>
      <c r="K277" s="77" t="b">
        <v>0</v>
      </c>
      <c r="L277" s="77" t="b">
        <v>0</v>
      </c>
      <c r="M277" s="80">
        <f t="shared" si="1"/>
        <v>1</v>
      </c>
      <c r="N277" s="81">
        <f t="shared" ref="N277:N278" si="38">M277*0</f>
        <v>0</v>
      </c>
      <c r="O277" s="77" t="b">
        <v>0</v>
      </c>
    </row>
    <row r="278">
      <c r="A278" s="75">
        <v>39.0</v>
      </c>
      <c r="B278" s="76" t="s">
        <v>622</v>
      </c>
      <c r="C278" s="76" t="s">
        <v>61</v>
      </c>
      <c r="D278" s="76" t="s">
        <v>2114</v>
      </c>
      <c r="E278" s="76"/>
      <c r="F278" s="77" t="b">
        <v>0</v>
      </c>
      <c r="G278" s="77" t="b">
        <v>0</v>
      </c>
      <c r="H278" s="77" t="b">
        <v>0</v>
      </c>
      <c r="I278" s="77" t="b">
        <v>0</v>
      </c>
      <c r="J278" s="77" t="b">
        <v>1</v>
      </c>
      <c r="K278" s="77" t="b">
        <v>1</v>
      </c>
      <c r="L278" s="77" t="b">
        <v>0</v>
      </c>
      <c r="M278" s="80">
        <f t="shared" si="1"/>
        <v>2</v>
      </c>
      <c r="N278" s="81">
        <f t="shared" si="38"/>
        <v>0</v>
      </c>
      <c r="O278" s="77" t="b">
        <v>0</v>
      </c>
    </row>
    <row r="279">
      <c r="A279" s="75">
        <v>39.0</v>
      </c>
      <c r="B279" s="76" t="s">
        <v>671</v>
      </c>
      <c r="C279" s="76" t="s">
        <v>52</v>
      </c>
      <c r="D279" s="76" t="s">
        <v>526</v>
      </c>
      <c r="E279" s="76"/>
      <c r="F279" s="77" t="b">
        <v>1</v>
      </c>
      <c r="G279" s="77" t="b">
        <v>0</v>
      </c>
      <c r="H279" s="77" t="b">
        <v>0</v>
      </c>
      <c r="I279" s="77" t="b">
        <v>0</v>
      </c>
      <c r="J279" s="77" t="b">
        <v>1</v>
      </c>
      <c r="K279" s="77" t="b">
        <v>0</v>
      </c>
      <c r="L279" s="77" t="b">
        <v>0</v>
      </c>
      <c r="M279" s="80">
        <f t="shared" si="1"/>
        <v>2</v>
      </c>
      <c r="N279" s="81">
        <f t="shared" ref="N279:N282" si="39">M279*50</f>
        <v>100</v>
      </c>
      <c r="O279" s="77" t="b">
        <v>0</v>
      </c>
    </row>
    <row r="280">
      <c r="A280" s="75">
        <v>39.0</v>
      </c>
      <c r="B280" s="76" t="s">
        <v>671</v>
      </c>
      <c r="C280" s="76" t="s">
        <v>55</v>
      </c>
      <c r="D280" s="76" t="s">
        <v>1169</v>
      </c>
      <c r="E280" s="76"/>
      <c r="F280" s="77" t="b">
        <v>0</v>
      </c>
      <c r="G280" s="77" t="b">
        <v>0</v>
      </c>
      <c r="H280" s="77" t="b">
        <v>0</v>
      </c>
      <c r="I280" s="77" t="b">
        <v>0</v>
      </c>
      <c r="J280" s="77" t="b">
        <v>0</v>
      </c>
      <c r="K280" s="77" t="b">
        <v>0</v>
      </c>
      <c r="L280" s="77" t="b">
        <v>0</v>
      </c>
      <c r="M280" s="80">
        <f t="shared" si="1"/>
        <v>0</v>
      </c>
      <c r="N280" s="81">
        <f t="shared" si="39"/>
        <v>0</v>
      </c>
      <c r="O280" s="77" t="b">
        <v>0</v>
      </c>
    </row>
    <row r="281">
      <c r="A281" s="75">
        <v>39.0</v>
      </c>
      <c r="B281" s="76" t="s">
        <v>671</v>
      </c>
      <c r="C281" s="76" t="s">
        <v>42</v>
      </c>
      <c r="D281" s="76" t="s">
        <v>442</v>
      </c>
      <c r="E281" s="76"/>
      <c r="F281" s="77" t="b">
        <v>1</v>
      </c>
      <c r="G281" s="77" t="b">
        <v>1</v>
      </c>
      <c r="H281" s="77" t="b">
        <v>1</v>
      </c>
      <c r="I281" s="77" t="b">
        <v>0</v>
      </c>
      <c r="J281" s="77" t="b">
        <v>0</v>
      </c>
      <c r="K281" s="77" t="b">
        <v>1</v>
      </c>
      <c r="L281" s="77" t="b">
        <v>0</v>
      </c>
      <c r="M281" s="80">
        <f t="shared" si="1"/>
        <v>4</v>
      </c>
      <c r="N281" s="81">
        <f t="shared" si="39"/>
        <v>200</v>
      </c>
      <c r="O281" s="77" t="b">
        <v>0</v>
      </c>
    </row>
    <row r="282">
      <c r="A282" s="75">
        <v>39.0</v>
      </c>
      <c r="B282" s="76" t="s">
        <v>671</v>
      </c>
      <c r="C282" s="76" t="s">
        <v>55</v>
      </c>
      <c r="D282" s="76" t="s">
        <v>2410</v>
      </c>
      <c r="E282" s="76" t="s">
        <v>2412</v>
      </c>
      <c r="F282" s="77" t="b">
        <v>0</v>
      </c>
      <c r="G282" s="77" t="b">
        <v>0</v>
      </c>
      <c r="H282" s="77" t="b">
        <v>0</v>
      </c>
      <c r="I282" s="77" t="b">
        <v>0</v>
      </c>
      <c r="J282" s="77" t="b">
        <v>0</v>
      </c>
      <c r="K282" s="77" t="b">
        <v>0</v>
      </c>
      <c r="L282" s="77" t="b">
        <v>0</v>
      </c>
      <c r="M282" s="80">
        <f t="shared" si="1"/>
        <v>0</v>
      </c>
      <c r="N282" s="81">
        <f t="shared" si="39"/>
        <v>0</v>
      </c>
      <c r="O282" s="77" t="b">
        <v>0</v>
      </c>
    </row>
    <row r="283">
      <c r="A283" s="75">
        <v>39.0</v>
      </c>
      <c r="B283" s="76" t="s">
        <v>671</v>
      </c>
      <c r="C283" s="76" t="s">
        <v>30</v>
      </c>
      <c r="D283" s="76" t="s">
        <v>2961</v>
      </c>
      <c r="E283" s="76" t="s">
        <v>1942</v>
      </c>
      <c r="F283" s="77" t="b">
        <v>0</v>
      </c>
      <c r="G283" s="77" t="b">
        <v>0</v>
      </c>
      <c r="H283" s="77" t="b">
        <v>0</v>
      </c>
      <c r="I283" s="77" t="b">
        <v>1</v>
      </c>
      <c r="J283" s="77" t="b">
        <v>0</v>
      </c>
      <c r="K283" s="77" t="b">
        <v>1</v>
      </c>
      <c r="L283" s="77" t="b">
        <v>0</v>
      </c>
      <c r="M283" s="80">
        <f t="shared" si="1"/>
        <v>2</v>
      </c>
      <c r="N283" s="81">
        <f>M283*75</f>
        <v>150</v>
      </c>
      <c r="O283" s="77" t="b">
        <v>0</v>
      </c>
    </row>
    <row r="284">
      <c r="A284" s="75">
        <v>39.0</v>
      </c>
      <c r="B284" s="76" t="s">
        <v>671</v>
      </c>
      <c r="C284" s="76" t="s">
        <v>52</v>
      </c>
      <c r="D284" s="76" t="s">
        <v>2433</v>
      </c>
      <c r="E284" s="76" t="s">
        <v>2435</v>
      </c>
      <c r="F284" s="77" t="b">
        <v>1</v>
      </c>
      <c r="G284" s="77" t="b">
        <v>0</v>
      </c>
      <c r="H284" s="77" t="b">
        <v>1</v>
      </c>
      <c r="I284" s="77" t="b">
        <v>0</v>
      </c>
      <c r="J284" s="77" t="b">
        <v>0</v>
      </c>
      <c r="K284" s="77" t="b">
        <v>0</v>
      </c>
      <c r="L284" s="77" t="b">
        <v>0</v>
      </c>
      <c r="M284" s="80">
        <f t="shared" si="1"/>
        <v>2</v>
      </c>
      <c r="N284" s="81">
        <f t="shared" ref="N284:N288" si="40">M284*50</f>
        <v>100</v>
      </c>
      <c r="O284" s="77" t="b">
        <v>0</v>
      </c>
    </row>
    <row r="285">
      <c r="A285" s="88">
        <v>39.0</v>
      </c>
      <c r="B285" s="89" t="s">
        <v>671</v>
      </c>
      <c r="C285" s="89" t="s">
        <v>49</v>
      </c>
      <c r="D285" s="89" t="s">
        <v>2159</v>
      </c>
      <c r="E285" s="89" t="s">
        <v>2162</v>
      </c>
      <c r="F285" s="90" t="b">
        <v>1</v>
      </c>
      <c r="G285" s="90" t="b">
        <v>0</v>
      </c>
      <c r="H285" s="90" t="b">
        <v>1</v>
      </c>
      <c r="I285" s="90" t="b">
        <v>1</v>
      </c>
      <c r="J285" s="90" t="b">
        <v>1</v>
      </c>
      <c r="K285" s="90" t="b">
        <v>1</v>
      </c>
      <c r="L285" s="90" t="b">
        <v>0</v>
      </c>
      <c r="M285" s="91">
        <f t="shared" si="1"/>
        <v>5</v>
      </c>
      <c r="N285" s="92">
        <f t="shared" si="40"/>
        <v>250</v>
      </c>
      <c r="O285" s="90" t="b">
        <v>0</v>
      </c>
    </row>
    <row r="286">
      <c r="A286" s="88">
        <v>39.0</v>
      </c>
      <c r="B286" s="4" t="s">
        <v>671</v>
      </c>
      <c r="C286" s="4" t="s">
        <v>55</v>
      </c>
      <c r="D286" s="4" t="s">
        <v>2446</v>
      </c>
      <c r="E286" s="4" t="s">
        <v>2448</v>
      </c>
      <c r="F286" s="13" t="b">
        <v>0</v>
      </c>
      <c r="G286" s="13" t="b">
        <v>0</v>
      </c>
      <c r="H286" s="13" t="b">
        <v>1</v>
      </c>
      <c r="I286" s="13" t="b">
        <v>1</v>
      </c>
      <c r="J286" s="13" t="b">
        <v>0</v>
      </c>
      <c r="K286" s="13" t="b">
        <v>0</v>
      </c>
      <c r="L286" s="13" t="b">
        <v>0</v>
      </c>
      <c r="M286" s="15">
        <f t="shared" si="1"/>
        <v>2</v>
      </c>
      <c r="N286" s="74">
        <f t="shared" si="40"/>
        <v>100</v>
      </c>
      <c r="O286" s="13" t="b">
        <v>0</v>
      </c>
    </row>
    <row r="287">
      <c r="A287" s="88">
        <v>39.0</v>
      </c>
      <c r="B287" s="4" t="s">
        <v>671</v>
      </c>
      <c r="C287" s="4" t="s">
        <v>55</v>
      </c>
      <c r="D287" s="4" t="s">
        <v>2257</v>
      </c>
      <c r="E287" s="4" t="s">
        <v>2259</v>
      </c>
      <c r="F287" s="13" t="b">
        <v>1</v>
      </c>
      <c r="G287" s="13" t="b">
        <v>0</v>
      </c>
      <c r="H287" s="13" t="b">
        <v>1</v>
      </c>
      <c r="I287" s="13" t="b">
        <v>1</v>
      </c>
      <c r="J287" s="13" t="b">
        <v>0</v>
      </c>
      <c r="K287" s="13" t="b">
        <v>1</v>
      </c>
      <c r="L287" s="13" t="b">
        <v>0</v>
      </c>
      <c r="M287" s="15">
        <f t="shared" si="1"/>
        <v>4</v>
      </c>
      <c r="N287" s="74">
        <f t="shared" si="40"/>
        <v>200</v>
      </c>
      <c r="O287" s="13" t="b">
        <v>0</v>
      </c>
    </row>
    <row r="288">
      <c r="A288" s="88">
        <v>39.0</v>
      </c>
      <c r="B288" s="4" t="s">
        <v>671</v>
      </c>
      <c r="C288" s="4" t="s">
        <v>37</v>
      </c>
      <c r="D288" s="4" t="s">
        <v>2473</v>
      </c>
      <c r="E288" s="4" t="s">
        <v>2475</v>
      </c>
      <c r="F288" s="13" t="b">
        <v>1</v>
      </c>
      <c r="G288" s="13" t="b">
        <v>1</v>
      </c>
      <c r="H288" s="13" t="b">
        <v>1</v>
      </c>
      <c r="I288" s="13" t="b">
        <v>1</v>
      </c>
      <c r="J288" s="13" t="b">
        <v>1</v>
      </c>
      <c r="K288" s="13" t="b">
        <v>1</v>
      </c>
      <c r="L288" s="13" t="b">
        <v>0</v>
      </c>
      <c r="M288" s="15">
        <f t="shared" si="1"/>
        <v>6</v>
      </c>
      <c r="N288" s="74">
        <f t="shared" si="40"/>
        <v>300</v>
      </c>
      <c r="O288" s="13" t="b">
        <v>0</v>
      </c>
    </row>
    <row r="289">
      <c r="A289" s="93"/>
      <c r="F289" s="15"/>
      <c r="G289" s="15"/>
      <c r="H289" s="15"/>
      <c r="I289" s="15"/>
      <c r="J289" s="15"/>
      <c r="K289" s="15"/>
      <c r="L289" s="15"/>
      <c r="M289" s="15"/>
      <c r="N289" s="74"/>
    </row>
    <row r="290">
      <c r="A290" s="93"/>
      <c r="F290" s="15"/>
      <c r="G290" s="15"/>
      <c r="H290" s="15"/>
      <c r="I290" s="15"/>
      <c r="J290" s="15"/>
      <c r="K290" s="15"/>
      <c r="L290" s="15"/>
      <c r="M290" s="15"/>
      <c r="N290" s="74"/>
    </row>
    <row r="291">
      <c r="A291" s="93"/>
      <c r="F291" s="15"/>
      <c r="G291" s="15"/>
      <c r="H291" s="15"/>
      <c r="I291" s="15"/>
      <c r="J291" s="15"/>
      <c r="K291" s="15"/>
      <c r="L291" s="15"/>
      <c r="M291" s="15"/>
      <c r="N291" s="74"/>
    </row>
    <row r="292">
      <c r="A292" s="93"/>
      <c r="F292" s="15"/>
      <c r="G292" s="15"/>
      <c r="H292" s="15"/>
      <c r="I292" s="15"/>
      <c r="J292" s="15"/>
      <c r="K292" s="15"/>
      <c r="L292" s="15"/>
      <c r="M292" s="15"/>
      <c r="N292" s="74"/>
    </row>
    <row r="293">
      <c r="A293" s="93"/>
      <c r="F293" s="15"/>
      <c r="G293" s="15"/>
      <c r="H293" s="15"/>
      <c r="I293" s="15"/>
      <c r="J293" s="15"/>
      <c r="K293" s="15"/>
      <c r="L293" s="15"/>
      <c r="M293" s="15"/>
      <c r="N293" s="74"/>
    </row>
    <row r="294">
      <c r="A294" s="93"/>
      <c r="F294" s="15"/>
      <c r="G294" s="15"/>
      <c r="H294" s="15"/>
      <c r="I294" s="15"/>
      <c r="J294" s="15"/>
      <c r="K294" s="15"/>
      <c r="L294" s="15"/>
      <c r="M294" s="15"/>
      <c r="N294" s="74"/>
    </row>
    <row r="295">
      <c r="A295" s="93"/>
      <c r="F295" s="15"/>
      <c r="G295" s="15"/>
      <c r="H295" s="15"/>
      <c r="I295" s="15"/>
      <c r="J295" s="15"/>
      <c r="K295" s="15"/>
      <c r="L295" s="15"/>
      <c r="M295" s="15"/>
      <c r="N295" s="74"/>
    </row>
    <row r="296">
      <c r="A296" s="93"/>
      <c r="F296" s="15"/>
      <c r="G296" s="15"/>
      <c r="H296" s="15"/>
      <c r="I296" s="15"/>
      <c r="J296" s="15"/>
      <c r="K296" s="15"/>
      <c r="L296" s="15"/>
      <c r="M296" s="15"/>
      <c r="N296" s="74"/>
    </row>
    <row r="297">
      <c r="A297" s="93"/>
      <c r="F297" s="15"/>
      <c r="G297" s="15"/>
      <c r="H297" s="15"/>
      <c r="I297" s="15"/>
      <c r="J297" s="15"/>
      <c r="K297" s="15"/>
      <c r="L297" s="15"/>
      <c r="M297" s="15"/>
      <c r="N297" s="74"/>
    </row>
    <row r="298">
      <c r="A298" s="93"/>
      <c r="F298" s="15"/>
      <c r="G298" s="15"/>
      <c r="H298" s="15"/>
      <c r="I298" s="15"/>
      <c r="J298" s="15"/>
      <c r="K298" s="15"/>
      <c r="L298" s="15"/>
      <c r="M298" s="15"/>
      <c r="N298" s="74"/>
    </row>
    <row r="299">
      <c r="A299" s="93"/>
      <c r="F299" s="15"/>
      <c r="G299" s="15"/>
      <c r="H299" s="15"/>
      <c r="I299" s="15"/>
      <c r="J299" s="15"/>
      <c r="K299" s="15"/>
      <c r="L299" s="15"/>
      <c r="M299" s="15"/>
      <c r="N299" s="74"/>
    </row>
    <row r="300">
      <c r="A300" s="93"/>
      <c r="F300" s="15"/>
      <c r="G300" s="15"/>
      <c r="H300" s="15"/>
      <c r="I300" s="15"/>
      <c r="J300" s="15"/>
      <c r="K300" s="15"/>
      <c r="L300" s="15"/>
      <c r="M300" s="15"/>
      <c r="N300" s="74"/>
    </row>
    <row r="301">
      <c r="A301" s="93"/>
      <c r="F301" s="15"/>
      <c r="G301" s="15"/>
      <c r="H301" s="15"/>
      <c r="I301" s="15"/>
      <c r="J301" s="15"/>
      <c r="K301" s="15"/>
      <c r="L301" s="15"/>
      <c r="M301" s="15"/>
      <c r="N301" s="74"/>
    </row>
    <row r="302">
      <c r="A302" s="93"/>
      <c r="F302" s="15"/>
      <c r="G302" s="15"/>
      <c r="H302" s="15"/>
      <c r="I302" s="15"/>
      <c r="J302" s="15"/>
      <c r="K302" s="15"/>
      <c r="L302" s="15"/>
      <c r="M302" s="15"/>
      <c r="N302" s="74"/>
    </row>
    <row r="303">
      <c r="A303" s="93"/>
      <c r="F303" s="15"/>
      <c r="G303" s="15"/>
      <c r="H303" s="15"/>
      <c r="I303" s="15"/>
      <c r="J303" s="15"/>
      <c r="K303" s="15"/>
      <c r="L303" s="15"/>
      <c r="M303" s="15"/>
      <c r="N303" s="74"/>
    </row>
    <row r="304">
      <c r="A304" s="93"/>
      <c r="F304" s="15"/>
      <c r="G304" s="15"/>
      <c r="H304" s="15"/>
      <c r="I304" s="15"/>
      <c r="J304" s="15"/>
      <c r="K304" s="15"/>
      <c r="L304" s="15"/>
      <c r="M304" s="15"/>
      <c r="N304" s="74"/>
    </row>
    <row r="305">
      <c r="A305" s="93"/>
      <c r="F305" s="15"/>
      <c r="G305" s="15"/>
      <c r="H305" s="15"/>
      <c r="I305" s="15"/>
      <c r="J305" s="15"/>
      <c r="K305" s="15"/>
      <c r="L305" s="15"/>
      <c r="M305" s="15"/>
      <c r="N305" s="74"/>
    </row>
    <row r="306">
      <c r="A306" s="93"/>
      <c r="F306" s="15"/>
      <c r="G306" s="15"/>
      <c r="H306" s="15"/>
      <c r="I306" s="15"/>
      <c r="J306" s="15"/>
      <c r="K306" s="15"/>
      <c r="L306" s="15"/>
      <c r="M306" s="15"/>
      <c r="N306" s="74"/>
    </row>
    <row r="307">
      <c r="A307" s="93"/>
      <c r="F307" s="15"/>
      <c r="G307" s="15"/>
      <c r="H307" s="15"/>
      <c r="I307" s="15"/>
      <c r="J307" s="15"/>
      <c r="K307" s="15"/>
      <c r="L307" s="15"/>
      <c r="M307" s="15"/>
      <c r="N307" s="74"/>
    </row>
    <row r="308">
      <c r="A308" s="93"/>
      <c r="F308" s="15"/>
      <c r="G308" s="15"/>
      <c r="H308" s="15"/>
      <c r="I308" s="15"/>
      <c r="J308" s="15"/>
      <c r="K308" s="15"/>
      <c r="L308" s="15"/>
      <c r="M308" s="15"/>
      <c r="N308" s="74"/>
    </row>
    <row r="309">
      <c r="A309" s="93"/>
      <c r="F309" s="15"/>
      <c r="G309" s="15"/>
      <c r="H309" s="15"/>
      <c r="I309" s="15"/>
      <c r="J309" s="15"/>
      <c r="K309" s="15"/>
      <c r="L309" s="15"/>
      <c r="M309" s="15"/>
      <c r="N309" s="74"/>
    </row>
    <row r="310">
      <c r="A310" s="93"/>
      <c r="F310" s="15"/>
      <c r="G310" s="15"/>
      <c r="H310" s="15"/>
      <c r="I310" s="15"/>
      <c r="J310" s="15"/>
      <c r="K310" s="15"/>
      <c r="L310" s="15"/>
      <c r="M310" s="15"/>
      <c r="N310" s="74"/>
    </row>
    <row r="311">
      <c r="A311" s="93"/>
      <c r="F311" s="15"/>
      <c r="G311" s="15"/>
      <c r="H311" s="15"/>
      <c r="I311" s="15"/>
      <c r="J311" s="15"/>
      <c r="K311" s="15"/>
      <c r="L311" s="15"/>
      <c r="M311" s="15"/>
      <c r="N311" s="74"/>
    </row>
    <row r="312">
      <c r="A312" s="93"/>
      <c r="F312" s="15"/>
      <c r="G312" s="15"/>
      <c r="H312" s="15"/>
      <c r="I312" s="15"/>
      <c r="J312" s="15"/>
      <c r="K312" s="15"/>
      <c r="L312" s="15"/>
      <c r="M312" s="15"/>
      <c r="N312" s="74"/>
    </row>
    <row r="313">
      <c r="A313" s="93"/>
      <c r="F313" s="15"/>
      <c r="G313" s="15"/>
      <c r="H313" s="15"/>
      <c r="I313" s="15"/>
      <c r="J313" s="15"/>
      <c r="K313" s="15"/>
      <c r="L313" s="15"/>
      <c r="M313" s="15"/>
      <c r="N313" s="74"/>
    </row>
    <row r="314">
      <c r="A314" s="93"/>
      <c r="F314" s="15"/>
      <c r="G314" s="15"/>
      <c r="H314" s="15"/>
      <c r="I314" s="15"/>
      <c r="J314" s="15"/>
      <c r="K314" s="15"/>
      <c r="L314" s="15"/>
      <c r="M314" s="15"/>
      <c r="N314" s="74"/>
    </row>
    <row r="315">
      <c r="A315" s="93"/>
      <c r="F315" s="15"/>
      <c r="G315" s="15"/>
      <c r="H315" s="15"/>
      <c r="I315" s="15"/>
      <c r="J315" s="15"/>
      <c r="K315" s="15"/>
      <c r="L315" s="15"/>
      <c r="M315" s="15"/>
      <c r="N315" s="74"/>
    </row>
    <row r="316">
      <c r="A316" s="93"/>
      <c r="F316" s="15"/>
      <c r="G316" s="15"/>
      <c r="H316" s="15"/>
      <c r="I316" s="15"/>
      <c r="J316" s="15"/>
      <c r="K316" s="15"/>
      <c r="L316" s="15"/>
      <c r="M316" s="15"/>
      <c r="N316" s="74"/>
    </row>
    <row r="317">
      <c r="A317" s="93"/>
      <c r="F317" s="15"/>
      <c r="G317" s="15"/>
      <c r="H317" s="15"/>
      <c r="I317" s="15"/>
      <c r="J317" s="15"/>
      <c r="K317" s="15"/>
      <c r="L317" s="15"/>
      <c r="M317" s="15"/>
      <c r="N317" s="74"/>
    </row>
    <row r="318">
      <c r="A318" s="93"/>
      <c r="F318" s="15"/>
      <c r="G318" s="15"/>
      <c r="H318" s="15"/>
      <c r="I318" s="15"/>
      <c r="J318" s="15"/>
      <c r="K318" s="15"/>
      <c r="L318" s="15"/>
      <c r="M318" s="15"/>
      <c r="N318" s="74"/>
    </row>
    <row r="319">
      <c r="A319" s="93"/>
      <c r="F319" s="15"/>
      <c r="G319" s="15"/>
      <c r="H319" s="15"/>
      <c r="I319" s="15"/>
      <c r="J319" s="15"/>
      <c r="K319" s="15"/>
      <c r="L319" s="15"/>
      <c r="M319" s="15"/>
      <c r="N319" s="74"/>
    </row>
    <row r="320">
      <c r="A320" s="93"/>
      <c r="F320" s="15"/>
      <c r="G320" s="15"/>
      <c r="H320" s="15"/>
      <c r="I320" s="15"/>
      <c r="J320" s="15"/>
      <c r="K320" s="15"/>
      <c r="L320" s="15"/>
      <c r="M320" s="15"/>
      <c r="N320" s="74"/>
    </row>
    <row r="321">
      <c r="A321" s="93"/>
      <c r="F321" s="15"/>
      <c r="G321" s="15"/>
      <c r="H321" s="15"/>
      <c r="I321" s="15"/>
      <c r="J321" s="15"/>
      <c r="K321" s="15"/>
      <c r="L321" s="15"/>
      <c r="M321" s="15"/>
      <c r="N321" s="74"/>
    </row>
    <row r="322">
      <c r="A322" s="93"/>
      <c r="F322" s="15"/>
      <c r="G322" s="15"/>
      <c r="H322" s="15"/>
      <c r="I322" s="15"/>
      <c r="J322" s="15"/>
      <c r="K322" s="15"/>
      <c r="L322" s="15"/>
      <c r="M322" s="15"/>
      <c r="N322" s="74"/>
    </row>
    <row r="323">
      <c r="A323" s="93"/>
      <c r="F323" s="15"/>
      <c r="G323" s="15"/>
      <c r="H323" s="15"/>
      <c r="I323" s="15"/>
      <c r="J323" s="15"/>
      <c r="K323" s="15"/>
      <c r="L323" s="15"/>
      <c r="M323" s="15"/>
      <c r="N323" s="74"/>
    </row>
    <row r="324">
      <c r="A324" s="93"/>
      <c r="F324" s="15"/>
      <c r="G324" s="15"/>
      <c r="H324" s="15"/>
      <c r="I324" s="15"/>
      <c r="J324" s="15"/>
      <c r="K324" s="15"/>
      <c r="L324" s="15"/>
      <c r="M324" s="15"/>
      <c r="N324" s="74"/>
    </row>
    <row r="325">
      <c r="A325" s="93"/>
      <c r="F325" s="15"/>
      <c r="G325" s="15"/>
      <c r="H325" s="15"/>
      <c r="I325" s="15"/>
      <c r="J325" s="15"/>
      <c r="K325" s="15"/>
      <c r="L325" s="15"/>
      <c r="M325" s="15"/>
      <c r="N325" s="74"/>
    </row>
    <row r="326">
      <c r="A326" s="93"/>
      <c r="F326" s="15"/>
      <c r="G326" s="15"/>
      <c r="H326" s="15"/>
      <c r="I326" s="15"/>
      <c r="J326" s="15"/>
      <c r="K326" s="15"/>
      <c r="L326" s="15"/>
      <c r="M326" s="15"/>
      <c r="N326" s="74"/>
    </row>
    <row r="327">
      <c r="A327" s="93"/>
      <c r="F327" s="15"/>
      <c r="G327" s="15"/>
      <c r="H327" s="15"/>
      <c r="I327" s="15"/>
      <c r="J327" s="15"/>
      <c r="K327" s="15"/>
      <c r="L327" s="15"/>
      <c r="M327" s="15"/>
      <c r="N327" s="74"/>
    </row>
    <row r="328">
      <c r="A328" s="93"/>
      <c r="F328" s="15"/>
      <c r="G328" s="15"/>
      <c r="H328" s="15"/>
      <c r="I328" s="15"/>
      <c r="J328" s="15"/>
      <c r="K328" s="15"/>
      <c r="L328" s="15"/>
      <c r="M328" s="15"/>
      <c r="N328" s="74"/>
    </row>
    <row r="329">
      <c r="A329" s="93"/>
      <c r="F329" s="15"/>
      <c r="G329" s="15"/>
      <c r="H329" s="15"/>
      <c r="I329" s="15"/>
      <c r="J329" s="15"/>
      <c r="K329" s="15"/>
      <c r="L329" s="15"/>
      <c r="M329" s="15"/>
      <c r="N329" s="74"/>
    </row>
    <row r="330">
      <c r="A330" s="93"/>
      <c r="F330" s="15"/>
      <c r="G330" s="15"/>
      <c r="H330" s="15"/>
      <c r="I330" s="15"/>
      <c r="J330" s="15"/>
      <c r="K330" s="15"/>
      <c r="L330" s="15"/>
      <c r="M330" s="15"/>
      <c r="N330" s="74"/>
    </row>
    <row r="331">
      <c r="A331" s="93"/>
      <c r="F331" s="15"/>
      <c r="G331" s="15"/>
      <c r="H331" s="15"/>
      <c r="I331" s="15"/>
      <c r="J331" s="15"/>
      <c r="K331" s="15"/>
      <c r="L331" s="15"/>
      <c r="M331" s="15"/>
      <c r="N331" s="74"/>
    </row>
    <row r="332">
      <c r="A332" s="93"/>
      <c r="F332" s="15"/>
      <c r="G332" s="15"/>
      <c r="H332" s="15"/>
      <c r="I332" s="15"/>
      <c r="J332" s="15"/>
      <c r="K332" s="15"/>
      <c r="L332" s="15"/>
      <c r="M332" s="15"/>
      <c r="N332" s="74"/>
    </row>
    <row r="333">
      <c r="A333" s="93"/>
      <c r="F333" s="15"/>
      <c r="G333" s="15"/>
      <c r="H333" s="15"/>
      <c r="I333" s="15"/>
      <c r="J333" s="15"/>
      <c r="K333" s="15"/>
      <c r="L333" s="15"/>
      <c r="M333" s="15"/>
      <c r="N333" s="74"/>
    </row>
    <row r="334">
      <c r="A334" s="93"/>
      <c r="F334" s="15"/>
      <c r="G334" s="15"/>
      <c r="H334" s="15"/>
      <c r="I334" s="15"/>
      <c r="J334" s="15"/>
      <c r="K334" s="15"/>
      <c r="L334" s="15"/>
      <c r="M334" s="15"/>
      <c r="N334" s="74"/>
    </row>
    <row r="335">
      <c r="A335" s="93"/>
      <c r="F335" s="15"/>
      <c r="G335" s="15"/>
      <c r="H335" s="15"/>
      <c r="I335" s="15"/>
      <c r="J335" s="15"/>
      <c r="K335" s="15"/>
      <c r="L335" s="15"/>
      <c r="M335" s="15"/>
      <c r="N335" s="74"/>
    </row>
    <row r="336">
      <c r="A336" s="93"/>
      <c r="F336" s="15"/>
      <c r="G336" s="15"/>
      <c r="H336" s="15"/>
      <c r="I336" s="15"/>
      <c r="J336" s="15"/>
      <c r="K336" s="15"/>
      <c r="L336" s="15"/>
      <c r="M336" s="15"/>
      <c r="N336" s="74"/>
    </row>
    <row r="337">
      <c r="A337" s="93"/>
      <c r="F337" s="15"/>
      <c r="G337" s="15"/>
      <c r="H337" s="15"/>
      <c r="I337" s="15"/>
      <c r="J337" s="15"/>
      <c r="K337" s="15"/>
      <c r="L337" s="15"/>
      <c r="M337" s="15"/>
      <c r="N337" s="74"/>
    </row>
    <row r="338">
      <c r="A338" s="93"/>
      <c r="F338" s="15"/>
      <c r="G338" s="15"/>
      <c r="H338" s="15"/>
      <c r="I338" s="15"/>
      <c r="J338" s="15"/>
      <c r="K338" s="15"/>
      <c r="L338" s="15"/>
      <c r="M338" s="15"/>
      <c r="N338" s="74"/>
    </row>
    <row r="339">
      <c r="A339" s="93"/>
      <c r="F339" s="15"/>
      <c r="G339" s="15"/>
      <c r="H339" s="15"/>
      <c r="I339" s="15"/>
      <c r="J339" s="15"/>
      <c r="K339" s="15"/>
      <c r="L339" s="15"/>
      <c r="M339" s="15"/>
      <c r="N339" s="74"/>
    </row>
    <row r="340">
      <c r="A340" s="93"/>
      <c r="F340" s="15"/>
      <c r="G340" s="15"/>
      <c r="H340" s="15"/>
      <c r="I340" s="15"/>
      <c r="J340" s="15"/>
      <c r="K340" s="15"/>
      <c r="L340" s="15"/>
      <c r="M340" s="15"/>
      <c r="N340" s="74"/>
    </row>
    <row r="341">
      <c r="A341" s="93"/>
      <c r="F341" s="15"/>
      <c r="G341" s="15"/>
      <c r="H341" s="15"/>
      <c r="I341" s="15"/>
      <c r="J341" s="15"/>
      <c r="K341" s="15"/>
      <c r="L341" s="15"/>
      <c r="M341" s="15"/>
      <c r="N341" s="74"/>
    </row>
    <row r="342">
      <c r="A342" s="93"/>
      <c r="F342" s="15"/>
      <c r="G342" s="15"/>
      <c r="H342" s="15"/>
      <c r="I342" s="15"/>
      <c r="J342" s="15"/>
      <c r="K342" s="15"/>
      <c r="L342" s="15"/>
      <c r="M342" s="15"/>
      <c r="N342" s="74"/>
    </row>
    <row r="343">
      <c r="A343" s="93"/>
      <c r="F343" s="15"/>
      <c r="G343" s="15"/>
      <c r="H343" s="15"/>
      <c r="I343" s="15"/>
      <c r="J343" s="15"/>
      <c r="K343" s="15"/>
      <c r="L343" s="15"/>
      <c r="M343" s="15"/>
      <c r="N343" s="74"/>
    </row>
    <row r="344">
      <c r="A344" s="93"/>
      <c r="F344" s="15"/>
      <c r="G344" s="15"/>
      <c r="H344" s="15"/>
      <c r="I344" s="15"/>
      <c r="J344" s="15"/>
      <c r="K344" s="15"/>
      <c r="L344" s="15"/>
      <c r="M344" s="15"/>
      <c r="N344" s="74"/>
    </row>
    <row r="345">
      <c r="A345" s="93"/>
      <c r="F345" s="15"/>
      <c r="G345" s="15"/>
      <c r="H345" s="15"/>
      <c r="I345" s="15"/>
      <c r="J345" s="15"/>
      <c r="K345" s="15"/>
      <c r="L345" s="15"/>
      <c r="M345" s="15"/>
      <c r="N345" s="74"/>
    </row>
    <row r="346">
      <c r="A346" s="93"/>
      <c r="F346" s="15"/>
      <c r="G346" s="15"/>
      <c r="H346" s="15"/>
      <c r="I346" s="15"/>
      <c r="J346" s="15"/>
      <c r="K346" s="15"/>
      <c r="L346" s="15"/>
      <c r="M346" s="15"/>
      <c r="N346" s="74"/>
    </row>
    <row r="347">
      <c r="A347" s="93"/>
      <c r="F347" s="15"/>
      <c r="G347" s="15"/>
      <c r="H347" s="15"/>
      <c r="I347" s="15"/>
      <c r="J347" s="15"/>
      <c r="K347" s="15"/>
      <c r="L347" s="15"/>
      <c r="M347" s="15"/>
      <c r="N347" s="74"/>
    </row>
    <row r="348">
      <c r="A348" s="93"/>
      <c r="F348" s="15"/>
      <c r="G348" s="15"/>
      <c r="H348" s="15"/>
      <c r="I348" s="15"/>
      <c r="J348" s="15"/>
      <c r="K348" s="15"/>
      <c r="L348" s="15"/>
      <c r="M348" s="15"/>
      <c r="N348" s="74"/>
    </row>
    <row r="349">
      <c r="A349" s="93"/>
      <c r="F349" s="15"/>
      <c r="G349" s="15"/>
      <c r="H349" s="15"/>
      <c r="I349" s="15"/>
      <c r="J349" s="15"/>
      <c r="K349" s="15"/>
      <c r="L349" s="15"/>
      <c r="M349" s="15"/>
      <c r="N349" s="74"/>
    </row>
    <row r="350">
      <c r="A350" s="93"/>
      <c r="F350" s="15"/>
      <c r="G350" s="15"/>
      <c r="H350" s="15"/>
      <c r="I350" s="15"/>
      <c r="J350" s="15"/>
      <c r="K350" s="15"/>
      <c r="L350" s="15"/>
      <c r="M350" s="15"/>
      <c r="N350" s="74"/>
    </row>
    <row r="351">
      <c r="A351" s="93"/>
      <c r="F351" s="15"/>
      <c r="G351" s="15"/>
      <c r="H351" s="15"/>
      <c r="I351" s="15"/>
      <c r="J351" s="15"/>
      <c r="K351" s="15"/>
      <c r="L351" s="15"/>
      <c r="M351" s="15"/>
      <c r="N351" s="74"/>
    </row>
    <row r="352">
      <c r="A352" s="93"/>
      <c r="F352" s="15"/>
      <c r="G352" s="15"/>
      <c r="H352" s="15"/>
      <c r="I352" s="15"/>
      <c r="J352" s="15"/>
      <c r="K352" s="15"/>
      <c r="L352" s="15"/>
      <c r="M352" s="15"/>
      <c r="N352" s="74"/>
    </row>
    <row r="353">
      <c r="A353" s="93"/>
      <c r="F353" s="15"/>
      <c r="G353" s="15"/>
      <c r="H353" s="15"/>
      <c r="I353" s="15"/>
      <c r="J353" s="15"/>
      <c r="K353" s="15"/>
      <c r="L353" s="15"/>
      <c r="M353" s="15"/>
      <c r="N353" s="74"/>
    </row>
    <row r="354">
      <c r="A354" s="93"/>
      <c r="F354" s="15"/>
      <c r="G354" s="15"/>
      <c r="H354" s="15"/>
      <c r="I354" s="15"/>
      <c r="J354" s="15"/>
      <c r="K354" s="15"/>
      <c r="L354" s="15"/>
      <c r="M354" s="15"/>
      <c r="N354" s="74"/>
    </row>
    <row r="355">
      <c r="A355" s="93"/>
      <c r="F355" s="15"/>
      <c r="G355" s="15"/>
      <c r="H355" s="15"/>
      <c r="I355" s="15"/>
      <c r="J355" s="15"/>
      <c r="K355" s="15"/>
      <c r="L355" s="15"/>
      <c r="M355" s="15"/>
      <c r="N355" s="74"/>
    </row>
    <row r="356">
      <c r="A356" s="93"/>
      <c r="F356" s="15"/>
      <c r="G356" s="15"/>
      <c r="H356" s="15"/>
      <c r="I356" s="15"/>
      <c r="J356" s="15"/>
      <c r="K356" s="15"/>
      <c r="L356" s="15"/>
      <c r="M356" s="15"/>
      <c r="N356" s="74"/>
    </row>
    <row r="357">
      <c r="A357" s="93"/>
      <c r="F357" s="15"/>
      <c r="G357" s="15"/>
      <c r="H357" s="15"/>
      <c r="I357" s="15"/>
      <c r="J357" s="15"/>
      <c r="K357" s="15"/>
      <c r="L357" s="15"/>
      <c r="M357" s="15"/>
      <c r="N357" s="74"/>
    </row>
    <row r="358">
      <c r="A358" s="93"/>
      <c r="F358" s="15"/>
      <c r="G358" s="15"/>
      <c r="H358" s="15"/>
      <c r="I358" s="15"/>
      <c r="J358" s="15"/>
      <c r="K358" s="15"/>
      <c r="L358" s="15"/>
      <c r="M358" s="15"/>
      <c r="N358" s="74"/>
    </row>
    <row r="359">
      <c r="A359" s="93"/>
      <c r="F359" s="15"/>
      <c r="G359" s="15"/>
      <c r="H359" s="15"/>
      <c r="I359" s="15"/>
      <c r="J359" s="15"/>
      <c r="K359" s="15"/>
      <c r="L359" s="15"/>
      <c r="M359" s="15"/>
      <c r="N359" s="74"/>
    </row>
    <row r="360">
      <c r="A360" s="93"/>
      <c r="F360" s="15"/>
      <c r="G360" s="15"/>
      <c r="H360" s="15"/>
      <c r="I360" s="15"/>
      <c r="J360" s="15"/>
      <c r="K360" s="15"/>
      <c r="L360" s="15"/>
      <c r="M360" s="15"/>
      <c r="N360" s="74"/>
    </row>
    <row r="361">
      <c r="A361" s="93"/>
      <c r="F361" s="15"/>
      <c r="G361" s="15"/>
      <c r="H361" s="15"/>
      <c r="I361" s="15"/>
      <c r="J361" s="15"/>
      <c r="K361" s="15"/>
      <c r="L361" s="15"/>
      <c r="M361" s="15"/>
      <c r="N361" s="74"/>
    </row>
    <row r="362">
      <c r="A362" s="93"/>
      <c r="F362" s="15"/>
      <c r="G362" s="15"/>
      <c r="H362" s="15"/>
      <c r="I362" s="15"/>
      <c r="J362" s="15"/>
      <c r="K362" s="15"/>
      <c r="L362" s="15"/>
      <c r="M362" s="15"/>
      <c r="N362" s="74"/>
    </row>
    <row r="363">
      <c r="A363" s="93"/>
      <c r="F363" s="15"/>
      <c r="G363" s="15"/>
      <c r="H363" s="15"/>
      <c r="I363" s="15"/>
      <c r="J363" s="15"/>
      <c r="K363" s="15"/>
      <c r="L363" s="15"/>
      <c r="M363" s="15"/>
      <c r="N363" s="74"/>
    </row>
    <row r="364">
      <c r="A364" s="93"/>
      <c r="F364" s="15"/>
      <c r="G364" s="15"/>
      <c r="H364" s="15"/>
      <c r="I364" s="15"/>
      <c r="J364" s="15"/>
      <c r="K364" s="15"/>
      <c r="L364" s="15"/>
      <c r="M364" s="15"/>
      <c r="N364" s="74"/>
    </row>
    <row r="365">
      <c r="A365" s="93"/>
      <c r="F365" s="15"/>
      <c r="G365" s="15"/>
      <c r="H365" s="15"/>
      <c r="I365" s="15"/>
      <c r="J365" s="15"/>
      <c r="K365" s="15"/>
      <c r="L365" s="15"/>
      <c r="M365" s="15"/>
      <c r="N365" s="74"/>
    </row>
    <row r="366">
      <c r="A366" s="93"/>
      <c r="F366" s="15"/>
      <c r="G366" s="15"/>
      <c r="H366" s="15"/>
      <c r="I366" s="15"/>
      <c r="J366" s="15"/>
      <c r="K366" s="15"/>
      <c r="L366" s="15"/>
      <c r="M366" s="15"/>
      <c r="N366" s="74"/>
    </row>
    <row r="367">
      <c r="A367" s="93"/>
      <c r="F367" s="15"/>
      <c r="G367" s="15"/>
      <c r="H367" s="15"/>
      <c r="I367" s="15"/>
      <c r="J367" s="15"/>
      <c r="K367" s="15"/>
      <c r="L367" s="15"/>
      <c r="M367" s="15"/>
      <c r="N367" s="74"/>
    </row>
    <row r="368">
      <c r="A368" s="93"/>
      <c r="F368" s="15"/>
      <c r="G368" s="15"/>
      <c r="H368" s="15"/>
      <c r="I368" s="15"/>
      <c r="J368" s="15"/>
      <c r="K368" s="15"/>
      <c r="L368" s="15"/>
      <c r="M368" s="15"/>
      <c r="N368" s="74"/>
    </row>
    <row r="369">
      <c r="A369" s="93"/>
      <c r="F369" s="15"/>
      <c r="G369" s="15"/>
      <c r="H369" s="15"/>
      <c r="I369" s="15"/>
      <c r="J369" s="15"/>
      <c r="K369" s="15"/>
      <c r="L369" s="15"/>
      <c r="M369" s="15"/>
      <c r="N369" s="74"/>
    </row>
    <row r="370">
      <c r="A370" s="93"/>
      <c r="F370" s="15"/>
      <c r="G370" s="15"/>
      <c r="H370" s="15"/>
      <c r="I370" s="15"/>
      <c r="J370" s="15"/>
      <c r="K370" s="15"/>
      <c r="L370" s="15"/>
      <c r="M370" s="15"/>
      <c r="N370" s="74"/>
    </row>
    <row r="371">
      <c r="A371" s="93"/>
      <c r="F371" s="15"/>
      <c r="G371" s="15"/>
      <c r="H371" s="15"/>
      <c r="I371" s="15"/>
      <c r="J371" s="15"/>
      <c r="K371" s="15"/>
      <c r="L371" s="15"/>
      <c r="M371" s="15"/>
      <c r="N371" s="74"/>
    </row>
    <row r="372">
      <c r="A372" s="93"/>
      <c r="F372" s="15"/>
      <c r="G372" s="15"/>
      <c r="H372" s="15"/>
      <c r="I372" s="15"/>
      <c r="J372" s="15"/>
      <c r="K372" s="15"/>
      <c r="L372" s="15"/>
      <c r="M372" s="15"/>
      <c r="N372" s="74"/>
    </row>
    <row r="373">
      <c r="A373" s="93"/>
      <c r="F373" s="15"/>
      <c r="G373" s="15"/>
      <c r="H373" s="15"/>
      <c r="I373" s="15"/>
      <c r="J373" s="15"/>
      <c r="K373" s="15"/>
      <c r="L373" s="15"/>
      <c r="M373" s="15"/>
      <c r="N373" s="74"/>
    </row>
    <row r="374">
      <c r="A374" s="93"/>
      <c r="F374" s="15"/>
      <c r="G374" s="15"/>
      <c r="H374" s="15"/>
      <c r="I374" s="15"/>
      <c r="J374" s="15"/>
      <c r="K374" s="15"/>
      <c r="L374" s="15"/>
      <c r="M374" s="15"/>
      <c r="N374" s="74"/>
    </row>
    <row r="375">
      <c r="A375" s="93"/>
      <c r="F375" s="15"/>
      <c r="G375" s="15"/>
      <c r="H375" s="15"/>
      <c r="I375" s="15"/>
      <c r="J375" s="15"/>
      <c r="K375" s="15"/>
      <c r="L375" s="15"/>
      <c r="M375" s="15"/>
      <c r="N375" s="74"/>
    </row>
    <row r="376">
      <c r="A376" s="93"/>
      <c r="F376" s="15"/>
      <c r="G376" s="15"/>
      <c r="H376" s="15"/>
      <c r="I376" s="15"/>
      <c r="J376" s="15"/>
      <c r="K376" s="15"/>
      <c r="L376" s="15"/>
      <c r="M376" s="15"/>
      <c r="N376" s="74"/>
    </row>
    <row r="377">
      <c r="A377" s="93"/>
      <c r="F377" s="15"/>
      <c r="G377" s="15"/>
      <c r="H377" s="15"/>
      <c r="I377" s="15"/>
      <c r="J377" s="15"/>
      <c r="K377" s="15"/>
      <c r="L377" s="15"/>
      <c r="M377" s="15"/>
      <c r="N377" s="74"/>
    </row>
    <row r="378">
      <c r="A378" s="93"/>
      <c r="F378" s="15"/>
      <c r="G378" s="15"/>
      <c r="H378" s="15"/>
      <c r="I378" s="15"/>
      <c r="J378" s="15"/>
      <c r="K378" s="15"/>
      <c r="L378" s="15"/>
      <c r="M378" s="15"/>
      <c r="N378" s="74"/>
    </row>
    <row r="379">
      <c r="A379" s="93"/>
      <c r="F379" s="15"/>
      <c r="G379" s="15"/>
      <c r="H379" s="15"/>
      <c r="I379" s="15"/>
      <c r="J379" s="15"/>
      <c r="K379" s="15"/>
      <c r="L379" s="15"/>
      <c r="M379" s="15"/>
      <c r="N379" s="74"/>
    </row>
    <row r="380">
      <c r="A380" s="93"/>
      <c r="F380" s="15"/>
      <c r="G380" s="15"/>
      <c r="H380" s="15"/>
      <c r="I380" s="15"/>
      <c r="J380" s="15"/>
      <c r="K380" s="15"/>
      <c r="L380" s="15"/>
      <c r="M380" s="15"/>
      <c r="N380" s="74"/>
    </row>
    <row r="381">
      <c r="A381" s="93"/>
      <c r="F381" s="15"/>
      <c r="G381" s="15"/>
      <c r="H381" s="15"/>
      <c r="I381" s="15"/>
      <c r="J381" s="15"/>
      <c r="K381" s="15"/>
      <c r="L381" s="15"/>
      <c r="M381" s="15"/>
      <c r="N381" s="74"/>
    </row>
    <row r="382">
      <c r="A382" s="93"/>
      <c r="F382" s="15"/>
      <c r="G382" s="15"/>
      <c r="H382" s="15"/>
      <c r="I382" s="15"/>
      <c r="J382" s="15"/>
      <c r="K382" s="15"/>
      <c r="L382" s="15"/>
      <c r="M382" s="15"/>
      <c r="N382" s="74"/>
    </row>
    <row r="383">
      <c r="A383" s="93"/>
      <c r="F383" s="15"/>
      <c r="G383" s="15"/>
      <c r="H383" s="15"/>
      <c r="I383" s="15"/>
      <c r="J383" s="15"/>
      <c r="K383" s="15"/>
      <c r="L383" s="15"/>
      <c r="M383" s="15"/>
      <c r="N383" s="74"/>
    </row>
    <row r="384">
      <c r="A384" s="93"/>
      <c r="F384" s="15"/>
      <c r="G384" s="15"/>
      <c r="H384" s="15"/>
      <c r="I384" s="15"/>
      <c r="J384" s="15"/>
      <c r="K384" s="15"/>
      <c r="L384" s="15"/>
      <c r="M384" s="15"/>
      <c r="N384" s="74"/>
    </row>
    <row r="385">
      <c r="A385" s="93"/>
      <c r="F385" s="15"/>
      <c r="G385" s="15"/>
      <c r="H385" s="15"/>
      <c r="I385" s="15"/>
      <c r="J385" s="15"/>
      <c r="K385" s="15"/>
      <c r="L385" s="15"/>
      <c r="M385" s="15"/>
      <c r="N385" s="74"/>
    </row>
    <row r="386">
      <c r="A386" s="93"/>
      <c r="F386" s="15"/>
      <c r="G386" s="15"/>
      <c r="H386" s="15"/>
      <c r="I386" s="15"/>
      <c r="J386" s="15"/>
      <c r="K386" s="15"/>
      <c r="L386" s="15"/>
      <c r="M386" s="15"/>
      <c r="N386" s="74"/>
    </row>
    <row r="387">
      <c r="A387" s="93"/>
      <c r="F387" s="15"/>
      <c r="G387" s="15"/>
      <c r="H387" s="15"/>
      <c r="I387" s="15"/>
      <c r="J387" s="15"/>
      <c r="K387" s="15"/>
      <c r="L387" s="15"/>
      <c r="M387" s="15"/>
      <c r="N387" s="74"/>
    </row>
    <row r="388">
      <c r="A388" s="93"/>
      <c r="F388" s="15"/>
      <c r="G388" s="15"/>
      <c r="H388" s="15"/>
      <c r="I388" s="15"/>
      <c r="J388" s="15"/>
      <c r="K388" s="15"/>
      <c r="L388" s="15"/>
      <c r="M388" s="15"/>
      <c r="N388" s="74"/>
    </row>
    <row r="389">
      <c r="A389" s="93"/>
      <c r="F389" s="15"/>
      <c r="G389" s="15"/>
      <c r="H389" s="15"/>
      <c r="I389" s="15"/>
      <c r="J389" s="15"/>
      <c r="K389" s="15"/>
      <c r="L389" s="15"/>
      <c r="M389" s="15"/>
      <c r="N389" s="74"/>
    </row>
    <row r="390">
      <c r="A390" s="93"/>
      <c r="F390" s="15"/>
      <c r="G390" s="15"/>
      <c r="H390" s="15"/>
      <c r="I390" s="15"/>
      <c r="J390" s="15"/>
      <c r="K390" s="15"/>
      <c r="L390" s="15"/>
      <c r="M390" s="15"/>
      <c r="N390" s="74"/>
    </row>
    <row r="391">
      <c r="A391" s="93"/>
      <c r="F391" s="15"/>
      <c r="G391" s="15"/>
      <c r="H391" s="15"/>
      <c r="I391" s="15"/>
      <c r="J391" s="15"/>
      <c r="K391" s="15"/>
      <c r="L391" s="15"/>
      <c r="M391" s="15"/>
      <c r="N391" s="74"/>
    </row>
    <row r="392">
      <c r="A392" s="93"/>
      <c r="F392" s="15"/>
      <c r="G392" s="15"/>
      <c r="H392" s="15"/>
      <c r="I392" s="15"/>
      <c r="J392" s="15"/>
      <c r="K392" s="15"/>
      <c r="L392" s="15"/>
      <c r="M392" s="15"/>
      <c r="N392" s="74"/>
    </row>
    <row r="393">
      <c r="A393" s="93"/>
      <c r="F393" s="15"/>
      <c r="G393" s="15"/>
      <c r="H393" s="15"/>
      <c r="I393" s="15"/>
      <c r="J393" s="15"/>
      <c r="K393" s="15"/>
      <c r="L393" s="15"/>
      <c r="M393" s="15"/>
      <c r="N393" s="74"/>
    </row>
    <row r="394">
      <c r="A394" s="93"/>
      <c r="F394" s="15"/>
      <c r="G394" s="15"/>
      <c r="H394" s="15"/>
      <c r="I394" s="15"/>
      <c r="J394" s="15"/>
      <c r="K394" s="15"/>
      <c r="L394" s="15"/>
      <c r="M394" s="15"/>
      <c r="N394" s="74"/>
    </row>
    <row r="395">
      <c r="A395" s="93"/>
      <c r="F395" s="15"/>
      <c r="G395" s="15"/>
      <c r="H395" s="15"/>
      <c r="I395" s="15"/>
      <c r="J395" s="15"/>
      <c r="K395" s="15"/>
      <c r="L395" s="15"/>
      <c r="M395" s="15"/>
      <c r="N395" s="74"/>
    </row>
    <row r="396">
      <c r="A396" s="93"/>
      <c r="F396" s="15"/>
      <c r="G396" s="15"/>
      <c r="H396" s="15"/>
      <c r="I396" s="15"/>
      <c r="J396" s="15"/>
      <c r="K396" s="15"/>
      <c r="L396" s="15"/>
      <c r="M396" s="15"/>
      <c r="N396" s="74"/>
    </row>
    <row r="397">
      <c r="A397" s="93"/>
      <c r="F397" s="15"/>
      <c r="G397" s="15"/>
      <c r="H397" s="15"/>
      <c r="I397" s="15"/>
      <c r="J397" s="15"/>
      <c r="K397" s="15"/>
      <c r="L397" s="15"/>
      <c r="M397" s="15"/>
      <c r="N397" s="74"/>
    </row>
    <row r="398">
      <c r="A398" s="93"/>
      <c r="F398" s="15"/>
      <c r="G398" s="15"/>
      <c r="H398" s="15"/>
      <c r="I398" s="15"/>
      <c r="J398" s="15"/>
      <c r="K398" s="15"/>
      <c r="L398" s="15"/>
      <c r="M398" s="15"/>
      <c r="N398" s="74"/>
    </row>
    <row r="399">
      <c r="A399" s="93"/>
      <c r="F399" s="15"/>
      <c r="G399" s="15"/>
      <c r="H399" s="15"/>
      <c r="I399" s="15"/>
      <c r="J399" s="15"/>
      <c r="K399" s="15"/>
      <c r="L399" s="15"/>
      <c r="M399" s="15"/>
      <c r="N399" s="74"/>
    </row>
    <row r="400">
      <c r="A400" s="93"/>
      <c r="F400" s="15"/>
      <c r="G400" s="15"/>
      <c r="H400" s="15"/>
      <c r="I400" s="15"/>
      <c r="J400" s="15"/>
      <c r="K400" s="15"/>
      <c r="L400" s="15"/>
      <c r="M400" s="15"/>
      <c r="N400" s="74"/>
    </row>
    <row r="401">
      <c r="A401" s="93"/>
      <c r="F401" s="15"/>
      <c r="G401" s="15"/>
      <c r="H401" s="15"/>
      <c r="I401" s="15"/>
      <c r="J401" s="15"/>
      <c r="K401" s="15"/>
      <c r="L401" s="15"/>
      <c r="M401" s="15"/>
      <c r="N401" s="74"/>
    </row>
    <row r="402">
      <c r="A402" s="93"/>
      <c r="F402" s="15"/>
      <c r="G402" s="15"/>
      <c r="H402" s="15"/>
      <c r="I402" s="15"/>
      <c r="J402" s="15"/>
      <c r="K402" s="15"/>
      <c r="L402" s="15"/>
      <c r="M402" s="15"/>
      <c r="N402" s="74"/>
    </row>
    <row r="403">
      <c r="A403" s="93"/>
      <c r="F403" s="15"/>
      <c r="G403" s="15"/>
      <c r="H403" s="15"/>
      <c r="I403" s="15"/>
      <c r="J403" s="15"/>
      <c r="K403" s="15"/>
      <c r="L403" s="15"/>
      <c r="M403" s="15"/>
      <c r="N403" s="74"/>
    </row>
    <row r="404">
      <c r="A404" s="93"/>
      <c r="F404" s="15"/>
      <c r="G404" s="15"/>
      <c r="H404" s="15"/>
      <c r="I404" s="15"/>
      <c r="J404" s="15"/>
      <c r="K404" s="15"/>
      <c r="L404" s="15"/>
      <c r="M404" s="15"/>
      <c r="N404" s="74"/>
    </row>
    <row r="405">
      <c r="A405" s="93"/>
      <c r="F405" s="15"/>
      <c r="G405" s="15"/>
      <c r="H405" s="15"/>
      <c r="I405" s="15"/>
      <c r="J405" s="15"/>
      <c r="K405" s="15"/>
      <c r="L405" s="15"/>
      <c r="M405" s="15"/>
      <c r="N405" s="74"/>
    </row>
    <row r="406">
      <c r="A406" s="93"/>
      <c r="F406" s="15"/>
      <c r="G406" s="15"/>
      <c r="H406" s="15"/>
      <c r="I406" s="15"/>
      <c r="J406" s="15"/>
      <c r="K406" s="15"/>
      <c r="L406" s="15"/>
      <c r="M406" s="15"/>
      <c r="N406" s="74"/>
    </row>
    <row r="407">
      <c r="A407" s="93"/>
      <c r="F407" s="15"/>
      <c r="G407" s="15"/>
      <c r="H407" s="15"/>
      <c r="I407" s="15"/>
      <c r="J407" s="15"/>
      <c r="K407" s="15"/>
      <c r="L407" s="15"/>
      <c r="M407" s="15"/>
      <c r="N407" s="74"/>
    </row>
    <row r="408">
      <c r="A408" s="93"/>
      <c r="F408" s="15"/>
      <c r="G408" s="15"/>
      <c r="H408" s="15"/>
      <c r="I408" s="15"/>
      <c r="J408" s="15"/>
      <c r="K408" s="15"/>
      <c r="L408" s="15"/>
      <c r="M408" s="15"/>
      <c r="N408" s="74"/>
    </row>
    <row r="409">
      <c r="A409" s="93"/>
      <c r="F409" s="15"/>
      <c r="G409" s="15"/>
      <c r="H409" s="15"/>
      <c r="I409" s="15"/>
      <c r="J409" s="15"/>
      <c r="K409" s="15"/>
      <c r="L409" s="15"/>
      <c r="M409" s="15"/>
      <c r="N409" s="74"/>
    </row>
    <row r="410">
      <c r="A410" s="93"/>
      <c r="F410" s="15"/>
      <c r="G410" s="15"/>
      <c r="H410" s="15"/>
      <c r="I410" s="15"/>
      <c r="J410" s="15"/>
      <c r="K410" s="15"/>
      <c r="L410" s="15"/>
      <c r="M410" s="15"/>
      <c r="N410" s="74"/>
    </row>
    <row r="411">
      <c r="A411" s="93"/>
      <c r="F411" s="15"/>
      <c r="G411" s="15"/>
      <c r="H411" s="15"/>
      <c r="I411" s="15"/>
      <c r="J411" s="15"/>
      <c r="K411" s="15"/>
      <c r="L411" s="15"/>
      <c r="M411" s="15"/>
      <c r="N411" s="74"/>
    </row>
    <row r="412">
      <c r="A412" s="93"/>
      <c r="F412" s="15"/>
      <c r="G412" s="15"/>
      <c r="H412" s="15"/>
      <c r="I412" s="15"/>
      <c r="J412" s="15"/>
      <c r="K412" s="15"/>
      <c r="L412" s="15"/>
      <c r="M412" s="15"/>
      <c r="N412" s="74"/>
    </row>
    <row r="413">
      <c r="A413" s="93"/>
      <c r="F413" s="15"/>
      <c r="G413" s="15"/>
      <c r="H413" s="15"/>
      <c r="I413" s="15"/>
      <c r="J413" s="15"/>
      <c r="K413" s="15"/>
      <c r="L413" s="15"/>
      <c r="M413" s="15"/>
      <c r="N413" s="74"/>
    </row>
    <row r="414">
      <c r="A414" s="93"/>
      <c r="F414" s="15"/>
      <c r="G414" s="15"/>
      <c r="H414" s="15"/>
      <c r="I414" s="15"/>
      <c r="J414" s="15"/>
      <c r="K414" s="15"/>
      <c r="L414" s="15"/>
      <c r="M414" s="15"/>
      <c r="N414" s="74"/>
    </row>
    <row r="415">
      <c r="A415" s="93"/>
      <c r="F415" s="15"/>
      <c r="G415" s="15"/>
      <c r="H415" s="15"/>
      <c r="I415" s="15"/>
      <c r="J415" s="15"/>
      <c r="K415" s="15"/>
      <c r="L415" s="15"/>
      <c r="M415" s="15"/>
      <c r="N415" s="74"/>
    </row>
    <row r="416">
      <c r="A416" s="93"/>
      <c r="F416" s="15"/>
      <c r="G416" s="15"/>
      <c r="H416" s="15"/>
      <c r="I416" s="15"/>
      <c r="J416" s="15"/>
      <c r="K416" s="15"/>
      <c r="L416" s="15"/>
      <c r="M416" s="15"/>
      <c r="N416" s="74"/>
    </row>
    <row r="417">
      <c r="A417" s="93"/>
      <c r="F417" s="15"/>
      <c r="G417" s="15"/>
      <c r="H417" s="15"/>
      <c r="I417" s="15"/>
      <c r="J417" s="15"/>
      <c r="K417" s="15"/>
      <c r="L417" s="15"/>
      <c r="M417" s="15"/>
      <c r="N417" s="74"/>
    </row>
    <row r="418">
      <c r="A418" s="93"/>
      <c r="F418" s="15"/>
      <c r="G418" s="15"/>
      <c r="H418" s="15"/>
      <c r="I418" s="15"/>
      <c r="J418" s="15"/>
      <c r="K418" s="15"/>
      <c r="L418" s="15"/>
      <c r="M418" s="15"/>
      <c r="N418" s="74"/>
    </row>
    <row r="419">
      <c r="A419" s="93"/>
      <c r="F419" s="15"/>
      <c r="G419" s="15"/>
      <c r="H419" s="15"/>
      <c r="I419" s="15"/>
      <c r="J419" s="15"/>
      <c r="K419" s="15"/>
      <c r="L419" s="15"/>
      <c r="M419" s="15"/>
      <c r="N419" s="74"/>
    </row>
    <row r="420">
      <c r="A420" s="93"/>
      <c r="F420" s="15"/>
      <c r="G420" s="15"/>
      <c r="H420" s="15"/>
      <c r="I420" s="15"/>
      <c r="J420" s="15"/>
      <c r="K420" s="15"/>
      <c r="L420" s="15"/>
      <c r="M420" s="15"/>
      <c r="N420" s="74"/>
    </row>
    <row r="421">
      <c r="A421" s="93"/>
      <c r="F421" s="15"/>
      <c r="G421" s="15"/>
      <c r="H421" s="15"/>
      <c r="I421" s="15"/>
      <c r="J421" s="15"/>
      <c r="K421" s="15"/>
      <c r="L421" s="15"/>
      <c r="M421" s="15"/>
      <c r="N421" s="74"/>
    </row>
    <row r="422">
      <c r="A422" s="93"/>
      <c r="F422" s="15"/>
      <c r="G422" s="15"/>
      <c r="H422" s="15"/>
      <c r="I422" s="15"/>
      <c r="J422" s="15"/>
      <c r="K422" s="15"/>
      <c r="L422" s="15"/>
      <c r="M422" s="15"/>
      <c r="N422" s="74"/>
    </row>
    <row r="423">
      <c r="A423" s="93"/>
      <c r="F423" s="15"/>
      <c r="G423" s="15"/>
      <c r="H423" s="15"/>
      <c r="I423" s="15"/>
      <c r="J423" s="15"/>
      <c r="K423" s="15"/>
      <c r="L423" s="15"/>
      <c r="M423" s="15"/>
      <c r="N423" s="74"/>
    </row>
    <row r="424">
      <c r="A424" s="93"/>
      <c r="F424" s="15"/>
      <c r="G424" s="15"/>
      <c r="H424" s="15"/>
      <c r="I424" s="15"/>
      <c r="J424" s="15"/>
      <c r="K424" s="15"/>
      <c r="L424" s="15"/>
      <c r="M424" s="15"/>
      <c r="N424" s="74"/>
    </row>
    <row r="425">
      <c r="A425" s="93"/>
      <c r="F425" s="15"/>
      <c r="G425" s="15"/>
      <c r="H425" s="15"/>
      <c r="I425" s="15"/>
      <c r="J425" s="15"/>
      <c r="K425" s="15"/>
      <c r="L425" s="15"/>
      <c r="M425" s="15"/>
      <c r="N425" s="74"/>
    </row>
    <row r="426">
      <c r="A426" s="93"/>
      <c r="F426" s="15"/>
      <c r="G426" s="15"/>
      <c r="H426" s="15"/>
      <c r="I426" s="15"/>
      <c r="J426" s="15"/>
      <c r="K426" s="15"/>
      <c r="L426" s="15"/>
      <c r="M426" s="15"/>
      <c r="N426" s="74"/>
    </row>
    <row r="427">
      <c r="A427" s="93"/>
      <c r="F427" s="15"/>
      <c r="G427" s="15"/>
      <c r="H427" s="15"/>
      <c r="I427" s="15"/>
      <c r="J427" s="15"/>
      <c r="K427" s="15"/>
      <c r="L427" s="15"/>
      <c r="M427" s="15"/>
      <c r="N427" s="74"/>
    </row>
    <row r="428">
      <c r="A428" s="93"/>
      <c r="F428" s="15"/>
      <c r="G428" s="15"/>
      <c r="H428" s="15"/>
      <c r="I428" s="15"/>
      <c r="J428" s="15"/>
      <c r="K428" s="15"/>
      <c r="L428" s="15"/>
      <c r="M428" s="15"/>
      <c r="N428" s="74"/>
    </row>
    <row r="429">
      <c r="A429" s="93"/>
      <c r="F429" s="15"/>
      <c r="G429" s="15"/>
      <c r="H429" s="15"/>
      <c r="I429" s="15"/>
      <c r="J429" s="15"/>
      <c r="K429" s="15"/>
      <c r="L429" s="15"/>
      <c r="M429" s="15"/>
      <c r="N429" s="74"/>
    </row>
    <row r="430">
      <c r="A430" s="93"/>
      <c r="F430" s="15"/>
      <c r="G430" s="15"/>
      <c r="H430" s="15"/>
      <c r="I430" s="15"/>
      <c r="J430" s="15"/>
      <c r="K430" s="15"/>
      <c r="L430" s="15"/>
      <c r="M430" s="15"/>
      <c r="N430" s="74"/>
    </row>
    <row r="431">
      <c r="A431" s="93"/>
      <c r="F431" s="15"/>
      <c r="G431" s="15"/>
      <c r="H431" s="15"/>
      <c r="I431" s="15"/>
      <c r="J431" s="15"/>
      <c r="K431" s="15"/>
      <c r="L431" s="15"/>
      <c r="M431" s="15"/>
      <c r="N431" s="74"/>
    </row>
    <row r="432">
      <c r="A432" s="93"/>
      <c r="F432" s="15"/>
      <c r="G432" s="15"/>
      <c r="H432" s="15"/>
      <c r="I432" s="15"/>
      <c r="J432" s="15"/>
      <c r="K432" s="15"/>
      <c r="L432" s="15"/>
      <c r="M432" s="15"/>
      <c r="N432" s="74"/>
    </row>
    <row r="433">
      <c r="A433" s="93"/>
      <c r="F433" s="15"/>
      <c r="G433" s="15"/>
      <c r="H433" s="15"/>
      <c r="I433" s="15"/>
      <c r="J433" s="15"/>
      <c r="K433" s="15"/>
      <c r="L433" s="15"/>
      <c r="M433" s="15"/>
      <c r="N433" s="74"/>
    </row>
    <row r="434">
      <c r="A434" s="93"/>
      <c r="F434" s="15"/>
      <c r="G434" s="15"/>
      <c r="H434" s="15"/>
      <c r="I434" s="15"/>
      <c r="J434" s="15"/>
      <c r="K434" s="15"/>
      <c r="L434" s="15"/>
      <c r="M434" s="15"/>
      <c r="N434" s="74"/>
    </row>
    <row r="435">
      <c r="A435" s="93"/>
      <c r="F435" s="15"/>
      <c r="G435" s="15"/>
      <c r="H435" s="15"/>
      <c r="I435" s="15"/>
      <c r="J435" s="15"/>
      <c r="K435" s="15"/>
      <c r="L435" s="15"/>
      <c r="M435" s="15"/>
      <c r="N435" s="74"/>
    </row>
    <row r="436">
      <c r="A436" s="93"/>
      <c r="F436" s="15"/>
      <c r="G436" s="15"/>
      <c r="H436" s="15"/>
      <c r="I436" s="15"/>
      <c r="J436" s="15"/>
      <c r="K436" s="15"/>
      <c r="L436" s="15"/>
      <c r="M436" s="15"/>
      <c r="N436" s="74"/>
    </row>
    <row r="437">
      <c r="A437" s="93"/>
      <c r="F437" s="15"/>
      <c r="G437" s="15"/>
      <c r="H437" s="15"/>
      <c r="I437" s="15"/>
      <c r="J437" s="15"/>
      <c r="K437" s="15"/>
      <c r="L437" s="15"/>
      <c r="M437" s="15"/>
      <c r="N437" s="74"/>
    </row>
    <row r="438">
      <c r="A438" s="93"/>
      <c r="F438" s="15"/>
      <c r="G438" s="15"/>
      <c r="H438" s="15"/>
      <c r="I438" s="15"/>
      <c r="J438" s="15"/>
      <c r="K438" s="15"/>
      <c r="L438" s="15"/>
      <c r="M438" s="15"/>
      <c r="N438" s="74"/>
    </row>
    <row r="439">
      <c r="A439" s="93"/>
      <c r="F439" s="15"/>
      <c r="G439" s="15"/>
      <c r="H439" s="15"/>
      <c r="I439" s="15"/>
      <c r="J439" s="15"/>
      <c r="K439" s="15"/>
      <c r="L439" s="15"/>
      <c r="M439" s="15"/>
      <c r="N439" s="74"/>
    </row>
    <row r="440">
      <c r="A440" s="93"/>
      <c r="F440" s="15"/>
      <c r="G440" s="15"/>
      <c r="H440" s="15"/>
      <c r="I440" s="15"/>
      <c r="J440" s="15"/>
      <c r="K440" s="15"/>
      <c r="L440" s="15"/>
      <c r="M440" s="15"/>
      <c r="N440" s="74"/>
    </row>
    <row r="441">
      <c r="A441" s="93"/>
      <c r="F441" s="15"/>
      <c r="G441" s="15"/>
      <c r="H441" s="15"/>
      <c r="I441" s="15"/>
      <c r="J441" s="15"/>
      <c r="K441" s="15"/>
      <c r="L441" s="15"/>
      <c r="M441" s="15"/>
      <c r="N441" s="74"/>
    </row>
    <row r="442">
      <c r="A442" s="93"/>
      <c r="F442" s="15"/>
      <c r="G442" s="15"/>
      <c r="H442" s="15"/>
      <c r="I442" s="15"/>
      <c r="J442" s="15"/>
      <c r="K442" s="15"/>
      <c r="L442" s="15"/>
      <c r="M442" s="15"/>
      <c r="N442" s="74"/>
    </row>
    <row r="443">
      <c r="A443" s="93"/>
      <c r="F443" s="15"/>
      <c r="G443" s="15"/>
      <c r="H443" s="15"/>
      <c r="I443" s="15"/>
      <c r="J443" s="15"/>
      <c r="K443" s="15"/>
      <c r="L443" s="15"/>
      <c r="M443" s="15"/>
      <c r="N443" s="74"/>
    </row>
    <row r="444">
      <c r="A444" s="93"/>
      <c r="F444" s="15"/>
      <c r="G444" s="15"/>
      <c r="H444" s="15"/>
      <c r="I444" s="15"/>
      <c r="J444" s="15"/>
      <c r="K444" s="15"/>
      <c r="L444" s="15"/>
      <c r="M444" s="15"/>
      <c r="N444" s="74"/>
    </row>
    <row r="445">
      <c r="A445" s="93"/>
      <c r="F445" s="15"/>
      <c r="G445" s="15"/>
      <c r="H445" s="15"/>
      <c r="I445" s="15"/>
      <c r="J445" s="15"/>
      <c r="K445" s="15"/>
      <c r="L445" s="15"/>
      <c r="M445" s="15"/>
      <c r="N445" s="74"/>
    </row>
    <row r="446">
      <c r="A446" s="93"/>
      <c r="F446" s="15"/>
      <c r="G446" s="15"/>
      <c r="H446" s="15"/>
      <c r="I446" s="15"/>
      <c r="J446" s="15"/>
      <c r="K446" s="15"/>
      <c r="L446" s="15"/>
      <c r="M446" s="15"/>
      <c r="N446" s="74"/>
    </row>
    <row r="447">
      <c r="A447" s="93"/>
      <c r="F447" s="15"/>
      <c r="G447" s="15"/>
      <c r="H447" s="15"/>
      <c r="I447" s="15"/>
      <c r="J447" s="15"/>
      <c r="K447" s="15"/>
      <c r="L447" s="15"/>
      <c r="M447" s="15"/>
      <c r="N447" s="74"/>
    </row>
    <row r="448">
      <c r="A448" s="93"/>
      <c r="F448" s="15"/>
      <c r="G448" s="15"/>
      <c r="H448" s="15"/>
      <c r="I448" s="15"/>
      <c r="J448" s="15"/>
      <c r="K448" s="15"/>
      <c r="L448" s="15"/>
      <c r="M448" s="15"/>
      <c r="N448" s="74"/>
    </row>
    <row r="449">
      <c r="A449" s="93"/>
      <c r="F449" s="15"/>
      <c r="G449" s="15"/>
      <c r="H449" s="15"/>
      <c r="I449" s="15"/>
      <c r="J449" s="15"/>
      <c r="K449" s="15"/>
      <c r="L449" s="15"/>
      <c r="M449" s="15"/>
      <c r="N449" s="74"/>
    </row>
    <row r="450">
      <c r="A450" s="93"/>
      <c r="F450" s="15"/>
      <c r="G450" s="15"/>
      <c r="H450" s="15"/>
      <c r="I450" s="15"/>
      <c r="J450" s="15"/>
      <c r="K450" s="15"/>
      <c r="L450" s="15"/>
      <c r="M450" s="15"/>
      <c r="N450" s="74"/>
    </row>
    <row r="451">
      <c r="A451" s="93"/>
      <c r="F451" s="15"/>
      <c r="G451" s="15"/>
      <c r="H451" s="15"/>
      <c r="I451" s="15"/>
      <c r="J451" s="15"/>
      <c r="K451" s="15"/>
      <c r="L451" s="15"/>
      <c r="M451" s="15"/>
      <c r="N451" s="74"/>
    </row>
    <row r="452">
      <c r="A452" s="93"/>
      <c r="F452" s="15"/>
      <c r="G452" s="15"/>
      <c r="H452" s="15"/>
      <c r="I452" s="15"/>
      <c r="J452" s="15"/>
      <c r="K452" s="15"/>
      <c r="L452" s="15"/>
      <c r="M452" s="15"/>
      <c r="N452" s="74"/>
    </row>
    <row r="453">
      <c r="A453" s="93"/>
      <c r="F453" s="15"/>
      <c r="G453" s="15"/>
      <c r="H453" s="15"/>
      <c r="I453" s="15"/>
      <c r="J453" s="15"/>
      <c r="K453" s="15"/>
      <c r="L453" s="15"/>
      <c r="M453" s="15"/>
      <c r="N453" s="74"/>
    </row>
    <row r="454">
      <c r="A454" s="93"/>
      <c r="F454" s="15"/>
      <c r="G454" s="15"/>
      <c r="H454" s="15"/>
      <c r="I454" s="15"/>
      <c r="J454" s="15"/>
      <c r="K454" s="15"/>
      <c r="L454" s="15"/>
      <c r="M454" s="15"/>
      <c r="N454" s="74"/>
    </row>
    <row r="455">
      <c r="A455" s="93"/>
      <c r="F455" s="15"/>
      <c r="G455" s="15"/>
      <c r="H455" s="15"/>
      <c r="I455" s="15"/>
      <c r="J455" s="15"/>
      <c r="K455" s="15"/>
      <c r="L455" s="15"/>
      <c r="M455" s="15"/>
      <c r="N455" s="74"/>
    </row>
    <row r="456">
      <c r="A456" s="93"/>
      <c r="F456" s="15"/>
      <c r="G456" s="15"/>
      <c r="H456" s="15"/>
      <c r="I456" s="15"/>
      <c r="J456" s="15"/>
      <c r="K456" s="15"/>
      <c r="L456" s="15"/>
      <c r="M456" s="15"/>
      <c r="N456" s="74"/>
    </row>
    <row r="457">
      <c r="A457" s="93"/>
      <c r="F457" s="15"/>
      <c r="G457" s="15"/>
      <c r="H457" s="15"/>
      <c r="I457" s="15"/>
      <c r="J457" s="15"/>
      <c r="K457" s="15"/>
      <c r="L457" s="15"/>
      <c r="M457" s="15"/>
      <c r="N457" s="74"/>
    </row>
    <row r="458">
      <c r="A458" s="93"/>
      <c r="F458" s="15"/>
      <c r="G458" s="15"/>
      <c r="H458" s="15"/>
      <c r="I458" s="15"/>
      <c r="J458" s="15"/>
      <c r="K458" s="15"/>
      <c r="L458" s="15"/>
      <c r="M458" s="15"/>
      <c r="N458" s="74"/>
    </row>
    <row r="459">
      <c r="A459" s="93"/>
      <c r="F459" s="15"/>
      <c r="G459" s="15"/>
      <c r="H459" s="15"/>
      <c r="I459" s="15"/>
      <c r="J459" s="15"/>
      <c r="K459" s="15"/>
      <c r="L459" s="15"/>
      <c r="M459" s="15"/>
      <c r="N459" s="74"/>
    </row>
    <row r="460">
      <c r="A460" s="93"/>
      <c r="F460" s="15"/>
      <c r="G460" s="15"/>
      <c r="H460" s="15"/>
      <c r="I460" s="15"/>
      <c r="J460" s="15"/>
      <c r="K460" s="15"/>
      <c r="L460" s="15"/>
      <c r="M460" s="15"/>
      <c r="N460" s="74"/>
    </row>
    <row r="461">
      <c r="A461" s="93"/>
      <c r="F461" s="15"/>
      <c r="G461" s="15"/>
      <c r="H461" s="15"/>
      <c r="I461" s="15"/>
      <c r="J461" s="15"/>
      <c r="K461" s="15"/>
      <c r="L461" s="15"/>
      <c r="M461" s="15"/>
      <c r="N461" s="74"/>
    </row>
    <row r="462">
      <c r="A462" s="93"/>
      <c r="F462" s="15"/>
      <c r="G462" s="15"/>
      <c r="H462" s="15"/>
      <c r="I462" s="15"/>
      <c r="J462" s="15"/>
      <c r="K462" s="15"/>
      <c r="L462" s="15"/>
      <c r="M462" s="15"/>
      <c r="N462" s="74"/>
    </row>
    <row r="463">
      <c r="A463" s="93"/>
      <c r="F463" s="15"/>
      <c r="G463" s="15"/>
      <c r="H463" s="15"/>
      <c r="I463" s="15"/>
      <c r="J463" s="15"/>
      <c r="K463" s="15"/>
      <c r="L463" s="15"/>
      <c r="M463" s="15"/>
      <c r="N463" s="74"/>
    </row>
    <row r="464">
      <c r="A464" s="93"/>
      <c r="F464" s="15"/>
      <c r="G464" s="15"/>
      <c r="H464" s="15"/>
      <c r="I464" s="15"/>
      <c r="J464" s="15"/>
      <c r="K464" s="15"/>
      <c r="L464" s="15"/>
      <c r="M464" s="15"/>
      <c r="N464" s="74"/>
    </row>
    <row r="465">
      <c r="A465" s="93"/>
      <c r="F465" s="15"/>
      <c r="G465" s="15"/>
      <c r="H465" s="15"/>
      <c r="I465" s="15"/>
      <c r="J465" s="15"/>
      <c r="K465" s="15"/>
      <c r="L465" s="15"/>
      <c r="M465" s="15"/>
      <c r="N465" s="74"/>
    </row>
    <row r="466">
      <c r="A466" s="93"/>
      <c r="F466" s="15"/>
      <c r="G466" s="15"/>
      <c r="H466" s="15"/>
      <c r="I466" s="15"/>
      <c r="J466" s="15"/>
      <c r="K466" s="15"/>
      <c r="L466" s="15"/>
      <c r="M466" s="15"/>
      <c r="N466" s="74"/>
    </row>
    <row r="467">
      <c r="A467" s="93"/>
      <c r="F467" s="15"/>
      <c r="G467" s="15"/>
      <c r="H467" s="15"/>
      <c r="I467" s="15"/>
      <c r="J467" s="15"/>
      <c r="K467" s="15"/>
      <c r="L467" s="15"/>
      <c r="M467" s="15"/>
      <c r="N467" s="74"/>
    </row>
    <row r="468">
      <c r="A468" s="93"/>
      <c r="F468" s="15"/>
      <c r="G468" s="15"/>
      <c r="H468" s="15"/>
      <c r="I468" s="15"/>
      <c r="J468" s="15"/>
      <c r="K468" s="15"/>
      <c r="L468" s="15"/>
      <c r="M468" s="15"/>
      <c r="N468" s="74"/>
    </row>
    <row r="469">
      <c r="A469" s="93"/>
      <c r="F469" s="15"/>
      <c r="G469" s="15"/>
      <c r="H469" s="15"/>
      <c r="I469" s="15"/>
      <c r="J469" s="15"/>
      <c r="K469" s="15"/>
      <c r="L469" s="15"/>
      <c r="M469" s="15"/>
      <c r="N469" s="74"/>
    </row>
    <row r="470">
      <c r="A470" s="93"/>
      <c r="F470" s="15"/>
      <c r="G470" s="15"/>
      <c r="H470" s="15"/>
      <c r="I470" s="15"/>
      <c r="J470" s="15"/>
      <c r="K470" s="15"/>
      <c r="L470" s="15"/>
      <c r="M470" s="15"/>
      <c r="N470" s="74"/>
    </row>
    <row r="471">
      <c r="A471" s="93"/>
      <c r="F471" s="15"/>
      <c r="G471" s="15"/>
      <c r="H471" s="15"/>
      <c r="I471" s="15"/>
      <c r="J471" s="15"/>
      <c r="K471" s="15"/>
      <c r="L471" s="15"/>
      <c r="M471" s="15"/>
      <c r="N471" s="74"/>
    </row>
    <row r="472">
      <c r="A472" s="93"/>
      <c r="F472" s="15"/>
      <c r="G472" s="15"/>
      <c r="H472" s="15"/>
      <c r="I472" s="15"/>
      <c r="J472" s="15"/>
      <c r="K472" s="15"/>
      <c r="L472" s="15"/>
      <c r="M472" s="15"/>
      <c r="N472" s="74"/>
    </row>
    <row r="473">
      <c r="A473" s="93"/>
      <c r="F473" s="15"/>
      <c r="G473" s="15"/>
      <c r="H473" s="15"/>
      <c r="I473" s="15"/>
      <c r="J473" s="15"/>
      <c r="K473" s="15"/>
      <c r="L473" s="15"/>
      <c r="M473" s="15"/>
      <c r="N473" s="74"/>
    </row>
    <row r="474">
      <c r="A474" s="93"/>
      <c r="F474" s="15"/>
      <c r="G474" s="15"/>
      <c r="H474" s="15"/>
      <c r="I474" s="15"/>
      <c r="J474" s="15"/>
      <c r="K474" s="15"/>
      <c r="L474" s="15"/>
      <c r="M474" s="15"/>
      <c r="N474" s="74"/>
    </row>
    <row r="475">
      <c r="A475" s="93"/>
      <c r="F475" s="15"/>
      <c r="G475" s="15"/>
      <c r="H475" s="15"/>
      <c r="I475" s="15"/>
      <c r="J475" s="15"/>
      <c r="K475" s="15"/>
      <c r="L475" s="15"/>
      <c r="M475" s="15"/>
      <c r="N475" s="74"/>
    </row>
    <row r="476">
      <c r="A476" s="93"/>
      <c r="F476" s="15"/>
      <c r="G476" s="15"/>
      <c r="H476" s="15"/>
      <c r="I476" s="15"/>
      <c r="J476" s="15"/>
      <c r="K476" s="15"/>
      <c r="L476" s="15"/>
      <c r="M476" s="15"/>
      <c r="N476" s="74"/>
    </row>
    <row r="477">
      <c r="A477" s="93"/>
      <c r="F477" s="15"/>
      <c r="G477" s="15"/>
      <c r="H477" s="15"/>
      <c r="I477" s="15"/>
      <c r="J477" s="15"/>
      <c r="K477" s="15"/>
      <c r="L477" s="15"/>
      <c r="M477" s="15"/>
      <c r="N477" s="74"/>
    </row>
    <row r="478">
      <c r="A478" s="93"/>
      <c r="F478" s="15"/>
      <c r="G478" s="15"/>
      <c r="H478" s="15"/>
      <c r="I478" s="15"/>
      <c r="J478" s="15"/>
      <c r="K478" s="15"/>
      <c r="L478" s="15"/>
      <c r="M478" s="15"/>
      <c r="N478" s="74"/>
    </row>
    <row r="479">
      <c r="A479" s="93"/>
      <c r="F479" s="15"/>
      <c r="G479" s="15"/>
      <c r="H479" s="15"/>
      <c r="I479" s="15"/>
      <c r="J479" s="15"/>
      <c r="K479" s="15"/>
      <c r="L479" s="15"/>
      <c r="M479" s="15"/>
      <c r="N479" s="74"/>
    </row>
    <row r="480">
      <c r="A480" s="93"/>
      <c r="F480" s="15"/>
      <c r="G480" s="15"/>
      <c r="H480" s="15"/>
      <c r="I480" s="15"/>
      <c r="J480" s="15"/>
      <c r="K480" s="15"/>
      <c r="L480" s="15"/>
      <c r="M480" s="15"/>
      <c r="N480" s="74"/>
    </row>
    <row r="481">
      <c r="A481" s="93"/>
      <c r="F481" s="15"/>
      <c r="G481" s="15"/>
      <c r="H481" s="15"/>
      <c r="I481" s="15"/>
      <c r="J481" s="15"/>
      <c r="K481" s="15"/>
      <c r="L481" s="15"/>
      <c r="M481" s="15"/>
      <c r="N481" s="74"/>
    </row>
    <row r="482">
      <c r="A482" s="93"/>
      <c r="F482" s="15"/>
      <c r="G482" s="15"/>
      <c r="H482" s="15"/>
      <c r="I482" s="15"/>
      <c r="J482" s="15"/>
      <c r="K482" s="15"/>
      <c r="L482" s="15"/>
      <c r="M482" s="15"/>
      <c r="N482" s="74"/>
    </row>
    <row r="483">
      <c r="A483" s="93"/>
      <c r="F483" s="15"/>
      <c r="G483" s="15"/>
      <c r="H483" s="15"/>
      <c r="I483" s="15"/>
      <c r="J483" s="15"/>
      <c r="K483" s="15"/>
      <c r="L483" s="15"/>
      <c r="M483" s="15"/>
      <c r="N483" s="74"/>
    </row>
    <row r="484">
      <c r="A484" s="93"/>
      <c r="F484" s="15"/>
      <c r="G484" s="15"/>
      <c r="H484" s="15"/>
      <c r="I484" s="15"/>
      <c r="J484" s="15"/>
      <c r="K484" s="15"/>
      <c r="L484" s="15"/>
      <c r="M484" s="15"/>
      <c r="N484" s="74"/>
    </row>
    <row r="485">
      <c r="A485" s="93"/>
      <c r="F485" s="15"/>
      <c r="G485" s="15"/>
      <c r="H485" s="15"/>
      <c r="I485" s="15"/>
      <c r="J485" s="15"/>
      <c r="K485" s="15"/>
      <c r="L485" s="15"/>
      <c r="M485" s="15"/>
      <c r="N485" s="74"/>
    </row>
    <row r="486">
      <c r="A486" s="93"/>
      <c r="F486" s="15"/>
      <c r="G486" s="15"/>
      <c r="H486" s="15"/>
      <c r="I486" s="15"/>
      <c r="J486" s="15"/>
      <c r="K486" s="15"/>
      <c r="L486" s="15"/>
      <c r="M486" s="15"/>
      <c r="N486" s="74"/>
    </row>
    <row r="487">
      <c r="A487" s="93"/>
      <c r="F487" s="15"/>
      <c r="G487" s="15"/>
      <c r="H487" s="15"/>
      <c r="I487" s="15"/>
      <c r="J487" s="15"/>
      <c r="K487" s="15"/>
      <c r="L487" s="15"/>
      <c r="M487" s="15"/>
      <c r="N487" s="74"/>
    </row>
    <row r="488">
      <c r="A488" s="93"/>
      <c r="F488" s="15"/>
      <c r="G488" s="15"/>
      <c r="H488" s="15"/>
      <c r="I488" s="15"/>
      <c r="J488" s="15"/>
      <c r="K488" s="15"/>
      <c r="L488" s="15"/>
      <c r="M488" s="15"/>
      <c r="N488" s="74"/>
    </row>
    <row r="489">
      <c r="A489" s="93"/>
      <c r="F489" s="15"/>
      <c r="G489" s="15"/>
      <c r="H489" s="15"/>
      <c r="I489" s="15"/>
      <c r="J489" s="15"/>
      <c r="K489" s="15"/>
      <c r="L489" s="15"/>
      <c r="M489" s="15"/>
      <c r="N489" s="74"/>
    </row>
    <row r="490">
      <c r="A490" s="93"/>
      <c r="F490" s="15"/>
      <c r="G490" s="15"/>
      <c r="H490" s="15"/>
      <c r="I490" s="15"/>
      <c r="J490" s="15"/>
      <c r="K490" s="15"/>
      <c r="L490" s="15"/>
      <c r="M490" s="15"/>
      <c r="N490" s="74"/>
    </row>
    <row r="491">
      <c r="A491" s="93"/>
      <c r="F491" s="15"/>
      <c r="G491" s="15"/>
      <c r="H491" s="15"/>
      <c r="I491" s="15"/>
      <c r="J491" s="15"/>
      <c r="K491" s="15"/>
      <c r="L491" s="15"/>
      <c r="M491" s="15"/>
      <c r="N491" s="74"/>
    </row>
    <row r="492">
      <c r="A492" s="93"/>
      <c r="F492" s="15"/>
      <c r="G492" s="15"/>
      <c r="H492" s="15"/>
      <c r="I492" s="15"/>
      <c r="J492" s="15"/>
      <c r="K492" s="15"/>
      <c r="L492" s="15"/>
      <c r="M492" s="15"/>
      <c r="N492" s="74"/>
    </row>
    <row r="493">
      <c r="A493" s="93"/>
      <c r="F493" s="15"/>
      <c r="G493" s="15"/>
      <c r="H493" s="15"/>
      <c r="I493" s="15"/>
      <c r="J493" s="15"/>
      <c r="K493" s="15"/>
      <c r="L493" s="15"/>
      <c r="M493" s="15"/>
      <c r="N493" s="74"/>
    </row>
    <row r="494">
      <c r="A494" s="93"/>
      <c r="F494" s="15"/>
      <c r="G494" s="15"/>
      <c r="H494" s="15"/>
      <c r="I494" s="15"/>
      <c r="J494" s="15"/>
      <c r="K494" s="15"/>
      <c r="L494" s="15"/>
      <c r="M494" s="15"/>
      <c r="N494" s="74"/>
    </row>
    <row r="495">
      <c r="A495" s="93"/>
      <c r="F495" s="15"/>
      <c r="G495" s="15"/>
      <c r="H495" s="15"/>
      <c r="I495" s="15"/>
      <c r="J495" s="15"/>
      <c r="K495" s="15"/>
      <c r="L495" s="15"/>
      <c r="M495" s="15"/>
      <c r="N495" s="74"/>
    </row>
    <row r="496">
      <c r="A496" s="93"/>
      <c r="F496" s="15"/>
      <c r="G496" s="15"/>
      <c r="H496" s="15"/>
      <c r="I496" s="15"/>
      <c r="J496" s="15"/>
      <c r="K496" s="15"/>
      <c r="L496" s="15"/>
      <c r="M496" s="15"/>
      <c r="N496" s="74"/>
    </row>
    <row r="497">
      <c r="A497" s="93"/>
      <c r="F497" s="15"/>
      <c r="G497" s="15"/>
      <c r="H497" s="15"/>
      <c r="I497" s="15"/>
      <c r="J497" s="15"/>
      <c r="K497" s="15"/>
      <c r="L497" s="15"/>
      <c r="M497" s="15"/>
      <c r="N497" s="74"/>
    </row>
    <row r="498">
      <c r="A498" s="93"/>
      <c r="F498" s="15"/>
      <c r="G498" s="15"/>
      <c r="H498" s="15"/>
      <c r="I498" s="15"/>
      <c r="J498" s="15"/>
      <c r="K498" s="15"/>
      <c r="L498" s="15"/>
      <c r="M498" s="15"/>
      <c r="N498" s="74"/>
    </row>
    <row r="499">
      <c r="A499" s="93"/>
      <c r="F499" s="15"/>
      <c r="G499" s="15"/>
      <c r="H499" s="15"/>
      <c r="I499" s="15"/>
      <c r="J499" s="15"/>
      <c r="K499" s="15"/>
      <c r="L499" s="15"/>
      <c r="M499" s="15"/>
      <c r="N499" s="74"/>
    </row>
    <row r="500">
      <c r="A500" s="93"/>
      <c r="F500" s="15"/>
      <c r="G500" s="15"/>
      <c r="H500" s="15"/>
      <c r="I500" s="15"/>
      <c r="J500" s="15"/>
      <c r="K500" s="15"/>
      <c r="L500" s="15"/>
      <c r="M500" s="15"/>
      <c r="N500" s="74"/>
    </row>
    <row r="501">
      <c r="A501" s="93"/>
      <c r="F501" s="15"/>
      <c r="G501" s="15"/>
      <c r="H501" s="15"/>
      <c r="I501" s="15"/>
      <c r="J501" s="15"/>
      <c r="K501" s="15"/>
      <c r="L501" s="15"/>
      <c r="M501" s="15"/>
      <c r="N501" s="74"/>
    </row>
    <row r="502">
      <c r="A502" s="93"/>
      <c r="F502" s="15"/>
      <c r="G502" s="15"/>
      <c r="H502" s="15"/>
      <c r="I502" s="15"/>
      <c r="J502" s="15"/>
      <c r="K502" s="15"/>
      <c r="L502" s="15"/>
      <c r="M502" s="15"/>
      <c r="N502" s="74"/>
    </row>
    <row r="503">
      <c r="A503" s="93"/>
      <c r="F503" s="15"/>
      <c r="G503" s="15"/>
      <c r="H503" s="15"/>
      <c r="I503" s="15"/>
      <c r="J503" s="15"/>
      <c r="K503" s="15"/>
      <c r="L503" s="15"/>
      <c r="M503" s="15"/>
      <c r="N503" s="74"/>
    </row>
    <row r="504">
      <c r="A504" s="93"/>
      <c r="F504" s="15"/>
      <c r="G504" s="15"/>
      <c r="H504" s="15"/>
      <c r="I504" s="15"/>
      <c r="J504" s="15"/>
      <c r="K504" s="15"/>
      <c r="L504" s="15"/>
      <c r="M504" s="15"/>
      <c r="N504" s="74"/>
    </row>
    <row r="505">
      <c r="A505" s="93"/>
      <c r="F505" s="15"/>
      <c r="G505" s="15"/>
      <c r="H505" s="15"/>
      <c r="I505" s="15"/>
      <c r="J505" s="15"/>
      <c r="K505" s="15"/>
      <c r="L505" s="15"/>
      <c r="M505" s="15"/>
      <c r="N505" s="74"/>
    </row>
    <row r="506">
      <c r="A506" s="93"/>
      <c r="F506" s="15"/>
      <c r="G506" s="15"/>
      <c r="H506" s="15"/>
      <c r="I506" s="15"/>
      <c r="J506" s="15"/>
      <c r="K506" s="15"/>
      <c r="L506" s="15"/>
      <c r="M506" s="15"/>
      <c r="N506" s="74"/>
    </row>
  </sheetData>
  <autoFilter ref="$A$1:$Z$288"/>
  <mergeCells count="1">
    <mergeCell ref="Q3:T7"/>
  </mergeCells>
  <conditionalFormatting sqref="A2:O619">
    <cfRule type="expression" dxfId="0" priority="1">
      <formula>AND(   $A2&lt;&gt;"",   $A2&lt;ISOWEEKNUM(TODAY()),   $O2&lt;&gt;TRUE,   $N2&gt;0 )</formula>
    </cfRule>
  </conditionalFormatting>
  <conditionalFormatting sqref="A2:O619">
    <cfRule type="expression" dxfId="1" priority="2">
      <formula>AND($A2&lt;&gt;"",$A2=ISOWEEKNUM(TODAY()))</formula>
    </cfRule>
  </conditionalFormatting>
  <conditionalFormatting sqref="A2:O619">
    <cfRule type="expression" dxfId="2" priority="3">
      <formula>AND(   $A2&lt;&gt;"",   $A2&lt;ISOWEEKNUM(TODAY()),   OR($O2=TRUE,$N2=0) )</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9.0"/>
  </cols>
  <sheetData>
    <row r="1">
      <c r="A1" s="4" t="s">
        <v>2524</v>
      </c>
      <c r="B1" s="4" t="s">
        <v>3</v>
      </c>
    </row>
    <row r="2">
      <c r="A2" s="4" t="s">
        <v>2544</v>
      </c>
      <c r="B2" s="4">
        <v>161.0</v>
      </c>
    </row>
    <row r="3">
      <c r="A3" s="4" t="s">
        <v>2548</v>
      </c>
      <c r="B3" s="4">
        <v>81.0</v>
      </c>
    </row>
    <row r="4">
      <c r="A4" s="4" t="s">
        <v>2551</v>
      </c>
      <c r="B4" s="4">
        <v>137.0</v>
      </c>
    </row>
    <row r="5">
      <c r="A5" s="38"/>
    </row>
    <row r="6">
      <c r="A6" s="38"/>
    </row>
    <row r="7">
      <c r="A7" s="38"/>
    </row>
    <row r="8">
      <c r="A8" s="38"/>
    </row>
    <row r="9">
      <c r="A9" s="38"/>
    </row>
    <row r="10">
      <c r="A10" s="38"/>
    </row>
    <row r="11">
      <c r="A11" s="38"/>
    </row>
    <row r="12">
      <c r="A12" s="38"/>
    </row>
    <row r="13">
      <c r="A13" s="38"/>
    </row>
    <row r="14">
      <c r="A14" s="38"/>
    </row>
    <row r="15">
      <c r="A15" s="38"/>
    </row>
    <row r="16">
      <c r="A16" s="38"/>
    </row>
    <row r="17">
      <c r="A17" s="38"/>
    </row>
    <row r="18">
      <c r="A18" s="38"/>
    </row>
    <row r="19">
      <c r="A19" s="38"/>
    </row>
    <row r="20">
      <c r="A20" s="38"/>
    </row>
    <row r="21">
      <c r="A21" s="38"/>
    </row>
    <row r="22">
      <c r="A22" s="38"/>
    </row>
    <row r="23">
      <c r="A23" s="38"/>
    </row>
    <row r="24">
      <c r="A24" s="38"/>
    </row>
    <row r="25">
      <c r="A25" s="38"/>
    </row>
    <row r="26">
      <c r="A26" s="38"/>
    </row>
    <row r="27">
      <c r="A27" s="38"/>
    </row>
    <row r="28">
      <c r="A28" s="38"/>
    </row>
    <row r="29">
      <c r="A29" s="38"/>
    </row>
    <row r="30">
      <c r="A30" s="38"/>
    </row>
    <row r="31">
      <c r="A31" s="38"/>
    </row>
    <row r="32">
      <c r="A32" s="38"/>
    </row>
    <row r="33">
      <c r="A33" s="38"/>
    </row>
    <row r="34">
      <c r="A34" s="38"/>
    </row>
    <row r="35">
      <c r="A35" s="38"/>
    </row>
    <row r="36">
      <c r="A36" s="38"/>
    </row>
    <row r="37">
      <c r="A37" s="38"/>
    </row>
    <row r="38">
      <c r="A38" s="38"/>
    </row>
    <row r="39">
      <c r="A39" s="38"/>
    </row>
    <row r="40">
      <c r="A40" s="38"/>
    </row>
    <row r="41">
      <c r="A41" s="38"/>
    </row>
    <row r="42">
      <c r="A42" s="38"/>
    </row>
    <row r="43">
      <c r="A43" s="38"/>
    </row>
    <row r="44">
      <c r="A44" s="38"/>
    </row>
    <row r="45">
      <c r="A45" s="38"/>
    </row>
    <row r="46">
      <c r="A46" s="38"/>
    </row>
    <row r="47">
      <c r="A47" s="38"/>
    </row>
    <row r="48">
      <c r="A48" s="38"/>
    </row>
    <row r="49">
      <c r="A49" s="38"/>
    </row>
    <row r="50">
      <c r="A50" s="38"/>
    </row>
    <row r="51">
      <c r="A51" s="38"/>
    </row>
    <row r="52">
      <c r="A52" s="38"/>
    </row>
    <row r="53">
      <c r="A53" s="38"/>
    </row>
    <row r="54">
      <c r="A54" s="38"/>
    </row>
    <row r="55">
      <c r="A55" s="38"/>
    </row>
    <row r="56">
      <c r="A56" s="38"/>
    </row>
    <row r="57">
      <c r="A57" s="38"/>
    </row>
    <row r="58">
      <c r="A58" s="38"/>
    </row>
    <row r="59">
      <c r="A59" s="38"/>
    </row>
    <row r="60">
      <c r="A60" s="38"/>
    </row>
    <row r="61">
      <c r="A61" s="38"/>
    </row>
    <row r="62">
      <c r="A62" s="38"/>
    </row>
    <row r="63">
      <c r="A63" s="38"/>
    </row>
    <row r="64">
      <c r="A64" s="38"/>
    </row>
    <row r="65">
      <c r="A65" s="38"/>
    </row>
    <row r="66">
      <c r="A66" s="38"/>
    </row>
    <row r="67">
      <c r="A67" s="38"/>
    </row>
    <row r="68">
      <c r="A68" s="38"/>
    </row>
    <row r="69">
      <c r="A69" s="38"/>
    </row>
    <row r="70">
      <c r="A70" s="38"/>
    </row>
    <row r="71">
      <c r="A71" s="38"/>
    </row>
    <row r="72">
      <c r="A72" s="38"/>
    </row>
    <row r="73">
      <c r="A73" s="38"/>
    </row>
    <row r="74">
      <c r="A74" s="38"/>
    </row>
    <row r="75">
      <c r="A75" s="38"/>
    </row>
    <row r="76">
      <c r="A76" s="38"/>
    </row>
    <row r="77">
      <c r="A77" s="38"/>
    </row>
    <row r="78">
      <c r="A78" s="38"/>
    </row>
    <row r="79">
      <c r="A79" s="38"/>
    </row>
    <row r="80">
      <c r="A80" s="38"/>
    </row>
    <row r="81">
      <c r="A81" s="38"/>
    </row>
    <row r="82">
      <c r="A82" s="38"/>
    </row>
    <row r="83">
      <c r="A83" s="38"/>
    </row>
    <row r="84">
      <c r="A84" s="38"/>
    </row>
    <row r="85">
      <c r="A85" s="38"/>
    </row>
    <row r="86">
      <c r="A86" s="38"/>
    </row>
    <row r="87">
      <c r="A87" s="38"/>
    </row>
    <row r="88">
      <c r="A88" s="38"/>
    </row>
    <row r="89">
      <c r="A89" s="38"/>
    </row>
    <row r="90">
      <c r="A90" s="38"/>
    </row>
    <row r="91">
      <c r="A91" s="38"/>
    </row>
    <row r="92">
      <c r="A92" s="38"/>
    </row>
    <row r="93">
      <c r="A93" s="38"/>
    </row>
    <row r="94">
      <c r="A94" s="38"/>
    </row>
    <row r="95">
      <c r="A95" s="38"/>
    </row>
    <row r="96">
      <c r="A96" s="38"/>
    </row>
    <row r="97">
      <c r="A97" s="38"/>
    </row>
    <row r="98">
      <c r="A98" s="38"/>
    </row>
    <row r="99">
      <c r="A99" s="38"/>
    </row>
    <row r="100">
      <c r="A100" s="38"/>
    </row>
    <row r="101">
      <c r="A101" s="38"/>
    </row>
    <row r="102">
      <c r="A102" s="38"/>
    </row>
    <row r="103">
      <c r="A103" s="38"/>
    </row>
    <row r="104">
      <c r="A104" s="38"/>
    </row>
    <row r="105">
      <c r="A105" s="38"/>
    </row>
    <row r="106">
      <c r="A106" s="38"/>
    </row>
    <row r="107">
      <c r="A107" s="38"/>
    </row>
    <row r="108">
      <c r="A108" s="38"/>
    </row>
    <row r="109">
      <c r="A109" s="38"/>
    </row>
    <row r="110">
      <c r="A110" s="38"/>
    </row>
    <row r="111">
      <c r="A111" s="38"/>
    </row>
    <row r="112">
      <c r="A112" s="38"/>
    </row>
    <row r="113">
      <c r="A113" s="38"/>
    </row>
    <row r="114">
      <c r="A114" s="38"/>
    </row>
    <row r="115">
      <c r="A115" s="38"/>
    </row>
    <row r="116">
      <c r="A116" s="38"/>
    </row>
    <row r="117">
      <c r="A117" s="38"/>
    </row>
    <row r="118">
      <c r="A118" s="38"/>
    </row>
    <row r="119">
      <c r="A119" s="38"/>
    </row>
    <row r="120">
      <c r="A120" s="38"/>
    </row>
    <row r="121">
      <c r="A121" s="38"/>
    </row>
    <row r="122">
      <c r="A122" s="38"/>
    </row>
    <row r="123">
      <c r="A123" s="38"/>
    </row>
    <row r="124">
      <c r="A124" s="38"/>
    </row>
    <row r="125">
      <c r="A125" s="38"/>
    </row>
    <row r="126">
      <c r="A126" s="38"/>
    </row>
    <row r="127">
      <c r="A127" s="38"/>
    </row>
    <row r="128">
      <c r="A128" s="38"/>
    </row>
    <row r="129">
      <c r="A129" s="38"/>
    </row>
    <row r="130">
      <c r="A130" s="38"/>
    </row>
    <row r="131">
      <c r="A131" s="38"/>
    </row>
    <row r="132">
      <c r="A132" s="38"/>
    </row>
    <row r="133">
      <c r="A133" s="38"/>
    </row>
    <row r="134">
      <c r="A134" s="38"/>
    </row>
    <row r="135">
      <c r="A135" s="38"/>
    </row>
    <row r="136">
      <c r="A136" s="38"/>
    </row>
    <row r="137">
      <c r="A137" s="38"/>
    </row>
    <row r="138">
      <c r="A138" s="38"/>
    </row>
    <row r="139">
      <c r="A139" s="38"/>
    </row>
    <row r="140">
      <c r="A140" s="38"/>
    </row>
    <row r="141">
      <c r="A141" s="38"/>
    </row>
    <row r="142">
      <c r="A142" s="38"/>
    </row>
    <row r="143">
      <c r="A143" s="38"/>
    </row>
    <row r="144">
      <c r="A144" s="38"/>
    </row>
    <row r="145">
      <c r="A145" s="38"/>
    </row>
    <row r="146">
      <c r="A146" s="38"/>
    </row>
    <row r="147">
      <c r="A147" s="38"/>
    </row>
    <row r="148">
      <c r="A148" s="38"/>
    </row>
    <row r="149">
      <c r="A149" s="38"/>
    </row>
    <row r="150">
      <c r="A150" s="38"/>
    </row>
    <row r="151">
      <c r="A151" s="38"/>
    </row>
    <row r="152">
      <c r="A152" s="38"/>
    </row>
    <row r="153">
      <c r="A153" s="38"/>
    </row>
    <row r="154">
      <c r="A154" s="38"/>
    </row>
    <row r="155">
      <c r="A155" s="38"/>
    </row>
    <row r="156">
      <c r="A156" s="38"/>
    </row>
    <row r="157">
      <c r="A157" s="38"/>
    </row>
    <row r="158">
      <c r="A158" s="38"/>
    </row>
    <row r="159">
      <c r="A159" s="38"/>
    </row>
    <row r="160">
      <c r="A160" s="38"/>
    </row>
    <row r="161">
      <c r="A161" s="38"/>
    </row>
    <row r="162">
      <c r="A162" s="38"/>
    </row>
    <row r="163">
      <c r="A163" s="38"/>
    </row>
    <row r="164">
      <c r="A164" s="38"/>
    </row>
    <row r="165">
      <c r="A165" s="38"/>
    </row>
    <row r="166">
      <c r="A166" s="38"/>
    </row>
    <row r="167">
      <c r="A167" s="38"/>
    </row>
    <row r="168">
      <c r="A168" s="38"/>
    </row>
    <row r="169">
      <c r="A169" s="38"/>
    </row>
    <row r="170">
      <c r="A170" s="38"/>
    </row>
    <row r="171">
      <c r="A171" s="38"/>
    </row>
    <row r="172">
      <c r="A172" s="38"/>
    </row>
    <row r="173">
      <c r="A173" s="38"/>
    </row>
    <row r="174">
      <c r="A174" s="38"/>
    </row>
    <row r="175">
      <c r="A175" s="38"/>
    </row>
    <row r="176">
      <c r="A176" s="38"/>
    </row>
    <row r="177">
      <c r="A177" s="38"/>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row r="960">
      <c r="A960" s="38"/>
    </row>
    <row r="961">
      <c r="A961" s="38"/>
    </row>
    <row r="962">
      <c r="A962" s="38"/>
    </row>
    <row r="963">
      <c r="A963" s="38"/>
    </row>
    <row r="964">
      <c r="A964" s="38"/>
    </row>
    <row r="965">
      <c r="A965" s="38"/>
    </row>
    <row r="966">
      <c r="A966" s="38"/>
    </row>
    <row r="967">
      <c r="A967" s="38"/>
    </row>
    <row r="968">
      <c r="A968" s="38"/>
    </row>
    <row r="969">
      <c r="A969" s="38"/>
    </row>
    <row r="970">
      <c r="A970" s="38"/>
    </row>
    <row r="971">
      <c r="A971" s="38"/>
    </row>
    <row r="972">
      <c r="A972" s="38"/>
    </row>
    <row r="973">
      <c r="A973" s="38"/>
    </row>
    <row r="974">
      <c r="A974" s="38"/>
    </row>
    <row r="975">
      <c r="A975" s="38"/>
    </row>
    <row r="976">
      <c r="A976" s="38"/>
    </row>
    <row r="977">
      <c r="A977" s="38"/>
    </row>
    <row r="978">
      <c r="A978" s="38"/>
    </row>
    <row r="979">
      <c r="A979" s="38"/>
    </row>
    <row r="980">
      <c r="A980" s="38"/>
    </row>
    <row r="981">
      <c r="A981" s="38"/>
    </row>
    <row r="982">
      <c r="A982" s="38"/>
    </row>
    <row r="983">
      <c r="A983" s="38"/>
    </row>
    <row r="984">
      <c r="A984" s="38"/>
    </row>
    <row r="985">
      <c r="A985" s="38"/>
    </row>
    <row r="986">
      <c r="A986" s="38"/>
    </row>
    <row r="987">
      <c r="A987" s="38"/>
    </row>
    <row r="988">
      <c r="A988" s="38"/>
    </row>
    <row r="989">
      <c r="A989" s="38"/>
    </row>
    <row r="990">
      <c r="A990" s="38"/>
    </row>
    <row r="991">
      <c r="A991" s="38"/>
    </row>
    <row r="992">
      <c r="A992" s="38"/>
    </row>
    <row r="993">
      <c r="A993" s="38"/>
    </row>
    <row r="994">
      <c r="A994" s="38"/>
    </row>
    <row r="995">
      <c r="A995" s="38"/>
    </row>
    <row r="996">
      <c r="A996" s="38"/>
    </row>
    <row r="997">
      <c r="A997" s="38"/>
    </row>
    <row r="998">
      <c r="A998" s="38"/>
    </row>
    <row r="999">
      <c r="A999" s="38"/>
    </row>
    <row r="1000">
      <c r="A1000" s="38"/>
    </row>
  </sheetData>
  <dataValidations>
    <dataValidation type="list" allowBlank="1" showErrorMessage="1" sqref="A2:A1000">
      <formula1>'Données'!$M$2:$M1000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4.0"/>
    <col customWidth="1" min="3" max="3" width="22.5"/>
    <col customWidth="1" min="4" max="4" width="41.75"/>
    <col customWidth="1" min="5" max="5" width="22.13"/>
    <col customWidth="1" min="6" max="6" width="10.88"/>
    <col customWidth="1" min="7" max="7" width="11.5"/>
  </cols>
  <sheetData>
    <row r="1">
      <c r="A1" s="68" t="s">
        <v>4066</v>
      </c>
      <c r="B1" s="69" t="s">
        <v>55</v>
      </c>
      <c r="C1" s="69" t="s">
        <v>4075</v>
      </c>
      <c r="D1" s="69" t="s">
        <v>4076</v>
      </c>
      <c r="E1" s="70" t="s">
        <v>4079</v>
      </c>
      <c r="F1" s="69" t="s">
        <v>490</v>
      </c>
      <c r="G1" s="69" t="s">
        <v>4084</v>
      </c>
    </row>
    <row r="2">
      <c r="A2" s="71">
        <v>46267.5</v>
      </c>
      <c r="B2" s="4" t="s">
        <v>368</v>
      </c>
      <c r="C2" s="4" t="s">
        <v>4103</v>
      </c>
      <c r="D2" s="4" t="s">
        <v>4109</v>
      </c>
      <c r="E2" s="72">
        <v>40.0</v>
      </c>
      <c r="F2" s="4" t="b">
        <v>1</v>
      </c>
      <c r="G2" s="4" t="b">
        <v>1</v>
      </c>
    </row>
    <row r="3">
      <c r="A3" s="71">
        <v>46267.5</v>
      </c>
      <c r="B3" s="4" t="s">
        <v>4119</v>
      </c>
      <c r="C3" s="73" t="s">
        <v>4120</v>
      </c>
      <c r="D3" s="4" t="s">
        <v>4124</v>
      </c>
      <c r="E3" s="57">
        <v>15.0</v>
      </c>
      <c r="F3" s="4" t="b">
        <v>1</v>
      </c>
      <c r="G3" s="4" t="b">
        <v>1</v>
      </c>
    </row>
    <row r="4">
      <c r="A4" s="71">
        <v>46268.5</v>
      </c>
      <c r="B4" s="4" t="s">
        <v>648</v>
      </c>
      <c r="C4" s="4" t="s">
        <v>4130</v>
      </c>
      <c r="D4" s="4" t="s">
        <v>4124</v>
      </c>
      <c r="E4" s="57">
        <v>15.0</v>
      </c>
      <c r="F4" s="4" t="b">
        <v>1</v>
      </c>
      <c r="G4" s="4" t="b">
        <v>1</v>
      </c>
    </row>
    <row r="5">
      <c r="A5" s="71">
        <v>46268.5</v>
      </c>
      <c r="B5" s="4" t="s">
        <v>4135</v>
      </c>
      <c r="C5" s="4" t="s">
        <v>4137</v>
      </c>
      <c r="D5" s="4" t="s">
        <v>4139</v>
      </c>
      <c r="E5" s="57">
        <v>15.0</v>
      </c>
      <c r="F5" s="4" t="b">
        <v>1</v>
      </c>
      <c r="G5" s="4" t="b">
        <v>1</v>
      </c>
    </row>
    <row r="6">
      <c r="A6" s="71">
        <v>46268.5</v>
      </c>
      <c r="B6" s="4" t="s">
        <v>4135</v>
      </c>
      <c r="C6" s="4" t="s">
        <v>4144</v>
      </c>
      <c r="D6" s="4" t="s">
        <v>4139</v>
      </c>
      <c r="E6" s="57">
        <v>15.0</v>
      </c>
      <c r="F6" s="4" t="b">
        <v>1</v>
      </c>
      <c r="G6" s="4" t="b">
        <v>1</v>
      </c>
    </row>
    <row r="7">
      <c r="A7" s="71">
        <v>46269.5</v>
      </c>
      <c r="B7" s="4" t="s">
        <v>334</v>
      </c>
      <c r="C7" s="4" t="s">
        <v>4152</v>
      </c>
      <c r="D7" s="4" t="s">
        <v>4139</v>
      </c>
      <c r="E7" s="57">
        <v>15.0</v>
      </c>
      <c r="F7" s="4" t="b">
        <v>1</v>
      </c>
      <c r="G7" s="4" t="b">
        <v>1</v>
      </c>
    </row>
    <row r="8">
      <c r="A8" s="71">
        <v>46269.5</v>
      </c>
      <c r="B8" s="4" t="s">
        <v>334</v>
      </c>
      <c r="C8" s="4" t="s">
        <v>4161</v>
      </c>
      <c r="D8" s="4" t="s">
        <v>4139</v>
      </c>
      <c r="E8" s="57">
        <v>15.0</v>
      </c>
      <c r="F8" s="4" t="b">
        <v>1</v>
      </c>
      <c r="G8" s="4" t="b">
        <v>1</v>
      </c>
    </row>
    <row r="9">
      <c r="A9" s="71">
        <v>46269.5</v>
      </c>
      <c r="B9" s="4" t="s">
        <v>648</v>
      </c>
      <c r="C9" s="4" t="s">
        <v>4168</v>
      </c>
      <c r="D9" s="4" t="s">
        <v>4170</v>
      </c>
      <c r="E9" s="57">
        <v>55.0</v>
      </c>
      <c r="F9" s="4" t="b">
        <v>1</v>
      </c>
      <c r="G9" s="4" t="b">
        <v>0</v>
      </c>
    </row>
    <row r="10">
      <c r="A10" s="71">
        <v>46269.5</v>
      </c>
      <c r="B10" s="4" t="s">
        <v>648</v>
      </c>
      <c r="C10" s="4" t="s">
        <v>4176</v>
      </c>
      <c r="D10" s="4" t="s">
        <v>4124</v>
      </c>
      <c r="E10" s="57">
        <v>15.0</v>
      </c>
      <c r="F10" s="4" t="b">
        <v>1</v>
      </c>
      <c r="G10" s="4" t="b">
        <v>1</v>
      </c>
    </row>
    <row r="11">
      <c r="A11" s="71">
        <v>46269.5</v>
      </c>
      <c r="B11" s="4" t="s">
        <v>648</v>
      </c>
      <c r="C11" s="4" t="s">
        <v>1020</v>
      </c>
      <c r="D11" s="4" t="s">
        <v>4139</v>
      </c>
      <c r="E11" s="57">
        <v>15.0</v>
      </c>
      <c r="F11" s="4" t="b">
        <v>1</v>
      </c>
      <c r="G11" s="4" t="b">
        <v>1</v>
      </c>
    </row>
    <row r="12">
      <c r="A12" s="71">
        <v>46269.5</v>
      </c>
      <c r="B12" s="4" t="s">
        <v>648</v>
      </c>
      <c r="C12" s="4" t="s">
        <v>1020</v>
      </c>
      <c r="D12" s="4" t="s">
        <v>4139</v>
      </c>
      <c r="E12" s="57">
        <v>15.0</v>
      </c>
      <c r="F12" s="4" t="b">
        <v>1</v>
      </c>
      <c r="G12" s="4" t="b">
        <v>1</v>
      </c>
    </row>
    <row r="13">
      <c r="A13" s="71">
        <v>46269.5</v>
      </c>
      <c r="B13" s="4" t="s">
        <v>648</v>
      </c>
      <c r="C13" s="4" t="s">
        <v>4194</v>
      </c>
      <c r="D13" s="4" t="s">
        <v>4124</v>
      </c>
      <c r="E13" s="57">
        <v>15.0</v>
      </c>
      <c r="F13" s="4" t="b">
        <v>1</v>
      </c>
      <c r="G13" s="4" t="b">
        <v>1</v>
      </c>
    </row>
    <row r="14">
      <c r="A14" s="71">
        <v>46269.5</v>
      </c>
      <c r="B14" s="4" t="s">
        <v>648</v>
      </c>
      <c r="C14" s="4" t="s">
        <v>4199</v>
      </c>
      <c r="D14" s="4" t="s">
        <v>4124</v>
      </c>
      <c r="E14" s="57">
        <v>15.0</v>
      </c>
      <c r="F14" s="4" t="b">
        <v>1</v>
      </c>
      <c r="G14" s="4" t="b">
        <v>1</v>
      </c>
    </row>
    <row r="15">
      <c r="A15" s="71">
        <v>46269.5</v>
      </c>
      <c r="B15" s="4" t="s">
        <v>4135</v>
      </c>
      <c r="C15" s="4" t="s">
        <v>4200</v>
      </c>
      <c r="D15" s="4" t="s">
        <v>4139</v>
      </c>
      <c r="E15" s="57">
        <v>15.0</v>
      </c>
      <c r="F15" s="4" t="b">
        <v>1</v>
      </c>
      <c r="G15" s="4" t="b">
        <v>1</v>
      </c>
    </row>
    <row r="16">
      <c r="A16" s="71">
        <v>46269.5</v>
      </c>
      <c r="B16" s="4" t="s">
        <v>4135</v>
      </c>
      <c r="C16" s="4" t="s">
        <v>4207</v>
      </c>
      <c r="D16" s="4" t="s">
        <v>4139</v>
      </c>
      <c r="E16" s="57">
        <v>15.0</v>
      </c>
      <c r="F16" s="4" t="b">
        <v>1</v>
      </c>
      <c r="G16" s="4" t="b">
        <v>1</v>
      </c>
    </row>
    <row r="17">
      <c r="A17" s="71">
        <v>46269.5</v>
      </c>
      <c r="B17" s="4" t="s">
        <v>4135</v>
      </c>
      <c r="C17" s="4" t="s">
        <v>4207</v>
      </c>
      <c r="D17" s="4" t="s">
        <v>4139</v>
      </c>
      <c r="E17" s="57">
        <v>15.0</v>
      </c>
      <c r="F17" s="4" t="b">
        <v>1</v>
      </c>
      <c r="G17" s="4" t="b">
        <v>1</v>
      </c>
    </row>
    <row r="18">
      <c r="A18" s="71"/>
      <c r="B18" s="4"/>
      <c r="C18" s="4"/>
      <c r="D18" s="4"/>
      <c r="E18" s="57"/>
      <c r="F18" s="4"/>
      <c r="G18" s="4"/>
    </row>
    <row r="19">
      <c r="A19" s="71"/>
      <c r="B19" s="4"/>
      <c r="C19" s="4"/>
      <c r="D19" s="4"/>
      <c r="E19" s="57"/>
      <c r="F19" s="4"/>
      <c r="G19" s="4"/>
    </row>
    <row r="20">
      <c r="A20" s="71">
        <v>46269.5</v>
      </c>
      <c r="B20" s="4" t="s">
        <v>1005</v>
      </c>
      <c r="C20" s="4" t="s">
        <v>4236</v>
      </c>
      <c r="D20" s="4" t="s">
        <v>4139</v>
      </c>
      <c r="E20" s="57">
        <v>15.0</v>
      </c>
      <c r="F20" s="4" t="b">
        <v>1</v>
      </c>
      <c r="G20" s="4" t="b">
        <v>1</v>
      </c>
    </row>
    <row r="21">
      <c r="A21" s="71"/>
      <c r="B21" s="4"/>
      <c r="C21" s="4"/>
      <c r="D21" s="4"/>
      <c r="E21" s="57"/>
      <c r="F21" s="4"/>
      <c r="G21" s="4"/>
    </row>
    <row r="22">
      <c r="A22" s="71">
        <v>46271.5</v>
      </c>
      <c r="B22" s="4" t="s">
        <v>648</v>
      </c>
      <c r="C22" s="4" t="s">
        <v>4247</v>
      </c>
      <c r="D22" s="4" t="s">
        <v>4139</v>
      </c>
      <c r="E22" s="57">
        <v>15.0</v>
      </c>
      <c r="F22" s="4" t="b">
        <v>1</v>
      </c>
      <c r="G22" s="4" t="b">
        <v>1</v>
      </c>
    </row>
    <row r="23">
      <c r="A23" s="71">
        <v>46271.5</v>
      </c>
      <c r="B23" s="4" t="s">
        <v>648</v>
      </c>
      <c r="C23" s="4" t="s">
        <v>4254</v>
      </c>
      <c r="D23" s="4" t="s">
        <v>4139</v>
      </c>
      <c r="E23" s="57">
        <v>15.0</v>
      </c>
      <c r="F23" s="4" t="b">
        <v>1</v>
      </c>
      <c r="G23" s="4" t="b">
        <v>1</v>
      </c>
    </row>
    <row r="24">
      <c r="A24" s="71">
        <v>46271.5</v>
      </c>
      <c r="B24" s="4" t="s">
        <v>648</v>
      </c>
      <c r="C24" s="4" t="s">
        <v>4254</v>
      </c>
      <c r="D24" s="4" t="s">
        <v>4139</v>
      </c>
      <c r="E24" s="57">
        <v>15.0</v>
      </c>
      <c r="F24" s="4" t="b">
        <v>1</v>
      </c>
      <c r="G24" s="4" t="b">
        <v>1</v>
      </c>
    </row>
    <row r="25">
      <c r="A25" s="71">
        <v>46271.5</v>
      </c>
      <c r="B25" s="4" t="s">
        <v>648</v>
      </c>
      <c r="C25" s="4" t="s">
        <v>4268</v>
      </c>
      <c r="D25" s="4" t="s">
        <v>4139</v>
      </c>
      <c r="E25" s="57">
        <v>15.0</v>
      </c>
      <c r="F25" s="4" t="b">
        <v>1</v>
      </c>
      <c r="G25" s="4" t="b">
        <v>1</v>
      </c>
    </row>
    <row r="26">
      <c r="A26" s="71">
        <v>46271.5</v>
      </c>
      <c r="B26" s="4" t="s">
        <v>957</v>
      </c>
      <c r="C26" s="4" t="s">
        <v>4275</v>
      </c>
      <c r="D26" s="4" t="s">
        <v>4139</v>
      </c>
      <c r="E26" s="57">
        <v>15.0</v>
      </c>
      <c r="F26" s="4" t="b">
        <v>1</v>
      </c>
      <c r="G26" s="4" t="b">
        <v>1</v>
      </c>
    </row>
    <row r="27">
      <c r="A27" s="71">
        <v>46271.5</v>
      </c>
      <c r="B27" s="4" t="s">
        <v>648</v>
      </c>
      <c r="C27" s="4" t="s">
        <v>4282</v>
      </c>
      <c r="D27" s="4" t="s">
        <v>4139</v>
      </c>
      <c r="E27" s="57">
        <v>15.0</v>
      </c>
      <c r="F27" s="4" t="b">
        <v>1</v>
      </c>
      <c r="G27" s="4" t="b">
        <v>1</v>
      </c>
    </row>
    <row r="28">
      <c r="A28" s="71">
        <v>46271.5</v>
      </c>
      <c r="B28" s="4" t="s">
        <v>785</v>
      </c>
      <c r="C28" s="4" t="s">
        <v>4288</v>
      </c>
      <c r="D28" s="4" t="s">
        <v>4124</v>
      </c>
      <c r="E28" s="57">
        <v>15.0</v>
      </c>
      <c r="F28" s="4" t="b">
        <v>1</v>
      </c>
      <c r="G28" s="4" t="b">
        <v>0</v>
      </c>
    </row>
    <row r="29">
      <c r="A29" s="71">
        <v>46271.5</v>
      </c>
      <c r="B29" s="4" t="s">
        <v>785</v>
      </c>
      <c r="C29" s="4" t="s">
        <v>4295</v>
      </c>
      <c r="D29" s="4" t="s">
        <v>4124</v>
      </c>
      <c r="E29" s="57">
        <v>15.0</v>
      </c>
      <c r="F29" s="4" t="b">
        <v>1</v>
      </c>
      <c r="G29" s="4" t="b">
        <v>0</v>
      </c>
    </row>
    <row r="30">
      <c r="A30" s="71">
        <v>46271.5</v>
      </c>
      <c r="B30" s="4" t="s">
        <v>785</v>
      </c>
      <c r="C30" s="4" t="s">
        <v>4301</v>
      </c>
      <c r="D30" s="4" t="s">
        <v>4124</v>
      </c>
      <c r="E30" s="57">
        <v>15.0</v>
      </c>
      <c r="F30" s="4" t="b">
        <v>1</v>
      </c>
      <c r="G30" s="4" t="b">
        <v>0</v>
      </c>
    </row>
    <row r="31">
      <c r="A31" s="71">
        <v>46271.5</v>
      </c>
      <c r="B31" s="4" t="s">
        <v>957</v>
      </c>
      <c r="C31" s="4" t="s">
        <v>4307</v>
      </c>
      <c r="D31" s="4" t="s">
        <v>4124</v>
      </c>
      <c r="E31" s="57">
        <v>15.0</v>
      </c>
      <c r="F31" s="4" t="b">
        <v>1</v>
      </c>
      <c r="G31" s="4" t="b">
        <v>0</v>
      </c>
    </row>
    <row r="32">
      <c r="A32" s="71">
        <v>46272.5</v>
      </c>
      <c r="B32" s="4" t="s">
        <v>426</v>
      </c>
      <c r="C32" s="4" t="s">
        <v>4314</v>
      </c>
      <c r="D32" s="4" t="s">
        <v>4139</v>
      </c>
      <c r="E32" s="57">
        <v>15.0</v>
      </c>
      <c r="F32" s="4" t="b">
        <v>1</v>
      </c>
      <c r="G32" s="4" t="b">
        <v>0</v>
      </c>
    </row>
    <row r="33">
      <c r="A33" s="71">
        <v>46272.5</v>
      </c>
      <c r="B33" s="4" t="s">
        <v>4135</v>
      </c>
      <c r="C33" s="4" t="s">
        <v>4322</v>
      </c>
      <c r="D33" s="4" t="s">
        <v>4139</v>
      </c>
      <c r="E33" s="57">
        <v>15.0</v>
      </c>
      <c r="F33" s="4" t="b">
        <v>1</v>
      </c>
      <c r="G33" s="4" t="b">
        <v>1</v>
      </c>
    </row>
    <row r="34">
      <c r="A34" s="71">
        <v>46272.5</v>
      </c>
      <c r="B34" s="4" t="s">
        <v>957</v>
      </c>
      <c r="C34" s="4" t="s">
        <v>4330</v>
      </c>
      <c r="D34" s="4" t="s">
        <v>4139</v>
      </c>
      <c r="E34" s="57">
        <v>15.0</v>
      </c>
      <c r="F34" s="4" t="b">
        <v>1</v>
      </c>
      <c r="G34" s="4" t="b">
        <v>0</v>
      </c>
    </row>
    <row r="35">
      <c r="A35" s="71">
        <v>46272.5</v>
      </c>
      <c r="B35" s="4" t="s">
        <v>648</v>
      </c>
      <c r="C35" s="4" t="s">
        <v>4337</v>
      </c>
      <c r="D35" s="4" t="s">
        <v>4139</v>
      </c>
      <c r="E35" s="57">
        <v>15.0</v>
      </c>
      <c r="F35" s="4" t="b">
        <v>1</v>
      </c>
      <c r="G35" s="4" t="b">
        <v>1</v>
      </c>
    </row>
    <row r="36">
      <c r="A36" s="71">
        <v>46272.5</v>
      </c>
      <c r="B36" s="4" t="s">
        <v>957</v>
      </c>
      <c r="C36" s="4" t="s">
        <v>4342</v>
      </c>
      <c r="D36" s="4" t="s">
        <v>4139</v>
      </c>
      <c r="E36" s="57">
        <v>15.0</v>
      </c>
      <c r="F36" s="4" t="b">
        <v>1</v>
      </c>
      <c r="G36" s="4" t="b">
        <v>0</v>
      </c>
    </row>
    <row r="37">
      <c r="A37" s="71">
        <v>46272.5</v>
      </c>
      <c r="B37" s="4" t="s">
        <v>648</v>
      </c>
      <c r="C37" s="4" t="s">
        <v>4349</v>
      </c>
      <c r="D37" s="4" t="s">
        <v>4139</v>
      </c>
      <c r="E37" s="57">
        <v>15.0</v>
      </c>
      <c r="F37" s="4" t="b">
        <v>1</v>
      </c>
      <c r="G37" s="4" t="b">
        <v>1</v>
      </c>
    </row>
    <row r="38">
      <c r="A38" s="71">
        <v>46272.5</v>
      </c>
      <c r="B38" s="4" t="s">
        <v>4119</v>
      </c>
      <c r="C38" s="4" t="s">
        <v>4355</v>
      </c>
      <c r="D38" s="4" t="s">
        <v>4124</v>
      </c>
      <c r="E38" s="57">
        <v>15.0</v>
      </c>
      <c r="F38" s="4" t="b">
        <v>1</v>
      </c>
      <c r="G38" s="4" t="b">
        <v>1</v>
      </c>
    </row>
    <row r="39">
      <c r="A39" s="71">
        <v>46273.5</v>
      </c>
      <c r="B39" s="4" t="s">
        <v>4361</v>
      </c>
      <c r="C39" s="4" t="s">
        <v>4362</v>
      </c>
      <c r="D39" s="4" t="s">
        <v>4124</v>
      </c>
      <c r="E39" s="57">
        <v>15.0</v>
      </c>
      <c r="F39" s="4" t="b">
        <v>1</v>
      </c>
      <c r="G39" s="4" t="b">
        <v>1</v>
      </c>
    </row>
    <row r="40">
      <c r="A40" s="71">
        <v>46272.5</v>
      </c>
      <c r="B40" s="4" t="s">
        <v>1015</v>
      </c>
      <c r="C40" s="4" t="s">
        <v>4369</v>
      </c>
      <c r="D40" s="4" t="s">
        <v>4374</v>
      </c>
      <c r="E40" s="57">
        <v>50.0</v>
      </c>
      <c r="F40" s="4" t="b">
        <v>1</v>
      </c>
      <c r="G40" s="4" t="b">
        <v>0</v>
      </c>
    </row>
    <row r="41">
      <c r="A41" s="71">
        <v>46273.5</v>
      </c>
      <c r="B41" s="4" t="s">
        <v>4361</v>
      </c>
      <c r="C41" s="4" t="s">
        <v>4380</v>
      </c>
      <c r="D41" s="4" t="s">
        <v>4170</v>
      </c>
      <c r="E41" s="57">
        <v>55.0</v>
      </c>
      <c r="F41" s="4" t="b">
        <v>1</v>
      </c>
      <c r="G41" s="4" t="b">
        <v>1</v>
      </c>
    </row>
    <row r="42">
      <c r="A42" s="71"/>
      <c r="B42" s="4"/>
      <c r="C42" s="4"/>
      <c r="D42" s="4"/>
      <c r="E42" s="74"/>
      <c r="F42" s="4"/>
      <c r="G42" s="4"/>
    </row>
    <row r="43">
      <c r="A43" s="71">
        <v>46273.5</v>
      </c>
      <c r="B43" s="4" t="s">
        <v>4119</v>
      </c>
      <c r="C43" s="73" t="s">
        <v>4396</v>
      </c>
      <c r="D43" s="4" t="s">
        <v>4398</v>
      </c>
      <c r="E43" s="74"/>
      <c r="F43" s="4" t="b">
        <v>1</v>
      </c>
      <c r="G43" s="4" t="b">
        <v>0</v>
      </c>
    </row>
    <row r="44">
      <c r="A44" s="71">
        <v>46275.5</v>
      </c>
      <c r="B44" s="4" t="s">
        <v>648</v>
      </c>
      <c r="C44" s="4" t="s">
        <v>4402</v>
      </c>
      <c r="D44" s="4" t="s">
        <v>4139</v>
      </c>
      <c r="E44" s="57">
        <v>15.0</v>
      </c>
      <c r="F44" s="4" t="b">
        <v>1</v>
      </c>
      <c r="G44" s="4" t="b">
        <v>1</v>
      </c>
    </row>
    <row r="45">
      <c r="A45" s="71">
        <v>46275.5</v>
      </c>
      <c r="B45" s="4" t="s">
        <v>648</v>
      </c>
      <c r="C45" s="4" t="s">
        <v>4409</v>
      </c>
      <c r="D45" s="4" t="s">
        <v>4139</v>
      </c>
      <c r="E45" s="57">
        <v>15.0</v>
      </c>
      <c r="F45" s="4" t="b">
        <v>1</v>
      </c>
      <c r="G45" s="4" t="b">
        <v>1</v>
      </c>
    </row>
    <row r="46">
      <c r="A46" s="71">
        <v>46275.5</v>
      </c>
      <c r="B46" s="4" t="s">
        <v>648</v>
      </c>
      <c r="C46" s="4" t="s">
        <v>4168</v>
      </c>
      <c r="D46" s="4" t="s">
        <v>4124</v>
      </c>
      <c r="E46" s="57">
        <v>15.0</v>
      </c>
      <c r="F46" s="4" t="b">
        <v>1</v>
      </c>
      <c r="G46" s="4" t="b">
        <v>1</v>
      </c>
    </row>
    <row r="47">
      <c r="A47" s="71">
        <v>46275.5</v>
      </c>
      <c r="B47" s="4" t="s">
        <v>4119</v>
      </c>
      <c r="C47" s="73" t="s">
        <v>4423</v>
      </c>
      <c r="D47" s="4" t="s">
        <v>4124</v>
      </c>
      <c r="E47" s="57">
        <v>15.0</v>
      </c>
      <c r="F47" s="4" t="b">
        <v>1</v>
      </c>
      <c r="G47" s="4" t="b">
        <v>1</v>
      </c>
    </row>
    <row r="48">
      <c r="A48" s="71">
        <v>46276.5</v>
      </c>
      <c r="B48" s="4" t="s">
        <v>4430</v>
      </c>
      <c r="C48" s="4" t="s">
        <v>4236</v>
      </c>
      <c r="D48" s="4" t="s">
        <v>4434</v>
      </c>
      <c r="E48" s="57">
        <v>50.0</v>
      </c>
      <c r="F48" s="4" t="b">
        <v>1</v>
      </c>
      <c r="G48" s="4" t="b">
        <v>1</v>
      </c>
    </row>
    <row r="49">
      <c r="A49" s="71">
        <v>46278.5</v>
      </c>
      <c r="B49" s="4" t="s">
        <v>334</v>
      </c>
      <c r="C49" s="4" t="s">
        <v>4440</v>
      </c>
      <c r="D49" s="4" t="s">
        <v>4443</v>
      </c>
      <c r="E49" s="57">
        <v>20.0</v>
      </c>
      <c r="F49" s="4" t="b">
        <v>1</v>
      </c>
      <c r="G49" s="4" t="b">
        <v>1</v>
      </c>
    </row>
    <row r="50">
      <c r="A50" s="71">
        <v>46278.5</v>
      </c>
      <c r="B50" s="4" t="s">
        <v>4430</v>
      </c>
      <c r="C50" s="4" t="s">
        <v>4236</v>
      </c>
      <c r="D50" s="4" t="s">
        <v>4170</v>
      </c>
      <c r="E50" s="57">
        <v>55.0</v>
      </c>
      <c r="F50" s="4" t="b">
        <v>1</v>
      </c>
      <c r="G50" s="4" t="b">
        <v>1</v>
      </c>
    </row>
    <row r="51">
      <c r="A51" s="71">
        <v>46278.5</v>
      </c>
      <c r="B51" s="4" t="s">
        <v>785</v>
      </c>
      <c r="C51" s="4" t="s">
        <v>4236</v>
      </c>
      <c r="D51" s="4" t="s">
        <v>4457</v>
      </c>
      <c r="E51" s="57">
        <v>115.0</v>
      </c>
      <c r="F51" s="4" t="b">
        <v>1</v>
      </c>
      <c r="G51" s="4" t="b">
        <v>0</v>
      </c>
    </row>
    <row r="52">
      <c r="A52" s="71">
        <v>46278.5</v>
      </c>
      <c r="B52" s="4" t="s">
        <v>785</v>
      </c>
      <c r="C52" s="4" t="s">
        <v>4236</v>
      </c>
      <c r="D52" s="4" t="s">
        <v>4124</v>
      </c>
      <c r="E52" s="57">
        <v>15.0</v>
      </c>
      <c r="F52" s="4" t="b">
        <v>1</v>
      </c>
      <c r="G52" s="4" t="b">
        <v>0</v>
      </c>
    </row>
    <row r="53">
      <c r="A53" s="71">
        <v>46280.5</v>
      </c>
      <c r="B53" s="4" t="s">
        <v>648</v>
      </c>
      <c r="C53" s="4" t="s">
        <v>4597</v>
      </c>
      <c r="D53" s="4" t="s">
        <v>4139</v>
      </c>
      <c r="E53" s="57">
        <v>15.0</v>
      </c>
      <c r="F53" s="4" t="b">
        <v>1</v>
      </c>
      <c r="G53" s="4" t="b">
        <v>0</v>
      </c>
    </row>
    <row r="54">
      <c r="A54" s="71">
        <v>46280.5</v>
      </c>
      <c r="B54" s="4" t="s">
        <v>4606</v>
      </c>
      <c r="C54" s="4" t="s">
        <v>4608</v>
      </c>
      <c r="D54" s="4" t="s">
        <v>4609</v>
      </c>
      <c r="E54" s="57">
        <v>40.0</v>
      </c>
      <c r="F54" s="4" t="b">
        <v>1</v>
      </c>
      <c r="G54" s="4" t="b">
        <v>1</v>
      </c>
    </row>
    <row r="55">
      <c r="A55" s="71">
        <v>46280.5</v>
      </c>
      <c r="B55" s="4" t="s">
        <v>4606</v>
      </c>
      <c r="C55" s="4" t="s">
        <v>4611</v>
      </c>
      <c r="D55" s="4" t="s">
        <v>4614</v>
      </c>
      <c r="E55" s="57">
        <v>50.0</v>
      </c>
      <c r="F55" s="4" t="b">
        <v>1</v>
      </c>
      <c r="G55" s="4" t="b">
        <v>1</v>
      </c>
    </row>
    <row r="56">
      <c r="A56" s="71">
        <v>46282.5</v>
      </c>
      <c r="B56" s="4" t="s">
        <v>4135</v>
      </c>
      <c r="C56" s="4" t="s">
        <v>4621</v>
      </c>
      <c r="D56" s="4" t="s">
        <v>4622</v>
      </c>
      <c r="E56" s="57">
        <v>30.0</v>
      </c>
      <c r="F56" s="4" t="b">
        <v>1</v>
      </c>
      <c r="G56" s="4" t="b">
        <v>1</v>
      </c>
    </row>
    <row r="57">
      <c r="A57" s="71">
        <v>46282.5</v>
      </c>
      <c r="B57" s="4" t="s">
        <v>4135</v>
      </c>
      <c r="C57" s="4" t="s">
        <v>4629</v>
      </c>
      <c r="D57" s="4" t="s">
        <v>4622</v>
      </c>
      <c r="E57" s="57">
        <v>30.0</v>
      </c>
      <c r="F57" s="4" t="b">
        <v>1</v>
      </c>
      <c r="G57" s="4" t="b">
        <v>1</v>
      </c>
    </row>
    <row r="58">
      <c r="A58" s="71">
        <v>46282.5</v>
      </c>
      <c r="B58" s="4" t="s">
        <v>4135</v>
      </c>
      <c r="C58" s="4" t="s">
        <v>4636</v>
      </c>
      <c r="D58" s="4" t="s">
        <v>4622</v>
      </c>
      <c r="E58" s="57">
        <v>30.0</v>
      </c>
      <c r="F58" s="4" t="b">
        <v>1</v>
      </c>
      <c r="G58" s="4" t="b">
        <v>1</v>
      </c>
    </row>
    <row r="59">
      <c r="A59" s="71">
        <v>46282.5</v>
      </c>
      <c r="B59" s="4" t="s">
        <v>948</v>
      </c>
      <c r="C59" s="4" t="s">
        <v>4643</v>
      </c>
      <c r="D59" s="4" t="s">
        <v>4644</v>
      </c>
      <c r="E59" s="57">
        <v>400.0</v>
      </c>
      <c r="F59" s="4" t="b">
        <v>1</v>
      </c>
      <c r="G59" s="4" t="b">
        <v>1</v>
      </c>
    </row>
    <row r="60">
      <c r="A60" s="71">
        <v>46282.5</v>
      </c>
      <c r="B60" s="4" t="s">
        <v>948</v>
      </c>
      <c r="C60" s="4" t="s">
        <v>4651</v>
      </c>
      <c r="D60" s="4" t="s">
        <v>4124</v>
      </c>
      <c r="E60" s="57">
        <v>15.0</v>
      </c>
      <c r="F60" s="4" t="b">
        <v>1</v>
      </c>
      <c r="G60" s="4" t="b">
        <v>1</v>
      </c>
    </row>
    <row r="61">
      <c r="A61" s="71">
        <v>46283.5</v>
      </c>
      <c r="B61" s="4" t="s">
        <v>648</v>
      </c>
      <c r="C61" s="4" t="s">
        <v>4664</v>
      </c>
      <c r="D61" s="4" t="s">
        <v>4139</v>
      </c>
      <c r="E61" s="57">
        <v>15.0</v>
      </c>
      <c r="F61" s="4" t="b">
        <v>1</v>
      </c>
      <c r="G61" s="4" t="b">
        <v>1</v>
      </c>
    </row>
    <row r="62">
      <c r="A62" s="71">
        <v>46283.5</v>
      </c>
      <c r="B62" s="4" t="s">
        <v>648</v>
      </c>
      <c r="C62" s="4" t="s">
        <v>4664</v>
      </c>
      <c r="D62" s="4" t="s">
        <v>4139</v>
      </c>
      <c r="E62" s="57">
        <v>15.0</v>
      </c>
      <c r="F62" s="4" t="b">
        <v>1</v>
      </c>
      <c r="G62" s="4" t="b">
        <v>1</v>
      </c>
    </row>
    <row r="63">
      <c r="A63" s="71">
        <v>46283.5</v>
      </c>
      <c r="B63" s="4" t="s">
        <v>648</v>
      </c>
      <c r="C63" s="4" t="s">
        <v>4678</v>
      </c>
      <c r="D63" s="4" t="s">
        <v>4124</v>
      </c>
      <c r="E63" s="57">
        <v>15.0</v>
      </c>
      <c r="F63" s="4" t="b">
        <v>1</v>
      </c>
      <c r="G63" s="4" t="b">
        <v>1</v>
      </c>
    </row>
    <row r="64">
      <c r="A64" s="71">
        <v>46283.5</v>
      </c>
      <c r="B64" s="4" t="s">
        <v>648</v>
      </c>
      <c r="C64" s="4" t="s">
        <v>4685</v>
      </c>
      <c r="D64" s="4" t="s">
        <v>4124</v>
      </c>
      <c r="E64" s="57">
        <v>15.0</v>
      </c>
      <c r="F64" s="4" t="b">
        <v>1</v>
      </c>
      <c r="G64" s="4" t="b">
        <v>1</v>
      </c>
    </row>
    <row r="65">
      <c r="A65" s="71">
        <v>46283.5</v>
      </c>
      <c r="B65" s="4" t="s">
        <v>648</v>
      </c>
      <c r="C65" s="4" t="s">
        <v>4693</v>
      </c>
      <c r="D65" s="4" t="s">
        <v>4124</v>
      </c>
      <c r="E65" s="57">
        <v>15.0</v>
      </c>
      <c r="F65" s="4" t="b">
        <v>1</v>
      </c>
      <c r="G65" s="4" t="b">
        <v>1</v>
      </c>
    </row>
    <row r="66">
      <c r="A66" s="71">
        <v>46283.5</v>
      </c>
      <c r="B66" s="4" t="s">
        <v>648</v>
      </c>
      <c r="C66" s="4" t="s">
        <v>4693</v>
      </c>
      <c r="D66" s="4" t="s">
        <v>4124</v>
      </c>
      <c r="E66" s="57">
        <v>15.0</v>
      </c>
      <c r="F66" s="4" t="b">
        <v>1</v>
      </c>
      <c r="G66" s="4" t="b">
        <v>1</v>
      </c>
    </row>
    <row r="67">
      <c r="A67" s="71">
        <v>46283.5</v>
      </c>
      <c r="B67" s="4" t="s">
        <v>648</v>
      </c>
      <c r="C67" s="4" t="s">
        <v>4706</v>
      </c>
      <c r="D67" s="4" t="s">
        <v>4124</v>
      </c>
      <c r="E67" s="57">
        <v>15.0</v>
      </c>
      <c r="F67" s="4" t="b">
        <v>1</v>
      </c>
      <c r="G67" s="4" t="b">
        <v>1</v>
      </c>
    </row>
    <row r="68">
      <c r="A68" s="71">
        <v>46283.5</v>
      </c>
      <c r="B68" s="4" t="s">
        <v>648</v>
      </c>
      <c r="C68" s="4" t="s">
        <v>4706</v>
      </c>
      <c r="D68" s="4" t="s">
        <v>4124</v>
      </c>
      <c r="E68" s="57">
        <v>15.0</v>
      </c>
      <c r="F68" s="4" t="b">
        <v>1</v>
      </c>
      <c r="G68" s="4" t="b">
        <v>1</v>
      </c>
    </row>
    <row r="69">
      <c r="A69" s="71">
        <v>46283.5</v>
      </c>
      <c r="B69" s="4" t="s">
        <v>648</v>
      </c>
      <c r="C69" s="4" t="s">
        <v>4721</v>
      </c>
      <c r="D69" s="4" t="s">
        <v>4722</v>
      </c>
      <c r="E69" s="57">
        <v>30.0</v>
      </c>
      <c r="F69" s="4" t="b">
        <v>1</v>
      </c>
      <c r="G69" s="4" t="b">
        <v>1</v>
      </c>
    </row>
    <row r="70">
      <c r="A70" s="71">
        <v>46283.5</v>
      </c>
      <c r="B70" s="4" t="s">
        <v>648</v>
      </c>
      <c r="C70" s="4" t="s">
        <v>4721</v>
      </c>
      <c r="D70" s="4" t="s">
        <v>4731</v>
      </c>
      <c r="E70" s="57">
        <v>30.0</v>
      </c>
      <c r="F70" s="4" t="b">
        <v>1</v>
      </c>
      <c r="G70" s="4" t="b">
        <v>1</v>
      </c>
    </row>
    <row r="71">
      <c r="A71" s="71"/>
      <c r="B71" s="4"/>
      <c r="C71" s="4"/>
      <c r="D71" s="4"/>
      <c r="E71" s="57"/>
      <c r="F71" s="4"/>
      <c r="G71" s="4"/>
    </row>
    <row r="72">
      <c r="A72" s="71">
        <v>46284.5</v>
      </c>
      <c r="B72" s="4" t="s">
        <v>648</v>
      </c>
      <c r="C72" s="4" t="s">
        <v>4740</v>
      </c>
      <c r="D72" s="4" t="s">
        <v>4124</v>
      </c>
      <c r="E72" s="57">
        <v>15.0</v>
      </c>
      <c r="F72" s="4" t="b">
        <v>1</v>
      </c>
      <c r="G72" s="4" t="b">
        <v>1</v>
      </c>
    </row>
    <row r="73">
      <c r="A73" s="71">
        <v>46284.5</v>
      </c>
      <c r="B73" s="4" t="s">
        <v>648</v>
      </c>
      <c r="C73" s="4" t="s">
        <v>4740</v>
      </c>
      <c r="D73" s="4" t="s">
        <v>4124</v>
      </c>
      <c r="E73" s="57">
        <v>15.0</v>
      </c>
      <c r="F73" s="4" t="b">
        <v>1</v>
      </c>
      <c r="G73" s="4" t="b">
        <v>1</v>
      </c>
    </row>
    <row r="74">
      <c r="A74" s="71">
        <v>46284.5</v>
      </c>
      <c r="B74" s="4" t="s">
        <v>4361</v>
      </c>
      <c r="C74" s="4" t="s">
        <v>4757</v>
      </c>
      <c r="D74" s="4" t="s">
        <v>4760</v>
      </c>
      <c r="E74" s="57">
        <v>30.0</v>
      </c>
      <c r="F74" s="4" t="b">
        <v>1</v>
      </c>
      <c r="G74" s="4" t="b">
        <v>1</v>
      </c>
    </row>
    <row r="75">
      <c r="A75" s="71">
        <v>46284.5</v>
      </c>
      <c r="B75" s="4" t="s">
        <v>4361</v>
      </c>
      <c r="C75" s="4" t="s">
        <v>4765</v>
      </c>
      <c r="D75" s="4" t="s">
        <v>4770</v>
      </c>
      <c r="E75" s="57">
        <v>20.0</v>
      </c>
      <c r="F75" s="4" t="b">
        <v>1</v>
      </c>
      <c r="G75" s="4" t="b">
        <v>1</v>
      </c>
    </row>
    <row r="76">
      <c r="A76" s="71">
        <v>46284.5</v>
      </c>
      <c r="B76" s="4" t="s">
        <v>462</v>
      </c>
      <c r="C76" s="4" t="s">
        <v>4776</v>
      </c>
      <c r="D76" s="4" t="s">
        <v>4779</v>
      </c>
      <c r="E76" s="57">
        <v>850.0</v>
      </c>
      <c r="F76" s="4" t="b">
        <v>1</v>
      </c>
      <c r="G76" s="4" t="b">
        <v>1</v>
      </c>
    </row>
    <row r="77">
      <c r="A77" s="71">
        <v>46284.5</v>
      </c>
      <c r="B77" s="4" t="s">
        <v>4361</v>
      </c>
      <c r="C77" s="4" t="s">
        <v>4784</v>
      </c>
      <c r="D77" s="4" t="s">
        <v>4770</v>
      </c>
      <c r="E77" s="57">
        <v>20.0</v>
      </c>
      <c r="F77" s="4" t="b">
        <v>1</v>
      </c>
      <c r="G77" s="4" t="b">
        <v>1</v>
      </c>
    </row>
    <row r="78">
      <c r="A78" s="71">
        <v>46285.5</v>
      </c>
      <c r="B78" s="4" t="s">
        <v>4606</v>
      </c>
      <c r="C78" s="4" t="s">
        <v>4790</v>
      </c>
      <c r="D78" s="4" t="s">
        <v>4170</v>
      </c>
      <c r="E78" s="57">
        <v>55.0</v>
      </c>
      <c r="F78" s="4" t="b">
        <v>1</v>
      </c>
      <c r="G78" s="4" t="b">
        <v>1</v>
      </c>
    </row>
    <row r="79">
      <c r="A79" s="71">
        <v>46285.5</v>
      </c>
      <c r="B79" s="4" t="s">
        <v>4606</v>
      </c>
      <c r="C79" s="4" t="s">
        <v>4798</v>
      </c>
      <c r="D79" s="4" t="s">
        <v>4170</v>
      </c>
      <c r="E79" s="57">
        <v>55.0</v>
      </c>
      <c r="F79" s="4" t="b">
        <v>1</v>
      </c>
      <c r="G79" s="4" t="b">
        <v>1</v>
      </c>
    </row>
    <row r="80">
      <c r="A80" s="71">
        <v>46285.5</v>
      </c>
      <c r="B80" s="4" t="s">
        <v>837</v>
      </c>
      <c r="C80" s="4" t="s">
        <v>4807</v>
      </c>
      <c r="D80" s="4" t="s">
        <v>4809</v>
      </c>
      <c r="E80" s="57">
        <v>30.0</v>
      </c>
      <c r="F80" s="4" t="b">
        <v>1</v>
      </c>
      <c r="G80" s="4" t="b">
        <v>0</v>
      </c>
    </row>
    <row r="81">
      <c r="A81" s="71">
        <v>46285.5</v>
      </c>
      <c r="B81" s="4" t="s">
        <v>837</v>
      </c>
      <c r="C81" s="4" t="s">
        <v>4815</v>
      </c>
      <c r="D81" s="4" t="s">
        <v>4809</v>
      </c>
      <c r="E81" s="57">
        <v>30.0</v>
      </c>
      <c r="F81" s="4" t="b">
        <v>1</v>
      </c>
      <c r="G81" s="4" t="b">
        <v>0</v>
      </c>
    </row>
    <row r="82">
      <c r="A82" s="71">
        <v>46285.5</v>
      </c>
      <c r="B82" s="4" t="s">
        <v>837</v>
      </c>
      <c r="C82" s="4" t="s">
        <v>4820</v>
      </c>
      <c r="D82" s="4" t="s">
        <v>4809</v>
      </c>
      <c r="E82" s="57">
        <v>30.0</v>
      </c>
      <c r="F82" s="4" t="b">
        <v>1</v>
      </c>
      <c r="G82" s="4" t="b">
        <v>0</v>
      </c>
    </row>
    <row r="83">
      <c r="A83" s="71">
        <v>46285.5</v>
      </c>
      <c r="B83" s="4" t="s">
        <v>837</v>
      </c>
      <c r="C83" s="4" t="s">
        <v>4826</v>
      </c>
      <c r="D83" s="4" t="s">
        <v>4809</v>
      </c>
      <c r="E83" s="57">
        <v>30.0</v>
      </c>
      <c r="F83" s="4" t="b">
        <v>1</v>
      </c>
      <c r="G83" s="4" t="b">
        <v>0</v>
      </c>
    </row>
    <row r="84">
      <c r="A84" s="71">
        <v>46285.5</v>
      </c>
      <c r="B84" s="4" t="s">
        <v>837</v>
      </c>
      <c r="C84" s="4" t="s">
        <v>4831</v>
      </c>
      <c r="D84" s="4" t="s">
        <v>4809</v>
      </c>
      <c r="E84" s="57">
        <v>30.0</v>
      </c>
      <c r="F84" s="4" t="b">
        <v>1</v>
      </c>
      <c r="G84" s="4" t="b">
        <v>0</v>
      </c>
    </row>
    <row r="85">
      <c r="A85" s="71">
        <v>46285.5</v>
      </c>
      <c r="B85" s="4" t="s">
        <v>837</v>
      </c>
      <c r="C85" s="4" t="s">
        <v>4838</v>
      </c>
      <c r="D85" s="4" t="s">
        <v>4809</v>
      </c>
      <c r="E85" s="57">
        <v>30.0</v>
      </c>
      <c r="F85" s="4" t="b">
        <v>1</v>
      </c>
      <c r="G85" s="4" t="b">
        <v>0</v>
      </c>
    </row>
    <row r="86">
      <c r="A86" s="71">
        <v>46285.5</v>
      </c>
      <c r="B86" s="4" t="s">
        <v>837</v>
      </c>
      <c r="C86" s="4" t="s">
        <v>4845</v>
      </c>
      <c r="D86" s="4" t="s">
        <v>4809</v>
      </c>
      <c r="E86" s="57">
        <v>30.0</v>
      </c>
      <c r="F86" s="4" t="b">
        <v>1</v>
      </c>
      <c r="G86" s="4" t="b">
        <v>0</v>
      </c>
    </row>
    <row r="87">
      <c r="A87" s="71">
        <v>46285.5</v>
      </c>
      <c r="B87" s="4" t="s">
        <v>837</v>
      </c>
      <c r="C87" s="4" t="s">
        <v>4850</v>
      </c>
      <c r="D87" s="4" t="s">
        <v>4852</v>
      </c>
      <c r="E87" s="57">
        <v>30.0</v>
      </c>
      <c r="F87" s="4" t="b">
        <v>1</v>
      </c>
      <c r="G87" s="4" t="b">
        <v>0</v>
      </c>
    </row>
    <row r="88">
      <c r="A88" s="71">
        <v>46285.5</v>
      </c>
      <c r="B88" s="4" t="s">
        <v>4858</v>
      </c>
      <c r="C88" s="4" t="s">
        <v>4859</v>
      </c>
      <c r="D88" s="4" t="s">
        <v>4861</v>
      </c>
      <c r="E88" s="57">
        <v>150.0</v>
      </c>
      <c r="F88" s="4" t="b">
        <v>1</v>
      </c>
      <c r="G88" s="4" t="b">
        <v>1</v>
      </c>
    </row>
    <row r="89">
      <c r="A89" s="71">
        <v>46285.5</v>
      </c>
      <c r="B89" s="4" t="s">
        <v>837</v>
      </c>
      <c r="C89" s="4" t="s">
        <v>4867</v>
      </c>
      <c r="D89" s="4" t="s">
        <v>4852</v>
      </c>
      <c r="E89" s="57">
        <v>30.0</v>
      </c>
      <c r="F89" s="4" t="b">
        <v>1</v>
      </c>
      <c r="G89" s="4" t="b">
        <v>0</v>
      </c>
    </row>
    <row r="90">
      <c r="A90" s="71">
        <v>46285.5</v>
      </c>
      <c r="B90" s="4" t="s">
        <v>4606</v>
      </c>
      <c r="C90" s="4" t="s">
        <v>4878</v>
      </c>
      <c r="D90" s="4" t="s">
        <v>4170</v>
      </c>
      <c r="E90" s="57">
        <v>55.0</v>
      </c>
      <c r="F90" s="4" t="b">
        <v>1</v>
      </c>
      <c r="G90" s="4" t="b">
        <v>1</v>
      </c>
    </row>
    <row r="91">
      <c r="A91" s="71">
        <v>46285.5</v>
      </c>
      <c r="B91" s="4" t="s">
        <v>4858</v>
      </c>
      <c r="C91" s="4" t="s">
        <v>4891</v>
      </c>
      <c r="D91" s="4" t="s">
        <v>4170</v>
      </c>
      <c r="E91" s="57">
        <v>55.0</v>
      </c>
      <c r="F91" s="4" t="b">
        <v>1</v>
      </c>
      <c r="G91" s="4" t="b">
        <v>1</v>
      </c>
    </row>
    <row r="92">
      <c r="A92" s="71">
        <v>46285.5</v>
      </c>
      <c r="B92" s="4" t="s">
        <v>486</v>
      </c>
      <c r="C92" s="4" t="s">
        <v>4894</v>
      </c>
      <c r="D92" s="4" t="s">
        <v>4124</v>
      </c>
      <c r="E92" s="57">
        <v>15.0</v>
      </c>
      <c r="F92" s="4" t="b">
        <v>1</v>
      </c>
      <c r="G92" s="4" t="b">
        <v>0</v>
      </c>
    </row>
    <row r="93">
      <c r="A93" s="71">
        <v>46285.5</v>
      </c>
      <c r="B93" s="4" t="s">
        <v>837</v>
      </c>
      <c r="C93" s="4" t="s">
        <v>4900</v>
      </c>
      <c r="D93" s="4" t="s">
        <v>4852</v>
      </c>
      <c r="E93" s="57">
        <v>30.0</v>
      </c>
      <c r="F93" s="4" t="b">
        <v>1</v>
      </c>
      <c r="G93" s="4" t="b">
        <v>0</v>
      </c>
    </row>
    <row r="94">
      <c r="A94" s="71">
        <v>46285.5</v>
      </c>
      <c r="B94" s="4" t="s">
        <v>837</v>
      </c>
      <c r="C94" s="4" t="s">
        <v>4907</v>
      </c>
      <c r="D94" s="4" t="s">
        <v>4852</v>
      </c>
      <c r="E94" s="57">
        <v>30.0</v>
      </c>
      <c r="F94" s="4" t="b">
        <v>1</v>
      </c>
      <c r="G94" s="4" t="b">
        <v>0</v>
      </c>
    </row>
    <row r="95">
      <c r="A95" s="71">
        <v>46285.5</v>
      </c>
      <c r="B95" s="4" t="s">
        <v>648</v>
      </c>
      <c r="C95" s="4" t="s">
        <v>4776</v>
      </c>
      <c r="D95" s="4" t="s">
        <v>4139</v>
      </c>
      <c r="E95" s="57">
        <v>15.0</v>
      </c>
      <c r="F95" s="4" t="b">
        <v>1</v>
      </c>
      <c r="G95" s="4" t="b">
        <v>1</v>
      </c>
    </row>
    <row r="96">
      <c r="A96" s="71">
        <v>46285.5</v>
      </c>
      <c r="B96" s="4" t="s">
        <v>648</v>
      </c>
      <c r="C96" s="4" t="s">
        <v>4776</v>
      </c>
      <c r="D96" s="4" t="s">
        <v>4139</v>
      </c>
      <c r="E96" s="57">
        <v>15.0</v>
      </c>
      <c r="F96" s="4" t="b">
        <v>1</v>
      </c>
      <c r="G96" s="4" t="b">
        <v>1</v>
      </c>
    </row>
    <row r="97">
      <c r="A97" s="71">
        <v>46285.5</v>
      </c>
      <c r="B97" s="4" t="s">
        <v>334</v>
      </c>
      <c r="C97" s="4" t="s">
        <v>4929</v>
      </c>
      <c r="D97" s="4" t="s">
        <v>4930</v>
      </c>
      <c r="E97" s="57">
        <v>1000.0</v>
      </c>
      <c r="F97" s="4" t="b">
        <v>0</v>
      </c>
      <c r="G97" s="4" t="b">
        <v>0</v>
      </c>
    </row>
    <row r="98">
      <c r="A98" s="71">
        <v>46285.5</v>
      </c>
      <c r="B98" s="4" t="s">
        <v>830</v>
      </c>
      <c r="C98" s="4" t="s">
        <v>814</v>
      </c>
      <c r="D98" s="4" t="s">
        <v>4933</v>
      </c>
      <c r="E98" s="57">
        <v>100.0</v>
      </c>
      <c r="F98" s="4" t="b">
        <v>1</v>
      </c>
      <c r="G98" s="4" t="b">
        <v>1</v>
      </c>
    </row>
    <row r="99">
      <c r="A99" s="71">
        <v>46287.5</v>
      </c>
      <c r="B99" s="4" t="s">
        <v>648</v>
      </c>
      <c r="C99" s="4" t="s">
        <v>4938</v>
      </c>
      <c r="D99" s="4" t="s">
        <v>4170</v>
      </c>
      <c r="E99" s="57">
        <v>55.0</v>
      </c>
      <c r="F99" s="4" t="b">
        <v>1</v>
      </c>
      <c r="G99" s="4" t="b">
        <v>1</v>
      </c>
    </row>
    <row r="100">
      <c r="A100" s="71">
        <v>46288.5</v>
      </c>
      <c r="B100" s="4" t="s">
        <v>4858</v>
      </c>
      <c r="C100" s="4" t="s">
        <v>4947</v>
      </c>
      <c r="D100" s="4" t="s">
        <v>4950</v>
      </c>
      <c r="E100" s="57">
        <v>250.0</v>
      </c>
      <c r="F100" s="4" t="b">
        <v>1</v>
      </c>
      <c r="G100" s="4" t="b">
        <v>1</v>
      </c>
    </row>
    <row r="101">
      <c r="A101" s="71">
        <v>46290.5</v>
      </c>
      <c r="B101" s="4" t="s">
        <v>4956</v>
      </c>
      <c r="C101" s="4" t="s">
        <v>4958</v>
      </c>
      <c r="D101" s="4" t="s">
        <v>4961</v>
      </c>
      <c r="E101" s="57">
        <v>1.0</v>
      </c>
      <c r="F101" s="4" t="b">
        <v>1</v>
      </c>
      <c r="G101" s="4" t="b">
        <v>1</v>
      </c>
    </row>
    <row r="102">
      <c r="A102" s="45"/>
      <c r="B102" s="38"/>
      <c r="D102" s="38"/>
      <c r="E102" s="74" t="str">
        <f t="array" ref="E102">IF(D102="","",IFERROR(_xlfn.XLOOKUP(D102,SyncCodex!L:L,SyncCodex!M:M),""))</f>
        <v/>
      </c>
      <c r="F102" s="38" t="b">
        <v>0</v>
      </c>
      <c r="G102" s="38" t="b">
        <v>0</v>
      </c>
    </row>
    <row r="103">
      <c r="A103" s="45"/>
      <c r="B103" s="38"/>
      <c r="D103" s="38"/>
      <c r="E103" s="74" t="str">
        <f t="array" ref="E103">IF(D103="","",IFERROR(_xlfn.XLOOKUP(D103,SyncCodex!L:L,SyncCodex!M:M),""))</f>
        <v/>
      </c>
      <c r="F103" s="38" t="b">
        <v>0</v>
      </c>
      <c r="G103" s="38" t="b">
        <v>0</v>
      </c>
    </row>
    <row r="104">
      <c r="A104" s="45"/>
      <c r="B104" s="38"/>
      <c r="D104" s="38"/>
      <c r="E104" s="74" t="str">
        <f t="array" ref="E104">IF(D104="","",IFERROR(_xlfn.XLOOKUP(D104,SyncCodex!L:L,SyncCodex!M:M),""))</f>
        <v/>
      </c>
      <c r="F104" s="38" t="b">
        <v>0</v>
      </c>
      <c r="G104" s="38" t="b">
        <v>0</v>
      </c>
    </row>
    <row r="105">
      <c r="A105" s="45"/>
      <c r="B105" s="38"/>
      <c r="D105" s="38"/>
      <c r="E105" s="74" t="str">
        <f t="array" ref="E105">IF(D105="","",IFERROR(_xlfn.XLOOKUP(D105,SyncCodex!L:L,SyncCodex!M:M),""))</f>
        <v/>
      </c>
      <c r="F105" s="38" t="b">
        <v>0</v>
      </c>
      <c r="G105" s="38" t="b">
        <v>0</v>
      </c>
    </row>
    <row r="106">
      <c r="A106" s="45"/>
      <c r="B106" s="38"/>
      <c r="D106" s="38"/>
      <c r="E106" s="74" t="str">
        <f t="array" ref="E106">IF(D106="","",IFERROR(_xlfn.XLOOKUP(D106,SyncCodex!L:L,SyncCodex!M:M),""))</f>
        <v/>
      </c>
      <c r="F106" s="38" t="b">
        <v>0</v>
      </c>
      <c r="G106" s="38" t="b">
        <v>0</v>
      </c>
    </row>
    <row r="107">
      <c r="A107" s="45"/>
      <c r="B107" s="38"/>
      <c r="D107" s="38"/>
      <c r="E107" s="74" t="str">
        <f t="array" ref="E107">IF(D107="","",IFERROR(_xlfn.XLOOKUP(D107,SyncCodex!L:L,SyncCodex!M:M),""))</f>
        <v/>
      </c>
      <c r="F107" s="38" t="b">
        <v>0</v>
      </c>
      <c r="G107" s="38" t="b">
        <v>0</v>
      </c>
    </row>
    <row r="108">
      <c r="A108" s="45"/>
      <c r="B108" s="38"/>
      <c r="D108" s="38"/>
      <c r="E108" s="74" t="str">
        <f t="array" ref="E108">IF(D108="","",IFERROR(_xlfn.XLOOKUP(D108,SyncCodex!L:L,SyncCodex!M:M),""))</f>
        <v/>
      </c>
      <c r="F108" s="38" t="b">
        <v>0</v>
      </c>
      <c r="G108" s="38" t="b">
        <v>0</v>
      </c>
    </row>
    <row r="109">
      <c r="A109" s="45"/>
      <c r="B109" s="38"/>
      <c r="D109" s="38"/>
      <c r="E109" s="74" t="str">
        <f t="array" ref="E109">IF(D109="","",IFERROR(_xlfn.XLOOKUP(D109,SyncCodex!L:L,SyncCodex!M:M),""))</f>
        <v/>
      </c>
      <c r="F109" s="38" t="b">
        <v>0</v>
      </c>
      <c r="G109" s="38" t="b">
        <v>0</v>
      </c>
    </row>
    <row r="110">
      <c r="A110" s="45"/>
      <c r="B110" s="38"/>
      <c r="D110" s="38"/>
      <c r="E110" s="74" t="str">
        <f t="array" ref="E110">IF(D110="","",IFERROR(_xlfn.XLOOKUP(D110,SyncCodex!L:L,SyncCodex!M:M),""))</f>
        <v/>
      </c>
      <c r="F110" s="38" t="b">
        <v>0</v>
      </c>
      <c r="G110" s="38" t="b">
        <v>0</v>
      </c>
    </row>
    <row r="111">
      <c r="A111" s="45"/>
      <c r="B111" s="38"/>
      <c r="D111" s="38"/>
      <c r="E111" s="74" t="str">
        <f t="array" ref="E111">IF(D111="","",IFERROR(_xlfn.XLOOKUP(D111,SyncCodex!L:L,SyncCodex!M:M),""))</f>
        <v/>
      </c>
      <c r="F111" s="38" t="b">
        <v>0</v>
      </c>
      <c r="G111" s="38" t="b">
        <v>0</v>
      </c>
    </row>
    <row r="112">
      <c r="A112" s="45"/>
      <c r="B112" s="38"/>
      <c r="D112" s="38"/>
      <c r="E112" s="74" t="str">
        <f t="array" ref="E112">IF(D112="","",IFERROR(_xlfn.XLOOKUP(D112,SyncCodex!L:L,SyncCodex!M:M),""))</f>
        <v/>
      </c>
      <c r="F112" s="38" t="b">
        <v>0</v>
      </c>
      <c r="G112" s="38" t="b">
        <v>0</v>
      </c>
    </row>
    <row r="113">
      <c r="A113" s="45"/>
      <c r="B113" s="38"/>
      <c r="D113" s="38"/>
      <c r="E113" s="74" t="str">
        <f t="array" ref="E113">IF(D113="","",IFERROR(_xlfn.XLOOKUP(D113,SyncCodex!L:L,SyncCodex!M:M),""))</f>
        <v/>
      </c>
      <c r="F113" s="38" t="b">
        <v>0</v>
      </c>
      <c r="G113" s="38" t="b">
        <v>0</v>
      </c>
    </row>
    <row r="114">
      <c r="A114" s="45"/>
      <c r="B114" s="38"/>
      <c r="D114" s="38"/>
      <c r="E114" s="74" t="str">
        <f t="array" ref="E114">IF(D114="","",IFERROR(_xlfn.XLOOKUP(D114,SyncCodex!L:L,SyncCodex!M:M),""))</f>
        <v/>
      </c>
      <c r="F114" s="38" t="b">
        <v>0</v>
      </c>
      <c r="G114" s="38" t="b">
        <v>0</v>
      </c>
    </row>
    <row r="115">
      <c r="A115" s="45"/>
      <c r="B115" s="38"/>
      <c r="D115" s="38"/>
      <c r="E115" s="74" t="str">
        <f t="array" ref="E115">IF(D115="","",IFERROR(_xlfn.XLOOKUP(D115,SyncCodex!L:L,SyncCodex!M:M),""))</f>
        <v/>
      </c>
      <c r="F115" s="38" t="b">
        <v>0</v>
      </c>
      <c r="G115" s="38" t="b">
        <v>0</v>
      </c>
    </row>
    <row r="116">
      <c r="A116" s="45"/>
      <c r="B116" s="38"/>
      <c r="D116" s="38"/>
      <c r="E116" s="74" t="str">
        <f t="array" ref="E116">IF(D116="","",IFERROR(_xlfn.XLOOKUP(D116,SyncCodex!L:L,SyncCodex!M:M),""))</f>
        <v/>
      </c>
      <c r="F116" s="38" t="b">
        <v>0</v>
      </c>
      <c r="G116" s="38" t="b">
        <v>0</v>
      </c>
    </row>
    <row r="117">
      <c r="A117" s="45"/>
      <c r="B117" s="38"/>
      <c r="D117" s="38"/>
      <c r="E117" s="74" t="str">
        <f t="array" ref="E117">IF(D117="","",IFERROR(_xlfn.XLOOKUP(D117,SyncCodex!L:L,SyncCodex!M:M),""))</f>
        <v/>
      </c>
      <c r="F117" s="38" t="b">
        <v>0</v>
      </c>
      <c r="G117" s="38" t="b">
        <v>0</v>
      </c>
    </row>
    <row r="118">
      <c r="A118" s="45"/>
      <c r="B118" s="38"/>
      <c r="D118" s="38"/>
      <c r="E118" s="74" t="str">
        <f t="array" ref="E118">IF(D118="","",IFERROR(_xlfn.XLOOKUP(D118,SyncCodex!L:L,SyncCodex!M:M),""))</f>
        <v/>
      </c>
      <c r="F118" s="38" t="b">
        <v>0</v>
      </c>
      <c r="G118" s="38" t="b">
        <v>0</v>
      </c>
    </row>
    <row r="119">
      <c r="A119" s="45"/>
      <c r="B119" s="38"/>
      <c r="D119" s="38"/>
      <c r="E119" s="74" t="str">
        <f t="array" ref="E119">IF(D119="","",IFERROR(_xlfn.XLOOKUP(D119,SyncCodex!L:L,SyncCodex!M:M),""))</f>
        <v/>
      </c>
      <c r="F119" s="38" t="b">
        <v>0</v>
      </c>
      <c r="G119" s="38" t="b">
        <v>0</v>
      </c>
    </row>
    <row r="120">
      <c r="A120" s="45"/>
      <c r="B120" s="38"/>
      <c r="D120" s="38"/>
      <c r="E120" s="74" t="str">
        <f t="array" ref="E120">IF(D120="","",IFERROR(_xlfn.XLOOKUP(D120,SyncCodex!L:L,SyncCodex!M:M),""))</f>
        <v/>
      </c>
      <c r="F120" s="38" t="b">
        <v>0</v>
      </c>
      <c r="G120" s="38" t="b">
        <v>0</v>
      </c>
    </row>
    <row r="121">
      <c r="A121" s="45"/>
      <c r="B121" s="38"/>
      <c r="D121" s="38"/>
      <c r="E121" s="74" t="str">
        <f t="array" ref="E121">IF(D121="","",IFERROR(_xlfn.XLOOKUP(D121,SyncCodex!L:L,SyncCodex!M:M),""))</f>
        <v/>
      </c>
      <c r="F121" s="38" t="b">
        <v>0</v>
      </c>
      <c r="G121" s="38" t="b">
        <v>0</v>
      </c>
    </row>
    <row r="122">
      <c r="A122" s="45"/>
      <c r="B122" s="38"/>
      <c r="D122" s="38"/>
      <c r="E122" s="74" t="str">
        <f t="array" ref="E122">IF(D122="","",IFERROR(_xlfn.XLOOKUP(D122,SyncCodex!L:L,SyncCodex!M:M),""))</f>
        <v/>
      </c>
      <c r="F122" s="38" t="b">
        <v>0</v>
      </c>
      <c r="G122" s="38" t="b">
        <v>0</v>
      </c>
    </row>
    <row r="123">
      <c r="A123" s="45"/>
      <c r="B123" s="38"/>
      <c r="D123" s="38"/>
      <c r="E123" s="74" t="str">
        <f t="array" ref="E123">IF(D123="","",IFERROR(_xlfn.XLOOKUP(D123,SyncCodex!L:L,SyncCodex!M:M),""))</f>
        <v/>
      </c>
      <c r="F123" s="38" t="b">
        <v>0</v>
      </c>
      <c r="G123" s="38" t="b">
        <v>0</v>
      </c>
    </row>
    <row r="124">
      <c r="A124" s="45"/>
      <c r="B124" s="38"/>
      <c r="D124" s="38"/>
      <c r="E124" s="74" t="str">
        <f t="array" ref="E124">IF(D124="","",IFERROR(_xlfn.XLOOKUP(D124,SyncCodex!L:L,SyncCodex!M:M),""))</f>
        <v/>
      </c>
      <c r="F124" s="38" t="b">
        <v>0</v>
      </c>
      <c r="G124" s="38" t="b">
        <v>0</v>
      </c>
    </row>
    <row r="125">
      <c r="A125" s="45"/>
      <c r="B125" s="38"/>
      <c r="D125" s="38"/>
      <c r="E125" s="74" t="str">
        <f t="array" ref="E125">IF(D125="","",IFERROR(_xlfn.XLOOKUP(D125,SyncCodex!L:L,SyncCodex!M:M),""))</f>
        <v/>
      </c>
      <c r="F125" s="38" t="b">
        <v>0</v>
      </c>
      <c r="G125" s="38" t="b">
        <v>0</v>
      </c>
    </row>
    <row r="126">
      <c r="A126" s="45"/>
      <c r="B126" s="38"/>
      <c r="D126" s="38"/>
      <c r="E126" s="74" t="str">
        <f t="array" ref="E126">IF(D126="","",IFERROR(_xlfn.XLOOKUP(D126,SyncCodex!L:L,SyncCodex!M:M),""))</f>
        <v/>
      </c>
      <c r="F126" s="38" t="b">
        <v>0</v>
      </c>
      <c r="G126" s="38" t="b">
        <v>0</v>
      </c>
    </row>
    <row r="127">
      <c r="A127" s="45"/>
      <c r="B127" s="38"/>
      <c r="D127" s="38"/>
      <c r="E127" s="74" t="str">
        <f t="array" ref="E127">IF(D127="","",IFERROR(_xlfn.XLOOKUP(D127,SyncCodex!L:L,SyncCodex!M:M),""))</f>
        <v/>
      </c>
      <c r="F127" s="38" t="b">
        <v>0</v>
      </c>
      <c r="G127" s="38" t="b">
        <v>0</v>
      </c>
    </row>
    <row r="128">
      <c r="A128" s="45"/>
      <c r="B128" s="38"/>
      <c r="D128" s="38"/>
      <c r="E128" s="74" t="str">
        <f t="array" ref="E128">IF(D128="","",IFERROR(_xlfn.XLOOKUP(D128,SyncCodex!L:L,SyncCodex!M:M),""))</f>
        <v/>
      </c>
      <c r="F128" s="38" t="b">
        <v>0</v>
      </c>
      <c r="G128" s="38" t="b">
        <v>0</v>
      </c>
    </row>
    <row r="129">
      <c r="A129" s="45"/>
      <c r="B129" s="38"/>
      <c r="D129" s="38"/>
      <c r="E129" s="74" t="str">
        <f t="array" ref="E129">IF(D129="","",IFERROR(_xlfn.XLOOKUP(D129,SyncCodex!L:L,SyncCodex!M:M),""))</f>
        <v/>
      </c>
      <c r="F129" s="38" t="b">
        <v>0</v>
      </c>
      <c r="G129" s="38" t="b">
        <v>0</v>
      </c>
    </row>
    <row r="130">
      <c r="A130" s="45"/>
      <c r="B130" s="38"/>
      <c r="D130" s="38"/>
      <c r="E130" s="74" t="str">
        <f t="array" ref="E130">IF(D130="","",IFERROR(_xlfn.XLOOKUP(D130,SyncCodex!L:L,SyncCodex!M:M),""))</f>
        <v/>
      </c>
      <c r="F130" s="38" t="b">
        <v>0</v>
      </c>
      <c r="G130" s="38" t="b">
        <v>0</v>
      </c>
    </row>
    <row r="131">
      <c r="A131" s="45"/>
      <c r="B131" s="38"/>
      <c r="D131" s="38"/>
      <c r="E131" s="74" t="str">
        <f t="array" ref="E131">IF(D131="","",IFERROR(_xlfn.XLOOKUP(D131,SyncCodex!L:L,SyncCodex!M:M),""))</f>
        <v/>
      </c>
      <c r="F131" s="38" t="b">
        <v>0</v>
      </c>
      <c r="G131" s="38" t="b">
        <v>0</v>
      </c>
    </row>
    <row r="132">
      <c r="A132" s="45"/>
      <c r="B132" s="38"/>
      <c r="D132" s="38"/>
      <c r="E132" s="74" t="str">
        <f t="array" ref="E132">IF(D132="","",IFERROR(_xlfn.XLOOKUP(D132,SyncCodex!L:L,SyncCodex!M:M),""))</f>
        <v/>
      </c>
      <c r="F132" s="38" t="b">
        <v>0</v>
      </c>
      <c r="G132" s="38" t="b">
        <v>0</v>
      </c>
    </row>
    <row r="133">
      <c r="A133" s="45"/>
      <c r="B133" s="38"/>
      <c r="D133" s="38"/>
      <c r="E133" s="74" t="str">
        <f t="array" ref="E133">IF(D133="","",IFERROR(_xlfn.XLOOKUP(D133,SyncCodex!L:L,SyncCodex!M:M),""))</f>
        <v/>
      </c>
      <c r="F133" s="38" t="b">
        <v>0</v>
      </c>
      <c r="G133" s="38" t="b">
        <v>0</v>
      </c>
    </row>
    <row r="134">
      <c r="A134" s="45"/>
      <c r="B134" s="38"/>
      <c r="D134" s="38"/>
      <c r="E134" s="74" t="str">
        <f t="array" ref="E134">IF(D134="","",IFERROR(_xlfn.XLOOKUP(D134,SyncCodex!L:L,SyncCodex!M:M),""))</f>
        <v/>
      </c>
      <c r="F134" s="38" t="b">
        <v>0</v>
      </c>
      <c r="G134" s="38" t="b">
        <v>0</v>
      </c>
    </row>
    <row r="135">
      <c r="A135" s="45"/>
      <c r="B135" s="38"/>
      <c r="D135" s="38"/>
      <c r="E135" s="74" t="str">
        <f t="array" ref="E135">IF(D135="","",IFERROR(_xlfn.XLOOKUP(D135,SyncCodex!L:L,SyncCodex!M:M),""))</f>
        <v/>
      </c>
      <c r="F135" s="38" t="b">
        <v>0</v>
      </c>
      <c r="G135" s="38" t="b">
        <v>0</v>
      </c>
    </row>
    <row r="136">
      <c r="A136" s="45"/>
      <c r="B136" s="38"/>
      <c r="D136" s="38"/>
      <c r="E136" s="74" t="str">
        <f t="array" ref="E136">IF(D136="","",IFERROR(_xlfn.XLOOKUP(D136,SyncCodex!L:L,SyncCodex!M:M),""))</f>
        <v/>
      </c>
      <c r="F136" s="38" t="b">
        <v>0</v>
      </c>
      <c r="G136" s="38" t="b">
        <v>0</v>
      </c>
    </row>
    <row r="137">
      <c r="A137" s="45"/>
      <c r="B137" s="38"/>
      <c r="D137" s="38"/>
      <c r="E137" s="74" t="str">
        <f t="array" ref="E137">IF(D137="","",IFERROR(_xlfn.XLOOKUP(D137,SyncCodex!L:L,SyncCodex!M:M),""))</f>
        <v/>
      </c>
      <c r="F137" s="38" t="b">
        <v>0</v>
      </c>
      <c r="G137" s="38" t="b">
        <v>0</v>
      </c>
    </row>
    <row r="138">
      <c r="A138" s="45"/>
      <c r="B138" s="38"/>
      <c r="D138" s="38"/>
      <c r="E138" s="74" t="str">
        <f t="array" ref="E138">IF(D138="","",IFERROR(_xlfn.XLOOKUP(D138,SyncCodex!L:L,SyncCodex!M:M),""))</f>
        <v/>
      </c>
      <c r="F138" s="38" t="b">
        <v>0</v>
      </c>
      <c r="G138" s="38" t="b">
        <v>0</v>
      </c>
    </row>
    <row r="139">
      <c r="A139" s="45"/>
      <c r="B139" s="38"/>
      <c r="D139" s="38"/>
      <c r="E139" s="74" t="str">
        <f t="array" ref="E139">IF(D139="","",IFERROR(_xlfn.XLOOKUP(D139,SyncCodex!L:L,SyncCodex!M:M),""))</f>
        <v/>
      </c>
      <c r="F139" s="38" t="b">
        <v>0</v>
      </c>
      <c r="G139" s="38" t="b">
        <v>0</v>
      </c>
    </row>
    <row r="140">
      <c r="A140" s="45"/>
      <c r="B140" s="38"/>
      <c r="D140" s="38"/>
      <c r="E140" s="74" t="str">
        <f t="array" ref="E140">IF(D140="","",IFERROR(_xlfn.XLOOKUP(D140,SyncCodex!L:L,SyncCodex!M:M),""))</f>
        <v/>
      </c>
      <c r="F140" s="38" t="b">
        <v>0</v>
      </c>
      <c r="G140" s="38" t="b">
        <v>0</v>
      </c>
    </row>
    <row r="141">
      <c r="A141" s="45"/>
      <c r="B141" s="38"/>
      <c r="D141" s="38"/>
      <c r="E141" s="74" t="str">
        <f t="array" ref="E141">IF(D141="","",IFERROR(_xlfn.XLOOKUP(D141,SyncCodex!L:L,SyncCodex!M:M),""))</f>
        <v/>
      </c>
      <c r="F141" s="38" t="b">
        <v>0</v>
      </c>
      <c r="G141" s="38" t="b">
        <v>0</v>
      </c>
    </row>
    <row r="142">
      <c r="A142" s="45"/>
      <c r="B142" s="38"/>
      <c r="D142" s="38"/>
      <c r="E142" s="74" t="str">
        <f t="array" ref="E142">IF(D142="","",IFERROR(_xlfn.XLOOKUP(D142,SyncCodex!L:L,SyncCodex!M:M),""))</f>
        <v/>
      </c>
      <c r="F142" s="38" t="b">
        <v>0</v>
      </c>
      <c r="G142" s="38" t="b">
        <v>0</v>
      </c>
    </row>
    <row r="143">
      <c r="A143" s="45"/>
      <c r="B143" s="38"/>
      <c r="D143" s="38"/>
      <c r="E143" s="74" t="str">
        <f t="array" ref="E143">IF(D143="","",IFERROR(_xlfn.XLOOKUP(D143,SyncCodex!L:L,SyncCodex!M:M),""))</f>
        <v/>
      </c>
      <c r="F143" s="38" t="b">
        <v>0</v>
      </c>
      <c r="G143" s="38" t="b">
        <v>0</v>
      </c>
    </row>
    <row r="144">
      <c r="A144" s="45"/>
      <c r="B144" s="38"/>
      <c r="D144" s="38"/>
      <c r="E144" s="74" t="str">
        <f t="array" ref="E144">IF(D144="","",IFERROR(_xlfn.XLOOKUP(D144,SyncCodex!L:L,SyncCodex!M:M),""))</f>
        <v/>
      </c>
      <c r="F144" s="38" t="b">
        <v>0</v>
      </c>
      <c r="G144" s="38" t="b">
        <v>0</v>
      </c>
    </row>
    <row r="145">
      <c r="A145" s="45"/>
      <c r="B145" s="38"/>
      <c r="D145" s="38"/>
      <c r="E145" s="74" t="str">
        <f t="array" ref="E145">IF(D145="","",IFERROR(_xlfn.XLOOKUP(D145,SyncCodex!L:L,SyncCodex!M:M),""))</f>
        <v/>
      </c>
      <c r="F145" s="38" t="b">
        <v>0</v>
      </c>
      <c r="G145" s="38" t="b">
        <v>0</v>
      </c>
    </row>
    <row r="146">
      <c r="A146" s="45"/>
      <c r="B146" s="38"/>
      <c r="D146" s="38"/>
      <c r="E146" s="74" t="str">
        <f t="array" ref="E146">IF(D146="","",IFERROR(_xlfn.XLOOKUP(D146,SyncCodex!L:L,SyncCodex!M:M),""))</f>
        <v/>
      </c>
      <c r="F146" s="38" t="b">
        <v>0</v>
      </c>
      <c r="G146" s="38" t="b">
        <v>0</v>
      </c>
    </row>
    <row r="147">
      <c r="A147" s="45"/>
      <c r="B147" s="38"/>
      <c r="D147" s="38"/>
      <c r="E147" s="74" t="str">
        <f t="array" ref="E147">IF(D147="","",IFERROR(_xlfn.XLOOKUP(D147,SyncCodex!L:L,SyncCodex!M:M),""))</f>
        <v/>
      </c>
      <c r="F147" s="38" t="b">
        <v>0</v>
      </c>
      <c r="G147" s="38" t="b">
        <v>0</v>
      </c>
    </row>
    <row r="148">
      <c r="A148" s="45"/>
      <c r="B148" s="38"/>
      <c r="D148" s="38"/>
      <c r="E148" s="74" t="str">
        <f t="array" ref="E148">IF(D148="","",IFERROR(_xlfn.XLOOKUP(D148,SyncCodex!L:L,SyncCodex!M:M),""))</f>
        <v/>
      </c>
      <c r="F148" s="38" t="b">
        <v>0</v>
      </c>
      <c r="G148" s="38" t="b">
        <v>0</v>
      </c>
    </row>
    <row r="149">
      <c r="A149" s="45"/>
      <c r="B149" s="38"/>
      <c r="D149" s="38"/>
      <c r="E149" s="74" t="str">
        <f t="array" ref="E149">IF(D149="","",IFERROR(_xlfn.XLOOKUP(D149,SyncCodex!L:L,SyncCodex!M:M),""))</f>
        <v/>
      </c>
      <c r="F149" s="38" t="b">
        <v>0</v>
      </c>
      <c r="G149" s="38" t="b">
        <v>0</v>
      </c>
    </row>
    <row r="150">
      <c r="A150" s="45"/>
      <c r="B150" s="38"/>
      <c r="D150" s="38"/>
      <c r="E150" s="74" t="str">
        <f t="array" ref="E150">IF(D150="","",IFERROR(_xlfn.XLOOKUP(D150,SyncCodex!L:L,SyncCodex!M:M),""))</f>
        <v/>
      </c>
      <c r="F150" s="38" t="b">
        <v>0</v>
      </c>
      <c r="G150" s="38" t="b">
        <v>0</v>
      </c>
    </row>
    <row r="151">
      <c r="A151" s="45"/>
      <c r="B151" s="38"/>
      <c r="D151" s="38"/>
      <c r="E151" s="74" t="str">
        <f t="array" ref="E151">IF(D151="","",IFERROR(_xlfn.XLOOKUP(D151,SyncCodex!L:L,SyncCodex!M:M),""))</f>
        <v/>
      </c>
      <c r="F151" s="38" t="b">
        <v>0</v>
      </c>
      <c r="G151" s="38" t="b">
        <v>0</v>
      </c>
    </row>
    <row r="152">
      <c r="A152" s="45"/>
      <c r="B152" s="38"/>
      <c r="D152" s="38"/>
      <c r="E152" s="74" t="str">
        <f t="array" ref="E152">IF(D152="","",IFERROR(_xlfn.XLOOKUP(D152,SyncCodex!L:L,SyncCodex!M:M),""))</f>
        <v/>
      </c>
      <c r="F152" s="38" t="b">
        <v>0</v>
      </c>
      <c r="G152" s="38" t="b">
        <v>0</v>
      </c>
    </row>
    <row r="153">
      <c r="A153" s="45"/>
      <c r="B153" s="38"/>
      <c r="D153" s="38"/>
      <c r="E153" s="74" t="str">
        <f t="array" ref="E153">IF(D153="","",IFERROR(_xlfn.XLOOKUP(D153,SyncCodex!L:L,SyncCodex!M:M),""))</f>
        <v/>
      </c>
      <c r="F153" s="38" t="b">
        <v>0</v>
      </c>
      <c r="G153" s="38" t="b">
        <v>0</v>
      </c>
    </row>
    <row r="154">
      <c r="A154" s="45"/>
      <c r="B154" s="38"/>
      <c r="D154" s="38"/>
      <c r="E154" s="74" t="str">
        <f t="array" ref="E154">IF(D154="","",IFERROR(_xlfn.XLOOKUP(D154,SyncCodex!L:L,SyncCodex!M:M),""))</f>
        <v/>
      </c>
      <c r="F154" s="38" t="b">
        <v>0</v>
      </c>
      <c r="G154" s="38" t="b">
        <v>0</v>
      </c>
    </row>
    <row r="155">
      <c r="A155" s="45"/>
      <c r="B155" s="38"/>
      <c r="D155" s="38"/>
      <c r="E155" s="74" t="str">
        <f t="array" ref="E155">IF(D155="","",IFERROR(_xlfn.XLOOKUP(D155,SyncCodex!L:L,SyncCodex!M:M),""))</f>
        <v/>
      </c>
      <c r="F155" s="38" t="b">
        <v>0</v>
      </c>
      <c r="G155" s="38" t="b">
        <v>0</v>
      </c>
    </row>
    <row r="156">
      <c r="A156" s="45"/>
      <c r="B156" s="38"/>
      <c r="D156" s="38"/>
      <c r="E156" s="74" t="str">
        <f t="array" ref="E156">IF(D156="","",IFERROR(_xlfn.XLOOKUP(D156,SyncCodex!L:L,SyncCodex!M:M),""))</f>
        <v/>
      </c>
      <c r="F156" s="38" t="b">
        <v>0</v>
      </c>
      <c r="G156" s="38" t="b">
        <v>0</v>
      </c>
    </row>
    <row r="157">
      <c r="A157" s="45"/>
      <c r="B157" s="38"/>
      <c r="D157" s="38"/>
      <c r="E157" s="74" t="str">
        <f t="array" ref="E157">IF(D157="","",IFERROR(_xlfn.XLOOKUP(D157,SyncCodex!L:L,SyncCodex!M:M),""))</f>
        <v/>
      </c>
      <c r="F157" s="38" t="b">
        <v>0</v>
      </c>
      <c r="G157" s="38" t="b">
        <v>0</v>
      </c>
    </row>
    <row r="158">
      <c r="A158" s="45"/>
      <c r="B158" s="38"/>
      <c r="D158" s="38"/>
      <c r="E158" s="74" t="str">
        <f t="array" ref="E158">IF(D158="","",IFERROR(_xlfn.XLOOKUP(D158,SyncCodex!L:L,SyncCodex!M:M),""))</f>
        <v/>
      </c>
      <c r="F158" s="38" t="b">
        <v>0</v>
      </c>
      <c r="G158" s="38" t="b">
        <v>0</v>
      </c>
    </row>
    <row r="159">
      <c r="A159" s="45"/>
      <c r="B159" s="38"/>
      <c r="D159" s="38"/>
      <c r="E159" s="74" t="str">
        <f t="array" ref="E159">IF(D159="","",IFERROR(_xlfn.XLOOKUP(D159,SyncCodex!L:L,SyncCodex!M:M),""))</f>
        <v/>
      </c>
      <c r="F159" s="38" t="b">
        <v>0</v>
      </c>
      <c r="G159" s="38" t="b">
        <v>0</v>
      </c>
    </row>
    <row r="160">
      <c r="A160" s="45"/>
      <c r="B160" s="38"/>
      <c r="D160" s="38"/>
      <c r="E160" s="74" t="str">
        <f t="array" ref="E160">IF(D160="","",IFERROR(_xlfn.XLOOKUP(D160,SyncCodex!L:L,SyncCodex!M:M),""))</f>
        <v/>
      </c>
      <c r="F160" s="38" t="b">
        <v>0</v>
      </c>
      <c r="G160" s="38" t="b">
        <v>0</v>
      </c>
    </row>
    <row r="161">
      <c r="A161" s="45"/>
      <c r="B161" s="38"/>
      <c r="D161" s="38"/>
      <c r="E161" s="74" t="str">
        <f t="array" ref="E161">IF(D161="","",IFERROR(_xlfn.XLOOKUP(D161,SyncCodex!L:L,SyncCodex!M:M),""))</f>
        <v/>
      </c>
      <c r="F161" s="38" t="b">
        <v>0</v>
      </c>
      <c r="G161" s="38" t="b">
        <v>0</v>
      </c>
    </row>
    <row r="162">
      <c r="A162" s="45"/>
      <c r="B162" s="38"/>
      <c r="D162" s="38"/>
      <c r="E162" s="74" t="str">
        <f t="array" ref="E162">IF(D162="","",IFERROR(_xlfn.XLOOKUP(D162,SyncCodex!L:L,SyncCodex!M:M),""))</f>
        <v/>
      </c>
      <c r="F162" s="38" t="b">
        <v>0</v>
      </c>
      <c r="G162" s="38" t="b">
        <v>0</v>
      </c>
    </row>
    <row r="163">
      <c r="A163" s="45"/>
      <c r="B163" s="38"/>
      <c r="D163" s="38"/>
      <c r="E163" s="74" t="str">
        <f t="array" ref="E163">IF(D163="","",IFERROR(_xlfn.XLOOKUP(D163,SyncCodex!L:L,SyncCodex!M:M),""))</f>
        <v/>
      </c>
      <c r="F163" s="38" t="b">
        <v>0</v>
      </c>
      <c r="G163" s="38" t="b">
        <v>0</v>
      </c>
    </row>
    <row r="164">
      <c r="A164" s="45"/>
      <c r="B164" s="38"/>
      <c r="D164" s="38"/>
      <c r="E164" s="74" t="str">
        <f t="array" ref="E164">IF(D164="","",IFERROR(_xlfn.XLOOKUP(D164,SyncCodex!L:L,SyncCodex!M:M),""))</f>
        <v/>
      </c>
      <c r="F164" s="38" t="b">
        <v>0</v>
      </c>
      <c r="G164" s="38" t="b">
        <v>0</v>
      </c>
    </row>
    <row r="165">
      <c r="A165" s="45"/>
      <c r="B165" s="38"/>
      <c r="D165" s="38"/>
      <c r="E165" s="74" t="str">
        <f t="array" ref="E165">IF(D165="","",IFERROR(_xlfn.XLOOKUP(D165,SyncCodex!L:L,SyncCodex!M:M),""))</f>
        <v/>
      </c>
      <c r="F165" s="38" t="b">
        <v>0</v>
      </c>
      <c r="G165" s="38" t="b">
        <v>0</v>
      </c>
    </row>
    <row r="166">
      <c r="A166" s="45"/>
      <c r="B166" s="38"/>
      <c r="D166" s="38"/>
      <c r="E166" s="74" t="str">
        <f t="array" ref="E166">IF(D166="","",IFERROR(_xlfn.XLOOKUP(D166,SyncCodex!L:L,SyncCodex!M:M),""))</f>
        <v/>
      </c>
      <c r="F166" s="38" t="b">
        <v>0</v>
      </c>
      <c r="G166" s="38" t="b">
        <v>0</v>
      </c>
    </row>
    <row r="167">
      <c r="A167" s="45"/>
      <c r="B167" s="38"/>
      <c r="D167" s="38"/>
      <c r="E167" s="74" t="str">
        <f t="array" ref="E167">IF(D167="","",IFERROR(_xlfn.XLOOKUP(D167,SyncCodex!L:L,SyncCodex!M:M),""))</f>
        <v/>
      </c>
      <c r="F167" s="38" t="b">
        <v>0</v>
      </c>
      <c r="G167" s="38" t="b">
        <v>0</v>
      </c>
    </row>
    <row r="168">
      <c r="A168" s="45"/>
      <c r="B168" s="38"/>
      <c r="D168" s="38"/>
      <c r="E168" s="74" t="str">
        <f t="array" ref="E168">IF(D168="","",IFERROR(_xlfn.XLOOKUP(D168,SyncCodex!L:L,SyncCodex!M:M),""))</f>
        <v/>
      </c>
      <c r="F168" s="38" t="b">
        <v>0</v>
      </c>
      <c r="G168" s="38" t="b">
        <v>0</v>
      </c>
    </row>
    <row r="169">
      <c r="A169" s="45"/>
      <c r="B169" s="38"/>
      <c r="D169" s="38"/>
      <c r="E169" s="74" t="str">
        <f t="array" ref="E169">IF(D169="","",IFERROR(_xlfn.XLOOKUP(D169,SyncCodex!L:L,SyncCodex!M:M),""))</f>
        <v/>
      </c>
      <c r="F169" s="38" t="b">
        <v>0</v>
      </c>
      <c r="G169" s="38" t="b">
        <v>0</v>
      </c>
    </row>
    <row r="170">
      <c r="A170" s="45"/>
      <c r="B170" s="38"/>
      <c r="D170" s="38"/>
      <c r="E170" s="74" t="str">
        <f t="array" ref="E170">IF(D170="","",IFERROR(_xlfn.XLOOKUP(D170,SyncCodex!L:L,SyncCodex!M:M),""))</f>
        <v/>
      </c>
      <c r="F170" s="38" t="b">
        <v>0</v>
      </c>
      <c r="G170" s="38" t="b">
        <v>0</v>
      </c>
    </row>
    <row r="171">
      <c r="A171" s="45"/>
      <c r="B171" s="38"/>
      <c r="D171" s="38"/>
      <c r="E171" s="74" t="str">
        <f t="array" ref="E171">IF(D171="","",IFERROR(_xlfn.XLOOKUP(D171,SyncCodex!L:L,SyncCodex!M:M),""))</f>
        <v/>
      </c>
      <c r="F171" s="38" t="b">
        <v>0</v>
      </c>
      <c r="G171" s="38" t="b">
        <v>0</v>
      </c>
    </row>
    <row r="172">
      <c r="A172" s="45"/>
      <c r="B172" s="38"/>
      <c r="D172" s="38"/>
      <c r="E172" s="74" t="str">
        <f t="array" ref="E172">IF(D172="","",IFERROR(_xlfn.XLOOKUP(D172,SyncCodex!L:L,SyncCodex!M:M),""))</f>
        <v/>
      </c>
      <c r="F172" s="38" t="b">
        <v>0</v>
      </c>
      <c r="G172" s="38" t="b">
        <v>0</v>
      </c>
    </row>
    <row r="173">
      <c r="A173" s="45"/>
      <c r="B173" s="38"/>
      <c r="D173" s="38"/>
      <c r="E173" s="74" t="str">
        <f t="array" ref="E173">IF(D173="","",IFERROR(_xlfn.XLOOKUP(D173,SyncCodex!L:L,SyncCodex!M:M),""))</f>
        <v/>
      </c>
      <c r="F173" s="38" t="b">
        <v>0</v>
      </c>
      <c r="G173" s="38" t="b">
        <v>0</v>
      </c>
    </row>
    <row r="174">
      <c r="A174" s="45"/>
      <c r="B174" s="38"/>
      <c r="D174" s="38"/>
      <c r="E174" s="74" t="str">
        <f t="array" ref="E174">IF(D174="","",IFERROR(_xlfn.XLOOKUP(D174,SyncCodex!L:L,SyncCodex!M:M),""))</f>
        <v/>
      </c>
      <c r="F174" s="38" t="b">
        <v>0</v>
      </c>
      <c r="G174" s="38" t="b">
        <v>0</v>
      </c>
    </row>
    <row r="175">
      <c r="A175" s="45"/>
      <c r="B175" s="38"/>
      <c r="D175" s="38"/>
      <c r="E175" s="74" t="str">
        <f t="array" ref="E175">IF(D175="","",IFERROR(_xlfn.XLOOKUP(D175,SyncCodex!L:L,SyncCodex!M:M),""))</f>
        <v/>
      </c>
      <c r="F175" s="38" t="b">
        <v>0</v>
      </c>
      <c r="G175" s="38" t="b">
        <v>0</v>
      </c>
    </row>
    <row r="176">
      <c r="A176" s="45"/>
      <c r="B176" s="38"/>
      <c r="D176" s="38"/>
      <c r="E176" s="74" t="str">
        <f t="array" ref="E176">IF(D176="","",IFERROR(_xlfn.XLOOKUP(D176,SyncCodex!L:L,SyncCodex!M:M),""))</f>
        <v/>
      </c>
      <c r="F176" s="38" t="b">
        <v>0</v>
      </c>
      <c r="G176" s="38" t="b">
        <v>0</v>
      </c>
    </row>
    <row r="177">
      <c r="A177" s="45"/>
      <c r="B177" s="38"/>
      <c r="D177" s="38"/>
      <c r="E177" s="74" t="str">
        <f t="array" ref="E177">IF(D177="","",IFERROR(_xlfn.XLOOKUP(D177,SyncCodex!L:L,SyncCodex!M:M),""))</f>
        <v/>
      </c>
      <c r="F177" s="38" t="b">
        <v>0</v>
      </c>
      <c r="G177" s="38" t="b">
        <v>0</v>
      </c>
    </row>
    <row r="178">
      <c r="A178" s="45"/>
      <c r="B178" s="38"/>
      <c r="D178" s="38"/>
      <c r="E178" s="74" t="str">
        <f t="array" ref="E178">IF(D178="","",IFERROR(_xlfn.XLOOKUP(D178,SyncCodex!L:L,SyncCodex!M:M),""))</f>
        <v/>
      </c>
      <c r="F178" s="38" t="b">
        <v>0</v>
      </c>
      <c r="G178" s="38" t="b">
        <v>0</v>
      </c>
    </row>
    <row r="179">
      <c r="A179" s="45"/>
      <c r="B179" s="38"/>
      <c r="D179" s="38"/>
      <c r="E179" s="74" t="str">
        <f t="array" ref="E179">IF(D179="","",IFERROR(_xlfn.XLOOKUP(D179,SyncCodex!L:L,SyncCodex!M:M),""))</f>
        <v/>
      </c>
      <c r="F179" s="38" t="b">
        <v>0</v>
      </c>
      <c r="G179" s="38" t="b">
        <v>0</v>
      </c>
    </row>
    <row r="180">
      <c r="A180" s="45"/>
      <c r="B180" s="38"/>
      <c r="D180" s="38"/>
      <c r="E180" s="74" t="str">
        <f t="array" ref="E180">IF(D180="","",IFERROR(_xlfn.XLOOKUP(D180,SyncCodex!L:L,SyncCodex!M:M),""))</f>
        <v/>
      </c>
      <c r="F180" s="38" t="b">
        <v>0</v>
      </c>
      <c r="G180" s="38" t="b">
        <v>0</v>
      </c>
    </row>
    <row r="181">
      <c r="A181" s="45"/>
      <c r="B181" s="38"/>
      <c r="D181" s="38"/>
      <c r="E181" s="74" t="str">
        <f t="array" ref="E181">IF(D181="","",IFERROR(_xlfn.XLOOKUP(D181,SyncCodex!L:L,SyncCodex!M:M),""))</f>
        <v/>
      </c>
      <c r="F181" s="38" t="b">
        <v>0</v>
      </c>
      <c r="G181" s="38" t="b">
        <v>0</v>
      </c>
    </row>
    <row r="182">
      <c r="A182" s="45"/>
      <c r="B182" s="38"/>
      <c r="D182" s="38"/>
      <c r="E182" s="74" t="str">
        <f t="array" ref="E182">IF(D182="","",IFERROR(_xlfn.XLOOKUP(D182,SyncCodex!L:L,SyncCodex!M:M),""))</f>
        <v/>
      </c>
      <c r="F182" s="38" t="b">
        <v>0</v>
      </c>
      <c r="G182" s="38" t="b">
        <v>0</v>
      </c>
    </row>
    <row r="183">
      <c r="A183" s="45"/>
      <c r="B183" s="38"/>
      <c r="D183" s="38"/>
      <c r="E183" s="74" t="str">
        <f t="array" ref="E183">IF(D183="","",IFERROR(_xlfn.XLOOKUP(D183,SyncCodex!L:L,SyncCodex!M:M),""))</f>
        <v/>
      </c>
      <c r="F183" s="38" t="b">
        <v>0</v>
      </c>
      <c r="G183" s="38" t="b">
        <v>0</v>
      </c>
    </row>
    <row r="184">
      <c r="A184" s="45"/>
      <c r="B184" s="38"/>
      <c r="D184" s="38"/>
      <c r="E184" s="74" t="str">
        <f t="array" ref="E184">IF(D184="","",IFERROR(_xlfn.XLOOKUP(D184,SyncCodex!L:L,SyncCodex!M:M),""))</f>
        <v/>
      </c>
      <c r="F184" s="38" t="b">
        <v>0</v>
      </c>
      <c r="G184" s="38" t="b">
        <v>0</v>
      </c>
    </row>
    <row r="185">
      <c r="A185" s="45"/>
      <c r="B185" s="38"/>
      <c r="D185" s="38"/>
      <c r="E185" s="74" t="str">
        <f t="array" ref="E185">IF(D185="","",IFERROR(_xlfn.XLOOKUP(D185,SyncCodex!L:L,SyncCodex!M:M),""))</f>
        <v/>
      </c>
      <c r="F185" s="38" t="b">
        <v>0</v>
      </c>
      <c r="G185" s="38" t="b">
        <v>0</v>
      </c>
    </row>
    <row r="186">
      <c r="A186" s="45"/>
      <c r="B186" s="38"/>
      <c r="D186" s="38"/>
      <c r="E186" s="74" t="str">
        <f t="array" ref="E186">IF(D186="","",IFERROR(_xlfn.XLOOKUP(D186,SyncCodex!L:L,SyncCodex!M:M),""))</f>
        <v/>
      </c>
      <c r="F186" s="38" t="b">
        <v>0</v>
      </c>
      <c r="G186" s="38" t="b">
        <v>0</v>
      </c>
    </row>
    <row r="187">
      <c r="A187" s="45"/>
      <c r="B187" s="38"/>
      <c r="D187" s="38"/>
      <c r="E187" s="74" t="str">
        <f t="array" ref="E187">IF(D187="","",IFERROR(_xlfn.XLOOKUP(D187,SyncCodex!L:L,SyncCodex!M:M),""))</f>
        <v/>
      </c>
      <c r="F187" s="38" t="b">
        <v>0</v>
      </c>
      <c r="G187" s="38" t="b">
        <v>0</v>
      </c>
    </row>
    <row r="188">
      <c r="A188" s="45"/>
      <c r="B188" s="38"/>
      <c r="D188" s="38"/>
      <c r="E188" s="74" t="str">
        <f t="array" ref="E188">IF(D188="","",IFERROR(_xlfn.XLOOKUP(D188,SyncCodex!L:L,SyncCodex!M:M),""))</f>
        <v/>
      </c>
      <c r="F188" s="38" t="b">
        <v>0</v>
      </c>
      <c r="G188" s="38" t="b">
        <v>0</v>
      </c>
    </row>
    <row r="189">
      <c r="A189" s="45"/>
      <c r="B189" s="38"/>
      <c r="D189" s="38"/>
      <c r="E189" s="74" t="str">
        <f t="array" ref="E189">IF(D189="","",IFERROR(_xlfn.XLOOKUP(D189,SyncCodex!L:L,SyncCodex!M:M),""))</f>
        <v/>
      </c>
      <c r="F189" s="38" t="b">
        <v>0</v>
      </c>
      <c r="G189" s="38" t="b">
        <v>0</v>
      </c>
    </row>
    <row r="190">
      <c r="A190" s="45"/>
      <c r="B190" s="38"/>
      <c r="D190" s="38"/>
      <c r="E190" s="74" t="str">
        <f t="array" ref="E190">IF(D190="","",IFERROR(_xlfn.XLOOKUP(D190,SyncCodex!L:L,SyncCodex!M:M),""))</f>
        <v/>
      </c>
      <c r="F190" s="38" t="b">
        <v>0</v>
      </c>
      <c r="G190" s="38" t="b">
        <v>0</v>
      </c>
    </row>
    <row r="191">
      <c r="A191" s="45"/>
      <c r="B191" s="38"/>
      <c r="D191" s="38"/>
      <c r="E191" s="74" t="str">
        <f t="array" ref="E191">IF(D191="","",IFERROR(_xlfn.XLOOKUP(D191,SyncCodex!L:L,SyncCodex!M:M),""))</f>
        <v/>
      </c>
      <c r="F191" s="38" t="b">
        <v>0</v>
      </c>
      <c r="G191" s="38" t="b">
        <v>0</v>
      </c>
    </row>
    <row r="192">
      <c r="A192" s="45"/>
      <c r="B192" s="38"/>
      <c r="D192" s="38"/>
      <c r="E192" s="74" t="str">
        <f t="array" ref="E192">IF(D192="","",IFERROR(_xlfn.XLOOKUP(D192,SyncCodex!L:L,SyncCodex!M:M),""))</f>
        <v/>
      </c>
      <c r="F192" s="38" t="b">
        <v>0</v>
      </c>
      <c r="G192" s="38" t="b">
        <v>0</v>
      </c>
    </row>
    <row r="193">
      <c r="A193" s="45"/>
      <c r="B193" s="38"/>
      <c r="D193" s="38"/>
      <c r="E193" s="74" t="str">
        <f t="array" ref="E193">IF(D193="","",IFERROR(_xlfn.XLOOKUP(D193,SyncCodex!L:L,SyncCodex!M:M),""))</f>
        <v/>
      </c>
      <c r="F193" s="38" t="b">
        <v>0</v>
      </c>
      <c r="G193" s="38" t="b">
        <v>0</v>
      </c>
    </row>
    <row r="194">
      <c r="A194" s="45"/>
      <c r="B194" s="38"/>
      <c r="D194" s="38"/>
      <c r="E194" s="74" t="str">
        <f t="array" ref="E194">IF(D194="","",IFERROR(_xlfn.XLOOKUP(D194,SyncCodex!L:L,SyncCodex!M:M),""))</f>
        <v/>
      </c>
      <c r="F194" s="38" t="b">
        <v>0</v>
      </c>
      <c r="G194" s="38" t="b">
        <v>0</v>
      </c>
    </row>
    <row r="195">
      <c r="A195" s="45"/>
      <c r="B195" s="38"/>
      <c r="D195" s="38"/>
      <c r="E195" s="74" t="str">
        <f t="array" ref="E195">IF(D195="","",IFERROR(_xlfn.XLOOKUP(D195,SyncCodex!L:L,SyncCodex!M:M),""))</f>
        <v/>
      </c>
      <c r="F195" s="38" t="b">
        <v>0</v>
      </c>
      <c r="G195" s="38" t="b">
        <v>0</v>
      </c>
    </row>
    <row r="196">
      <c r="A196" s="45"/>
      <c r="B196" s="38"/>
      <c r="D196" s="38"/>
      <c r="E196" s="74" t="str">
        <f t="array" ref="E196">IF(D196="","",IFERROR(_xlfn.XLOOKUP(D196,SyncCodex!L:L,SyncCodex!M:M),""))</f>
        <v/>
      </c>
      <c r="F196" s="38" t="b">
        <v>0</v>
      </c>
      <c r="G196" s="38" t="b">
        <v>0</v>
      </c>
    </row>
    <row r="197">
      <c r="A197" s="45"/>
      <c r="B197" s="38"/>
      <c r="D197" s="38"/>
      <c r="E197" s="74" t="str">
        <f t="array" ref="E197">IF(D197="","",IFERROR(_xlfn.XLOOKUP(D197,SyncCodex!L:L,SyncCodex!M:M),""))</f>
        <v/>
      </c>
      <c r="F197" s="38" t="b">
        <v>0</v>
      </c>
      <c r="G197" s="38" t="b">
        <v>0</v>
      </c>
    </row>
    <row r="198">
      <c r="A198" s="45"/>
      <c r="B198" s="38"/>
      <c r="D198" s="38"/>
      <c r="E198" s="74" t="str">
        <f t="array" ref="E198">IF(D198="","",IFERROR(_xlfn.XLOOKUP(D198,SyncCodex!L:L,SyncCodex!M:M),""))</f>
        <v/>
      </c>
      <c r="F198" s="38" t="b">
        <v>0</v>
      </c>
      <c r="G198" s="38" t="b">
        <v>0</v>
      </c>
    </row>
    <row r="199">
      <c r="A199" s="45"/>
      <c r="B199" s="38"/>
      <c r="D199" s="38"/>
      <c r="E199" s="74" t="str">
        <f t="array" ref="E199">IF(D199="","",IFERROR(_xlfn.XLOOKUP(D199,SyncCodex!L:L,SyncCodex!M:M),""))</f>
        <v/>
      </c>
      <c r="F199" s="38" t="b">
        <v>0</v>
      </c>
      <c r="G199" s="38" t="b">
        <v>0</v>
      </c>
    </row>
    <row r="200">
      <c r="A200" s="45"/>
      <c r="B200" s="38"/>
      <c r="D200" s="38"/>
      <c r="E200" s="74" t="str">
        <f t="array" ref="E200">IF(D200="","",IFERROR(_xlfn.XLOOKUP(D200,SyncCodex!L:L,SyncCodex!M:M),""))</f>
        <v/>
      </c>
      <c r="F200" s="38" t="b">
        <v>0</v>
      </c>
      <c r="G200" s="38" t="b">
        <v>0</v>
      </c>
    </row>
    <row r="201">
      <c r="A201" s="45"/>
      <c r="B201" s="38"/>
      <c r="D201" s="38"/>
      <c r="E201" s="74" t="str">
        <f t="array" ref="E201">IF(D201="","",IFERROR(_xlfn.XLOOKUP(D201,SyncCodex!L:L,SyncCodex!M:M),""))</f>
        <v/>
      </c>
      <c r="F201" s="38" t="b">
        <v>0</v>
      </c>
      <c r="G201" s="38" t="b">
        <v>0</v>
      </c>
    </row>
    <row r="202">
      <c r="A202" s="45"/>
      <c r="B202" s="38"/>
      <c r="D202" s="38"/>
      <c r="E202" s="74" t="str">
        <f t="array" ref="E202">IF(D202="","",IFERROR(_xlfn.XLOOKUP(D202,SyncCodex!L:L,SyncCodex!M:M),""))</f>
        <v/>
      </c>
      <c r="F202" s="38" t="b">
        <v>0</v>
      </c>
      <c r="G202" s="38" t="b">
        <v>0</v>
      </c>
    </row>
    <row r="203">
      <c r="A203" s="45"/>
      <c r="B203" s="38"/>
      <c r="D203" s="38"/>
      <c r="E203" s="74" t="str">
        <f t="array" ref="E203">IF(D203="","",IFERROR(_xlfn.XLOOKUP(D203,SyncCodex!L:L,SyncCodex!M:M),""))</f>
        <v/>
      </c>
      <c r="F203" s="38" t="b">
        <v>0</v>
      </c>
      <c r="G203" s="38" t="b">
        <v>0</v>
      </c>
    </row>
    <row r="204">
      <c r="A204" s="45"/>
      <c r="B204" s="38"/>
      <c r="D204" s="38"/>
      <c r="E204" s="74" t="str">
        <f t="array" ref="E204">IF(D204="","",IFERROR(_xlfn.XLOOKUP(D204,SyncCodex!L:L,SyncCodex!M:M),""))</f>
        <v/>
      </c>
      <c r="F204" s="38" t="b">
        <v>0</v>
      </c>
      <c r="G204" s="38" t="b">
        <v>0</v>
      </c>
    </row>
    <row r="205">
      <c r="A205" s="45"/>
      <c r="B205" s="38"/>
      <c r="D205" s="38"/>
      <c r="E205" s="74" t="str">
        <f t="array" ref="E205">IF(D205="","",IFERROR(_xlfn.XLOOKUP(D205,SyncCodex!L:L,SyncCodex!M:M),""))</f>
        <v/>
      </c>
      <c r="F205" s="38" t="b">
        <v>0</v>
      </c>
      <c r="G205" s="38" t="b">
        <v>0</v>
      </c>
    </row>
    <row r="206">
      <c r="A206" s="45"/>
      <c r="B206" s="38"/>
      <c r="D206" s="38"/>
      <c r="E206" s="74" t="str">
        <f t="array" ref="E206">IF(D206="","",IFERROR(_xlfn.XLOOKUP(D206,SyncCodex!L:L,SyncCodex!M:M),""))</f>
        <v/>
      </c>
      <c r="F206" s="38" t="b">
        <v>0</v>
      </c>
      <c r="G206" s="38" t="b">
        <v>0</v>
      </c>
    </row>
    <row r="207">
      <c r="A207" s="45"/>
      <c r="B207" s="38"/>
      <c r="D207" s="38"/>
      <c r="E207" s="74" t="str">
        <f t="array" ref="E207">IF(D207="","",IFERROR(_xlfn.XLOOKUP(D207,SyncCodex!L:L,SyncCodex!M:M),""))</f>
        <v/>
      </c>
      <c r="F207" s="38" t="b">
        <v>0</v>
      </c>
      <c r="G207" s="38" t="b">
        <v>0</v>
      </c>
    </row>
    <row r="208">
      <c r="A208" s="45"/>
      <c r="B208" s="38"/>
      <c r="D208" s="38"/>
      <c r="E208" s="74" t="str">
        <f t="array" ref="E208">IF(D208="","",IFERROR(_xlfn.XLOOKUP(D208,SyncCodex!L:L,SyncCodex!M:M),""))</f>
        <v/>
      </c>
      <c r="F208" s="38" t="b">
        <v>0</v>
      </c>
      <c r="G208" s="38" t="b">
        <v>0</v>
      </c>
    </row>
    <row r="209">
      <c r="A209" s="45"/>
      <c r="B209" s="38"/>
      <c r="D209" s="38"/>
      <c r="E209" s="74" t="str">
        <f t="array" ref="E209">IF(D209="","",IFERROR(_xlfn.XLOOKUP(D209,SyncCodex!L:L,SyncCodex!M:M),""))</f>
        <v/>
      </c>
      <c r="F209" s="38" t="b">
        <v>0</v>
      </c>
      <c r="G209" s="38" t="b">
        <v>0</v>
      </c>
    </row>
    <row r="210">
      <c r="A210" s="45"/>
      <c r="B210" s="38"/>
      <c r="D210" s="38"/>
      <c r="E210" s="74" t="str">
        <f t="array" ref="E210">IF(D210="","",IFERROR(_xlfn.XLOOKUP(D210,SyncCodex!L:L,SyncCodex!M:M),""))</f>
        <v/>
      </c>
      <c r="F210" s="38" t="b">
        <v>0</v>
      </c>
      <c r="G210" s="38" t="b">
        <v>0</v>
      </c>
    </row>
    <row r="211">
      <c r="A211" s="45"/>
      <c r="B211" s="38"/>
      <c r="D211" s="38"/>
      <c r="E211" s="74" t="str">
        <f t="array" ref="E211">IF(D211="","",IFERROR(_xlfn.XLOOKUP(D211,SyncCodex!L:L,SyncCodex!M:M),""))</f>
        <v/>
      </c>
      <c r="F211" s="38" t="b">
        <v>0</v>
      </c>
      <c r="G211" s="38" t="b">
        <v>0</v>
      </c>
    </row>
    <row r="212">
      <c r="A212" s="45"/>
      <c r="B212" s="38"/>
      <c r="D212" s="38"/>
      <c r="E212" s="74" t="str">
        <f t="array" ref="E212">IF(D212="","",IFERROR(_xlfn.XLOOKUP(D212,SyncCodex!L:L,SyncCodex!M:M),""))</f>
        <v/>
      </c>
      <c r="F212" s="38" t="b">
        <v>0</v>
      </c>
      <c r="G212" s="38" t="b">
        <v>0</v>
      </c>
    </row>
    <row r="213">
      <c r="A213" s="45"/>
      <c r="B213" s="38"/>
      <c r="D213" s="38"/>
      <c r="E213" s="74" t="str">
        <f t="array" ref="E213">IF(D213="","",IFERROR(_xlfn.XLOOKUP(D213,SyncCodex!L:L,SyncCodex!M:M),""))</f>
        <v/>
      </c>
      <c r="F213" s="38" t="b">
        <v>0</v>
      </c>
      <c r="G213" s="38" t="b">
        <v>0</v>
      </c>
    </row>
    <row r="214">
      <c r="A214" s="45"/>
      <c r="B214" s="38"/>
      <c r="D214" s="38"/>
      <c r="E214" s="74" t="str">
        <f t="array" ref="E214">IF(D214="","",IFERROR(_xlfn.XLOOKUP(D214,SyncCodex!L:L,SyncCodex!M:M),""))</f>
        <v/>
      </c>
      <c r="F214" s="38" t="b">
        <v>0</v>
      </c>
      <c r="G214" s="38" t="b">
        <v>0</v>
      </c>
    </row>
    <row r="215">
      <c r="A215" s="45"/>
      <c r="B215" s="38"/>
      <c r="D215" s="38"/>
      <c r="E215" s="74" t="str">
        <f t="array" ref="E215">IF(D215="","",IFERROR(_xlfn.XLOOKUP(D215,SyncCodex!L:L,SyncCodex!M:M),""))</f>
        <v/>
      </c>
      <c r="F215" s="38" t="b">
        <v>0</v>
      </c>
      <c r="G215" s="38" t="b">
        <v>0</v>
      </c>
    </row>
    <row r="216">
      <c r="A216" s="45"/>
      <c r="B216" s="38"/>
      <c r="D216" s="38"/>
      <c r="E216" s="74" t="str">
        <f t="array" ref="E216">IF(D216="","",IFERROR(_xlfn.XLOOKUP(D216,SyncCodex!L:L,SyncCodex!M:M),""))</f>
        <v/>
      </c>
      <c r="F216" s="38" t="b">
        <v>0</v>
      </c>
      <c r="G216" s="38" t="b">
        <v>0</v>
      </c>
    </row>
    <row r="217">
      <c r="A217" s="45"/>
      <c r="B217" s="38"/>
      <c r="D217" s="38"/>
      <c r="E217" s="74" t="str">
        <f t="array" ref="E217">IF(D217="","",IFERROR(_xlfn.XLOOKUP(D217,SyncCodex!L:L,SyncCodex!M:M),""))</f>
        <v/>
      </c>
      <c r="F217" s="38" t="b">
        <v>0</v>
      </c>
      <c r="G217" s="38" t="b">
        <v>0</v>
      </c>
    </row>
    <row r="218">
      <c r="A218" s="45"/>
      <c r="B218" s="38"/>
      <c r="D218" s="38"/>
      <c r="E218" s="74" t="str">
        <f t="array" ref="E218">IF(D218="","",IFERROR(_xlfn.XLOOKUP(D218,SyncCodex!L:L,SyncCodex!M:M),""))</f>
        <v/>
      </c>
      <c r="F218" s="38" t="b">
        <v>0</v>
      </c>
      <c r="G218" s="38" t="b">
        <v>0</v>
      </c>
    </row>
    <row r="219">
      <c r="A219" s="45"/>
      <c r="B219" s="38"/>
      <c r="D219" s="38"/>
      <c r="E219" s="74" t="str">
        <f t="array" ref="E219">IF(D219="","",IFERROR(_xlfn.XLOOKUP(D219,SyncCodex!L:L,SyncCodex!M:M),""))</f>
        <v/>
      </c>
      <c r="F219" s="38" t="b">
        <v>0</v>
      </c>
      <c r="G219" s="38" t="b">
        <v>0</v>
      </c>
    </row>
    <row r="220">
      <c r="A220" s="45"/>
      <c r="B220" s="38"/>
      <c r="D220" s="38"/>
      <c r="E220" s="74" t="str">
        <f t="array" ref="E220">IF(D220="","",IFERROR(_xlfn.XLOOKUP(D220,SyncCodex!L:L,SyncCodex!M:M),""))</f>
        <v/>
      </c>
      <c r="F220" s="38" t="b">
        <v>0</v>
      </c>
      <c r="G220" s="38" t="b">
        <v>0</v>
      </c>
    </row>
    <row r="221">
      <c r="A221" s="45"/>
      <c r="B221" s="38"/>
      <c r="D221" s="38"/>
      <c r="E221" s="74" t="str">
        <f t="array" ref="E221">IF(D221="","",IFERROR(_xlfn.XLOOKUP(D221,SyncCodex!L:L,SyncCodex!M:M),""))</f>
        <v/>
      </c>
      <c r="F221" s="38" t="b">
        <v>0</v>
      </c>
      <c r="G221" s="38" t="b">
        <v>0</v>
      </c>
    </row>
    <row r="222">
      <c r="A222" s="45"/>
      <c r="B222" s="38"/>
      <c r="D222" s="38"/>
      <c r="E222" s="74" t="str">
        <f t="array" ref="E222">IF(D222="","",IFERROR(_xlfn.XLOOKUP(D222,SyncCodex!L:L,SyncCodex!M:M),""))</f>
        <v/>
      </c>
      <c r="F222" s="38" t="b">
        <v>0</v>
      </c>
      <c r="G222" s="38" t="b">
        <v>0</v>
      </c>
    </row>
    <row r="223">
      <c r="A223" s="45"/>
      <c r="B223" s="38"/>
      <c r="D223" s="38"/>
      <c r="E223" s="74" t="str">
        <f t="array" ref="E223">IF(D223="","",IFERROR(_xlfn.XLOOKUP(D223,SyncCodex!L:L,SyncCodex!M:M),""))</f>
        <v/>
      </c>
      <c r="F223" s="38" t="b">
        <v>0</v>
      </c>
      <c r="G223" s="38" t="b">
        <v>0</v>
      </c>
    </row>
    <row r="224">
      <c r="A224" s="45"/>
      <c r="B224" s="38"/>
      <c r="D224" s="38"/>
      <c r="E224" s="74" t="str">
        <f t="array" ref="E224">IF(D224="","",IFERROR(_xlfn.XLOOKUP(D224,SyncCodex!L:L,SyncCodex!M:M),""))</f>
        <v/>
      </c>
      <c r="F224" s="38" t="b">
        <v>0</v>
      </c>
      <c r="G224" s="38" t="b">
        <v>0</v>
      </c>
    </row>
    <row r="225">
      <c r="A225" s="45"/>
      <c r="B225" s="38"/>
      <c r="D225" s="38"/>
      <c r="E225" s="74" t="str">
        <f t="array" ref="E225">IF(D225="","",IFERROR(_xlfn.XLOOKUP(D225,SyncCodex!L:L,SyncCodex!M:M),""))</f>
        <v/>
      </c>
      <c r="F225" s="38" t="b">
        <v>0</v>
      </c>
      <c r="G225" s="38" t="b">
        <v>0</v>
      </c>
    </row>
    <row r="226">
      <c r="A226" s="45"/>
      <c r="B226" s="38"/>
      <c r="D226" s="38"/>
      <c r="E226" s="74" t="str">
        <f t="array" ref="E226">IF(D226="","",IFERROR(_xlfn.XLOOKUP(D226,SyncCodex!L:L,SyncCodex!M:M),""))</f>
        <v/>
      </c>
      <c r="F226" s="38" t="b">
        <v>0</v>
      </c>
      <c r="G226" s="38" t="b">
        <v>0</v>
      </c>
    </row>
    <row r="227">
      <c r="A227" s="45"/>
      <c r="B227" s="38"/>
      <c r="D227" s="38"/>
      <c r="E227" s="74" t="str">
        <f t="array" ref="E227">IF(D227="","",IFERROR(_xlfn.XLOOKUP(D227,SyncCodex!L:L,SyncCodex!M:M),""))</f>
        <v/>
      </c>
      <c r="F227" s="38" t="b">
        <v>0</v>
      </c>
      <c r="G227" s="38" t="b">
        <v>0</v>
      </c>
    </row>
    <row r="228">
      <c r="A228" s="45"/>
      <c r="B228" s="38"/>
      <c r="D228" s="38"/>
      <c r="E228" s="74" t="str">
        <f t="array" ref="E228">IF(D228="","",IFERROR(_xlfn.XLOOKUP(D228,SyncCodex!L:L,SyncCodex!M:M),""))</f>
        <v/>
      </c>
      <c r="F228" s="38" t="b">
        <v>0</v>
      </c>
      <c r="G228" s="38" t="b">
        <v>0</v>
      </c>
    </row>
    <row r="229">
      <c r="A229" s="45"/>
      <c r="B229" s="38"/>
      <c r="D229" s="38"/>
      <c r="E229" s="74" t="str">
        <f t="array" ref="E229">IF(D229="","",IFERROR(_xlfn.XLOOKUP(D229,SyncCodex!L:L,SyncCodex!M:M),""))</f>
        <v/>
      </c>
      <c r="F229" s="38" t="b">
        <v>0</v>
      </c>
      <c r="G229" s="38" t="b">
        <v>0</v>
      </c>
    </row>
    <row r="230">
      <c r="A230" s="45"/>
      <c r="B230" s="38"/>
      <c r="D230" s="38"/>
      <c r="E230" s="74" t="str">
        <f t="array" ref="E230">IF(D230="","",IFERROR(_xlfn.XLOOKUP(D230,SyncCodex!L:L,SyncCodex!M:M),""))</f>
        <v/>
      </c>
      <c r="F230" s="38" t="b">
        <v>0</v>
      </c>
      <c r="G230" s="38" t="b">
        <v>0</v>
      </c>
    </row>
    <row r="231">
      <c r="A231" s="45"/>
      <c r="B231" s="38"/>
      <c r="D231" s="38"/>
      <c r="E231" s="74" t="str">
        <f t="array" ref="E231">IF(D231="","",IFERROR(_xlfn.XLOOKUP(D231,SyncCodex!L:L,SyncCodex!M:M),""))</f>
        <v/>
      </c>
      <c r="F231" s="38" t="b">
        <v>0</v>
      </c>
      <c r="G231" s="38" t="b">
        <v>0</v>
      </c>
    </row>
    <row r="232">
      <c r="A232" s="45"/>
      <c r="B232" s="38"/>
      <c r="D232" s="38"/>
      <c r="E232" s="74" t="str">
        <f t="array" ref="E232">IF(D232="","",IFERROR(_xlfn.XLOOKUP(D232,SyncCodex!L:L,SyncCodex!M:M),""))</f>
        <v/>
      </c>
      <c r="F232" s="38" t="b">
        <v>0</v>
      </c>
      <c r="G232" s="38" t="b">
        <v>0</v>
      </c>
    </row>
    <row r="233">
      <c r="A233" s="45"/>
      <c r="B233" s="38"/>
      <c r="D233" s="38"/>
      <c r="E233" s="74" t="str">
        <f t="array" ref="E233">IF(D233="","",IFERROR(_xlfn.XLOOKUP(D233,SyncCodex!L:L,SyncCodex!M:M),""))</f>
        <v/>
      </c>
      <c r="F233" s="38" t="b">
        <v>0</v>
      </c>
      <c r="G233" s="38" t="b">
        <v>0</v>
      </c>
    </row>
    <row r="234">
      <c r="A234" s="45"/>
      <c r="B234" s="38"/>
      <c r="D234" s="38"/>
      <c r="E234" s="74" t="str">
        <f t="array" ref="E234">IF(D234="","",IFERROR(_xlfn.XLOOKUP(D234,SyncCodex!L:L,SyncCodex!M:M),""))</f>
        <v/>
      </c>
      <c r="F234" s="38" t="b">
        <v>0</v>
      </c>
      <c r="G234" s="38" t="b">
        <v>0</v>
      </c>
    </row>
    <row r="235">
      <c r="A235" s="45"/>
      <c r="B235" s="38"/>
      <c r="D235" s="38"/>
      <c r="E235" s="74" t="str">
        <f t="array" ref="E235">IF(D235="","",IFERROR(_xlfn.XLOOKUP(D235,SyncCodex!L:L,SyncCodex!M:M),""))</f>
        <v/>
      </c>
      <c r="F235" s="38" t="b">
        <v>0</v>
      </c>
      <c r="G235" s="38" t="b">
        <v>0</v>
      </c>
    </row>
    <row r="236">
      <c r="A236" s="45"/>
      <c r="B236" s="38"/>
      <c r="D236" s="38"/>
      <c r="E236" s="74" t="str">
        <f t="array" ref="E236">IF(D236="","",IFERROR(_xlfn.XLOOKUP(D236,SyncCodex!L:L,SyncCodex!M:M),""))</f>
        <v/>
      </c>
      <c r="F236" s="38" t="b">
        <v>0</v>
      </c>
      <c r="G236" s="38" t="b">
        <v>0</v>
      </c>
    </row>
    <row r="237">
      <c r="A237" s="45"/>
      <c r="B237" s="38"/>
      <c r="D237" s="38"/>
      <c r="E237" s="74" t="str">
        <f t="array" ref="E237">IF(D237="","",IFERROR(_xlfn.XLOOKUP(D237,SyncCodex!L:L,SyncCodex!M:M),""))</f>
        <v/>
      </c>
      <c r="F237" s="38" t="b">
        <v>0</v>
      </c>
      <c r="G237" s="38" t="b">
        <v>0</v>
      </c>
    </row>
    <row r="238">
      <c r="A238" s="45"/>
      <c r="B238" s="38"/>
      <c r="D238" s="38"/>
      <c r="E238" s="74" t="str">
        <f t="array" ref="E238">IF(D238="","",IFERROR(_xlfn.XLOOKUP(D238,SyncCodex!L:L,SyncCodex!M:M),""))</f>
        <v/>
      </c>
      <c r="F238" s="38" t="b">
        <v>0</v>
      </c>
      <c r="G238" s="38" t="b">
        <v>0</v>
      </c>
    </row>
    <row r="239">
      <c r="A239" s="45"/>
      <c r="B239" s="38"/>
      <c r="D239" s="38"/>
      <c r="E239" s="74" t="str">
        <f t="array" ref="E239">IF(D239="","",IFERROR(_xlfn.XLOOKUP(D239,SyncCodex!L:L,SyncCodex!M:M),""))</f>
        <v/>
      </c>
      <c r="F239" s="38" t="b">
        <v>0</v>
      </c>
      <c r="G239" s="38" t="b">
        <v>0</v>
      </c>
    </row>
    <row r="240">
      <c r="A240" s="45"/>
      <c r="B240" s="38"/>
      <c r="D240" s="38"/>
      <c r="E240" s="74" t="str">
        <f t="array" ref="E240">IF(D240="","",IFERROR(_xlfn.XLOOKUP(D240,SyncCodex!L:L,SyncCodex!M:M),""))</f>
        <v/>
      </c>
      <c r="F240" s="38" t="b">
        <v>0</v>
      </c>
      <c r="G240" s="38" t="b">
        <v>0</v>
      </c>
    </row>
    <row r="241">
      <c r="A241" s="45"/>
      <c r="B241" s="38"/>
      <c r="D241" s="38"/>
      <c r="E241" s="74" t="str">
        <f t="array" ref="E241">IF(D241="","",IFERROR(_xlfn.XLOOKUP(D241,SyncCodex!L:L,SyncCodex!M:M),""))</f>
        <v/>
      </c>
      <c r="F241" s="38" t="b">
        <v>0</v>
      </c>
      <c r="G241" s="38" t="b">
        <v>0</v>
      </c>
    </row>
    <row r="242">
      <c r="A242" s="45"/>
      <c r="B242" s="38"/>
      <c r="D242" s="38"/>
      <c r="E242" s="74" t="str">
        <f t="array" ref="E242">IF(D242="","",IFERROR(_xlfn.XLOOKUP(D242,SyncCodex!L:L,SyncCodex!M:M),""))</f>
        <v/>
      </c>
      <c r="F242" s="38" t="b">
        <v>0</v>
      </c>
      <c r="G242" s="38" t="b">
        <v>0</v>
      </c>
    </row>
    <row r="243">
      <c r="A243" s="45"/>
      <c r="B243" s="38"/>
      <c r="D243" s="38"/>
      <c r="E243" s="74" t="str">
        <f t="array" ref="E243">IF(D243="","",IFERROR(_xlfn.XLOOKUP(D243,SyncCodex!L:L,SyncCodex!M:M),""))</f>
        <v/>
      </c>
      <c r="F243" s="38" t="b">
        <v>0</v>
      </c>
      <c r="G243" s="38" t="b">
        <v>0</v>
      </c>
    </row>
    <row r="244">
      <c r="A244" s="45"/>
      <c r="B244" s="38"/>
      <c r="D244" s="38"/>
      <c r="E244" s="74" t="str">
        <f t="array" ref="E244">IF(D244="","",IFERROR(_xlfn.XLOOKUP(D244,SyncCodex!L:L,SyncCodex!M:M),""))</f>
        <v/>
      </c>
      <c r="F244" s="38" t="b">
        <v>0</v>
      </c>
      <c r="G244" s="38" t="b">
        <v>0</v>
      </c>
    </row>
    <row r="245">
      <c r="A245" s="45"/>
      <c r="B245" s="38"/>
      <c r="D245" s="38"/>
      <c r="E245" s="74" t="str">
        <f t="array" ref="E245">IF(D245="","",IFERROR(_xlfn.XLOOKUP(D245,SyncCodex!L:L,SyncCodex!M:M),""))</f>
        <v/>
      </c>
      <c r="F245" s="38" t="b">
        <v>0</v>
      </c>
      <c r="G245" s="38" t="b">
        <v>0</v>
      </c>
    </row>
    <row r="246">
      <c r="A246" s="45"/>
      <c r="B246" s="38"/>
      <c r="D246" s="38"/>
      <c r="E246" s="74" t="str">
        <f t="array" ref="E246">IF(D246="","",IFERROR(_xlfn.XLOOKUP(D246,SyncCodex!L:L,SyncCodex!M:M),""))</f>
        <v/>
      </c>
      <c r="F246" s="38" t="b">
        <v>0</v>
      </c>
      <c r="G246" s="38" t="b">
        <v>0</v>
      </c>
    </row>
    <row r="247">
      <c r="A247" s="45"/>
      <c r="B247" s="38"/>
      <c r="D247" s="38"/>
      <c r="E247" s="74" t="str">
        <f t="array" ref="E247">IF(D247="","",IFERROR(_xlfn.XLOOKUP(D247,SyncCodex!L:L,SyncCodex!M:M),""))</f>
        <v/>
      </c>
      <c r="F247" s="38" t="b">
        <v>0</v>
      </c>
      <c r="G247" s="38" t="b">
        <v>0</v>
      </c>
    </row>
    <row r="248">
      <c r="A248" s="45"/>
      <c r="B248" s="38"/>
      <c r="D248" s="38"/>
      <c r="E248" s="74" t="str">
        <f t="array" ref="E248">IF(D248="","",IFERROR(_xlfn.XLOOKUP(D248,SyncCodex!L:L,SyncCodex!M:M),""))</f>
        <v/>
      </c>
      <c r="F248" s="38" t="b">
        <v>0</v>
      </c>
      <c r="G248" s="38" t="b">
        <v>0</v>
      </c>
    </row>
    <row r="249">
      <c r="A249" s="45"/>
      <c r="B249" s="38"/>
      <c r="D249" s="38"/>
      <c r="E249" s="74" t="str">
        <f t="array" ref="E249">IF(D249="","",IFERROR(_xlfn.XLOOKUP(D249,SyncCodex!L:L,SyncCodex!M:M),""))</f>
        <v/>
      </c>
      <c r="F249" s="38" t="b">
        <v>0</v>
      </c>
      <c r="G249" s="38" t="b">
        <v>0</v>
      </c>
    </row>
    <row r="250">
      <c r="A250" s="45"/>
      <c r="B250" s="38"/>
      <c r="D250" s="38"/>
      <c r="E250" s="74" t="str">
        <f t="array" ref="E250">IF(D250="","",IFERROR(_xlfn.XLOOKUP(D250,SyncCodex!L:L,SyncCodex!M:M),""))</f>
        <v/>
      </c>
      <c r="F250" s="38" t="b">
        <v>0</v>
      </c>
      <c r="G250" s="38" t="b">
        <v>0</v>
      </c>
    </row>
    <row r="251">
      <c r="A251" s="45"/>
      <c r="B251" s="38"/>
      <c r="D251" s="38"/>
      <c r="E251" s="74" t="str">
        <f t="array" ref="E251">IF(D251="","",IFERROR(_xlfn.XLOOKUP(D251,SyncCodex!L:L,SyncCodex!M:M),""))</f>
        <v/>
      </c>
      <c r="F251" s="38" t="b">
        <v>0</v>
      </c>
      <c r="G251" s="38" t="b">
        <v>0</v>
      </c>
    </row>
    <row r="252">
      <c r="A252" s="45"/>
      <c r="B252" s="38"/>
      <c r="D252" s="38"/>
      <c r="E252" s="74" t="str">
        <f t="array" ref="E252">IF(D252="","",IFERROR(_xlfn.XLOOKUP(D252,SyncCodex!L:L,SyncCodex!M:M),""))</f>
        <v/>
      </c>
      <c r="F252" s="38" t="b">
        <v>0</v>
      </c>
      <c r="G252" s="38" t="b">
        <v>0</v>
      </c>
    </row>
    <row r="253">
      <c r="A253" s="45"/>
      <c r="B253" s="38"/>
      <c r="D253" s="38"/>
      <c r="E253" s="74" t="str">
        <f t="array" ref="E253">IF(D253="","",IFERROR(_xlfn.XLOOKUP(D253,SyncCodex!L:L,SyncCodex!M:M),""))</f>
        <v/>
      </c>
      <c r="F253" s="38" t="b">
        <v>0</v>
      </c>
      <c r="G253" s="38" t="b">
        <v>0</v>
      </c>
    </row>
    <row r="254">
      <c r="A254" s="45"/>
      <c r="B254" s="38"/>
      <c r="D254" s="38"/>
      <c r="E254" s="74" t="str">
        <f t="array" ref="E254">IF(D254="","",IFERROR(_xlfn.XLOOKUP(D254,SyncCodex!L:L,SyncCodex!M:M),""))</f>
        <v/>
      </c>
      <c r="F254" s="38" t="b">
        <v>0</v>
      </c>
      <c r="G254" s="38" t="b">
        <v>0</v>
      </c>
    </row>
    <row r="255">
      <c r="A255" s="45"/>
      <c r="B255" s="38"/>
      <c r="D255" s="38"/>
      <c r="E255" s="74" t="str">
        <f t="array" ref="E255">IF(D255="","",IFERROR(_xlfn.XLOOKUP(D255,SyncCodex!L:L,SyncCodex!M:M),""))</f>
        <v/>
      </c>
      <c r="F255" s="38" t="b">
        <v>0</v>
      </c>
      <c r="G255" s="38" t="b">
        <v>0</v>
      </c>
    </row>
    <row r="256">
      <c r="A256" s="45"/>
      <c r="B256" s="38"/>
      <c r="D256" s="38"/>
      <c r="E256" s="74" t="str">
        <f t="array" ref="E256">IF(D256="","",IFERROR(_xlfn.XLOOKUP(D256,SyncCodex!L:L,SyncCodex!M:M),""))</f>
        <v/>
      </c>
      <c r="F256" s="38" t="b">
        <v>0</v>
      </c>
      <c r="G256" s="38" t="b">
        <v>0</v>
      </c>
    </row>
    <row r="257">
      <c r="A257" s="45"/>
      <c r="B257" s="38"/>
      <c r="D257" s="38"/>
      <c r="E257" s="74" t="str">
        <f t="array" ref="E257">IF(D257="","",IFERROR(_xlfn.XLOOKUP(D257,SyncCodex!L:L,SyncCodex!M:M),""))</f>
        <v/>
      </c>
      <c r="F257" s="38" t="b">
        <v>0</v>
      </c>
      <c r="G257" s="38" t="b">
        <v>0</v>
      </c>
    </row>
    <row r="258">
      <c r="A258" s="45"/>
      <c r="B258" s="38"/>
      <c r="D258" s="38"/>
      <c r="E258" s="74" t="str">
        <f t="array" ref="E258">IF(D258="","",IFERROR(_xlfn.XLOOKUP(D258,SyncCodex!L:L,SyncCodex!M:M),""))</f>
        <v/>
      </c>
      <c r="F258" s="38" t="b">
        <v>0</v>
      </c>
      <c r="G258" s="38" t="b">
        <v>0</v>
      </c>
    </row>
    <row r="259">
      <c r="A259" s="45"/>
      <c r="B259" s="38"/>
      <c r="D259" s="38"/>
      <c r="E259" s="74" t="str">
        <f t="array" ref="E259">IF(D259="","",IFERROR(_xlfn.XLOOKUP(D259,SyncCodex!L:L,SyncCodex!M:M),""))</f>
        <v/>
      </c>
      <c r="F259" s="38" t="b">
        <v>0</v>
      </c>
      <c r="G259" s="38" t="b">
        <v>0</v>
      </c>
    </row>
    <row r="260">
      <c r="A260" s="45"/>
      <c r="B260" s="38"/>
      <c r="D260" s="38"/>
      <c r="E260" s="74" t="str">
        <f t="array" ref="E260">IF(D260="","",IFERROR(_xlfn.XLOOKUP(D260,SyncCodex!L:L,SyncCodex!M:M),""))</f>
        <v/>
      </c>
      <c r="F260" s="38" t="b">
        <v>0</v>
      </c>
      <c r="G260" s="38" t="b">
        <v>0</v>
      </c>
    </row>
    <row r="261">
      <c r="A261" s="45"/>
      <c r="B261" s="38"/>
      <c r="D261" s="38"/>
      <c r="E261" s="74" t="str">
        <f t="array" ref="E261">IF(D261="","",IFERROR(_xlfn.XLOOKUP(D261,SyncCodex!L:L,SyncCodex!M:M),""))</f>
        <v/>
      </c>
      <c r="F261" s="38" t="b">
        <v>0</v>
      </c>
      <c r="G261" s="38" t="b">
        <v>0</v>
      </c>
    </row>
    <row r="262">
      <c r="A262" s="45"/>
      <c r="B262" s="38"/>
      <c r="D262" s="38"/>
      <c r="E262" s="74" t="str">
        <f t="array" ref="E262">IF(D262="","",IFERROR(_xlfn.XLOOKUP(D262,SyncCodex!L:L,SyncCodex!M:M),""))</f>
        <v/>
      </c>
      <c r="F262" s="38" t="b">
        <v>0</v>
      </c>
      <c r="G262" s="38" t="b">
        <v>0</v>
      </c>
    </row>
    <row r="263">
      <c r="A263" s="45"/>
      <c r="B263" s="38"/>
      <c r="D263" s="38"/>
      <c r="E263" s="74" t="str">
        <f t="array" ref="E263">IF(D263="","",IFERROR(_xlfn.XLOOKUP(D263,SyncCodex!L:L,SyncCodex!M:M),""))</f>
        <v/>
      </c>
      <c r="F263" s="38" t="b">
        <v>0</v>
      </c>
      <c r="G263" s="38" t="b">
        <v>0</v>
      </c>
    </row>
    <row r="264">
      <c r="A264" s="45"/>
      <c r="B264" s="38"/>
      <c r="D264" s="38"/>
      <c r="E264" s="74" t="str">
        <f t="array" ref="E264">IF(D264="","",IFERROR(_xlfn.XLOOKUP(D264,SyncCodex!L:L,SyncCodex!M:M),""))</f>
        <v/>
      </c>
      <c r="F264" s="38" t="b">
        <v>0</v>
      </c>
      <c r="G264" s="38" t="b">
        <v>0</v>
      </c>
    </row>
    <row r="265">
      <c r="A265" s="45"/>
      <c r="B265" s="38"/>
      <c r="D265" s="38"/>
      <c r="E265" s="74" t="str">
        <f t="array" ref="E265">IF(D265="","",IFERROR(_xlfn.XLOOKUP(D265,SyncCodex!L:L,SyncCodex!M:M),""))</f>
        <v/>
      </c>
      <c r="F265" s="38" t="b">
        <v>0</v>
      </c>
      <c r="G265" s="38" t="b">
        <v>0</v>
      </c>
    </row>
    <row r="266">
      <c r="A266" s="45"/>
      <c r="B266" s="38"/>
      <c r="D266" s="38"/>
      <c r="E266" s="74" t="str">
        <f t="array" ref="E266">IF(D266="","",IFERROR(_xlfn.XLOOKUP(D266,SyncCodex!L:L,SyncCodex!M:M),""))</f>
        <v/>
      </c>
      <c r="F266" s="38" t="b">
        <v>0</v>
      </c>
      <c r="G266" s="38" t="b">
        <v>0</v>
      </c>
    </row>
    <row r="267">
      <c r="A267" s="45"/>
      <c r="B267" s="38"/>
      <c r="D267" s="38"/>
      <c r="E267" s="74" t="str">
        <f t="array" ref="E267">IF(D267="","",IFERROR(_xlfn.XLOOKUP(D267,SyncCodex!L:L,SyncCodex!M:M),""))</f>
        <v/>
      </c>
      <c r="F267" s="38" t="b">
        <v>0</v>
      </c>
      <c r="G267" s="38" t="b">
        <v>0</v>
      </c>
    </row>
    <row r="268">
      <c r="A268" s="45"/>
      <c r="B268" s="38"/>
      <c r="D268" s="38"/>
      <c r="E268" s="74" t="str">
        <f t="array" ref="E268">IF(D268="","",IFERROR(_xlfn.XLOOKUP(D268,SyncCodex!L:L,SyncCodex!M:M),""))</f>
        <v/>
      </c>
      <c r="F268" s="38" t="b">
        <v>0</v>
      </c>
      <c r="G268" s="38" t="b">
        <v>0</v>
      </c>
    </row>
    <row r="269">
      <c r="A269" s="45"/>
      <c r="B269" s="38"/>
      <c r="D269" s="38"/>
      <c r="E269" s="74" t="str">
        <f t="array" ref="E269">IF(D269="","",IFERROR(_xlfn.XLOOKUP(D269,SyncCodex!L:L,SyncCodex!M:M),""))</f>
        <v/>
      </c>
      <c r="F269" s="38" t="b">
        <v>0</v>
      </c>
      <c r="G269" s="38" t="b">
        <v>0</v>
      </c>
    </row>
    <row r="270">
      <c r="A270" s="45"/>
      <c r="B270" s="38"/>
      <c r="D270" s="38"/>
      <c r="E270" s="74" t="str">
        <f t="array" ref="E270">IF(D270="","",IFERROR(_xlfn.XLOOKUP(D270,SyncCodex!L:L,SyncCodex!M:M),""))</f>
        <v/>
      </c>
      <c r="F270" s="38" t="b">
        <v>0</v>
      </c>
      <c r="G270" s="38" t="b">
        <v>0</v>
      </c>
    </row>
    <row r="271">
      <c r="A271" s="45"/>
      <c r="B271" s="38"/>
      <c r="D271" s="38"/>
      <c r="E271" s="74" t="str">
        <f t="array" ref="E271">IF(D271="","",IFERROR(_xlfn.XLOOKUP(D271,SyncCodex!L:L,SyncCodex!M:M),""))</f>
        <v/>
      </c>
      <c r="F271" s="38" t="b">
        <v>0</v>
      </c>
      <c r="G271" s="38" t="b">
        <v>0</v>
      </c>
    </row>
    <row r="272">
      <c r="A272" s="45"/>
      <c r="B272" s="38"/>
      <c r="D272" s="38"/>
      <c r="E272" s="74" t="str">
        <f t="array" ref="E272">IF(D272="","",IFERROR(_xlfn.XLOOKUP(D272,SyncCodex!L:L,SyncCodex!M:M),""))</f>
        <v/>
      </c>
      <c r="F272" s="38" t="b">
        <v>0</v>
      </c>
      <c r="G272" s="38" t="b">
        <v>0</v>
      </c>
    </row>
    <row r="273">
      <c r="A273" s="45"/>
      <c r="B273" s="38"/>
      <c r="D273" s="38"/>
      <c r="E273" s="74" t="str">
        <f t="array" ref="E273">IF(D273="","",IFERROR(_xlfn.XLOOKUP(D273,SyncCodex!L:L,SyncCodex!M:M),""))</f>
        <v/>
      </c>
      <c r="F273" s="38" t="b">
        <v>0</v>
      </c>
      <c r="G273" s="38" t="b">
        <v>0</v>
      </c>
    </row>
    <row r="274">
      <c r="A274" s="45"/>
      <c r="B274" s="38"/>
      <c r="D274" s="38"/>
      <c r="E274" s="74" t="str">
        <f t="array" ref="E274">IF(D274="","",IFERROR(_xlfn.XLOOKUP(D274,SyncCodex!L:L,SyncCodex!M:M),""))</f>
        <v/>
      </c>
      <c r="F274" s="38" t="b">
        <v>0</v>
      </c>
      <c r="G274" s="38" t="b">
        <v>0</v>
      </c>
    </row>
    <row r="275">
      <c r="A275" s="45"/>
      <c r="B275" s="38"/>
      <c r="D275" s="38"/>
      <c r="E275" s="74" t="str">
        <f t="array" ref="E275">IF(D275="","",IFERROR(_xlfn.XLOOKUP(D275,SyncCodex!L:L,SyncCodex!M:M),""))</f>
        <v/>
      </c>
      <c r="F275" s="38" t="b">
        <v>0</v>
      </c>
      <c r="G275" s="38" t="b">
        <v>0</v>
      </c>
    </row>
    <row r="276">
      <c r="A276" s="45"/>
      <c r="B276" s="38"/>
      <c r="D276" s="38"/>
      <c r="E276" s="74" t="str">
        <f t="array" ref="E276">IF(D276="","",IFERROR(_xlfn.XLOOKUP(D276,SyncCodex!L:L,SyncCodex!M:M),""))</f>
        <v/>
      </c>
      <c r="F276" s="38" t="b">
        <v>0</v>
      </c>
      <c r="G276" s="38" t="b">
        <v>0</v>
      </c>
    </row>
    <row r="277">
      <c r="A277" s="45"/>
      <c r="B277" s="38"/>
      <c r="D277" s="38"/>
      <c r="E277" s="74" t="str">
        <f t="array" ref="E277">IF(D277="","",IFERROR(_xlfn.XLOOKUP(D277,SyncCodex!L:L,SyncCodex!M:M),""))</f>
        <v/>
      </c>
      <c r="F277" s="38" t="b">
        <v>0</v>
      </c>
      <c r="G277" s="38" t="b">
        <v>0</v>
      </c>
    </row>
    <row r="278">
      <c r="A278" s="45"/>
      <c r="B278" s="38"/>
      <c r="D278" s="38"/>
      <c r="E278" s="74" t="str">
        <f t="array" ref="E278">IF(D278="","",IFERROR(_xlfn.XLOOKUP(D278,SyncCodex!L:L,SyncCodex!M:M),""))</f>
        <v/>
      </c>
      <c r="F278" s="38" t="b">
        <v>0</v>
      </c>
      <c r="G278" s="38" t="b">
        <v>0</v>
      </c>
    </row>
    <row r="279">
      <c r="A279" s="45"/>
      <c r="B279" s="38"/>
      <c r="D279" s="38"/>
      <c r="E279" s="74" t="str">
        <f t="array" ref="E279">IF(D279="","",IFERROR(_xlfn.XLOOKUP(D279,SyncCodex!L:L,SyncCodex!M:M),""))</f>
        <v/>
      </c>
      <c r="F279" s="38" t="b">
        <v>0</v>
      </c>
      <c r="G279" s="38" t="b">
        <v>0</v>
      </c>
    </row>
    <row r="280">
      <c r="A280" s="45"/>
      <c r="B280" s="38"/>
      <c r="D280" s="38"/>
      <c r="E280" s="74" t="str">
        <f t="array" ref="E280">IF(D280="","",IFERROR(_xlfn.XLOOKUP(D280,SyncCodex!L:L,SyncCodex!M:M),""))</f>
        <v/>
      </c>
      <c r="F280" s="38" t="b">
        <v>0</v>
      </c>
      <c r="G280" s="38" t="b">
        <v>0</v>
      </c>
    </row>
    <row r="281">
      <c r="A281" s="45"/>
      <c r="B281" s="38"/>
      <c r="D281" s="38"/>
      <c r="E281" s="74" t="str">
        <f t="array" ref="E281">IF(D281="","",IFERROR(_xlfn.XLOOKUP(D281,SyncCodex!L:L,SyncCodex!M:M),""))</f>
        <v/>
      </c>
      <c r="F281" s="38" t="b">
        <v>0</v>
      </c>
      <c r="G281" s="38" t="b">
        <v>0</v>
      </c>
    </row>
    <row r="282">
      <c r="A282" s="45"/>
      <c r="B282" s="38"/>
      <c r="D282" s="38"/>
      <c r="E282" s="74" t="str">
        <f t="array" ref="E282">IF(D282="","",IFERROR(_xlfn.XLOOKUP(D282,SyncCodex!L:L,SyncCodex!M:M),""))</f>
        <v/>
      </c>
      <c r="F282" s="38" t="b">
        <v>0</v>
      </c>
      <c r="G282" s="38" t="b">
        <v>0</v>
      </c>
    </row>
    <row r="283">
      <c r="A283" s="45"/>
      <c r="B283" s="38"/>
      <c r="D283" s="38"/>
      <c r="E283" s="74" t="str">
        <f t="array" ref="E283">IF(D283="","",IFERROR(_xlfn.XLOOKUP(D283,SyncCodex!L:L,SyncCodex!M:M),""))</f>
        <v/>
      </c>
      <c r="F283" s="38" t="b">
        <v>0</v>
      </c>
      <c r="G283" s="38" t="b">
        <v>0</v>
      </c>
    </row>
    <row r="284">
      <c r="A284" s="45"/>
      <c r="B284" s="38"/>
      <c r="D284" s="38"/>
      <c r="E284" s="74" t="str">
        <f t="array" ref="E284">IF(D284="","",IFERROR(_xlfn.XLOOKUP(D284,SyncCodex!L:L,SyncCodex!M:M),""))</f>
        <v/>
      </c>
      <c r="F284" s="38" t="b">
        <v>0</v>
      </c>
      <c r="G284" s="38" t="b">
        <v>0</v>
      </c>
    </row>
    <row r="285">
      <c r="A285" s="45"/>
      <c r="B285" s="38"/>
      <c r="D285" s="38"/>
      <c r="E285" s="74" t="str">
        <f t="array" ref="E285">IF(D285="","",IFERROR(_xlfn.XLOOKUP(D285,SyncCodex!L:L,SyncCodex!M:M),""))</f>
        <v/>
      </c>
      <c r="F285" s="38" t="b">
        <v>0</v>
      </c>
      <c r="G285" s="38" t="b">
        <v>0</v>
      </c>
    </row>
    <row r="286">
      <c r="A286" s="45"/>
      <c r="B286" s="38"/>
      <c r="D286" s="38"/>
      <c r="E286" s="74" t="str">
        <f t="array" ref="E286">IF(D286="","",IFERROR(_xlfn.XLOOKUP(D286,SyncCodex!L:L,SyncCodex!M:M),""))</f>
        <v/>
      </c>
      <c r="F286" s="38" t="b">
        <v>0</v>
      </c>
      <c r="G286" s="38" t="b">
        <v>0</v>
      </c>
    </row>
    <row r="287">
      <c r="A287" s="45"/>
      <c r="B287" s="38"/>
      <c r="D287" s="38"/>
      <c r="E287" s="74" t="str">
        <f t="array" ref="E287">IF(D287="","",IFERROR(_xlfn.XLOOKUP(D287,SyncCodex!L:L,SyncCodex!M:M),""))</f>
        <v/>
      </c>
      <c r="F287" s="38" t="b">
        <v>0</v>
      </c>
      <c r="G287" s="38" t="b">
        <v>0</v>
      </c>
    </row>
    <row r="288">
      <c r="A288" s="45"/>
      <c r="B288" s="38"/>
      <c r="D288" s="38"/>
      <c r="E288" s="74" t="str">
        <f t="array" ref="E288">IF(D288="","",IFERROR(_xlfn.XLOOKUP(D288,SyncCodex!L:L,SyncCodex!M:M),""))</f>
        <v/>
      </c>
      <c r="F288" s="38" t="b">
        <v>0</v>
      </c>
      <c r="G288" s="38" t="b">
        <v>0</v>
      </c>
    </row>
    <row r="289">
      <c r="A289" s="45"/>
      <c r="B289" s="38"/>
      <c r="D289" s="38"/>
      <c r="E289" s="74" t="str">
        <f t="array" ref="E289">IF(D289="","",IFERROR(_xlfn.XLOOKUP(D289,SyncCodex!L:L,SyncCodex!M:M),""))</f>
        <v/>
      </c>
      <c r="F289" s="38" t="b">
        <v>0</v>
      </c>
      <c r="G289" s="38" t="b">
        <v>0</v>
      </c>
    </row>
    <row r="290">
      <c r="A290" s="45"/>
      <c r="B290" s="38"/>
      <c r="D290" s="38"/>
      <c r="E290" s="74" t="str">
        <f t="array" ref="E290">IF(D290="","",IFERROR(_xlfn.XLOOKUP(D290,SyncCodex!L:L,SyncCodex!M:M),""))</f>
        <v/>
      </c>
      <c r="F290" s="38" t="b">
        <v>0</v>
      </c>
      <c r="G290" s="38" t="b">
        <v>0</v>
      </c>
    </row>
    <row r="291">
      <c r="A291" s="45"/>
      <c r="B291" s="38"/>
      <c r="D291" s="38"/>
      <c r="E291" s="74" t="str">
        <f t="array" ref="E291">IF(D291="","",IFERROR(_xlfn.XLOOKUP(D291,SyncCodex!L:L,SyncCodex!M:M),""))</f>
        <v/>
      </c>
      <c r="F291" s="38" t="b">
        <v>0</v>
      </c>
      <c r="G291" s="38" t="b">
        <v>0</v>
      </c>
    </row>
    <row r="292">
      <c r="A292" s="45"/>
      <c r="B292" s="38"/>
      <c r="D292" s="38"/>
      <c r="E292" s="74" t="str">
        <f t="array" ref="E292">IF(D292="","",IFERROR(_xlfn.XLOOKUP(D292,SyncCodex!L:L,SyncCodex!M:M),""))</f>
        <v/>
      </c>
      <c r="F292" s="38" t="b">
        <v>0</v>
      </c>
      <c r="G292" s="38" t="b">
        <v>0</v>
      </c>
    </row>
    <row r="293">
      <c r="A293" s="45"/>
      <c r="B293" s="38"/>
      <c r="D293" s="38"/>
      <c r="E293" s="74" t="str">
        <f t="array" ref="E293">IF(D293="","",IFERROR(_xlfn.XLOOKUP(D293,SyncCodex!L:L,SyncCodex!M:M),""))</f>
        <v/>
      </c>
      <c r="F293" s="38" t="b">
        <v>0</v>
      </c>
      <c r="G293" s="38" t="b">
        <v>0</v>
      </c>
    </row>
    <row r="294">
      <c r="A294" s="45"/>
      <c r="B294" s="38"/>
      <c r="D294" s="38"/>
      <c r="E294" s="74" t="str">
        <f t="array" ref="E294">IF(D294="","",IFERROR(_xlfn.XLOOKUP(D294,SyncCodex!L:L,SyncCodex!M:M),""))</f>
        <v/>
      </c>
      <c r="F294" s="38" t="b">
        <v>0</v>
      </c>
      <c r="G294" s="38" t="b">
        <v>0</v>
      </c>
    </row>
    <row r="295">
      <c r="A295" s="45"/>
      <c r="B295" s="38"/>
      <c r="D295" s="38"/>
      <c r="E295" s="74" t="str">
        <f t="array" ref="E295">IF(D295="","",IFERROR(_xlfn.XLOOKUP(D295,SyncCodex!L:L,SyncCodex!M:M),""))</f>
        <v/>
      </c>
      <c r="F295" s="38" t="b">
        <v>0</v>
      </c>
      <c r="G295" s="38" t="b">
        <v>0</v>
      </c>
    </row>
    <row r="296">
      <c r="A296" s="45"/>
      <c r="B296" s="38"/>
      <c r="D296" s="38"/>
      <c r="E296" s="74" t="str">
        <f t="array" ref="E296">IF(D296="","",IFERROR(_xlfn.XLOOKUP(D296,SyncCodex!L:L,SyncCodex!M:M),""))</f>
        <v/>
      </c>
      <c r="F296" s="38" t="b">
        <v>0</v>
      </c>
      <c r="G296" s="38" t="b">
        <v>0</v>
      </c>
    </row>
    <row r="297">
      <c r="A297" s="45"/>
      <c r="B297" s="38"/>
      <c r="D297" s="38"/>
      <c r="E297" s="74" t="str">
        <f t="array" ref="E297">IF(D297="","",IFERROR(_xlfn.XLOOKUP(D297,SyncCodex!L:L,SyncCodex!M:M),""))</f>
        <v/>
      </c>
      <c r="F297" s="38" t="b">
        <v>0</v>
      </c>
      <c r="G297" s="38" t="b">
        <v>0</v>
      </c>
    </row>
    <row r="298">
      <c r="A298" s="45"/>
      <c r="B298" s="38"/>
      <c r="D298" s="38"/>
      <c r="E298" s="74" t="str">
        <f t="array" ref="E298">IF(D298="","",IFERROR(_xlfn.XLOOKUP(D298,SyncCodex!L:L,SyncCodex!M:M),""))</f>
        <v/>
      </c>
      <c r="F298" s="38" t="b">
        <v>0</v>
      </c>
      <c r="G298" s="38" t="b">
        <v>0</v>
      </c>
    </row>
    <row r="299">
      <c r="A299" s="45"/>
      <c r="B299" s="38"/>
      <c r="D299" s="38"/>
      <c r="E299" s="74" t="str">
        <f t="array" ref="E299">IF(D299="","",IFERROR(_xlfn.XLOOKUP(D299,SyncCodex!L:L,SyncCodex!M:M),""))</f>
        <v/>
      </c>
      <c r="F299" s="38" t="b">
        <v>0</v>
      </c>
      <c r="G299" s="38" t="b">
        <v>0</v>
      </c>
    </row>
    <row r="300">
      <c r="A300" s="45"/>
      <c r="B300" s="38"/>
      <c r="D300" s="38"/>
      <c r="E300" s="74" t="str">
        <f t="array" ref="E300">IF(D300="","",IFERROR(_xlfn.XLOOKUP(D300,SyncCodex!L:L,SyncCodex!M:M),""))</f>
        <v/>
      </c>
      <c r="F300" s="38" t="b">
        <v>0</v>
      </c>
      <c r="G300" s="38" t="b">
        <v>0</v>
      </c>
    </row>
    <row r="301">
      <c r="A301" s="45"/>
      <c r="B301" s="38"/>
      <c r="D301" s="38"/>
      <c r="E301" s="74" t="str">
        <f t="array" ref="E301">IF(D301="","",IFERROR(_xlfn.XLOOKUP(D301,SyncCodex!L:L,SyncCodex!M:M),""))</f>
        <v/>
      </c>
      <c r="F301" s="38" t="b">
        <v>0</v>
      </c>
      <c r="G301" s="38" t="b">
        <v>0</v>
      </c>
    </row>
    <row r="302">
      <c r="A302" s="45"/>
      <c r="B302" s="38"/>
      <c r="D302" s="38"/>
      <c r="E302" s="74" t="str">
        <f t="array" ref="E302">IF(D302="","",IFERROR(_xlfn.XLOOKUP(D302,SyncCodex!L:L,SyncCodex!M:M),""))</f>
        <v/>
      </c>
      <c r="F302" s="38" t="b">
        <v>0</v>
      </c>
      <c r="G302" s="38" t="b">
        <v>0</v>
      </c>
    </row>
    <row r="303">
      <c r="A303" s="45"/>
      <c r="B303" s="38"/>
      <c r="D303" s="38"/>
      <c r="E303" s="74" t="str">
        <f t="array" ref="E303">IF(D303="","",IFERROR(_xlfn.XLOOKUP(D303,SyncCodex!L:L,SyncCodex!M:M),""))</f>
        <v/>
      </c>
      <c r="F303" s="38" t="b">
        <v>0</v>
      </c>
      <c r="G303" s="38" t="b">
        <v>0</v>
      </c>
    </row>
    <row r="304">
      <c r="A304" s="45"/>
      <c r="B304" s="38"/>
      <c r="D304" s="38"/>
      <c r="E304" s="74" t="str">
        <f t="array" ref="E304">IF(D304="","",IFERROR(_xlfn.XLOOKUP(D304,SyncCodex!L:L,SyncCodex!M:M),""))</f>
        <v/>
      </c>
      <c r="F304" s="38" t="b">
        <v>0</v>
      </c>
      <c r="G304" s="38" t="b">
        <v>0</v>
      </c>
    </row>
    <row r="305">
      <c r="A305" s="45"/>
      <c r="B305" s="38"/>
      <c r="D305" s="38"/>
      <c r="E305" s="74" t="str">
        <f t="array" ref="E305">IF(D305="","",IFERROR(_xlfn.XLOOKUP(D305,SyncCodex!L:L,SyncCodex!M:M),""))</f>
        <v/>
      </c>
      <c r="F305" s="38" t="b">
        <v>0</v>
      </c>
      <c r="G305" s="38" t="b">
        <v>0</v>
      </c>
    </row>
    <row r="306">
      <c r="A306" s="45"/>
      <c r="B306" s="38"/>
      <c r="D306" s="38"/>
      <c r="E306" s="74" t="str">
        <f t="array" ref="E306">IF(D306="","",IFERROR(_xlfn.XLOOKUP(D306,SyncCodex!L:L,SyncCodex!M:M),""))</f>
        <v/>
      </c>
      <c r="F306" s="38" t="b">
        <v>0</v>
      </c>
      <c r="G306" s="38" t="b">
        <v>0</v>
      </c>
    </row>
    <row r="307">
      <c r="A307" s="45"/>
      <c r="B307" s="38"/>
      <c r="D307" s="38"/>
      <c r="E307" s="74" t="str">
        <f t="array" ref="E307">IF(D307="","",IFERROR(_xlfn.XLOOKUP(D307,SyncCodex!L:L,SyncCodex!M:M),""))</f>
        <v/>
      </c>
      <c r="F307" s="38" t="b">
        <v>0</v>
      </c>
      <c r="G307" s="38" t="b">
        <v>0</v>
      </c>
    </row>
    <row r="308">
      <c r="A308" s="45"/>
      <c r="B308" s="38"/>
      <c r="D308" s="38"/>
      <c r="E308" s="74" t="str">
        <f t="array" ref="E308">IF(D308="","",IFERROR(_xlfn.XLOOKUP(D308,SyncCodex!L:L,SyncCodex!M:M),""))</f>
        <v/>
      </c>
      <c r="F308" s="38" t="b">
        <v>0</v>
      </c>
      <c r="G308" s="38" t="b">
        <v>0</v>
      </c>
    </row>
    <row r="309">
      <c r="A309" s="45"/>
      <c r="B309" s="38"/>
      <c r="D309" s="38"/>
      <c r="E309" s="74" t="str">
        <f t="array" ref="E309">IF(D309="","",IFERROR(_xlfn.XLOOKUP(D309,SyncCodex!L:L,SyncCodex!M:M),""))</f>
        <v/>
      </c>
      <c r="F309" s="38" t="b">
        <v>0</v>
      </c>
      <c r="G309" s="38" t="b">
        <v>0</v>
      </c>
    </row>
    <row r="310">
      <c r="A310" s="45"/>
      <c r="B310" s="38"/>
      <c r="D310" s="38"/>
      <c r="E310" s="74" t="str">
        <f t="array" ref="E310">IF(D310="","",IFERROR(_xlfn.XLOOKUP(D310,SyncCodex!L:L,SyncCodex!M:M),""))</f>
        <v/>
      </c>
      <c r="F310" s="38" t="b">
        <v>0</v>
      </c>
      <c r="G310" s="38" t="b">
        <v>0</v>
      </c>
    </row>
    <row r="311">
      <c r="A311" s="45"/>
      <c r="B311" s="38"/>
      <c r="D311" s="38"/>
      <c r="E311" s="74" t="str">
        <f t="array" ref="E311">IF(D311="","",IFERROR(_xlfn.XLOOKUP(D311,SyncCodex!L:L,SyncCodex!M:M),""))</f>
        <v/>
      </c>
      <c r="F311" s="38" t="b">
        <v>0</v>
      </c>
      <c r="G311" s="38" t="b">
        <v>0</v>
      </c>
    </row>
    <row r="312">
      <c r="A312" s="45"/>
      <c r="B312" s="38"/>
      <c r="D312" s="38"/>
      <c r="E312" s="74" t="str">
        <f t="array" ref="E312">IF(D312="","",IFERROR(_xlfn.XLOOKUP(D312,SyncCodex!L:L,SyncCodex!M:M),""))</f>
        <v/>
      </c>
      <c r="F312" s="38" t="b">
        <v>0</v>
      </c>
      <c r="G312" s="38" t="b">
        <v>0</v>
      </c>
    </row>
    <row r="313">
      <c r="A313" s="45"/>
      <c r="B313" s="38"/>
      <c r="D313" s="38"/>
      <c r="E313" s="74" t="str">
        <f t="array" ref="E313">IF(D313="","",IFERROR(_xlfn.XLOOKUP(D313,SyncCodex!L:L,SyncCodex!M:M),""))</f>
        <v/>
      </c>
      <c r="F313" s="38" t="b">
        <v>0</v>
      </c>
      <c r="G313" s="38" t="b">
        <v>0</v>
      </c>
    </row>
    <row r="314">
      <c r="A314" s="45"/>
      <c r="B314" s="38"/>
      <c r="D314" s="38"/>
      <c r="E314" s="74" t="str">
        <f t="array" ref="E314">IF(D314="","",IFERROR(_xlfn.XLOOKUP(D314,SyncCodex!L:L,SyncCodex!M:M),""))</f>
        <v/>
      </c>
      <c r="F314" s="38" t="b">
        <v>0</v>
      </c>
      <c r="G314" s="38" t="b">
        <v>0</v>
      </c>
    </row>
    <row r="315">
      <c r="A315" s="45"/>
      <c r="B315" s="38"/>
      <c r="D315" s="38"/>
      <c r="E315" s="74" t="str">
        <f t="array" ref="E315">IF(D315="","",IFERROR(_xlfn.XLOOKUP(D315,SyncCodex!L:L,SyncCodex!M:M),""))</f>
        <v/>
      </c>
      <c r="F315" s="38" t="b">
        <v>0</v>
      </c>
      <c r="G315" s="38" t="b">
        <v>0</v>
      </c>
    </row>
    <row r="316">
      <c r="A316" s="45"/>
      <c r="B316" s="38"/>
      <c r="D316" s="38"/>
      <c r="E316" s="74" t="str">
        <f t="array" ref="E316">IF(D316="","",IFERROR(_xlfn.XLOOKUP(D316,SyncCodex!L:L,SyncCodex!M:M),""))</f>
        <v/>
      </c>
      <c r="F316" s="38" t="b">
        <v>0</v>
      </c>
      <c r="G316" s="38" t="b">
        <v>0</v>
      </c>
    </row>
    <row r="317">
      <c r="A317" s="45"/>
      <c r="B317" s="38"/>
      <c r="D317" s="38"/>
      <c r="E317" s="74" t="str">
        <f t="array" ref="E317">IF(D317="","",IFERROR(_xlfn.XLOOKUP(D317,SyncCodex!L:L,SyncCodex!M:M),""))</f>
        <v/>
      </c>
      <c r="F317" s="38" t="b">
        <v>0</v>
      </c>
      <c r="G317" s="38" t="b">
        <v>0</v>
      </c>
    </row>
    <row r="318">
      <c r="A318" s="45"/>
      <c r="B318" s="38"/>
      <c r="D318" s="38"/>
      <c r="E318" s="74" t="str">
        <f t="array" ref="E318">IF(D318="","",IFERROR(_xlfn.XLOOKUP(D318,SyncCodex!L:L,SyncCodex!M:M),""))</f>
        <v/>
      </c>
      <c r="F318" s="38" t="b">
        <v>0</v>
      </c>
      <c r="G318" s="38" t="b">
        <v>0</v>
      </c>
    </row>
    <row r="319">
      <c r="A319" s="45"/>
      <c r="B319" s="38"/>
      <c r="D319" s="38"/>
      <c r="E319" s="74" t="str">
        <f t="array" ref="E319">IF(D319="","",IFERROR(_xlfn.XLOOKUP(D319,SyncCodex!L:L,SyncCodex!M:M),""))</f>
        <v/>
      </c>
      <c r="F319" s="38" t="b">
        <v>0</v>
      </c>
      <c r="G319" s="38" t="b">
        <v>0</v>
      </c>
    </row>
    <row r="320">
      <c r="A320" s="45"/>
      <c r="B320" s="38"/>
      <c r="D320" s="38"/>
      <c r="E320" s="74" t="str">
        <f t="array" ref="E320">IF(D320="","",IFERROR(_xlfn.XLOOKUP(D320,SyncCodex!L:L,SyncCodex!M:M),""))</f>
        <v/>
      </c>
      <c r="F320" s="38" t="b">
        <v>0</v>
      </c>
      <c r="G320" s="38" t="b">
        <v>0</v>
      </c>
    </row>
    <row r="321">
      <c r="A321" s="45"/>
      <c r="B321" s="38"/>
      <c r="D321" s="38"/>
      <c r="E321" s="74" t="str">
        <f t="array" ref="E321">IF(D321="","",IFERROR(_xlfn.XLOOKUP(D321,SyncCodex!L:L,SyncCodex!M:M),""))</f>
        <v/>
      </c>
      <c r="F321" s="38" t="b">
        <v>0</v>
      </c>
      <c r="G321" s="38" t="b">
        <v>0</v>
      </c>
    </row>
    <row r="322">
      <c r="A322" s="45"/>
      <c r="B322" s="38"/>
      <c r="D322" s="38"/>
      <c r="E322" s="74" t="str">
        <f t="array" ref="E322">IF(D322="","",IFERROR(_xlfn.XLOOKUP(D322,SyncCodex!L:L,SyncCodex!M:M),""))</f>
        <v/>
      </c>
      <c r="F322" s="38" t="b">
        <v>0</v>
      </c>
      <c r="G322" s="38" t="b">
        <v>0</v>
      </c>
    </row>
    <row r="323">
      <c r="A323" s="45"/>
      <c r="B323" s="38"/>
      <c r="D323" s="38"/>
      <c r="E323" s="74" t="str">
        <f t="array" ref="E323">IF(D323="","",IFERROR(_xlfn.XLOOKUP(D323,SyncCodex!L:L,SyncCodex!M:M),""))</f>
        <v/>
      </c>
      <c r="F323" s="38" t="b">
        <v>0</v>
      </c>
      <c r="G323" s="38" t="b">
        <v>0</v>
      </c>
    </row>
    <row r="324">
      <c r="A324" s="45"/>
      <c r="B324" s="38"/>
      <c r="D324" s="38"/>
      <c r="E324" s="74" t="str">
        <f t="array" ref="E324">IF(D324="","",IFERROR(_xlfn.XLOOKUP(D324,SyncCodex!L:L,SyncCodex!M:M),""))</f>
        <v/>
      </c>
      <c r="F324" s="38" t="b">
        <v>0</v>
      </c>
      <c r="G324" s="38" t="b">
        <v>0</v>
      </c>
    </row>
    <row r="325">
      <c r="A325" s="45"/>
      <c r="B325" s="38"/>
      <c r="D325" s="38"/>
      <c r="E325" s="74" t="str">
        <f t="array" ref="E325">IF(D325="","",IFERROR(_xlfn.XLOOKUP(D325,SyncCodex!L:L,SyncCodex!M:M),""))</f>
        <v/>
      </c>
      <c r="F325" s="38" t="b">
        <v>0</v>
      </c>
      <c r="G325" s="38" t="b">
        <v>0</v>
      </c>
    </row>
    <row r="326">
      <c r="A326" s="45"/>
      <c r="B326" s="38"/>
      <c r="D326" s="38"/>
      <c r="E326" s="74" t="str">
        <f t="array" ref="E326">IF(D326="","",IFERROR(_xlfn.XLOOKUP(D326,SyncCodex!L:L,SyncCodex!M:M),""))</f>
        <v/>
      </c>
      <c r="F326" s="38" t="b">
        <v>0</v>
      </c>
      <c r="G326" s="38" t="b">
        <v>0</v>
      </c>
    </row>
    <row r="327">
      <c r="A327" s="45"/>
      <c r="B327" s="38"/>
      <c r="D327" s="38"/>
      <c r="E327" s="74" t="str">
        <f t="array" ref="E327">IF(D327="","",IFERROR(_xlfn.XLOOKUP(D327,SyncCodex!L:L,SyncCodex!M:M),""))</f>
        <v/>
      </c>
      <c r="F327" s="38" t="b">
        <v>0</v>
      </c>
      <c r="G327" s="38" t="b">
        <v>0</v>
      </c>
    </row>
    <row r="328">
      <c r="A328" s="45"/>
      <c r="B328" s="38"/>
      <c r="D328" s="38"/>
      <c r="E328" s="74" t="str">
        <f t="array" ref="E328">IF(D328="","",IFERROR(_xlfn.XLOOKUP(D328,SyncCodex!L:L,SyncCodex!M:M),""))</f>
        <v/>
      </c>
      <c r="F328" s="38" t="b">
        <v>0</v>
      </c>
      <c r="G328" s="38" t="b">
        <v>0</v>
      </c>
    </row>
    <row r="329">
      <c r="A329" s="45"/>
      <c r="B329" s="38"/>
      <c r="D329" s="38"/>
      <c r="E329" s="74" t="str">
        <f t="array" ref="E329">IF(D329="","",IFERROR(_xlfn.XLOOKUP(D329,SyncCodex!L:L,SyncCodex!M:M),""))</f>
        <v/>
      </c>
      <c r="F329" s="38" t="b">
        <v>0</v>
      </c>
      <c r="G329" s="38" t="b">
        <v>0</v>
      </c>
    </row>
    <row r="330">
      <c r="A330" s="45"/>
      <c r="B330" s="38"/>
      <c r="D330" s="38"/>
      <c r="E330" s="74" t="str">
        <f t="array" ref="E330">IF(D330="","",IFERROR(_xlfn.XLOOKUP(D330,SyncCodex!L:L,SyncCodex!M:M),""))</f>
        <v/>
      </c>
      <c r="F330" s="38" t="b">
        <v>0</v>
      </c>
      <c r="G330" s="38" t="b">
        <v>0</v>
      </c>
    </row>
    <row r="331">
      <c r="A331" s="45"/>
      <c r="B331" s="38"/>
      <c r="D331" s="38"/>
      <c r="E331" s="74" t="str">
        <f t="array" ref="E331">IF(D331="","",IFERROR(_xlfn.XLOOKUP(D331,SyncCodex!L:L,SyncCodex!M:M),""))</f>
        <v/>
      </c>
      <c r="F331" s="38" t="b">
        <v>0</v>
      </c>
      <c r="G331" s="38" t="b">
        <v>0</v>
      </c>
    </row>
    <row r="332">
      <c r="A332" s="45"/>
      <c r="B332" s="38"/>
      <c r="D332" s="38"/>
      <c r="E332" s="74" t="str">
        <f t="array" ref="E332">IF(D332="","",IFERROR(_xlfn.XLOOKUP(D332,SyncCodex!L:L,SyncCodex!M:M),""))</f>
        <v/>
      </c>
      <c r="F332" s="38" t="b">
        <v>0</v>
      </c>
      <c r="G332" s="38" t="b">
        <v>0</v>
      </c>
    </row>
    <row r="333">
      <c r="A333" s="45"/>
      <c r="B333" s="38"/>
      <c r="D333" s="38"/>
      <c r="E333" s="74" t="str">
        <f t="array" ref="E333">IF(D333="","",IFERROR(_xlfn.XLOOKUP(D333,SyncCodex!L:L,SyncCodex!M:M),""))</f>
        <v/>
      </c>
      <c r="F333" s="38" t="b">
        <v>0</v>
      </c>
      <c r="G333" s="38" t="b">
        <v>0</v>
      </c>
    </row>
    <row r="334">
      <c r="A334" s="45"/>
      <c r="B334" s="38"/>
      <c r="D334" s="38"/>
      <c r="E334" s="74" t="str">
        <f t="array" ref="E334">IF(D334="","",IFERROR(_xlfn.XLOOKUP(D334,SyncCodex!L:L,SyncCodex!M:M),""))</f>
        <v/>
      </c>
      <c r="F334" s="38" t="b">
        <v>0</v>
      </c>
      <c r="G334" s="38" t="b">
        <v>0</v>
      </c>
    </row>
    <row r="335">
      <c r="A335" s="45"/>
      <c r="B335" s="38"/>
      <c r="D335" s="38"/>
      <c r="E335" s="74" t="str">
        <f t="array" ref="E335">IF(D335="","",IFERROR(_xlfn.XLOOKUP(D335,SyncCodex!L:L,SyncCodex!M:M),""))</f>
        <v/>
      </c>
      <c r="F335" s="38" t="b">
        <v>0</v>
      </c>
      <c r="G335" s="38" t="b">
        <v>0</v>
      </c>
    </row>
    <row r="336">
      <c r="A336" s="45"/>
      <c r="B336" s="38"/>
      <c r="D336" s="38"/>
      <c r="E336" s="74" t="str">
        <f t="array" ref="E336">IF(D336="","",IFERROR(_xlfn.XLOOKUP(D336,SyncCodex!L:L,SyncCodex!M:M),""))</f>
        <v/>
      </c>
      <c r="F336" s="38" t="b">
        <v>0</v>
      </c>
      <c r="G336" s="38" t="b">
        <v>0</v>
      </c>
    </row>
    <row r="337">
      <c r="A337" s="45"/>
      <c r="B337" s="38"/>
      <c r="D337" s="38"/>
      <c r="E337" s="74" t="str">
        <f t="array" ref="E337">IF(D337="","",IFERROR(_xlfn.XLOOKUP(D337,SyncCodex!L:L,SyncCodex!M:M),""))</f>
        <v/>
      </c>
      <c r="F337" s="38" t="b">
        <v>0</v>
      </c>
      <c r="G337" s="38" t="b">
        <v>0</v>
      </c>
    </row>
    <row r="338">
      <c r="A338" s="45"/>
      <c r="B338" s="38"/>
      <c r="D338" s="38"/>
      <c r="E338" s="74" t="str">
        <f t="array" ref="E338">IF(D338="","",IFERROR(_xlfn.XLOOKUP(D338,SyncCodex!L:L,SyncCodex!M:M),""))</f>
        <v/>
      </c>
      <c r="F338" s="38" t="b">
        <v>0</v>
      </c>
      <c r="G338" s="38" t="b">
        <v>0</v>
      </c>
    </row>
    <row r="339">
      <c r="A339" s="45"/>
      <c r="B339" s="38"/>
      <c r="D339" s="38"/>
      <c r="E339" s="74" t="str">
        <f t="array" ref="E339">IF(D339="","",IFERROR(_xlfn.XLOOKUP(D339,SyncCodex!L:L,SyncCodex!M:M),""))</f>
        <v/>
      </c>
      <c r="F339" s="38" t="b">
        <v>0</v>
      </c>
      <c r="G339" s="38" t="b">
        <v>0</v>
      </c>
    </row>
    <row r="340">
      <c r="A340" s="45"/>
      <c r="B340" s="38"/>
      <c r="D340" s="38"/>
      <c r="E340" s="74" t="str">
        <f t="array" ref="E340">IF(D340="","",IFERROR(_xlfn.XLOOKUP(D340,SyncCodex!L:L,SyncCodex!M:M),""))</f>
        <v/>
      </c>
      <c r="F340" s="38" t="b">
        <v>0</v>
      </c>
      <c r="G340" s="38" t="b">
        <v>0</v>
      </c>
    </row>
    <row r="341">
      <c r="A341" s="45"/>
      <c r="B341" s="38"/>
      <c r="D341" s="38"/>
      <c r="E341" s="74" t="str">
        <f t="array" ref="E341">IF(D341="","",IFERROR(_xlfn.XLOOKUP(D341,SyncCodex!L:L,SyncCodex!M:M),""))</f>
        <v/>
      </c>
      <c r="F341" s="38" t="b">
        <v>0</v>
      </c>
      <c r="G341" s="38" t="b">
        <v>0</v>
      </c>
    </row>
    <row r="342">
      <c r="A342" s="45"/>
      <c r="B342" s="38"/>
      <c r="D342" s="38"/>
      <c r="E342" s="74" t="str">
        <f t="array" ref="E342">IF(D342="","",IFERROR(_xlfn.XLOOKUP(D342,SyncCodex!L:L,SyncCodex!M:M),""))</f>
        <v/>
      </c>
      <c r="F342" s="38" t="b">
        <v>0</v>
      </c>
      <c r="G342" s="38" t="b">
        <v>0</v>
      </c>
    </row>
    <row r="343">
      <c r="A343" s="45"/>
      <c r="B343" s="38"/>
      <c r="D343" s="38"/>
      <c r="E343" s="74" t="str">
        <f t="array" ref="E343">IF(D343="","",IFERROR(_xlfn.XLOOKUP(D343,SyncCodex!L:L,SyncCodex!M:M),""))</f>
        <v/>
      </c>
      <c r="F343" s="38" t="b">
        <v>0</v>
      </c>
      <c r="G343" s="38" t="b">
        <v>0</v>
      </c>
    </row>
    <row r="344">
      <c r="A344" s="45"/>
      <c r="B344" s="38"/>
      <c r="D344" s="38"/>
      <c r="E344" s="74" t="str">
        <f t="array" ref="E344">IF(D344="","",IFERROR(_xlfn.XLOOKUP(D344,SyncCodex!L:L,SyncCodex!M:M),""))</f>
        <v/>
      </c>
      <c r="F344" s="38" t="b">
        <v>0</v>
      </c>
      <c r="G344" s="38" t="b">
        <v>0</v>
      </c>
    </row>
    <row r="345">
      <c r="A345" s="45"/>
      <c r="B345" s="38"/>
      <c r="D345" s="38"/>
      <c r="E345" s="74" t="str">
        <f t="array" ref="E345">IF(D345="","",IFERROR(_xlfn.XLOOKUP(D345,SyncCodex!L:L,SyncCodex!M:M),""))</f>
        <v/>
      </c>
      <c r="F345" s="38" t="b">
        <v>0</v>
      </c>
      <c r="G345" s="38" t="b">
        <v>0</v>
      </c>
    </row>
    <row r="346">
      <c r="A346" s="45"/>
      <c r="B346" s="38"/>
      <c r="D346" s="38"/>
      <c r="E346" s="74" t="str">
        <f t="array" ref="E346">IF(D346="","",IFERROR(_xlfn.XLOOKUP(D346,SyncCodex!L:L,SyncCodex!M:M),""))</f>
        <v/>
      </c>
      <c r="F346" s="38" t="b">
        <v>0</v>
      </c>
      <c r="G346" s="38" t="b">
        <v>0</v>
      </c>
    </row>
    <row r="347">
      <c r="A347" s="45"/>
      <c r="B347" s="38"/>
      <c r="D347" s="38"/>
      <c r="E347" s="74" t="str">
        <f t="array" ref="E347">IF(D347="","",IFERROR(_xlfn.XLOOKUP(D347,SyncCodex!L:L,SyncCodex!M:M),""))</f>
        <v/>
      </c>
      <c r="F347" s="38" t="b">
        <v>0</v>
      </c>
      <c r="G347" s="38" t="b">
        <v>0</v>
      </c>
    </row>
    <row r="348">
      <c r="A348" s="45"/>
      <c r="B348" s="38"/>
      <c r="D348" s="38"/>
      <c r="E348" s="74" t="str">
        <f t="array" ref="E348">IF(D348="","",IFERROR(_xlfn.XLOOKUP(D348,SyncCodex!L:L,SyncCodex!M:M),""))</f>
        <v/>
      </c>
      <c r="F348" s="38" t="b">
        <v>0</v>
      </c>
      <c r="G348" s="38" t="b">
        <v>0</v>
      </c>
    </row>
    <row r="349">
      <c r="A349" s="45"/>
      <c r="B349" s="38"/>
      <c r="D349" s="38"/>
      <c r="E349" s="74" t="str">
        <f t="array" ref="E349">IF(D349="","",IFERROR(_xlfn.XLOOKUP(D349,SyncCodex!L:L,SyncCodex!M:M),""))</f>
        <v/>
      </c>
      <c r="F349" s="38" t="b">
        <v>0</v>
      </c>
      <c r="G349" s="38" t="b">
        <v>0</v>
      </c>
    </row>
    <row r="350">
      <c r="A350" s="45"/>
      <c r="B350" s="38"/>
      <c r="D350" s="38"/>
      <c r="E350" s="74" t="str">
        <f t="array" ref="E350">IF(D350="","",IFERROR(_xlfn.XLOOKUP(D350,SyncCodex!L:L,SyncCodex!M:M),""))</f>
        <v/>
      </c>
      <c r="F350" s="38" t="b">
        <v>0</v>
      </c>
      <c r="G350" s="38" t="b">
        <v>0</v>
      </c>
    </row>
    <row r="351">
      <c r="A351" s="45"/>
      <c r="B351" s="38"/>
      <c r="D351" s="38"/>
      <c r="E351" s="74" t="str">
        <f t="array" ref="E351">IF(D351="","",IFERROR(_xlfn.XLOOKUP(D351,SyncCodex!L:L,SyncCodex!M:M),""))</f>
        <v/>
      </c>
      <c r="F351" s="38" t="b">
        <v>0</v>
      </c>
      <c r="G351" s="38" t="b">
        <v>0</v>
      </c>
    </row>
    <row r="352">
      <c r="A352" s="45"/>
      <c r="B352" s="38"/>
      <c r="D352" s="38"/>
      <c r="E352" s="74" t="str">
        <f t="array" ref="E352">IF(D352="","",IFERROR(_xlfn.XLOOKUP(D352,SyncCodex!L:L,SyncCodex!M:M),""))</f>
        <v/>
      </c>
      <c r="F352" s="38" t="b">
        <v>0</v>
      </c>
      <c r="G352" s="38" t="b">
        <v>0</v>
      </c>
    </row>
    <row r="353">
      <c r="A353" s="45"/>
      <c r="B353" s="38"/>
      <c r="D353" s="38"/>
      <c r="E353" s="74" t="str">
        <f t="array" ref="E353">IF(D353="","",IFERROR(_xlfn.XLOOKUP(D353,SyncCodex!L:L,SyncCodex!M:M),""))</f>
        <v/>
      </c>
      <c r="F353" s="38" t="b">
        <v>0</v>
      </c>
      <c r="G353" s="38" t="b">
        <v>0</v>
      </c>
    </row>
    <row r="354">
      <c r="A354" s="45"/>
      <c r="B354" s="38"/>
      <c r="D354" s="38"/>
      <c r="E354" s="74" t="str">
        <f t="array" ref="E354">IF(D354="","",IFERROR(_xlfn.XLOOKUP(D354,SyncCodex!L:L,SyncCodex!M:M),""))</f>
        <v/>
      </c>
      <c r="F354" s="38" t="b">
        <v>0</v>
      </c>
      <c r="G354" s="38" t="b">
        <v>0</v>
      </c>
    </row>
    <row r="355">
      <c r="A355" s="45"/>
      <c r="B355" s="38"/>
      <c r="D355" s="38"/>
      <c r="E355" s="74" t="str">
        <f t="array" ref="E355">IF(D355="","",IFERROR(_xlfn.XLOOKUP(D355,SyncCodex!L:L,SyncCodex!M:M),""))</f>
        <v/>
      </c>
      <c r="F355" s="38" t="b">
        <v>0</v>
      </c>
      <c r="G355" s="38" t="b">
        <v>0</v>
      </c>
    </row>
    <row r="356">
      <c r="A356" s="45"/>
      <c r="B356" s="38"/>
      <c r="D356" s="38"/>
      <c r="E356" s="74" t="str">
        <f t="array" ref="E356">IF(D356="","",IFERROR(_xlfn.XLOOKUP(D356,SyncCodex!L:L,SyncCodex!M:M),""))</f>
        <v/>
      </c>
      <c r="F356" s="38" t="b">
        <v>0</v>
      </c>
      <c r="G356" s="38" t="b">
        <v>0</v>
      </c>
    </row>
    <row r="357">
      <c r="A357" s="45"/>
      <c r="B357" s="38"/>
      <c r="D357" s="38"/>
      <c r="E357" s="74" t="str">
        <f t="array" ref="E357">IF(D357="","",IFERROR(_xlfn.XLOOKUP(D357,SyncCodex!L:L,SyncCodex!M:M),""))</f>
        <v/>
      </c>
      <c r="F357" s="38" t="b">
        <v>0</v>
      </c>
      <c r="G357" s="38" t="b">
        <v>0</v>
      </c>
    </row>
    <row r="358">
      <c r="A358" s="45"/>
      <c r="B358" s="38"/>
      <c r="D358" s="38"/>
      <c r="E358" s="74" t="str">
        <f t="array" ref="E358">IF(D358="","",IFERROR(_xlfn.XLOOKUP(D358,SyncCodex!L:L,SyncCodex!M:M),""))</f>
        <v/>
      </c>
      <c r="F358" s="38" t="b">
        <v>0</v>
      </c>
      <c r="G358" s="38" t="b">
        <v>0</v>
      </c>
    </row>
    <row r="359">
      <c r="A359" s="45"/>
      <c r="B359" s="38"/>
      <c r="D359" s="38"/>
      <c r="E359" s="74" t="str">
        <f t="array" ref="E359">IF(D359="","",IFERROR(_xlfn.XLOOKUP(D359,SyncCodex!L:L,SyncCodex!M:M),""))</f>
        <v/>
      </c>
      <c r="F359" s="38" t="b">
        <v>0</v>
      </c>
      <c r="G359" s="38" t="b">
        <v>0</v>
      </c>
    </row>
    <row r="360">
      <c r="A360" s="45"/>
      <c r="B360" s="38"/>
      <c r="D360" s="38"/>
      <c r="E360" s="74" t="str">
        <f t="array" ref="E360">IF(D360="","",IFERROR(_xlfn.XLOOKUP(D360,SyncCodex!L:L,SyncCodex!M:M),""))</f>
        <v/>
      </c>
      <c r="F360" s="38" t="b">
        <v>0</v>
      </c>
      <c r="G360" s="38" t="b">
        <v>0</v>
      </c>
    </row>
    <row r="361">
      <c r="A361" s="45"/>
      <c r="B361" s="38"/>
      <c r="D361" s="38"/>
      <c r="E361" s="74" t="str">
        <f t="array" ref="E361">IF(D361="","",IFERROR(_xlfn.XLOOKUP(D361,SyncCodex!L:L,SyncCodex!M:M),""))</f>
        <v/>
      </c>
      <c r="F361" s="38" t="b">
        <v>0</v>
      </c>
      <c r="G361" s="38" t="b">
        <v>0</v>
      </c>
    </row>
    <row r="362">
      <c r="A362" s="45"/>
      <c r="B362" s="38"/>
      <c r="D362" s="38"/>
      <c r="E362" s="74" t="str">
        <f t="array" ref="E362">IF(D362="","",IFERROR(_xlfn.XLOOKUP(D362,SyncCodex!L:L,SyncCodex!M:M),""))</f>
        <v/>
      </c>
      <c r="F362" s="38" t="b">
        <v>0</v>
      </c>
      <c r="G362" s="38" t="b">
        <v>0</v>
      </c>
    </row>
    <row r="363">
      <c r="A363" s="45"/>
      <c r="B363" s="38"/>
      <c r="D363" s="38"/>
      <c r="E363" s="74" t="str">
        <f t="array" ref="E363">IF(D363="","",IFERROR(_xlfn.XLOOKUP(D363,SyncCodex!L:L,SyncCodex!M:M),""))</f>
        <v/>
      </c>
      <c r="F363" s="38" t="b">
        <v>0</v>
      </c>
      <c r="G363" s="38" t="b">
        <v>0</v>
      </c>
    </row>
    <row r="364">
      <c r="A364" s="45"/>
      <c r="B364" s="38"/>
      <c r="D364" s="38"/>
      <c r="E364" s="74" t="str">
        <f t="array" ref="E364">IF(D364="","",IFERROR(_xlfn.XLOOKUP(D364,SyncCodex!L:L,SyncCodex!M:M),""))</f>
        <v/>
      </c>
      <c r="F364" s="38" t="b">
        <v>0</v>
      </c>
      <c r="G364" s="38" t="b">
        <v>0</v>
      </c>
    </row>
    <row r="365">
      <c r="A365" s="45"/>
      <c r="B365" s="38"/>
      <c r="D365" s="38"/>
      <c r="E365" s="74" t="str">
        <f t="array" ref="E365">IF(D365="","",IFERROR(_xlfn.XLOOKUP(D365,SyncCodex!L:L,SyncCodex!M:M),""))</f>
        <v/>
      </c>
      <c r="F365" s="38" t="b">
        <v>0</v>
      </c>
      <c r="G365" s="38" t="b">
        <v>0</v>
      </c>
    </row>
    <row r="366">
      <c r="A366" s="45"/>
      <c r="B366" s="38"/>
      <c r="D366" s="38"/>
      <c r="E366" s="74" t="str">
        <f t="array" ref="E366">IF(D366="","",IFERROR(_xlfn.XLOOKUP(D366,SyncCodex!L:L,SyncCodex!M:M),""))</f>
        <v/>
      </c>
      <c r="F366" s="38" t="b">
        <v>0</v>
      </c>
      <c r="G366" s="38" t="b">
        <v>0</v>
      </c>
    </row>
    <row r="367">
      <c r="A367" s="45"/>
      <c r="B367" s="38"/>
      <c r="D367" s="38"/>
      <c r="E367" s="74" t="str">
        <f t="array" ref="E367">IF(D367="","",IFERROR(_xlfn.XLOOKUP(D367,SyncCodex!L:L,SyncCodex!M:M),""))</f>
        <v/>
      </c>
      <c r="F367" s="38" t="b">
        <v>0</v>
      </c>
      <c r="G367" s="38" t="b">
        <v>0</v>
      </c>
    </row>
    <row r="368">
      <c r="A368" s="45"/>
      <c r="B368" s="38"/>
      <c r="D368" s="38"/>
      <c r="E368" s="74" t="str">
        <f t="array" ref="E368">IF(D368="","",IFERROR(_xlfn.XLOOKUP(D368,SyncCodex!L:L,SyncCodex!M:M),""))</f>
        <v/>
      </c>
      <c r="F368" s="38" t="b">
        <v>0</v>
      </c>
      <c r="G368" s="38" t="b">
        <v>0</v>
      </c>
    </row>
    <row r="369">
      <c r="A369" s="45"/>
      <c r="B369" s="38"/>
      <c r="D369" s="38"/>
      <c r="E369" s="74" t="str">
        <f t="array" ref="E369">IF(D369="","",IFERROR(_xlfn.XLOOKUP(D369,SyncCodex!L:L,SyncCodex!M:M),""))</f>
        <v/>
      </c>
      <c r="F369" s="38" t="b">
        <v>0</v>
      </c>
      <c r="G369" s="38" t="b">
        <v>0</v>
      </c>
    </row>
    <row r="370">
      <c r="A370" s="45"/>
      <c r="B370" s="38"/>
      <c r="D370" s="38"/>
      <c r="E370" s="74" t="str">
        <f t="array" ref="E370">IF(D370="","",IFERROR(_xlfn.XLOOKUP(D370,SyncCodex!L:L,SyncCodex!M:M),""))</f>
        <v/>
      </c>
      <c r="F370" s="38" t="b">
        <v>0</v>
      </c>
      <c r="G370" s="38" t="b">
        <v>0</v>
      </c>
    </row>
    <row r="371">
      <c r="A371" s="45"/>
      <c r="B371" s="38"/>
      <c r="D371" s="38"/>
      <c r="E371" s="74" t="str">
        <f t="array" ref="E371">IF(D371="","",IFERROR(_xlfn.XLOOKUP(D371,SyncCodex!L:L,SyncCodex!M:M),""))</f>
        <v/>
      </c>
      <c r="F371" s="38" t="b">
        <v>0</v>
      </c>
      <c r="G371" s="38" t="b">
        <v>0</v>
      </c>
    </row>
    <row r="372">
      <c r="A372" s="45"/>
      <c r="B372" s="38"/>
      <c r="D372" s="38"/>
      <c r="E372" s="74" t="str">
        <f t="array" ref="E372">IF(D372="","",IFERROR(_xlfn.XLOOKUP(D372,SyncCodex!L:L,SyncCodex!M:M),""))</f>
        <v/>
      </c>
      <c r="F372" s="38" t="b">
        <v>0</v>
      </c>
      <c r="G372" s="38" t="b">
        <v>0</v>
      </c>
    </row>
    <row r="373">
      <c r="A373" s="45"/>
      <c r="B373" s="38"/>
      <c r="D373" s="38"/>
      <c r="E373" s="74" t="str">
        <f t="array" ref="E373">IF(D373="","",IFERROR(_xlfn.XLOOKUP(D373,SyncCodex!L:L,SyncCodex!M:M),""))</f>
        <v/>
      </c>
      <c r="F373" s="38" t="b">
        <v>0</v>
      </c>
      <c r="G373" s="38" t="b">
        <v>0</v>
      </c>
    </row>
    <row r="374">
      <c r="A374" s="45"/>
      <c r="B374" s="38"/>
      <c r="D374" s="38"/>
      <c r="E374" s="74" t="str">
        <f t="array" ref="E374">IF(D374="","",IFERROR(_xlfn.XLOOKUP(D374,SyncCodex!L:L,SyncCodex!M:M),""))</f>
        <v/>
      </c>
      <c r="F374" s="38" t="b">
        <v>0</v>
      </c>
      <c r="G374" s="38" t="b">
        <v>0</v>
      </c>
    </row>
    <row r="375">
      <c r="A375" s="45"/>
      <c r="B375" s="38"/>
      <c r="D375" s="38"/>
      <c r="E375" s="74" t="str">
        <f t="array" ref="E375">IF(D375="","",IFERROR(_xlfn.XLOOKUP(D375,SyncCodex!L:L,SyncCodex!M:M),""))</f>
        <v/>
      </c>
      <c r="F375" s="38" t="b">
        <v>0</v>
      </c>
      <c r="G375" s="38" t="b">
        <v>0</v>
      </c>
    </row>
    <row r="376">
      <c r="A376" s="45"/>
      <c r="B376" s="38"/>
      <c r="D376" s="38"/>
      <c r="E376" s="74" t="str">
        <f t="array" ref="E376">IF(D376="","",IFERROR(_xlfn.XLOOKUP(D376,SyncCodex!L:L,SyncCodex!M:M),""))</f>
        <v/>
      </c>
      <c r="F376" s="38" t="b">
        <v>0</v>
      </c>
      <c r="G376" s="38" t="b">
        <v>0</v>
      </c>
    </row>
    <row r="377">
      <c r="A377" s="45"/>
      <c r="B377" s="38"/>
      <c r="D377" s="38"/>
      <c r="E377" s="74" t="str">
        <f t="array" ref="E377">IF(D377="","",IFERROR(_xlfn.XLOOKUP(D377,SyncCodex!L:L,SyncCodex!M:M),""))</f>
        <v/>
      </c>
      <c r="F377" s="38" t="b">
        <v>0</v>
      </c>
      <c r="G377" s="38" t="b">
        <v>0</v>
      </c>
    </row>
    <row r="378">
      <c r="A378" s="45"/>
      <c r="B378" s="38"/>
      <c r="D378" s="38"/>
      <c r="E378" s="74" t="str">
        <f t="array" ref="E378">IF(D378="","",IFERROR(_xlfn.XLOOKUP(D378,SyncCodex!L:L,SyncCodex!M:M),""))</f>
        <v/>
      </c>
      <c r="F378" s="38" t="b">
        <v>0</v>
      </c>
      <c r="G378" s="38" t="b">
        <v>0</v>
      </c>
    </row>
    <row r="379">
      <c r="A379" s="45"/>
      <c r="B379" s="38"/>
      <c r="D379" s="38"/>
      <c r="E379" s="74" t="str">
        <f t="array" ref="E379">IF(D379="","",IFERROR(_xlfn.XLOOKUP(D379,SyncCodex!L:L,SyncCodex!M:M),""))</f>
        <v/>
      </c>
      <c r="F379" s="38" t="b">
        <v>0</v>
      </c>
      <c r="G379" s="38" t="b">
        <v>0</v>
      </c>
    </row>
    <row r="380">
      <c r="A380" s="45"/>
      <c r="B380" s="38"/>
      <c r="D380" s="38"/>
      <c r="E380" s="74" t="str">
        <f t="array" ref="E380">IF(D380="","",IFERROR(_xlfn.XLOOKUP(D380,SyncCodex!L:L,SyncCodex!M:M),""))</f>
        <v/>
      </c>
      <c r="F380" s="38" t="b">
        <v>0</v>
      </c>
      <c r="G380" s="38" t="b">
        <v>0</v>
      </c>
    </row>
    <row r="381">
      <c r="A381" s="45"/>
      <c r="B381" s="38"/>
      <c r="D381" s="38"/>
      <c r="E381" s="74" t="str">
        <f t="array" ref="E381">IF(D381="","",IFERROR(_xlfn.XLOOKUP(D381,SyncCodex!L:L,SyncCodex!M:M),""))</f>
        <v/>
      </c>
      <c r="F381" s="38" t="b">
        <v>0</v>
      </c>
      <c r="G381" s="38" t="b">
        <v>0</v>
      </c>
    </row>
    <row r="382">
      <c r="A382" s="45"/>
      <c r="B382" s="38"/>
      <c r="D382" s="38"/>
      <c r="E382" s="74" t="str">
        <f t="array" ref="E382">IF(D382="","",IFERROR(_xlfn.XLOOKUP(D382,SyncCodex!L:L,SyncCodex!M:M),""))</f>
        <v/>
      </c>
      <c r="F382" s="38" t="b">
        <v>0</v>
      </c>
      <c r="G382" s="38" t="b">
        <v>0</v>
      </c>
    </row>
    <row r="383">
      <c r="A383" s="45"/>
      <c r="B383" s="38"/>
      <c r="D383" s="38"/>
      <c r="E383" s="74" t="str">
        <f t="array" ref="E383">IF(D383="","",IFERROR(_xlfn.XLOOKUP(D383,SyncCodex!L:L,SyncCodex!M:M),""))</f>
        <v/>
      </c>
      <c r="F383" s="38" t="b">
        <v>0</v>
      </c>
      <c r="G383" s="38" t="b">
        <v>0</v>
      </c>
    </row>
    <row r="384">
      <c r="A384" s="45"/>
      <c r="B384" s="38"/>
      <c r="D384" s="38"/>
      <c r="E384" s="74" t="str">
        <f t="array" ref="E384">IF(D384="","",IFERROR(_xlfn.XLOOKUP(D384,SyncCodex!L:L,SyncCodex!M:M),""))</f>
        <v/>
      </c>
      <c r="F384" s="38" t="b">
        <v>0</v>
      </c>
      <c r="G384" s="38" t="b">
        <v>0</v>
      </c>
    </row>
    <row r="385">
      <c r="A385" s="45"/>
      <c r="B385" s="38"/>
      <c r="D385" s="38"/>
      <c r="E385" s="74" t="str">
        <f t="array" ref="E385">IF(D385="","",IFERROR(_xlfn.XLOOKUP(D385,SyncCodex!L:L,SyncCodex!M:M),""))</f>
        <v/>
      </c>
      <c r="F385" s="38" t="b">
        <v>0</v>
      </c>
      <c r="G385" s="38" t="b">
        <v>0</v>
      </c>
    </row>
    <row r="386">
      <c r="A386" s="45"/>
      <c r="B386" s="38"/>
      <c r="D386" s="38"/>
      <c r="E386" s="74" t="str">
        <f t="array" ref="E386">IF(D386="","",IFERROR(_xlfn.XLOOKUP(D386,SyncCodex!L:L,SyncCodex!M:M),""))</f>
        <v/>
      </c>
      <c r="F386" s="38" t="b">
        <v>0</v>
      </c>
      <c r="G386" s="38" t="b">
        <v>0</v>
      </c>
    </row>
    <row r="387">
      <c r="A387" s="45"/>
      <c r="B387" s="38"/>
      <c r="D387" s="38"/>
      <c r="E387" s="74" t="str">
        <f t="array" ref="E387">IF(D387="","",IFERROR(_xlfn.XLOOKUP(D387,SyncCodex!L:L,SyncCodex!M:M),""))</f>
        <v/>
      </c>
      <c r="F387" s="38" t="b">
        <v>0</v>
      </c>
      <c r="G387" s="38" t="b">
        <v>0</v>
      </c>
    </row>
    <row r="388">
      <c r="A388" s="45"/>
      <c r="B388" s="38"/>
      <c r="D388" s="38"/>
      <c r="E388" s="74" t="str">
        <f t="array" ref="E388">IF(D388="","",IFERROR(_xlfn.XLOOKUP(D388,SyncCodex!L:L,SyncCodex!M:M),""))</f>
        <v/>
      </c>
      <c r="F388" s="38" t="b">
        <v>0</v>
      </c>
      <c r="G388" s="38" t="b">
        <v>0</v>
      </c>
    </row>
    <row r="389">
      <c r="A389" s="45"/>
      <c r="B389" s="38"/>
      <c r="D389" s="38"/>
      <c r="E389" s="74" t="str">
        <f t="array" ref="E389">IF(D389="","",IFERROR(_xlfn.XLOOKUP(D389,SyncCodex!L:L,SyncCodex!M:M),""))</f>
        <v/>
      </c>
      <c r="F389" s="38" t="b">
        <v>0</v>
      </c>
      <c r="G389" s="38" t="b">
        <v>0</v>
      </c>
    </row>
    <row r="390">
      <c r="A390" s="45"/>
      <c r="B390" s="38"/>
      <c r="D390" s="38"/>
      <c r="E390" s="74" t="str">
        <f t="array" ref="E390">IF(D390="","",IFERROR(_xlfn.XLOOKUP(D390,SyncCodex!L:L,SyncCodex!M:M),""))</f>
        <v/>
      </c>
      <c r="F390" s="38" t="b">
        <v>0</v>
      </c>
      <c r="G390" s="38" t="b">
        <v>0</v>
      </c>
    </row>
    <row r="391">
      <c r="A391" s="45"/>
      <c r="B391" s="38"/>
      <c r="D391" s="38"/>
      <c r="E391" s="74" t="str">
        <f t="array" ref="E391">IF(D391="","",IFERROR(_xlfn.XLOOKUP(D391,SyncCodex!L:L,SyncCodex!M:M),""))</f>
        <v/>
      </c>
      <c r="F391" s="38" t="b">
        <v>0</v>
      </c>
      <c r="G391" s="38" t="b">
        <v>0</v>
      </c>
    </row>
    <row r="392">
      <c r="A392" s="45"/>
      <c r="B392" s="38"/>
      <c r="D392" s="38"/>
      <c r="E392" s="74" t="str">
        <f t="array" ref="E392">IF(D392="","",IFERROR(_xlfn.XLOOKUP(D392,SyncCodex!L:L,SyncCodex!M:M),""))</f>
        <v/>
      </c>
      <c r="F392" s="38" t="b">
        <v>0</v>
      </c>
      <c r="G392" s="38" t="b">
        <v>0</v>
      </c>
    </row>
    <row r="393">
      <c r="A393" s="45"/>
      <c r="B393" s="38"/>
      <c r="D393" s="38"/>
      <c r="E393" s="74" t="str">
        <f t="array" ref="E393">IF(D393="","",IFERROR(_xlfn.XLOOKUP(D393,SyncCodex!L:L,SyncCodex!M:M),""))</f>
        <v/>
      </c>
      <c r="F393" s="38" t="b">
        <v>0</v>
      </c>
      <c r="G393" s="38" t="b">
        <v>0</v>
      </c>
    </row>
    <row r="394">
      <c r="A394" s="45"/>
      <c r="B394" s="38"/>
      <c r="D394" s="38"/>
      <c r="E394" s="74" t="str">
        <f t="array" ref="E394">IF(D394="","",IFERROR(_xlfn.XLOOKUP(D394,SyncCodex!L:L,SyncCodex!M:M),""))</f>
        <v/>
      </c>
      <c r="F394" s="38" t="b">
        <v>0</v>
      </c>
      <c r="G394" s="38" t="b">
        <v>0</v>
      </c>
    </row>
    <row r="395">
      <c r="A395" s="45"/>
      <c r="B395" s="38"/>
      <c r="D395" s="38"/>
      <c r="E395" s="74" t="str">
        <f t="array" ref="E395">IF(D395="","",IFERROR(_xlfn.XLOOKUP(D395,SyncCodex!L:L,SyncCodex!M:M),""))</f>
        <v/>
      </c>
      <c r="F395" s="38" t="b">
        <v>0</v>
      </c>
      <c r="G395" s="38" t="b">
        <v>0</v>
      </c>
    </row>
    <row r="396">
      <c r="A396" s="45"/>
      <c r="B396" s="38"/>
      <c r="D396" s="38"/>
      <c r="E396" s="74" t="str">
        <f t="array" ref="E396">IF(D396="","",IFERROR(_xlfn.XLOOKUP(D396,SyncCodex!L:L,SyncCodex!M:M),""))</f>
        <v/>
      </c>
      <c r="F396" s="38" t="b">
        <v>0</v>
      </c>
      <c r="G396" s="38" t="b">
        <v>0</v>
      </c>
    </row>
    <row r="397">
      <c r="A397" s="45"/>
      <c r="B397" s="38"/>
      <c r="D397" s="38"/>
      <c r="E397" s="74" t="str">
        <f t="array" ref="E397">IF(D397="","",IFERROR(_xlfn.XLOOKUP(D397,SyncCodex!L:L,SyncCodex!M:M),""))</f>
        <v/>
      </c>
      <c r="F397" s="38" t="b">
        <v>0</v>
      </c>
      <c r="G397" s="38" t="b">
        <v>0</v>
      </c>
    </row>
    <row r="398">
      <c r="A398" s="45"/>
      <c r="B398" s="38"/>
      <c r="D398" s="38"/>
      <c r="E398" s="74" t="str">
        <f t="array" ref="E398">IF(D398="","",IFERROR(_xlfn.XLOOKUP(D398,SyncCodex!L:L,SyncCodex!M:M),""))</f>
        <v/>
      </c>
      <c r="F398" s="38" t="b">
        <v>0</v>
      </c>
      <c r="G398" s="38" t="b">
        <v>0</v>
      </c>
    </row>
    <row r="399">
      <c r="A399" s="45"/>
      <c r="B399" s="38"/>
      <c r="D399" s="38"/>
      <c r="E399" s="74" t="str">
        <f t="array" ref="E399">IF(D399="","",IFERROR(_xlfn.XLOOKUP(D399,SyncCodex!L:L,SyncCodex!M:M),""))</f>
        <v/>
      </c>
      <c r="F399" s="38" t="b">
        <v>0</v>
      </c>
      <c r="G399" s="38" t="b">
        <v>0</v>
      </c>
    </row>
    <row r="400">
      <c r="A400" s="45"/>
      <c r="B400" s="38"/>
      <c r="D400" s="38"/>
      <c r="E400" s="74" t="str">
        <f t="array" ref="E400">IF(D400="","",IFERROR(_xlfn.XLOOKUP(D400,SyncCodex!L:L,SyncCodex!M:M),""))</f>
        <v/>
      </c>
      <c r="F400" s="38" t="b">
        <v>0</v>
      </c>
      <c r="G400" s="38" t="b">
        <v>0</v>
      </c>
    </row>
    <row r="401">
      <c r="A401" s="45"/>
      <c r="B401" s="38"/>
      <c r="D401" s="38"/>
      <c r="E401" s="74" t="str">
        <f t="array" ref="E401">IF(D401="","",IFERROR(_xlfn.XLOOKUP(D401,SyncCodex!L:L,SyncCodex!M:M),""))</f>
        <v/>
      </c>
      <c r="F401" s="38" t="b">
        <v>0</v>
      </c>
      <c r="G401" s="38" t="b">
        <v>0</v>
      </c>
    </row>
    <row r="402">
      <c r="A402" s="45"/>
      <c r="B402" s="38"/>
      <c r="D402" s="38"/>
      <c r="E402" s="74" t="str">
        <f t="array" ref="E402">IF(D402="","",IFERROR(_xlfn.XLOOKUP(D402,SyncCodex!L:L,SyncCodex!M:M),""))</f>
        <v/>
      </c>
      <c r="F402" s="38" t="b">
        <v>0</v>
      </c>
      <c r="G402" s="38" t="b">
        <v>0</v>
      </c>
    </row>
    <row r="403">
      <c r="A403" s="45"/>
      <c r="B403" s="38"/>
      <c r="D403" s="38"/>
      <c r="E403" s="74" t="str">
        <f t="array" ref="E403">IF(D403="","",IFERROR(_xlfn.XLOOKUP(D403,SyncCodex!L:L,SyncCodex!M:M),""))</f>
        <v/>
      </c>
      <c r="F403" s="38" t="b">
        <v>0</v>
      </c>
      <c r="G403" s="38" t="b">
        <v>0</v>
      </c>
    </row>
    <row r="404">
      <c r="A404" s="45"/>
      <c r="B404" s="38"/>
      <c r="D404" s="38"/>
      <c r="E404" s="74" t="str">
        <f t="array" ref="E404">IF(D404="","",IFERROR(_xlfn.XLOOKUP(D404,SyncCodex!L:L,SyncCodex!M:M),""))</f>
        <v/>
      </c>
      <c r="F404" s="38" t="b">
        <v>0</v>
      </c>
      <c r="G404" s="38" t="b">
        <v>0</v>
      </c>
    </row>
    <row r="405">
      <c r="A405" s="45"/>
      <c r="B405" s="38"/>
      <c r="D405" s="38"/>
      <c r="E405" s="74" t="str">
        <f t="array" ref="E405">IF(D405="","",IFERROR(_xlfn.XLOOKUP(D405,SyncCodex!L:L,SyncCodex!M:M),""))</f>
        <v/>
      </c>
      <c r="F405" s="38" t="b">
        <v>0</v>
      </c>
      <c r="G405" s="38" t="b">
        <v>0</v>
      </c>
    </row>
    <row r="406">
      <c r="A406" s="45"/>
      <c r="B406" s="38"/>
      <c r="D406" s="38"/>
      <c r="E406" s="74" t="str">
        <f t="array" ref="E406">IF(D406="","",IFERROR(_xlfn.XLOOKUP(D406,SyncCodex!L:L,SyncCodex!M:M),""))</f>
        <v/>
      </c>
      <c r="F406" s="38" t="b">
        <v>0</v>
      </c>
      <c r="G406" s="38" t="b">
        <v>0</v>
      </c>
    </row>
    <row r="407">
      <c r="A407" s="45"/>
      <c r="B407" s="38"/>
      <c r="D407" s="38"/>
      <c r="E407" s="74" t="str">
        <f t="array" ref="E407">IF(D407="","",IFERROR(_xlfn.XLOOKUP(D407,SyncCodex!L:L,SyncCodex!M:M),""))</f>
        <v/>
      </c>
      <c r="F407" s="38" t="b">
        <v>0</v>
      </c>
      <c r="G407" s="38" t="b">
        <v>0</v>
      </c>
    </row>
    <row r="408">
      <c r="A408" s="45"/>
      <c r="B408" s="38"/>
      <c r="D408" s="38"/>
      <c r="E408" s="74" t="str">
        <f t="array" ref="E408">IF(D408="","",IFERROR(_xlfn.XLOOKUP(D408,SyncCodex!L:L,SyncCodex!M:M),""))</f>
        <v/>
      </c>
      <c r="F408" s="38" t="b">
        <v>0</v>
      </c>
      <c r="G408" s="38" t="b">
        <v>0</v>
      </c>
    </row>
    <row r="409">
      <c r="A409" s="45"/>
      <c r="B409" s="38"/>
      <c r="D409" s="38"/>
      <c r="E409" s="74" t="str">
        <f t="array" ref="E409">IF(D409="","",IFERROR(_xlfn.XLOOKUP(D409,SyncCodex!L:L,SyncCodex!M:M),""))</f>
        <v/>
      </c>
      <c r="F409" s="38" t="b">
        <v>0</v>
      </c>
      <c r="G409" s="38" t="b">
        <v>0</v>
      </c>
    </row>
    <row r="410">
      <c r="A410" s="45"/>
      <c r="B410" s="38"/>
      <c r="D410" s="38"/>
      <c r="E410" s="74" t="str">
        <f t="array" ref="E410">IF(D410="","",IFERROR(_xlfn.XLOOKUP(D410,SyncCodex!L:L,SyncCodex!M:M),""))</f>
        <v/>
      </c>
      <c r="F410" s="38" t="b">
        <v>0</v>
      </c>
      <c r="G410" s="38" t="b">
        <v>0</v>
      </c>
    </row>
    <row r="411">
      <c r="A411" s="45"/>
      <c r="B411" s="38"/>
      <c r="D411" s="38"/>
      <c r="E411" s="74" t="str">
        <f t="array" ref="E411">IF(D411="","",IFERROR(_xlfn.XLOOKUP(D411,SyncCodex!L:L,SyncCodex!M:M),""))</f>
        <v/>
      </c>
      <c r="F411" s="38" t="b">
        <v>0</v>
      </c>
      <c r="G411" s="38" t="b">
        <v>0</v>
      </c>
    </row>
    <row r="412">
      <c r="A412" s="45"/>
      <c r="B412" s="38"/>
      <c r="D412" s="38"/>
      <c r="E412" s="74" t="str">
        <f t="array" ref="E412">IF(D412="","",IFERROR(_xlfn.XLOOKUP(D412,SyncCodex!L:L,SyncCodex!M:M),""))</f>
        <v/>
      </c>
      <c r="F412" s="38" t="b">
        <v>0</v>
      </c>
      <c r="G412" s="38" t="b">
        <v>0</v>
      </c>
    </row>
    <row r="413">
      <c r="A413" s="45"/>
      <c r="B413" s="38"/>
      <c r="D413" s="38"/>
      <c r="E413" s="74" t="str">
        <f t="array" ref="E413">IF(D413="","",IFERROR(_xlfn.XLOOKUP(D413,SyncCodex!L:L,SyncCodex!M:M),""))</f>
        <v/>
      </c>
      <c r="F413" s="38" t="b">
        <v>0</v>
      </c>
      <c r="G413" s="38" t="b">
        <v>0</v>
      </c>
    </row>
    <row r="414">
      <c r="A414" s="45"/>
      <c r="B414" s="38"/>
      <c r="D414" s="38"/>
      <c r="E414" s="74" t="str">
        <f t="array" ref="E414">IF(D414="","",IFERROR(_xlfn.XLOOKUP(D414,SyncCodex!L:L,SyncCodex!M:M),""))</f>
        <v/>
      </c>
      <c r="F414" s="38" t="b">
        <v>0</v>
      </c>
      <c r="G414" s="38" t="b">
        <v>0</v>
      </c>
    </row>
    <row r="415">
      <c r="A415" s="45"/>
      <c r="B415" s="38"/>
      <c r="D415" s="38"/>
      <c r="E415" s="74" t="str">
        <f t="array" ref="E415">IF(D415="","",IFERROR(_xlfn.XLOOKUP(D415,SyncCodex!L:L,SyncCodex!M:M),""))</f>
        <v/>
      </c>
      <c r="F415" s="38" t="b">
        <v>0</v>
      </c>
      <c r="G415" s="38" t="b">
        <v>0</v>
      </c>
    </row>
    <row r="416">
      <c r="A416" s="45"/>
      <c r="B416" s="38"/>
      <c r="D416" s="38"/>
      <c r="E416" s="74" t="str">
        <f t="array" ref="E416">IF(D416="","",IFERROR(_xlfn.XLOOKUP(D416,SyncCodex!L:L,SyncCodex!M:M),""))</f>
        <v/>
      </c>
      <c r="F416" s="38" t="b">
        <v>0</v>
      </c>
      <c r="G416" s="38" t="b">
        <v>0</v>
      </c>
    </row>
    <row r="417">
      <c r="A417" s="45"/>
      <c r="B417" s="38"/>
      <c r="D417" s="38"/>
      <c r="E417" s="74" t="str">
        <f t="array" ref="E417">IF(D417="","",IFERROR(_xlfn.XLOOKUP(D417,SyncCodex!L:L,SyncCodex!M:M),""))</f>
        <v/>
      </c>
      <c r="F417" s="38" t="b">
        <v>0</v>
      </c>
      <c r="G417" s="38" t="b">
        <v>0</v>
      </c>
    </row>
    <row r="418">
      <c r="A418" s="45"/>
      <c r="B418" s="38"/>
      <c r="D418" s="38"/>
      <c r="E418" s="74" t="str">
        <f t="array" ref="E418">IF(D418="","",IFERROR(_xlfn.XLOOKUP(D418,SyncCodex!L:L,SyncCodex!M:M),""))</f>
        <v/>
      </c>
      <c r="F418" s="38" t="b">
        <v>0</v>
      </c>
      <c r="G418" s="38" t="b">
        <v>0</v>
      </c>
    </row>
    <row r="419">
      <c r="A419" s="45"/>
      <c r="B419" s="38"/>
      <c r="D419" s="38"/>
      <c r="E419" s="74" t="str">
        <f t="array" ref="E419">IF(D419="","",IFERROR(_xlfn.XLOOKUP(D419,SyncCodex!L:L,SyncCodex!M:M),""))</f>
        <v/>
      </c>
      <c r="F419" s="38" t="b">
        <v>0</v>
      </c>
      <c r="G419" s="38" t="b">
        <v>0</v>
      </c>
    </row>
    <row r="420">
      <c r="A420" s="45"/>
      <c r="B420" s="38"/>
      <c r="D420" s="38"/>
      <c r="E420" s="74" t="str">
        <f t="array" ref="E420">IF(D420="","",IFERROR(_xlfn.XLOOKUP(D420,SyncCodex!L:L,SyncCodex!M:M),""))</f>
        <v/>
      </c>
      <c r="F420" s="38" t="b">
        <v>0</v>
      </c>
      <c r="G420" s="38" t="b">
        <v>0</v>
      </c>
    </row>
    <row r="421">
      <c r="A421" s="45"/>
      <c r="B421" s="38"/>
      <c r="D421" s="38"/>
      <c r="E421" s="74" t="str">
        <f t="array" ref="E421">IF(D421="","",IFERROR(_xlfn.XLOOKUP(D421,SyncCodex!L:L,SyncCodex!M:M),""))</f>
        <v/>
      </c>
      <c r="F421" s="38" t="b">
        <v>0</v>
      </c>
      <c r="G421" s="38" t="b">
        <v>0</v>
      </c>
    </row>
    <row r="422">
      <c r="A422" s="45"/>
      <c r="B422" s="38"/>
      <c r="D422" s="38"/>
      <c r="E422" s="74" t="str">
        <f t="array" ref="E422">IF(D422="","",IFERROR(_xlfn.XLOOKUP(D422,SyncCodex!L:L,SyncCodex!M:M),""))</f>
        <v/>
      </c>
      <c r="F422" s="38" t="b">
        <v>0</v>
      </c>
      <c r="G422" s="38" t="b">
        <v>0</v>
      </c>
    </row>
    <row r="423">
      <c r="A423" s="45"/>
      <c r="B423" s="38"/>
      <c r="D423" s="38"/>
      <c r="E423" s="74" t="str">
        <f t="array" ref="E423">IF(D423="","",IFERROR(_xlfn.XLOOKUP(D423,SyncCodex!L:L,SyncCodex!M:M),""))</f>
        <v/>
      </c>
      <c r="F423" s="38" t="b">
        <v>0</v>
      </c>
      <c r="G423" s="38" t="b">
        <v>0</v>
      </c>
    </row>
    <row r="424">
      <c r="A424" s="45"/>
      <c r="B424" s="38"/>
      <c r="D424" s="38"/>
      <c r="E424" s="74" t="str">
        <f t="array" ref="E424">IF(D424="","",IFERROR(_xlfn.XLOOKUP(D424,SyncCodex!L:L,SyncCodex!M:M),""))</f>
        <v/>
      </c>
      <c r="F424" s="38" t="b">
        <v>0</v>
      </c>
      <c r="G424" s="38" t="b">
        <v>0</v>
      </c>
    </row>
    <row r="425">
      <c r="A425" s="45"/>
      <c r="B425" s="38"/>
      <c r="D425" s="38"/>
      <c r="E425" s="74" t="str">
        <f t="array" ref="E425">IF(D425="","",IFERROR(_xlfn.XLOOKUP(D425,SyncCodex!L:L,SyncCodex!M:M),""))</f>
        <v/>
      </c>
      <c r="F425" s="38" t="b">
        <v>0</v>
      </c>
      <c r="G425" s="38" t="b">
        <v>0</v>
      </c>
    </row>
    <row r="426">
      <c r="A426" s="45"/>
      <c r="B426" s="38"/>
      <c r="D426" s="38"/>
      <c r="E426" s="74" t="str">
        <f t="array" ref="E426">IF(D426="","",IFERROR(_xlfn.XLOOKUP(D426,SyncCodex!L:L,SyncCodex!M:M),""))</f>
        <v/>
      </c>
      <c r="F426" s="38" t="b">
        <v>0</v>
      </c>
      <c r="G426" s="38" t="b">
        <v>0</v>
      </c>
    </row>
    <row r="427">
      <c r="A427" s="45"/>
      <c r="B427" s="38"/>
      <c r="D427" s="38"/>
      <c r="E427" s="74" t="str">
        <f t="array" ref="E427">IF(D427="","",IFERROR(_xlfn.XLOOKUP(D427,SyncCodex!L:L,SyncCodex!M:M),""))</f>
        <v/>
      </c>
      <c r="F427" s="38" t="b">
        <v>0</v>
      </c>
      <c r="G427" s="38" t="b">
        <v>0</v>
      </c>
    </row>
    <row r="428">
      <c r="A428" s="45"/>
      <c r="B428" s="38"/>
      <c r="D428" s="38"/>
      <c r="E428" s="74" t="str">
        <f t="array" ref="E428">IF(D428="","",IFERROR(_xlfn.XLOOKUP(D428,SyncCodex!L:L,SyncCodex!M:M),""))</f>
        <v/>
      </c>
      <c r="F428" s="38" t="b">
        <v>0</v>
      </c>
      <c r="G428" s="38" t="b">
        <v>0</v>
      </c>
    </row>
    <row r="429">
      <c r="A429" s="45"/>
      <c r="B429" s="38"/>
      <c r="D429" s="38"/>
      <c r="E429" s="74" t="str">
        <f t="array" ref="E429">IF(D429="","",IFERROR(_xlfn.XLOOKUP(D429,SyncCodex!L:L,SyncCodex!M:M),""))</f>
        <v/>
      </c>
      <c r="F429" s="38" t="b">
        <v>0</v>
      </c>
      <c r="G429" s="38" t="b">
        <v>0</v>
      </c>
    </row>
    <row r="430">
      <c r="A430" s="45"/>
      <c r="B430" s="38"/>
      <c r="D430" s="38"/>
      <c r="E430" s="74" t="str">
        <f t="array" ref="E430">IF(D430="","",IFERROR(_xlfn.XLOOKUP(D430,SyncCodex!L:L,SyncCodex!M:M),""))</f>
        <v/>
      </c>
      <c r="F430" s="38" t="b">
        <v>0</v>
      </c>
      <c r="G430" s="38" t="b">
        <v>0</v>
      </c>
    </row>
    <row r="431">
      <c r="A431" s="45"/>
      <c r="B431" s="38"/>
      <c r="D431" s="38"/>
      <c r="E431" s="74" t="str">
        <f t="array" ref="E431">IF(D431="","",IFERROR(_xlfn.XLOOKUP(D431,SyncCodex!L:L,SyncCodex!M:M),""))</f>
        <v/>
      </c>
      <c r="F431" s="38" t="b">
        <v>0</v>
      </c>
      <c r="G431" s="38" t="b">
        <v>0</v>
      </c>
    </row>
    <row r="432">
      <c r="A432" s="45"/>
      <c r="B432" s="38"/>
      <c r="D432" s="38"/>
      <c r="E432" s="74" t="str">
        <f t="array" ref="E432">IF(D432="","",IFERROR(_xlfn.XLOOKUP(D432,SyncCodex!L:L,SyncCodex!M:M),""))</f>
        <v/>
      </c>
      <c r="F432" s="38" t="b">
        <v>0</v>
      </c>
      <c r="G432" s="38" t="b">
        <v>0</v>
      </c>
    </row>
    <row r="433">
      <c r="A433" s="45"/>
      <c r="B433" s="38"/>
      <c r="D433" s="38"/>
      <c r="E433" s="74" t="str">
        <f t="array" ref="E433">IF(D433="","",IFERROR(_xlfn.XLOOKUP(D433,SyncCodex!L:L,SyncCodex!M:M),""))</f>
        <v/>
      </c>
      <c r="F433" s="38" t="b">
        <v>0</v>
      </c>
      <c r="G433" s="38" t="b">
        <v>0</v>
      </c>
    </row>
    <row r="434">
      <c r="A434" s="45"/>
      <c r="B434" s="38"/>
      <c r="D434" s="38"/>
      <c r="E434" s="74" t="str">
        <f t="array" ref="E434">IF(D434="","",IFERROR(_xlfn.XLOOKUP(D434,SyncCodex!L:L,SyncCodex!M:M),""))</f>
        <v/>
      </c>
      <c r="F434" s="38" t="b">
        <v>0</v>
      </c>
      <c r="G434" s="38" t="b">
        <v>0</v>
      </c>
    </row>
    <row r="435">
      <c r="A435" s="45"/>
      <c r="B435" s="38"/>
      <c r="D435" s="38"/>
      <c r="E435" s="74" t="str">
        <f t="array" ref="E435">IF(D435="","",IFERROR(_xlfn.XLOOKUP(D435,SyncCodex!L:L,SyncCodex!M:M),""))</f>
        <v/>
      </c>
      <c r="F435" s="38" t="b">
        <v>0</v>
      </c>
      <c r="G435" s="38" t="b">
        <v>0</v>
      </c>
    </row>
    <row r="436">
      <c r="A436" s="45"/>
      <c r="B436" s="38"/>
      <c r="D436" s="38"/>
      <c r="E436" s="74" t="str">
        <f t="array" ref="E436">IF(D436="","",IFERROR(_xlfn.XLOOKUP(D436,SyncCodex!L:L,SyncCodex!M:M),""))</f>
        <v/>
      </c>
      <c r="F436" s="38" t="b">
        <v>0</v>
      </c>
      <c r="G436" s="38" t="b">
        <v>0</v>
      </c>
    </row>
    <row r="437">
      <c r="A437" s="45"/>
      <c r="B437" s="38"/>
      <c r="D437" s="38"/>
      <c r="E437" s="74" t="str">
        <f t="array" ref="E437">IF(D437="","",IFERROR(_xlfn.XLOOKUP(D437,SyncCodex!L:L,SyncCodex!M:M),""))</f>
        <v/>
      </c>
      <c r="F437" s="38" t="b">
        <v>0</v>
      </c>
      <c r="G437" s="38" t="b">
        <v>0</v>
      </c>
    </row>
    <row r="438">
      <c r="A438" s="45"/>
      <c r="B438" s="38"/>
      <c r="D438" s="38"/>
      <c r="E438" s="74" t="str">
        <f t="array" ref="E438">IF(D438="","",IFERROR(_xlfn.XLOOKUP(D438,SyncCodex!L:L,SyncCodex!M:M),""))</f>
        <v/>
      </c>
      <c r="F438" s="38" t="b">
        <v>0</v>
      </c>
      <c r="G438" s="38" t="b">
        <v>0</v>
      </c>
    </row>
    <row r="439">
      <c r="A439" s="45"/>
      <c r="B439" s="38"/>
      <c r="D439" s="38"/>
      <c r="E439" s="74" t="str">
        <f t="array" ref="E439">IF(D439="","",IFERROR(_xlfn.XLOOKUP(D439,SyncCodex!L:L,SyncCodex!M:M),""))</f>
        <v/>
      </c>
      <c r="F439" s="38" t="b">
        <v>0</v>
      </c>
      <c r="G439" s="38" t="b">
        <v>0</v>
      </c>
    </row>
    <row r="440">
      <c r="A440" s="45"/>
      <c r="B440" s="38"/>
      <c r="D440" s="38"/>
      <c r="E440" s="74" t="str">
        <f t="array" ref="E440">IF(D440="","",IFERROR(_xlfn.XLOOKUP(D440,SyncCodex!L:L,SyncCodex!M:M),""))</f>
        <v/>
      </c>
      <c r="F440" s="38" t="b">
        <v>0</v>
      </c>
      <c r="G440" s="38" t="b">
        <v>0</v>
      </c>
    </row>
    <row r="441">
      <c r="A441" s="45"/>
      <c r="B441" s="38"/>
      <c r="D441" s="38"/>
      <c r="E441" s="74" t="str">
        <f t="array" ref="E441">IF(D441="","",IFERROR(_xlfn.XLOOKUP(D441,SyncCodex!L:L,SyncCodex!M:M),""))</f>
        <v/>
      </c>
      <c r="F441" s="38" t="b">
        <v>0</v>
      </c>
      <c r="G441" s="38" t="b">
        <v>0</v>
      </c>
    </row>
    <row r="442">
      <c r="A442" s="45"/>
      <c r="B442" s="38"/>
      <c r="D442" s="38"/>
      <c r="E442" s="74" t="str">
        <f t="array" ref="E442">IF(D442="","",IFERROR(_xlfn.XLOOKUP(D442,SyncCodex!L:L,SyncCodex!M:M),""))</f>
        <v/>
      </c>
      <c r="F442" s="38" t="b">
        <v>0</v>
      </c>
      <c r="G442" s="38" t="b">
        <v>0</v>
      </c>
    </row>
    <row r="443">
      <c r="A443" s="45"/>
      <c r="B443" s="38"/>
      <c r="D443" s="38"/>
      <c r="E443" s="74" t="str">
        <f t="array" ref="E443">IF(D443="","",IFERROR(_xlfn.XLOOKUP(D443,SyncCodex!L:L,SyncCodex!M:M),""))</f>
        <v/>
      </c>
      <c r="F443" s="38" t="b">
        <v>0</v>
      </c>
      <c r="G443" s="38" t="b">
        <v>0</v>
      </c>
    </row>
    <row r="444">
      <c r="A444" s="45"/>
      <c r="B444" s="38"/>
      <c r="D444" s="38"/>
      <c r="E444" s="74" t="str">
        <f t="array" ref="E444">IF(D444="","",IFERROR(_xlfn.XLOOKUP(D444,SyncCodex!L:L,SyncCodex!M:M),""))</f>
        <v/>
      </c>
      <c r="F444" s="38" t="b">
        <v>0</v>
      </c>
      <c r="G444" s="38" t="b">
        <v>0</v>
      </c>
    </row>
    <row r="445">
      <c r="A445" s="45"/>
      <c r="B445" s="38"/>
      <c r="D445" s="38"/>
      <c r="E445" s="74" t="str">
        <f t="array" ref="E445">IF(D445="","",IFERROR(_xlfn.XLOOKUP(D445,SyncCodex!L:L,SyncCodex!M:M),""))</f>
        <v/>
      </c>
      <c r="F445" s="38" t="b">
        <v>0</v>
      </c>
      <c r="G445" s="38" t="b">
        <v>0</v>
      </c>
    </row>
    <row r="446">
      <c r="A446" s="45"/>
      <c r="B446" s="38"/>
      <c r="D446" s="38"/>
      <c r="E446" s="74" t="str">
        <f t="array" ref="E446">IF(D446="","",IFERROR(_xlfn.XLOOKUP(D446,SyncCodex!L:L,SyncCodex!M:M),""))</f>
        <v/>
      </c>
      <c r="F446" s="38" t="b">
        <v>0</v>
      </c>
      <c r="G446" s="38" t="b">
        <v>0</v>
      </c>
    </row>
    <row r="447">
      <c r="A447" s="45"/>
      <c r="B447" s="38"/>
      <c r="D447" s="38"/>
      <c r="E447" s="74" t="str">
        <f t="array" ref="E447">IF(D447="","",IFERROR(_xlfn.XLOOKUP(D447,SyncCodex!L:L,SyncCodex!M:M),""))</f>
        <v/>
      </c>
      <c r="F447" s="38" t="b">
        <v>0</v>
      </c>
      <c r="G447" s="38" t="b">
        <v>0</v>
      </c>
    </row>
    <row r="448">
      <c r="A448" s="45"/>
      <c r="B448" s="38"/>
      <c r="D448" s="38"/>
      <c r="E448" s="74" t="str">
        <f t="array" ref="E448">IF(D448="","",IFERROR(_xlfn.XLOOKUP(D448,SyncCodex!L:L,SyncCodex!M:M),""))</f>
        <v/>
      </c>
      <c r="F448" s="38" t="b">
        <v>0</v>
      </c>
      <c r="G448" s="38" t="b">
        <v>0</v>
      </c>
    </row>
    <row r="449">
      <c r="A449" s="45"/>
      <c r="B449" s="38"/>
      <c r="D449" s="38"/>
      <c r="E449" s="74" t="str">
        <f t="array" ref="E449">IF(D449="","",IFERROR(_xlfn.XLOOKUP(D449,SyncCodex!L:L,SyncCodex!M:M),""))</f>
        <v/>
      </c>
      <c r="F449" s="38" t="b">
        <v>0</v>
      </c>
      <c r="G449" s="38" t="b">
        <v>0</v>
      </c>
    </row>
    <row r="450">
      <c r="A450" s="45"/>
      <c r="B450" s="38"/>
      <c r="D450" s="38"/>
      <c r="E450" s="74" t="str">
        <f t="array" ref="E450">IF(D450="","",IFERROR(_xlfn.XLOOKUP(D450,SyncCodex!L:L,SyncCodex!M:M),""))</f>
        <v/>
      </c>
      <c r="F450" s="38" t="b">
        <v>0</v>
      </c>
      <c r="G450" s="38" t="b">
        <v>0</v>
      </c>
    </row>
    <row r="451">
      <c r="A451" s="45"/>
      <c r="B451" s="38"/>
      <c r="D451" s="38"/>
      <c r="E451" s="74" t="str">
        <f t="array" ref="E451">IF(D451="","",IFERROR(_xlfn.XLOOKUP(D451,SyncCodex!L:L,SyncCodex!M:M),""))</f>
        <v/>
      </c>
      <c r="F451" s="38" t="b">
        <v>0</v>
      </c>
      <c r="G451" s="38" t="b">
        <v>0</v>
      </c>
    </row>
    <row r="452">
      <c r="A452" s="45"/>
      <c r="B452" s="38"/>
      <c r="D452" s="38"/>
      <c r="E452" s="74" t="str">
        <f t="array" ref="E452">IF(D452="","",IFERROR(_xlfn.XLOOKUP(D452,SyncCodex!L:L,SyncCodex!M:M),""))</f>
        <v/>
      </c>
      <c r="F452" s="38" t="b">
        <v>0</v>
      </c>
      <c r="G452" s="38" t="b">
        <v>0</v>
      </c>
    </row>
    <row r="453">
      <c r="A453" s="45"/>
      <c r="B453" s="38"/>
      <c r="D453" s="38"/>
      <c r="E453" s="74" t="str">
        <f t="array" ref="E453">IF(D453="","",IFERROR(_xlfn.XLOOKUP(D453,SyncCodex!L:L,SyncCodex!M:M),""))</f>
        <v/>
      </c>
      <c r="F453" s="38" t="b">
        <v>0</v>
      </c>
      <c r="G453" s="38" t="b">
        <v>0</v>
      </c>
    </row>
    <row r="454">
      <c r="A454" s="45"/>
      <c r="B454" s="38"/>
      <c r="D454" s="38"/>
      <c r="E454" s="74" t="str">
        <f t="array" ref="E454">IF(D454="","",IFERROR(_xlfn.XLOOKUP(D454,SyncCodex!L:L,SyncCodex!M:M),""))</f>
        <v/>
      </c>
      <c r="F454" s="38" t="b">
        <v>0</v>
      </c>
      <c r="G454" s="38" t="b">
        <v>0</v>
      </c>
    </row>
    <row r="455">
      <c r="A455" s="45"/>
      <c r="B455" s="38"/>
      <c r="D455" s="38"/>
      <c r="E455" s="74" t="str">
        <f t="array" ref="E455">IF(D455="","",IFERROR(_xlfn.XLOOKUP(D455,SyncCodex!L:L,SyncCodex!M:M),""))</f>
        <v/>
      </c>
      <c r="F455" s="38" t="b">
        <v>0</v>
      </c>
      <c r="G455" s="38" t="b">
        <v>0</v>
      </c>
    </row>
    <row r="456">
      <c r="A456" s="45"/>
      <c r="B456" s="38"/>
      <c r="D456" s="38"/>
      <c r="E456" s="74" t="str">
        <f t="array" ref="E456">IF(D456="","",IFERROR(_xlfn.XLOOKUP(D456,SyncCodex!L:L,SyncCodex!M:M),""))</f>
        <v/>
      </c>
      <c r="F456" s="38" t="b">
        <v>0</v>
      </c>
      <c r="G456" s="38" t="b">
        <v>0</v>
      </c>
    </row>
    <row r="457">
      <c r="A457" s="45"/>
      <c r="B457" s="38"/>
      <c r="D457" s="38"/>
      <c r="E457" s="74" t="str">
        <f t="array" ref="E457">IF(D457="","",IFERROR(_xlfn.XLOOKUP(D457,SyncCodex!L:L,SyncCodex!M:M),""))</f>
        <v/>
      </c>
      <c r="F457" s="38" t="b">
        <v>0</v>
      </c>
      <c r="G457" s="38" t="b">
        <v>0</v>
      </c>
    </row>
    <row r="458">
      <c r="A458" s="45"/>
      <c r="B458" s="38"/>
      <c r="D458" s="38"/>
      <c r="E458" s="74" t="str">
        <f t="array" ref="E458">IF(D458="","",IFERROR(_xlfn.XLOOKUP(D458,SyncCodex!L:L,SyncCodex!M:M),""))</f>
        <v/>
      </c>
      <c r="F458" s="38" t="b">
        <v>0</v>
      </c>
      <c r="G458" s="38" t="b">
        <v>0</v>
      </c>
    </row>
    <row r="459">
      <c r="A459" s="45"/>
      <c r="B459" s="38"/>
      <c r="D459" s="38"/>
      <c r="E459" s="74" t="str">
        <f t="array" ref="E459">IF(D459="","",IFERROR(_xlfn.XLOOKUP(D459,SyncCodex!L:L,SyncCodex!M:M),""))</f>
        <v/>
      </c>
      <c r="F459" s="38" t="b">
        <v>0</v>
      </c>
      <c r="G459" s="38" t="b">
        <v>0</v>
      </c>
    </row>
    <row r="460">
      <c r="A460" s="45"/>
      <c r="B460" s="38"/>
      <c r="D460" s="38"/>
      <c r="E460" s="74" t="str">
        <f t="array" ref="E460">IF(D460="","",IFERROR(_xlfn.XLOOKUP(D460,SyncCodex!L:L,SyncCodex!M:M),""))</f>
        <v/>
      </c>
      <c r="F460" s="38" t="b">
        <v>0</v>
      </c>
      <c r="G460" s="38" t="b">
        <v>0</v>
      </c>
    </row>
    <row r="461">
      <c r="A461" s="45"/>
      <c r="B461" s="38"/>
      <c r="D461" s="38"/>
      <c r="E461" s="74" t="str">
        <f t="array" ref="E461">IF(D461="","",IFERROR(_xlfn.XLOOKUP(D461,SyncCodex!L:L,SyncCodex!M:M),""))</f>
        <v/>
      </c>
      <c r="F461" s="38" t="b">
        <v>0</v>
      </c>
      <c r="G461" s="38" t="b">
        <v>0</v>
      </c>
    </row>
    <row r="462">
      <c r="A462" s="45"/>
      <c r="B462" s="38"/>
      <c r="D462" s="38"/>
      <c r="E462" s="74" t="str">
        <f t="array" ref="E462">IF(D462="","",IFERROR(_xlfn.XLOOKUP(D462,SyncCodex!L:L,SyncCodex!M:M),""))</f>
        <v/>
      </c>
      <c r="F462" s="38" t="b">
        <v>0</v>
      </c>
      <c r="G462" s="38" t="b">
        <v>0</v>
      </c>
    </row>
    <row r="463">
      <c r="A463" s="45"/>
      <c r="B463" s="38"/>
      <c r="D463" s="38"/>
      <c r="E463" s="74" t="str">
        <f t="array" ref="E463">IF(D463="","",IFERROR(_xlfn.XLOOKUP(D463,SyncCodex!L:L,SyncCodex!M:M),""))</f>
        <v/>
      </c>
      <c r="F463" s="38" t="b">
        <v>0</v>
      </c>
      <c r="G463" s="38" t="b">
        <v>0</v>
      </c>
    </row>
    <row r="464">
      <c r="A464" s="45"/>
      <c r="B464" s="38"/>
      <c r="D464" s="38"/>
      <c r="E464" s="74" t="str">
        <f t="array" ref="E464">IF(D464="","",IFERROR(_xlfn.XLOOKUP(D464,SyncCodex!L:L,SyncCodex!M:M),""))</f>
        <v/>
      </c>
      <c r="F464" s="38" t="b">
        <v>0</v>
      </c>
      <c r="G464" s="38" t="b">
        <v>0</v>
      </c>
    </row>
    <row r="465">
      <c r="A465" s="45"/>
      <c r="B465" s="38"/>
      <c r="D465" s="38"/>
      <c r="E465" s="74" t="str">
        <f t="array" ref="E465">IF(D465="","",IFERROR(_xlfn.XLOOKUP(D465,SyncCodex!L:L,SyncCodex!M:M),""))</f>
        <v/>
      </c>
      <c r="F465" s="38" t="b">
        <v>0</v>
      </c>
      <c r="G465" s="38" t="b">
        <v>0</v>
      </c>
    </row>
    <row r="466">
      <c r="A466" s="45"/>
      <c r="B466" s="38"/>
      <c r="D466" s="38"/>
      <c r="E466" s="74" t="str">
        <f t="array" ref="E466">IF(D466="","",IFERROR(_xlfn.XLOOKUP(D466,SyncCodex!L:L,SyncCodex!M:M),""))</f>
        <v/>
      </c>
      <c r="F466" s="38" t="b">
        <v>0</v>
      </c>
      <c r="G466" s="38" t="b">
        <v>0</v>
      </c>
    </row>
    <row r="467">
      <c r="A467" s="45"/>
      <c r="B467" s="38"/>
      <c r="D467" s="38"/>
      <c r="E467" s="74" t="str">
        <f t="array" ref="E467">IF(D467="","",IFERROR(_xlfn.XLOOKUP(D467,SyncCodex!L:L,SyncCodex!M:M),""))</f>
        <v/>
      </c>
      <c r="F467" s="38" t="b">
        <v>0</v>
      </c>
      <c r="G467" s="38" t="b">
        <v>0</v>
      </c>
    </row>
    <row r="468">
      <c r="A468" s="45"/>
      <c r="B468" s="38"/>
      <c r="D468" s="38"/>
      <c r="E468" s="74" t="str">
        <f t="array" ref="E468">IF(D468="","",IFERROR(_xlfn.XLOOKUP(D468,SyncCodex!L:L,SyncCodex!M:M),""))</f>
        <v/>
      </c>
      <c r="F468" s="38" t="b">
        <v>0</v>
      </c>
      <c r="G468" s="38" t="b">
        <v>0</v>
      </c>
    </row>
    <row r="469">
      <c r="A469" s="45"/>
      <c r="B469" s="38"/>
      <c r="D469" s="38"/>
      <c r="E469" s="74" t="str">
        <f t="array" ref="E469">IF(D469="","",IFERROR(_xlfn.XLOOKUP(D469,SyncCodex!L:L,SyncCodex!M:M),""))</f>
        <v/>
      </c>
      <c r="F469" s="38" t="b">
        <v>0</v>
      </c>
      <c r="G469" s="38" t="b">
        <v>0</v>
      </c>
    </row>
    <row r="470">
      <c r="A470" s="45"/>
      <c r="B470" s="38"/>
      <c r="D470" s="38"/>
      <c r="E470" s="74" t="str">
        <f t="array" ref="E470">IF(D470="","",IFERROR(_xlfn.XLOOKUP(D470,SyncCodex!L:L,SyncCodex!M:M),""))</f>
        <v/>
      </c>
      <c r="F470" s="38" t="b">
        <v>0</v>
      </c>
      <c r="G470" s="38" t="b">
        <v>0</v>
      </c>
    </row>
    <row r="471">
      <c r="A471" s="45"/>
      <c r="B471" s="38"/>
      <c r="D471" s="38"/>
      <c r="E471" s="74" t="str">
        <f t="array" ref="E471">IF(D471="","",IFERROR(_xlfn.XLOOKUP(D471,SyncCodex!L:L,SyncCodex!M:M),""))</f>
        <v/>
      </c>
      <c r="F471" s="38" t="b">
        <v>0</v>
      </c>
      <c r="G471" s="38" t="b">
        <v>0</v>
      </c>
    </row>
    <row r="472">
      <c r="A472" s="45"/>
      <c r="B472" s="38"/>
      <c r="D472" s="38"/>
      <c r="E472" s="74" t="str">
        <f t="array" ref="E472">IF(D472="","",IFERROR(_xlfn.XLOOKUP(D472,SyncCodex!L:L,SyncCodex!M:M),""))</f>
        <v/>
      </c>
      <c r="F472" s="38" t="b">
        <v>0</v>
      </c>
      <c r="G472" s="38" t="b">
        <v>0</v>
      </c>
    </row>
    <row r="473">
      <c r="A473" s="45"/>
      <c r="B473" s="38"/>
      <c r="D473" s="38"/>
      <c r="E473" s="74" t="str">
        <f t="array" ref="E473">IF(D473="","",IFERROR(_xlfn.XLOOKUP(D473,SyncCodex!L:L,SyncCodex!M:M),""))</f>
        <v/>
      </c>
      <c r="F473" s="38" t="b">
        <v>0</v>
      </c>
      <c r="G473" s="38" t="b">
        <v>0</v>
      </c>
    </row>
    <row r="474">
      <c r="A474" s="45"/>
      <c r="B474" s="38"/>
      <c r="D474" s="38"/>
      <c r="E474" s="74" t="str">
        <f t="array" ref="E474">IF(D474="","",IFERROR(_xlfn.XLOOKUP(D474,SyncCodex!L:L,SyncCodex!M:M),""))</f>
        <v/>
      </c>
      <c r="F474" s="38" t="b">
        <v>0</v>
      </c>
      <c r="G474" s="38" t="b">
        <v>0</v>
      </c>
    </row>
    <row r="475">
      <c r="A475" s="45"/>
      <c r="B475" s="38"/>
      <c r="D475" s="38"/>
      <c r="E475" s="74" t="str">
        <f t="array" ref="E475">IF(D475="","",IFERROR(_xlfn.XLOOKUP(D475,SyncCodex!L:L,SyncCodex!M:M),""))</f>
        <v/>
      </c>
      <c r="F475" s="38" t="b">
        <v>0</v>
      </c>
      <c r="G475" s="38" t="b">
        <v>0</v>
      </c>
    </row>
    <row r="476">
      <c r="A476" s="45"/>
      <c r="B476" s="38"/>
      <c r="D476" s="38"/>
      <c r="E476" s="74" t="str">
        <f t="array" ref="E476">IF(D476="","",IFERROR(_xlfn.XLOOKUP(D476,SyncCodex!L:L,SyncCodex!M:M),""))</f>
        <v/>
      </c>
      <c r="F476" s="38" t="b">
        <v>0</v>
      </c>
      <c r="G476" s="38" t="b">
        <v>0</v>
      </c>
    </row>
    <row r="477">
      <c r="A477" s="45"/>
      <c r="B477" s="38"/>
      <c r="D477" s="38"/>
      <c r="E477" s="74" t="str">
        <f t="array" ref="E477">IF(D477="","",IFERROR(_xlfn.XLOOKUP(D477,SyncCodex!L:L,SyncCodex!M:M),""))</f>
        <v/>
      </c>
      <c r="F477" s="38" t="b">
        <v>0</v>
      </c>
      <c r="G477" s="38" t="b">
        <v>0</v>
      </c>
    </row>
    <row r="478">
      <c r="A478" s="45"/>
      <c r="B478" s="38"/>
      <c r="D478" s="38"/>
      <c r="E478" s="74" t="str">
        <f t="array" ref="E478">IF(D478="","",IFERROR(_xlfn.XLOOKUP(D478,SyncCodex!L:L,SyncCodex!M:M),""))</f>
        <v/>
      </c>
      <c r="F478" s="38" t="b">
        <v>0</v>
      </c>
      <c r="G478" s="38" t="b">
        <v>0</v>
      </c>
    </row>
    <row r="479">
      <c r="A479" s="45"/>
      <c r="B479" s="38"/>
      <c r="D479" s="38"/>
      <c r="E479" s="74" t="str">
        <f t="array" ref="E479">IF(D479="","",IFERROR(_xlfn.XLOOKUP(D479,SyncCodex!L:L,SyncCodex!M:M),""))</f>
        <v/>
      </c>
      <c r="F479" s="38" t="b">
        <v>0</v>
      </c>
      <c r="G479" s="38" t="b">
        <v>0</v>
      </c>
    </row>
    <row r="480">
      <c r="A480" s="45"/>
      <c r="B480" s="38"/>
      <c r="D480" s="38"/>
      <c r="E480" s="74" t="str">
        <f t="array" ref="E480">IF(D480="","",IFERROR(_xlfn.XLOOKUP(D480,SyncCodex!L:L,SyncCodex!M:M),""))</f>
        <v/>
      </c>
      <c r="F480" s="38" t="b">
        <v>0</v>
      </c>
      <c r="G480" s="38" t="b">
        <v>0</v>
      </c>
    </row>
    <row r="481">
      <c r="A481" s="45"/>
      <c r="B481" s="38"/>
      <c r="D481" s="38"/>
      <c r="E481" s="74" t="str">
        <f t="array" ref="E481">IF(D481="","",IFERROR(_xlfn.XLOOKUP(D481,SyncCodex!L:L,SyncCodex!M:M),""))</f>
        <v/>
      </c>
      <c r="F481" s="38" t="b">
        <v>0</v>
      </c>
      <c r="G481" s="38" t="b">
        <v>0</v>
      </c>
    </row>
    <row r="482">
      <c r="A482" s="45"/>
      <c r="B482" s="38"/>
      <c r="D482" s="38"/>
      <c r="E482" s="74" t="str">
        <f t="array" ref="E482">IF(D482="","",IFERROR(_xlfn.XLOOKUP(D482,SyncCodex!L:L,SyncCodex!M:M),""))</f>
        <v/>
      </c>
      <c r="F482" s="38" t="b">
        <v>0</v>
      </c>
      <c r="G482" s="38" t="b">
        <v>0</v>
      </c>
    </row>
    <row r="483">
      <c r="A483" s="45"/>
      <c r="B483" s="38"/>
      <c r="D483" s="38"/>
      <c r="E483" s="74" t="str">
        <f t="array" ref="E483">IF(D483="","",IFERROR(_xlfn.XLOOKUP(D483,SyncCodex!L:L,SyncCodex!M:M),""))</f>
        <v/>
      </c>
      <c r="F483" s="38" t="b">
        <v>0</v>
      </c>
      <c r="G483" s="38" t="b">
        <v>0</v>
      </c>
    </row>
    <row r="484">
      <c r="A484" s="45"/>
      <c r="B484" s="38"/>
      <c r="D484" s="38"/>
      <c r="E484" s="74" t="str">
        <f t="array" ref="E484">IF(D484="","",IFERROR(_xlfn.XLOOKUP(D484,SyncCodex!L:L,SyncCodex!M:M),""))</f>
        <v/>
      </c>
      <c r="F484" s="38" t="b">
        <v>0</v>
      </c>
      <c r="G484" s="38" t="b">
        <v>0</v>
      </c>
    </row>
    <row r="485">
      <c r="A485" s="45"/>
      <c r="B485" s="38"/>
      <c r="D485" s="38"/>
      <c r="E485" s="74" t="str">
        <f t="array" ref="E485">IF(D485="","",IFERROR(_xlfn.XLOOKUP(D485,SyncCodex!L:L,SyncCodex!M:M),""))</f>
        <v/>
      </c>
      <c r="F485" s="38" t="b">
        <v>0</v>
      </c>
      <c r="G485" s="38" t="b">
        <v>0</v>
      </c>
    </row>
    <row r="486">
      <c r="A486" s="45"/>
      <c r="B486" s="38"/>
      <c r="D486" s="38"/>
      <c r="E486" s="74" t="str">
        <f t="array" ref="E486">IF(D486="","",IFERROR(_xlfn.XLOOKUP(D486,SyncCodex!L:L,SyncCodex!M:M),""))</f>
        <v/>
      </c>
      <c r="F486" s="38" t="b">
        <v>0</v>
      </c>
      <c r="G486" s="38" t="b">
        <v>0</v>
      </c>
    </row>
    <row r="487">
      <c r="A487" s="45"/>
      <c r="B487" s="38"/>
      <c r="D487" s="38"/>
      <c r="E487" s="74" t="str">
        <f t="array" ref="E487">IF(D487="","",IFERROR(_xlfn.XLOOKUP(D487,SyncCodex!L:L,SyncCodex!M:M),""))</f>
        <v/>
      </c>
      <c r="F487" s="38" t="b">
        <v>0</v>
      </c>
      <c r="G487" s="38" t="b">
        <v>0</v>
      </c>
    </row>
    <row r="488">
      <c r="A488" s="45"/>
      <c r="B488" s="38"/>
      <c r="D488" s="38"/>
      <c r="E488" s="74" t="str">
        <f t="array" ref="E488">IF(D488="","",IFERROR(_xlfn.XLOOKUP(D488,SyncCodex!L:L,SyncCodex!M:M),""))</f>
        <v/>
      </c>
      <c r="F488" s="38" t="b">
        <v>0</v>
      </c>
      <c r="G488" s="38" t="b">
        <v>0</v>
      </c>
    </row>
    <row r="489">
      <c r="A489" s="45"/>
      <c r="B489" s="38"/>
      <c r="D489" s="38"/>
      <c r="E489" s="74" t="str">
        <f t="array" ref="E489">IF(D489="","",IFERROR(_xlfn.XLOOKUP(D489,SyncCodex!L:L,SyncCodex!M:M),""))</f>
        <v/>
      </c>
      <c r="F489" s="38" t="b">
        <v>0</v>
      </c>
      <c r="G489" s="38" t="b">
        <v>0</v>
      </c>
    </row>
    <row r="490">
      <c r="A490" s="45"/>
      <c r="B490" s="38"/>
      <c r="D490" s="38"/>
      <c r="E490" s="74" t="str">
        <f t="array" ref="E490">IF(D490="","",IFERROR(_xlfn.XLOOKUP(D490,SyncCodex!L:L,SyncCodex!M:M),""))</f>
        <v/>
      </c>
      <c r="F490" s="38" t="b">
        <v>0</v>
      </c>
      <c r="G490" s="38" t="b">
        <v>0</v>
      </c>
    </row>
    <row r="491">
      <c r="A491" s="45"/>
      <c r="B491" s="38"/>
      <c r="D491" s="38"/>
      <c r="E491" s="74" t="str">
        <f t="array" ref="E491">IF(D491="","",IFERROR(_xlfn.XLOOKUP(D491,SyncCodex!L:L,SyncCodex!M:M),""))</f>
        <v/>
      </c>
      <c r="F491" s="38" t="b">
        <v>0</v>
      </c>
      <c r="G491" s="38" t="b">
        <v>0</v>
      </c>
    </row>
    <row r="492">
      <c r="A492" s="45"/>
      <c r="B492" s="38"/>
      <c r="D492" s="38"/>
      <c r="E492" s="74" t="str">
        <f t="array" ref="E492">IF(D492="","",IFERROR(_xlfn.XLOOKUP(D492,SyncCodex!L:L,SyncCodex!M:M),""))</f>
        <v/>
      </c>
      <c r="F492" s="38" t="b">
        <v>0</v>
      </c>
      <c r="G492" s="38" t="b">
        <v>0</v>
      </c>
    </row>
    <row r="493">
      <c r="A493" s="45"/>
      <c r="B493" s="38"/>
      <c r="D493" s="38"/>
      <c r="E493" s="74" t="str">
        <f t="array" ref="E493">IF(D493="","",IFERROR(_xlfn.XLOOKUP(D493,SyncCodex!L:L,SyncCodex!M:M),""))</f>
        <v/>
      </c>
      <c r="F493" s="38" t="b">
        <v>0</v>
      </c>
      <c r="G493" s="38" t="b">
        <v>0</v>
      </c>
    </row>
    <row r="494">
      <c r="A494" s="45"/>
      <c r="B494" s="38"/>
      <c r="D494" s="38"/>
      <c r="E494" s="74" t="str">
        <f t="array" ref="E494">IF(D494="","",IFERROR(_xlfn.XLOOKUP(D494,SyncCodex!L:L,SyncCodex!M:M),""))</f>
        <v/>
      </c>
      <c r="F494" s="38" t="b">
        <v>0</v>
      </c>
      <c r="G494" s="38" t="b">
        <v>0</v>
      </c>
    </row>
    <row r="495">
      <c r="A495" s="45"/>
      <c r="B495" s="38"/>
      <c r="D495" s="38"/>
      <c r="E495" s="74" t="str">
        <f t="array" ref="E495">IF(D495="","",IFERROR(_xlfn.XLOOKUP(D495,SyncCodex!L:L,SyncCodex!M:M),""))</f>
        <v/>
      </c>
      <c r="F495" s="38" t="b">
        <v>0</v>
      </c>
      <c r="G495" s="38" t="b">
        <v>0</v>
      </c>
    </row>
    <row r="496">
      <c r="A496" s="45"/>
      <c r="B496" s="38"/>
      <c r="D496" s="38"/>
      <c r="E496" s="74" t="str">
        <f t="array" ref="E496">IF(D496="","",IFERROR(_xlfn.XLOOKUP(D496,SyncCodex!L:L,SyncCodex!M:M),""))</f>
        <v/>
      </c>
      <c r="F496" s="38" t="b">
        <v>0</v>
      </c>
      <c r="G496" s="38" t="b">
        <v>0</v>
      </c>
    </row>
    <row r="497">
      <c r="A497" s="45"/>
      <c r="B497" s="38"/>
      <c r="D497" s="38"/>
      <c r="E497" s="74" t="str">
        <f t="array" ref="E497">IF(D497="","",IFERROR(_xlfn.XLOOKUP(D497,SyncCodex!L:L,SyncCodex!M:M),""))</f>
        <v/>
      </c>
      <c r="F497" s="38" t="b">
        <v>0</v>
      </c>
      <c r="G497" s="38" t="b">
        <v>0</v>
      </c>
    </row>
    <row r="498">
      <c r="A498" s="45"/>
      <c r="B498" s="38"/>
      <c r="D498" s="38"/>
      <c r="E498" s="74" t="str">
        <f t="array" ref="E498">IF(D498="","",IFERROR(_xlfn.XLOOKUP(D498,SyncCodex!L:L,SyncCodex!M:M),""))</f>
        <v/>
      </c>
      <c r="F498" s="38" t="b">
        <v>0</v>
      </c>
      <c r="G498" s="38" t="b">
        <v>0</v>
      </c>
    </row>
    <row r="499">
      <c r="A499" s="45"/>
      <c r="B499" s="38"/>
      <c r="D499" s="38"/>
      <c r="E499" s="74" t="str">
        <f t="array" ref="E499">IF(D499="","",IFERROR(_xlfn.XLOOKUP(D499,SyncCodex!L:L,SyncCodex!M:M),""))</f>
        <v/>
      </c>
      <c r="F499" s="38" t="b">
        <v>0</v>
      </c>
      <c r="G499" s="38" t="b">
        <v>0</v>
      </c>
    </row>
    <row r="500">
      <c r="A500" s="45"/>
      <c r="B500" s="38"/>
      <c r="D500" s="38"/>
      <c r="E500" s="74" t="str">
        <f t="array" ref="E500">IF(D500="","",IFERROR(_xlfn.XLOOKUP(D500,SyncCodex!L:L,SyncCodex!M:M),""))</f>
        <v/>
      </c>
      <c r="F500" s="38" t="b">
        <v>0</v>
      </c>
      <c r="G500" s="38" t="b">
        <v>0</v>
      </c>
    </row>
    <row r="501">
      <c r="A501" s="45"/>
      <c r="B501" s="38"/>
      <c r="D501" s="38"/>
      <c r="E501" s="74" t="str">
        <f t="array" ref="E501">IF(D501="","",IFERROR(_xlfn.XLOOKUP(D501,SyncCodex!L:L,SyncCodex!M:M),""))</f>
        <v/>
      </c>
      <c r="F501" s="38" t="b">
        <v>0</v>
      </c>
      <c r="G501" s="38" t="b">
        <v>0</v>
      </c>
    </row>
    <row r="502">
      <c r="A502" s="45"/>
      <c r="B502" s="38"/>
      <c r="D502" s="38"/>
      <c r="E502" s="74" t="str">
        <f t="array" ref="E502">IF(D502="","",IFERROR(_xlfn.XLOOKUP(D502,SyncCodex!L:L,SyncCodex!M:M),""))</f>
        <v/>
      </c>
      <c r="F502" s="38" t="b">
        <v>0</v>
      </c>
      <c r="G502" s="38" t="b">
        <v>0</v>
      </c>
    </row>
    <row r="503">
      <c r="A503" s="45"/>
      <c r="B503" s="38"/>
      <c r="D503" s="38"/>
      <c r="E503" s="74" t="str">
        <f t="array" ref="E503">IF(D503="","",IFERROR(_xlfn.XLOOKUP(D503,SyncCodex!L:L,SyncCodex!M:M),""))</f>
        <v/>
      </c>
      <c r="F503" s="38" t="b">
        <v>0</v>
      </c>
      <c r="G503" s="38" t="b">
        <v>0</v>
      </c>
    </row>
    <row r="504">
      <c r="A504" s="45"/>
      <c r="B504" s="38"/>
      <c r="D504" s="38"/>
      <c r="E504" s="74" t="str">
        <f t="array" ref="E504">IF(D504="","",IFERROR(_xlfn.XLOOKUP(D504,SyncCodex!L:L,SyncCodex!M:M),""))</f>
        <v/>
      </c>
      <c r="F504" s="38" t="b">
        <v>0</v>
      </c>
      <c r="G504" s="38" t="b">
        <v>0</v>
      </c>
    </row>
    <row r="505">
      <c r="A505" s="45"/>
      <c r="B505" s="38"/>
      <c r="D505" s="38"/>
      <c r="E505" s="74" t="str">
        <f t="array" ref="E505">IF(D505="","",IFERROR(_xlfn.XLOOKUP(D505,SyncCodex!L:L,SyncCodex!M:M),""))</f>
        <v/>
      </c>
      <c r="F505" s="38" t="b">
        <v>0</v>
      </c>
      <c r="G505" s="38" t="b">
        <v>0</v>
      </c>
    </row>
    <row r="506">
      <c r="A506" s="45"/>
      <c r="B506" s="38"/>
      <c r="D506" s="38"/>
      <c r="E506" s="74" t="str">
        <f t="array" ref="E506">IF(D506="","",IFERROR(_xlfn.XLOOKUP(D506,SyncCodex!L:L,SyncCodex!M:M),""))</f>
        <v/>
      </c>
      <c r="F506" s="38" t="b">
        <v>0</v>
      </c>
      <c r="G506" s="38" t="b">
        <v>0</v>
      </c>
    </row>
    <row r="507">
      <c r="A507" s="45"/>
      <c r="B507" s="38"/>
      <c r="D507" s="38"/>
      <c r="E507" s="74" t="str">
        <f t="array" ref="E507">IF(D507="","",IFERROR(_xlfn.XLOOKUP(D507,SyncCodex!L:L,SyncCodex!M:M),""))</f>
        <v/>
      </c>
      <c r="F507" s="38" t="b">
        <v>0</v>
      </c>
      <c r="G507" s="38" t="b">
        <v>0</v>
      </c>
    </row>
    <row r="508">
      <c r="A508" s="45"/>
      <c r="B508" s="38"/>
      <c r="D508" s="38"/>
      <c r="E508" s="74" t="str">
        <f t="array" ref="E508">IF(D508="","",IFERROR(_xlfn.XLOOKUP(D508,SyncCodex!L:L,SyncCodex!M:M),""))</f>
        <v/>
      </c>
      <c r="F508" s="38" t="b">
        <v>0</v>
      </c>
      <c r="G508" s="38" t="b">
        <v>0</v>
      </c>
    </row>
    <row r="509">
      <c r="A509" s="45"/>
      <c r="B509" s="38"/>
      <c r="D509" s="38"/>
      <c r="E509" s="74" t="str">
        <f t="array" ref="E509">IF(D509="","",IFERROR(_xlfn.XLOOKUP(D509,SyncCodex!L:L,SyncCodex!M:M),""))</f>
        <v/>
      </c>
      <c r="F509" s="38" t="b">
        <v>0</v>
      </c>
      <c r="G509" s="38" t="b">
        <v>0</v>
      </c>
    </row>
    <row r="510">
      <c r="A510" s="45"/>
      <c r="B510" s="38"/>
      <c r="D510" s="38"/>
      <c r="E510" s="74" t="str">
        <f t="array" ref="E510">IF(D510="","",IFERROR(_xlfn.XLOOKUP(D510,SyncCodex!L:L,SyncCodex!M:M),""))</f>
        <v/>
      </c>
      <c r="F510" s="38" t="b">
        <v>0</v>
      </c>
      <c r="G510" s="38" t="b">
        <v>0</v>
      </c>
    </row>
    <row r="511">
      <c r="A511" s="45"/>
      <c r="B511" s="38"/>
      <c r="D511" s="38"/>
      <c r="E511" s="74" t="str">
        <f t="array" ref="E511">IF(D511="","",IFERROR(_xlfn.XLOOKUP(D511,SyncCodex!L:L,SyncCodex!M:M),""))</f>
        <v/>
      </c>
      <c r="F511" s="38" t="b">
        <v>0</v>
      </c>
      <c r="G511" s="38" t="b">
        <v>0</v>
      </c>
    </row>
    <row r="512">
      <c r="A512" s="45"/>
      <c r="B512" s="38"/>
      <c r="D512" s="38"/>
      <c r="E512" s="74" t="str">
        <f t="array" ref="E512">IF(D512="","",IFERROR(_xlfn.XLOOKUP(D512,SyncCodex!L:L,SyncCodex!M:M),""))</f>
        <v/>
      </c>
      <c r="F512" s="38" t="b">
        <v>0</v>
      </c>
      <c r="G512" s="38" t="b">
        <v>0</v>
      </c>
    </row>
    <row r="513">
      <c r="A513" s="45"/>
      <c r="B513" s="38"/>
      <c r="D513" s="38"/>
      <c r="E513" s="74" t="str">
        <f t="array" ref="E513">IF(D513="","",IFERROR(_xlfn.XLOOKUP(D513,SyncCodex!L:L,SyncCodex!M:M),""))</f>
        <v/>
      </c>
      <c r="F513" s="38" t="b">
        <v>0</v>
      </c>
      <c r="G513" s="38" t="b">
        <v>0</v>
      </c>
    </row>
    <row r="514">
      <c r="A514" s="45"/>
      <c r="B514" s="38"/>
      <c r="D514" s="38"/>
      <c r="E514" s="74" t="str">
        <f t="array" ref="E514">IF(D514="","",IFERROR(_xlfn.XLOOKUP(D514,SyncCodex!L:L,SyncCodex!M:M),""))</f>
        <v/>
      </c>
      <c r="F514" s="38" t="b">
        <v>0</v>
      </c>
      <c r="G514" s="38" t="b">
        <v>0</v>
      </c>
    </row>
    <row r="515">
      <c r="A515" s="45"/>
      <c r="B515" s="38"/>
      <c r="D515" s="38"/>
      <c r="E515" s="74" t="str">
        <f t="array" ref="E515">IF(D515="","",IFERROR(_xlfn.XLOOKUP(D515,SyncCodex!L:L,SyncCodex!M:M),""))</f>
        <v/>
      </c>
      <c r="F515" s="38" t="b">
        <v>0</v>
      </c>
      <c r="G515" s="38" t="b">
        <v>0</v>
      </c>
    </row>
    <row r="516">
      <c r="A516" s="45"/>
      <c r="B516" s="38"/>
      <c r="D516" s="38"/>
      <c r="E516" s="74" t="str">
        <f t="array" ref="E516">IF(D516="","",IFERROR(_xlfn.XLOOKUP(D516,SyncCodex!L:L,SyncCodex!M:M),""))</f>
        <v/>
      </c>
      <c r="F516" s="38" t="b">
        <v>0</v>
      </c>
      <c r="G516" s="38" t="b">
        <v>0</v>
      </c>
    </row>
    <row r="517">
      <c r="A517" s="45"/>
      <c r="B517" s="38"/>
      <c r="D517" s="38"/>
      <c r="E517" s="74" t="str">
        <f t="array" ref="E517">IF(D517="","",IFERROR(_xlfn.XLOOKUP(D517,SyncCodex!L:L,SyncCodex!M:M),""))</f>
        <v/>
      </c>
      <c r="F517" s="38" t="b">
        <v>0</v>
      </c>
      <c r="G517" s="38" t="b">
        <v>0</v>
      </c>
    </row>
    <row r="518">
      <c r="A518" s="45"/>
      <c r="B518" s="38"/>
      <c r="D518" s="38"/>
      <c r="E518" s="74" t="str">
        <f t="array" ref="E518">IF(D518="","",IFERROR(_xlfn.XLOOKUP(D518,SyncCodex!L:L,SyncCodex!M:M),""))</f>
        <v/>
      </c>
      <c r="F518" s="38" t="b">
        <v>0</v>
      </c>
      <c r="G518" s="38" t="b">
        <v>0</v>
      </c>
    </row>
    <row r="519">
      <c r="A519" s="45"/>
      <c r="B519" s="38"/>
      <c r="D519" s="38"/>
      <c r="E519" s="74" t="str">
        <f t="array" ref="E519">IF(D519="","",IFERROR(_xlfn.XLOOKUP(D519,SyncCodex!L:L,SyncCodex!M:M),""))</f>
        <v/>
      </c>
      <c r="F519" s="38" t="b">
        <v>0</v>
      </c>
      <c r="G519" s="38" t="b">
        <v>0</v>
      </c>
    </row>
    <row r="520">
      <c r="A520" s="45"/>
      <c r="B520" s="38"/>
      <c r="D520" s="38"/>
      <c r="E520" s="74" t="str">
        <f t="array" ref="E520">IF(D520="","",IFERROR(_xlfn.XLOOKUP(D520,SyncCodex!L:L,SyncCodex!M:M),""))</f>
        <v/>
      </c>
      <c r="F520" s="38" t="b">
        <v>0</v>
      </c>
      <c r="G520" s="38" t="b">
        <v>0</v>
      </c>
    </row>
    <row r="521">
      <c r="A521" s="45"/>
      <c r="B521" s="38"/>
      <c r="D521" s="38"/>
      <c r="E521" s="74" t="str">
        <f t="array" ref="E521">IF(D521="","",IFERROR(_xlfn.XLOOKUP(D521,SyncCodex!L:L,SyncCodex!M:M),""))</f>
        <v/>
      </c>
      <c r="F521" s="38" t="b">
        <v>0</v>
      </c>
      <c r="G521" s="38" t="b">
        <v>0</v>
      </c>
    </row>
    <row r="522">
      <c r="A522" s="45"/>
      <c r="B522" s="38"/>
      <c r="D522" s="38"/>
      <c r="E522" s="74" t="str">
        <f t="array" ref="E522">IF(D522="","",IFERROR(_xlfn.XLOOKUP(D522,SyncCodex!L:L,SyncCodex!M:M),""))</f>
        <v/>
      </c>
      <c r="F522" s="38" t="b">
        <v>0</v>
      </c>
      <c r="G522" s="38" t="b">
        <v>0</v>
      </c>
    </row>
    <row r="523">
      <c r="A523" s="45"/>
      <c r="B523" s="38"/>
      <c r="D523" s="38"/>
      <c r="E523" s="74" t="str">
        <f t="array" ref="E523">IF(D523="","",IFERROR(_xlfn.XLOOKUP(D523,SyncCodex!L:L,SyncCodex!M:M),""))</f>
        <v/>
      </c>
      <c r="F523" s="38" t="b">
        <v>0</v>
      </c>
      <c r="G523" s="38" t="b">
        <v>0</v>
      </c>
    </row>
    <row r="524">
      <c r="A524" s="45"/>
      <c r="B524" s="38"/>
      <c r="D524" s="38"/>
      <c r="E524" s="74" t="str">
        <f t="array" ref="E524">IF(D524="","",IFERROR(_xlfn.XLOOKUP(D524,SyncCodex!L:L,SyncCodex!M:M),""))</f>
        <v/>
      </c>
      <c r="F524" s="38" t="b">
        <v>0</v>
      </c>
      <c r="G524" s="38" t="b">
        <v>0</v>
      </c>
    </row>
    <row r="525">
      <c r="A525" s="45"/>
      <c r="B525" s="38"/>
      <c r="D525" s="38"/>
      <c r="E525" s="74" t="str">
        <f t="array" ref="E525">IF(D525="","",IFERROR(_xlfn.XLOOKUP(D525,SyncCodex!L:L,SyncCodex!M:M),""))</f>
        <v/>
      </c>
      <c r="F525" s="38" t="b">
        <v>0</v>
      </c>
      <c r="G525" s="38" t="b">
        <v>0</v>
      </c>
    </row>
    <row r="526">
      <c r="A526" s="45"/>
      <c r="B526" s="38"/>
      <c r="D526" s="38"/>
      <c r="E526" s="74" t="str">
        <f t="array" ref="E526">IF(D526="","",IFERROR(_xlfn.XLOOKUP(D526,SyncCodex!L:L,SyncCodex!M:M),""))</f>
        <v/>
      </c>
      <c r="F526" s="38" t="b">
        <v>0</v>
      </c>
      <c r="G526" s="38" t="b">
        <v>0</v>
      </c>
    </row>
    <row r="527">
      <c r="A527" s="45"/>
      <c r="B527" s="38"/>
      <c r="D527" s="38"/>
      <c r="E527" s="74" t="str">
        <f t="array" ref="E527">IF(D527="","",IFERROR(_xlfn.XLOOKUP(D527,SyncCodex!L:L,SyncCodex!M:M),""))</f>
        <v/>
      </c>
      <c r="F527" s="38" t="b">
        <v>0</v>
      </c>
      <c r="G527" s="38" t="b">
        <v>0</v>
      </c>
    </row>
    <row r="528">
      <c r="A528" s="45"/>
      <c r="B528" s="38"/>
      <c r="D528" s="38"/>
      <c r="E528" s="74" t="str">
        <f t="array" ref="E528">IF(D528="","",IFERROR(_xlfn.XLOOKUP(D528,SyncCodex!L:L,SyncCodex!M:M),""))</f>
        <v/>
      </c>
      <c r="F528" s="38" t="b">
        <v>0</v>
      </c>
      <c r="G528" s="38" t="b">
        <v>0</v>
      </c>
    </row>
    <row r="529">
      <c r="A529" s="45"/>
      <c r="B529" s="38"/>
      <c r="D529" s="38"/>
      <c r="E529" s="74" t="str">
        <f t="array" ref="E529">IF(D529="","",IFERROR(_xlfn.XLOOKUP(D529,SyncCodex!L:L,SyncCodex!M:M),""))</f>
        <v/>
      </c>
      <c r="F529" s="38" t="b">
        <v>0</v>
      </c>
      <c r="G529" s="38" t="b">
        <v>0</v>
      </c>
    </row>
    <row r="530">
      <c r="A530" s="45"/>
      <c r="B530" s="38"/>
      <c r="D530" s="38"/>
      <c r="E530" s="74" t="str">
        <f t="array" ref="E530">IF(D530="","",IFERROR(_xlfn.XLOOKUP(D530,SyncCodex!L:L,SyncCodex!M:M),""))</f>
        <v/>
      </c>
      <c r="F530" s="38" t="b">
        <v>0</v>
      </c>
      <c r="G530" s="38" t="b">
        <v>0</v>
      </c>
    </row>
    <row r="531">
      <c r="A531" s="45"/>
      <c r="B531" s="38"/>
      <c r="D531" s="38"/>
      <c r="E531" s="74" t="str">
        <f t="array" ref="E531">IF(D531="","",IFERROR(_xlfn.XLOOKUP(D531,SyncCodex!L:L,SyncCodex!M:M),""))</f>
        <v/>
      </c>
      <c r="F531" s="38" t="b">
        <v>0</v>
      </c>
      <c r="G531" s="38" t="b">
        <v>0</v>
      </c>
    </row>
    <row r="532">
      <c r="A532" s="45"/>
      <c r="B532" s="38"/>
      <c r="D532" s="38"/>
      <c r="E532" s="74" t="str">
        <f t="array" ref="E532">IF(D532="","",IFERROR(_xlfn.XLOOKUP(D532,SyncCodex!L:L,SyncCodex!M:M),""))</f>
        <v/>
      </c>
      <c r="F532" s="38" t="b">
        <v>0</v>
      </c>
      <c r="G532" s="38" t="b">
        <v>0</v>
      </c>
    </row>
    <row r="533">
      <c r="A533" s="45"/>
      <c r="B533" s="38"/>
      <c r="D533" s="38"/>
      <c r="E533" s="74" t="str">
        <f t="array" ref="E533">IF(D533="","",IFERROR(_xlfn.XLOOKUP(D533,SyncCodex!L:L,SyncCodex!M:M),""))</f>
        <v/>
      </c>
      <c r="F533" s="38" t="b">
        <v>0</v>
      </c>
      <c r="G533" s="38" t="b">
        <v>0</v>
      </c>
    </row>
    <row r="534">
      <c r="A534" s="45"/>
      <c r="B534" s="38"/>
      <c r="D534" s="38"/>
      <c r="E534" s="74" t="str">
        <f t="array" ref="E534">IF(D534="","",IFERROR(_xlfn.XLOOKUP(D534,SyncCodex!L:L,SyncCodex!M:M),""))</f>
        <v/>
      </c>
      <c r="F534" s="38" t="b">
        <v>0</v>
      </c>
      <c r="G534" s="38" t="b">
        <v>0</v>
      </c>
    </row>
    <row r="535">
      <c r="A535" s="45"/>
      <c r="B535" s="38"/>
      <c r="D535" s="38"/>
      <c r="E535" s="74" t="str">
        <f t="array" ref="E535">IF(D535="","",IFERROR(_xlfn.XLOOKUP(D535,SyncCodex!L:L,SyncCodex!M:M),""))</f>
        <v/>
      </c>
      <c r="F535" s="38" t="b">
        <v>0</v>
      </c>
      <c r="G535" s="38" t="b">
        <v>0</v>
      </c>
    </row>
    <row r="536">
      <c r="A536" s="45"/>
      <c r="B536" s="38"/>
      <c r="D536" s="38"/>
      <c r="E536" s="74" t="str">
        <f t="array" ref="E536">IF(D536="","",IFERROR(_xlfn.XLOOKUP(D536,SyncCodex!L:L,SyncCodex!M:M),""))</f>
        <v/>
      </c>
      <c r="F536" s="38" t="b">
        <v>0</v>
      </c>
      <c r="G536" s="38" t="b">
        <v>0</v>
      </c>
    </row>
    <row r="537">
      <c r="A537" s="45"/>
      <c r="B537" s="38"/>
      <c r="D537" s="38"/>
      <c r="E537" s="74" t="str">
        <f t="array" ref="E537">IF(D537="","",IFERROR(_xlfn.XLOOKUP(D537,SyncCodex!L:L,SyncCodex!M:M),""))</f>
        <v/>
      </c>
      <c r="F537" s="38" t="b">
        <v>0</v>
      </c>
      <c r="G537" s="38" t="b">
        <v>0</v>
      </c>
    </row>
    <row r="538">
      <c r="A538" s="45"/>
      <c r="B538" s="38"/>
      <c r="D538" s="38"/>
      <c r="E538" s="74" t="str">
        <f t="array" ref="E538">IF(D538="","",IFERROR(_xlfn.XLOOKUP(D538,SyncCodex!L:L,SyncCodex!M:M),""))</f>
        <v/>
      </c>
      <c r="F538" s="38" t="b">
        <v>0</v>
      </c>
      <c r="G538" s="38" t="b">
        <v>0</v>
      </c>
    </row>
    <row r="539">
      <c r="A539" s="45"/>
      <c r="B539" s="38"/>
      <c r="D539" s="38"/>
      <c r="E539" s="74" t="str">
        <f t="array" ref="E539">IF(D539="","",IFERROR(_xlfn.XLOOKUP(D539,SyncCodex!L:L,SyncCodex!M:M),""))</f>
        <v/>
      </c>
      <c r="F539" s="38" t="b">
        <v>0</v>
      </c>
      <c r="G539" s="38" t="b">
        <v>0</v>
      </c>
    </row>
    <row r="540">
      <c r="A540" s="45"/>
      <c r="B540" s="38"/>
      <c r="D540" s="38"/>
      <c r="E540" s="74" t="str">
        <f t="array" ref="E540">IF(D540="","",IFERROR(_xlfn.XLOOKUP(D540,SyncCodex!L:L,SyncCodex!M:M),""))</f>
        <v/>
      </c>
      <c r="F540" s="38" t="b">
        <v>0</v>
      </c>
      <c r="G540" s="38" t="b">
        <v>0</v>
      </c>
    </row>
    <row r="541">
      <c r="A541" s="45"/>
      <c r="B541" s="38"/>
      <c r="D541" s="38"/>
      <c r="E541" s="74" t="str">
        <f t="array" ref="E541">IF(D541="","",IFERROR(_xlfn.XLOOKUP(D541,SyncCodex!L:L,SyncCodex!M:M),""))</f>
        <v/>
      </c>
      <c r="F541" s="38" t="b">
        <v>0</v>
      </c>
      <c r="G541" s="38" t="b">
        <v>0</v>
      </c>
    </row>
    <row r="542">
      <c r="A542" s="45"/>
      <c r="B542" s="38"/>
      <c r="D542" s="38"/>
      <c r="E542" s="74" t="str">
        <f t="array" ref="E542">IF(D542="","",IFERROR(_xlfn.XLOOKUP(D542,SyncCodex!L:L,SyncCodex!M:M),""))</f>
        <v/>
      </c>
      <c r="F542" s="38" t="b">
        <v>0</v>
      </c>
      <c r="G542" s="38" t="b">
        <v>0</v>
      </c>
    </row>
    <row r="543">
      <c r="A543" s="45"/>
      <c r="B543" s="38"/>
      <c r="D543" s="38"/>
      <c r="E543" s="74" t="str">
        <f t="array" ref="E543">IF(D543="","",IFERROR(_xlfn.XLOOKUP(D543,SyncCodex!L:L,SyncCodex!M:M),""))</f>
        <v/>
      </c>
      <c r="F543" s="38" t="b">
        <v>0</v>
      </c>
      <c r="G543" s="38" t="b">
        <v>0</v>
      </c>
    </row>
    <row r="544">
      <c r="A544" s="45"/>
      <c r="B544" s="38"/>
      <c r="D544" s="38"/>
      <c r="E544" s="74" t="str">
        <f t="array" ref="E544">IF(D544="","",IFERROR(_xlfn.XLOOKUP(D544,SyncCodex!L:L,SyncCodex!M:M),""))</f>
        <v/>
      </c>
      <c r="F544" s="38" t="b">
        <v>0</v>
      </c>
      <c r="G544" s="38" t="b">
        <v>0</v>
      </c>
    </row>
    <row r="545">
      <c r="A545" s="45"/>
      <c r="B545" s="38"/>
      <c r="D545" s="38"/>
      <c r="E545" s="74" t="str">
        <f t="array" ref="E545">IF(D545="","",IFERROR(_xlfn.XLOOKUP(D545,SyncCodex!L:L,SyncCodex!M:M),""))</f>
        <v/>
      </c>
      <c r="F545" s="38" t="b">
        <v>0</v>
      </c>
      <c r="G545" s="38" t="b">
        <v>0</v>
      </c>
    </row>
    <row r="546">
      <c r="A546" s="45"/>
      <c r="B546" s="38"/>
      <c r="D546" s="38"/>
      <c r="E546" s="74" t="str">
        <f t="array" ref="E546">IF(D546="","",IFERROR(_xlfn.XLOOKUP(D546,SyncCodex!L:L,SyncCodex!M:M),""))</f>
        <v/>
      </c>
      <c r="F546" s="38" t="b">
        <v>0</v>
      </c>
      <c r="G546" s="38" t="b">
        <v>0</v>
      </c>
    </row>
    <row r="547">
      <c r="A547" s="45"/>
      <c r="B547" s="38"/>
      <c r="D547" s="38"/>
      <c r="E547" s="74" t="str">
        <f t="array" ref="E547">IF(D547="","",IFERROR(_xlfn.XLOOKUP(D547,SyncCodex!L:L,SyncCodex!M:M),""))</f>
        <v/>
      </c>
      <c r="F547" s="38" t="b">
        <v>0</v>
      </c>
      <c r="G547" s="38" t="b">
        <v>0</v>
      </c>
    </row>
    <row r="548">
      <c r="A548" s="45"/>
      <c r="B548" s="38"/>
      <c r="D548" s="38"/>
      <c r="E548" s="74" t="str">
        <f t="array" ref="E548">IF(D548="","",IFERROR(_xlfn.XLOOKUP(D548,SyncCodex!L:L,SyncCodex!M:M),""))</f>
        <v/>
      </c>
      <c r="F548" s="38" t="b">
        <v>0</v>
      </c>
      <c r="G548" s="38" t="b">
        <v>0</v>
      </c>
    </row>
    <row r="549">
      <c r="A549" s="45"/>
      <c r="B549" s="38"/>
      <c r="D549" s="38"/>
      <c r="E549" s="74" t="str">
        <f t="array" ref="E549">IF(D549="","",IFERROR(_xlfn.XLOOKUP(D549,SyncCodex!L:L,SyncCodex!M:M),""))</f>
        <v/>
      </c>
      <c r="F549" s="38" t="b">
        <v>0</v>
      </c>
      <c r="G549" s="38" t="b">
        <v>0</v>
      </c>
    </row>
    <row r="550">
      <c r="A550" s="45"/>
      <c r="B550" s="38"/>
      <c r="D550" s="38"/>
      <c r="E550" s="74" t="str">
        <f t="array" ref="E550">IF(D550="","",IFERROR(_xlfn.XLOOKUP(D550,SyncCodex!L:L,SyncCodex!M:M),""))</f>
        <v/>
      </c>
      <c r="F550" s="38" t="b">
        <v>0</v>
      </c>
      <c r="G550" s="38" t="b">
        <v>0</v>
      </c>
    </row>
    <row r="551">
      <c r="A551" s="45"/>
      <c r="B551" s="38"/>
      <c r="D551" s="38"/>
      <c r="E551" s="74" t="str">
        <f t="array" ref="E551">IF(D551="","",IFERROR(_xlfn.XLOOKUP(D551,SyncCodex!L:L,SyncCodex!M:M),""))</f>
        <v/>
      </c>
      <c r="F551" s="38" t="b">
        <v>0</v>
      </c>
      <c r="G551" s="38" t="b">
        <v>0</v>
      </c>
    </row>
    <row r="552">
      <c r="A552" s="45"/>
      <c r="B552" s="38"/>
      <c r="D552" s="38"/>
      <c r="E552" s="74" t="str">
        <f t="array" ref="E552">IF(D552="","",IFERROR(_xlfn.XLOOKUP(D552,SyncCodex!L:L,SyncCodex!M:M),""))</f>
        <v/>
      </c>
      <c r="F552" s="38" t="b">
        <v>0</v>
      </c>
      <c r="G552" s="38" t="b">
        <v>0</v>
      </c>
    </row>
    <row r="553">
      <c r="A553" s="45"/>
      <c r="B553" s="38"/>
      <c r="D553" s="38"/>
      <c r="E553" s="74" t="str">
        <f t="array" ref="E553">IF(D553="","",IFERROR(_xlfn.XLOOKUP(D553,SyncCodex!L:L,SyncCodex!M:M),""))</f>
        <v/>
      </c>
      <c r="F553" s="38" t="b">
        <v>0</v>
      </c>
      <c r="G553" s="38" t="b">
        <v>0</v>
      </c>
    </row>
    <row r="554">
      <c r="A554" s="45"/>
      <c r="B554" s="38"/>
      <c r="D554" s="38"/>
      <c r="E554" s="74" t="str">
        <f t="array" ref="E554">IF(D554="","",IFERROR(_xlfn.XLOOKUP(D554,SyncCodex!L:L,SyncCodex!M:M),""))</f>
        <v/>
      </c>
      <c r="F554" s="38" t="b">
        <v>0</v>
      </c>
      <c r="G554" s="38" t="b">
        <v>0</v>
      </c>
    </row>
    <row r="555">
      <c r="A555" s="45"/>
      <c r="B555" s="38"/>
      <c r="D555" s="38"/>
      <c r="E555" s="74" t="str">
        <f t="array" ref="E555">IF(D555="","",IFERROR(_xlfn.XLOOKUP(D555,SyncCodex!L:L,SyncCodex!M:M),""))</f>
        <v/>
      </c>
      <c r="F555" s="38" t="b">
        <v>0</v>
      </c>
      <c r="G555" s="38" t="b">
        <v>0</v>
      </c>
    </row>
    <row r="556">
      <c r="A556" s="45"/>
      <c r="B556" s="38"/>
      <c r="D556" s="38"/>
      <c r="E556" s="74" t="str">
        <f t="array" ref="E556">IF(D556="","",IFERROR(_xlfn.XLOOKUP(D556,SyncCodex!L:L,SyncCodex!M:M),""))</f>
        <v/>
      </c>
      <c r="F556" s="38" t="b">
        <v>0</v>
      </c>
      <c r="G556" s="38" t="b">
        <v>0</v>
      </c>
    </row>
    <row r="557">
      <c r="A557" s="45"/>
      <c r="B557" s="38"/>
      <c r="D557" s="38"/>
      <c r="E557" s="74" t="str">
        <f t="array" ref="E557">IF(D557="","",IFERROR(_xlfn.XLOOKUP(D557,SyncCodex!L:L,SyncCodex!M:M),""))</f>
        <v/>
      </c>
      <c r="F557" s="38" t="b">
        <v>0</v>
      </c>
      <c r="G557" s="38" t="b">
        <v>0</v>
      </c>
    </row>
    <row r="558">
      <c r="A558" s="45"/>
      <c r="B558" s="38"/>
      <c r="D558" s="38"/>
      <c r="E558" s="74" t="str">
        <f t="array" ref="E558">IF(D558="","",IFERROR(_xlfn.XLOOKUP(D558,SyncCodex!L:L,SyncCodex!M:M),""))</f>
        <v/>
      </c>
      <c r="F558" s="38" t="b">
        <v>0</v>
      </c>
      <c r="G558" s="38" t="b">
        <v>0</v>
      </c>
    </row>
    <row r="559">
      <c r="A559" s="45"/>
      <c r="B559" s="38"/>
      <c r="D559" s="38"/>
      <c r="E559" s="74" t="str">
        <f t="array" ref="E559">IF(D559="","",IFERROR(_xlfn.XLOOKUP(D559,SyncCodex!L:L,SyncCodex!M:M),""))</f>
        <v/>
      </c>
      <c r="F559" s="38" t="b">
        <v>0</v>
      </c>
      <c r="G559" s="38" t="b">
        <v>0</v>
      </c>
    </row>
    <row r="560">
      <c r="A560" s="45"/>
      <c r="B560" s="38"/>
      <c r="D560" s="38"/>
      <c r="E560" s="74" t="str">
        <f t="array" ref="E560">IF(D560="","",IFERROR(_xlfn.XLOOKUP(D560,SyncCodex!L:L,SyncCodex!M:M),""))</f>
        <v/>
      </c>
      <c r="F560" s="38" t="b">
        <v>0</v>
      </c>
      <c r="G560" s="38" t="b">
        <v>0</v>
      </c>
    </row>
    <row r="561">
      <c r="A561" s="45"/>
      <c r="B561" s="38"/>
      <c r="D561" s="38"/>
      <c r="E561" s="74" t="str">
        <f t="array" ref="E561">IF(D561="","",IFERROR(_xlfn.XLOOKUP(D561,SyncCodex!L:L,SyncCodex!M:M),""))</f>
        <v/>
      </c>
      <c r="F561" s="38" t="b">
        <v>0</v>
      </c>
      <c r="G561" s="38" t="b">
        <v>0</v>
      </c>
    </row>
    <row r="562">
      <c r="A562" s="45"/>
      <c r="B562" s="38"/>
      <c r="D562" s="38"/>
      <c r="E562" s="74" t="str">
        <f t="array" ref="E562">IF(D562="","",IFERROR(_xlfn.XLOOKUP(D562,SyncCodex!L:L,SyncCodex!M:M),""))</f>
        <v/>
      </c>
      <c r="F562" s="38" t="b">
        <v>0</v>
      </c>
      <c r="G562" s="38" t="b">
        <v>0</v>
      </c>
    </row>
    <row r="563">
      <c r="A563" s="45"/>
      <c r="B563" s="38"/>
      <c r="D563" s="38"/>
      <c r="E563" s="74" t="str">
        <f t="array" ref="E563">IF(D563="","",IFERROR(_xlfn.XLOOKUP(D563,SyncCodex!L:L,SyncCodex!M:M),""))</f>
        <v/>
      </c>
      <c r="F563" s="38" t="b">
        <v>0</v>
      </c>
      <c r="G563" s="38" t="b">
        <v>0</v>
      </c>
    </row>
    <row r="564">
      <c r="A564" s="45"/>
      <c r="B564" s="38"/>
      <c r="D564" s="38"/>
      <c r="E564" s="74" t="str">
        <f t="array" ref="E564">IF(D564="","",IFERROR(_xlfn.XLOOKUP(D564,SyncCodex!L:L,SyncCodex!M:M),""))</f>
        <v/>
      </c>
      <c r="F564" s="38" t="b">
        <v>0</v>
      </c>
      <c r="G564" s="38" t="b">
        <v>0</v>
      </c>
    </row>
    <row r="565">
      <c r="A565" s="45"/>
      <c r="B565" s="38"/>
      <c r="D565" s="38"/>
      <c r="E565" s="74" t="str">
        <f t="array" ref="E565">IF(D565="","",IFERROR(_xlfn.XLOOKUP(D565,SyncCodex!L:L,SyncCodex!M:M),""))</f>
        <v/>
      </c>
      <c r="F565" s="38" t="b">
        <v>0</v>
      </c>
      <c r="G565" s="38" t="b">
        <v>0</v>
      </c>
    </row>
    <row r="566">
      <c r="A566" s="45"/>
      <c r="B566" s="38"/>
      <c r="D566" s="38"/>
      <c r="E566" s="74" t="str">
        <f t="array" ref="E566">IF(D566="","",IFERROR(_xlfn.XLOOKUP(D566,SyncCodex!L:L,SyncCodex!M:M),""))</f>
        <v/>
      </c>
      <c r="F566" s="38" t="b">
        <v>0</v>
      </c>
      <c r="G566" s="38" t="b">
        <v>0</v>
      </c>
    </row>
    <row r="567">
      <c r="A567" s="45"/>
      <c r="B567" s="38"/>
      <c r="D567" s="38"/>
      <c r="E567" s="74" t="str">
        <f t="array" ref="E567">IF(D567="","",IFERROR(_xlfn.XLOOKUP(D567,SyncCodex!L:L,SyncCodex!M:M),""))</f>
        <v/>
      </c>
      <c r="F567" s="38" t="b">
        <v>0</v>
      </c>
      <c r="G567" s="38" t="b">
        <v>0</v>
      </c>
    </row>
    <row r="568">
      <c r="A568" s="45"/>
      <c r="B568" s="38"/>
      <c r="D568" s="38"/>
      <c r="E568" s="74" t="str">
        <f t="array" ref="E568">IF(D568="","",IFERROR(_xlfn.XLOOKUP(D568,SyncCodex!L:L,SyncCodex!M:M),""))</f>
        <v/>
      </c>
      <c r="F568" s="38" t="b">
        <v>0</v>
      </c>
      <c r="G568" s="38" t="b">
        <v>0</v>
      </c>
    </row>
    <row r="569">
      <c r="A569" s="45"/>
      <c r="B569" s="38"/>
      <c r="D569" s="38"/>
      <c r="E569" s="74" t="str">
        <f t="array" ref="E569">IF(D569="","",IFERROR(_xlfn.XLOOKUP(D569,SyncCodex!L:L,SyncCodex!M:M),""))</f>
        <v/>
      </c>
      <c r="F569" s="38" t="b">
        <v>0</v>
      </c>
      <c r="G569" s="38" t="b">
        <v>0</v>
      </c>
    </row>
    <row r="570">
      <c r="A570" s="45"/>
      <c r="B570" s="38"/>
      <c r="D570" s="38"/>
      <c r="E570" s="74" t="str">
        <f t="array" ref="E570">IF(D570="","",IFERROR(_xlfn.XLOOKUP(D570,SyncCodex!L:L,SyncCodex!M:M),""))</f>
        <v/>
      </c>
      <c r="F570" s="38" t="b">
        <v>0</v>
      </c>
      <c r="G570" s="38" t="b">
        <v>0</v>
      </c>
    </row>
    <row r="571">
      <c r="A571" s="45"/>
      <c r="B571" s="38"/>
      <c r="D571" s="38"/>
      <c r="E571" s="74" t="str">
        <f t="array" ref="E571">IF(D571="","",IFERROR(_xlfn.XLOOKUP(D571,SyncCodex!L:L,SyncCodex!M:M),""))</f>
        <v/>
      </c>
      <c r="F571" s="38" t="b">
        <v>0</v>
      </c>
      <c r="G571" s="38" t="b">
        <v>0</v>
      </c>
    </row>
    <row r="572">
      <c r="A572" s="45"/>
      <c r="B572" s="38"/>
      <c r="D572" s="38"/>
      <c r="E572" s="74" t="str">
        <f t="array" ref="E572">IF(D572="","",IFERROR(_xlfn.XLOOKUP(D572,SyncCodex!L:L,SyncCodex!M:M),""))</f>
        <v/>
      </c>
      <c r="F572" s="38" t="b">
        <v>0</v>
      </c>
      <c r="G572" s="38" t="b">
        <v>0</v>
      </c>
    </row>
    <row r="573">
      <c r="A573" s="45"/>
      <c r="B573" s="38"/>
      <c r="D573" s="38"/>
      <c r="E573" s="74" t="str">
        <f t="array" ref="E573">IF(D573="","",IFERROR(_xlfn.XLOOKUP(D573,SyncCodex!L:L,SyncCodex!M:M),""))</f>
        <v/>
      </c>
      <c r="F573" s="38" t="b">
        <v>0</v>
      </c>
      <c r="G573" s="38" t="b">
        <v>0</v>
      </c>
    </row>
    <row r="574">
      <c r="A574" s="45"/>
      <c r="B574" s="38"/>
      <c r="D574" s="38"/>
      <c r="E574" s="74" t="str">
        <f t="array" ref="E574">IF(D574="","",IFERROR(_xlfn.XLOOKUP(D574,SyncCodex!L:L,SyncCodex!M:M),""))</f>
        <v/>
      </c>
      <c r="F574" s="38" t="b">
        <v>0</v>
      </c>
      <c r="G574" s="38" t="b">
        <v>0</v>
      </c>
    </row>
    <row r="575">
      <c r="A575" s="45"/>
      <c r="B575" s="38"/>
      <c r="D575" s="38"/>
      <c r="E575" s="74" t="str">
        <f t="array" ref="E575">IF(D575="","",IFERROR(_xlfn.XLOOKUP(D575,SyncCodex!L:L,SyncCodex!M:M),""))</f>
        <v/>
      </c>
      <c r="F575" s="38" t="b">
        <v>0</v>
      </c>
      <c r="G575" s="38" t="b">
        <v>0</v>
      </c>
    </row>
    <row r="576">
      <c r="A576" s="45"/>
      <c r="B576" s="38"/>
      <c r="D576" s="38"/>
      <c r="E576" s="74" t="str">
        <f t="array" ref="E576">IF(D576="","",IFERROR(_xlfn.XLOOKUP(D576,SyncCodex!L:L,SyncCodex!M:M),""))</f>
        <v/>
      </c>
      <c r="F576" s="38" t="b">
        <v>0</v>
      </c>
      <c r="G576" s="38" t="b">
        <v>0</v>
      </c>
    </row>
    <row r="577">
      <c r="A577" s="45"/>
      <c r="B577" s="38"/>
      <c r="D577" s="38"/>
      <c r="E577" s="74" t="str">
        <f t="array" ref="E577">IF(D577="","",IFERROR(_xlfn.XLOOKUP(D577,SyncCodex!L:L,SyncCodex!M:M),""))</f>
        <v/>
      </c>
      <c r="F577" s="38" t="b">
        <v>0</v>
      </c>
      <c r="G577" s="38" t="b">
        <v>0</v>
      </c>
    </row>
    <row r="578">
      <c r="A578" s="45"/>
      <c r="B578" s="38"/>
      <c r="D578" s="38"/>
      <c r="E578" s="74" t="str">
        <f t="array" ref="E578">IF(D578="","",IFERROR(_xlfn.XLOOKUP(D578,SyncCodex!L:L,SyncCodex!M:M),""))</f>
        <v/>
      </c>
      <c r="F578" s="38" t="b">
        <v>0</v>
      </c>
      <c r="G578" s="38" t="b">
        <v>0</v>
      </c>
    </row>
    <row r="579">
      <c r="A579" s="45"/>
      <c r="B579" s="38"/>
      <c r="D579" s="38"/>
      <c r="E579" s="74" t="str">
        <f t="array" ref="E579">IF(D579="","",IFERROR(_xlfn.XLOOKUP(D579,SyncCodex!L:L,SyncCodex!M:M),""))</f>
        <v/>
      </c>
      <c r="F579" s="38" t="b">
        <v>0</v>
      </c>
      <c r="G579" s="38" t="b">
        <v>0</v>
      </c>
    </row>
    <row r="580">
      <c r="A580" s="45"/>
      <c r="B580" s="38"/>
      <c r="D580" s="38"/>
      <c r="E580" s="74" t="str">
        <f t="array" ref="E580">IF(D580="","",IFERROR(_xlfn.XLOOKUP(D580,SyncCodex!L:L,SyncCodex!M:M),""))</f>
        <v/>
      </c>
      <c r="F580" s="38" t="b">
        <v>0</v>
      </c>
      <c r="G580" s="38" t="b">
        <v>0</v>
      </c>
    </row>
    <row r="581">
      <c r="A581" s="45"/>
      <c r="B581" s="38"/>
      <c r="D581" s="38"/>
      <c r="E581" s="74" t="str">
        <f t="array" ref="E581">IF(D581="","",IFERROR(_xlfn.XLOOKUP(D581,SyncCodex!L:L,SyncCodex!M:M),""))</f>
        <v/>
      </c>
      <c r="F581" s="38" t="b">
        <v>0</v>
      </c>
      <c r="G581" s="38" t="b">
        <v>0</v>
      </c>
    </row>
    <row r="582">
      <c r="A582" s="45"/>
      <c r="B582" s="38"/>
      <c r="D582" s="38"/>
      <c r="E582" s="74" t="str">
        <f t="array" ref="E582">IF(D582="","",IFERROR(_xlfn.XLOOKUP(D582,SyncCodex!L:L,SyncCodex!M:M),""))</f>
        <v/>
      </c>
      <c r="F582" s="38" t="b">
        <v>0</v>
      </c>
      <c r="G582" s="38" t="b">
        <v>0</v>
      </c>
    </row>
    <row r="583">
      <c r="A583" s="45"/>
      <c r="B583" s="38"/>
      <c r="D583" s="38"/>
      <c r="E583" s="74" t="str">
        <f t="array" ref="E583">IF(D583="","",IFERROR(_xlfn.XLOOKUP(D583,SyncCodex!L:L,SyncCodex!M:M),""))</f>
        <v/>
      </c>
      <c r="F583" s="38" t="b">
        <v>0</v>
      </c>
      <c r="G583" s="38" t="b">
        <v>0</v>
      </c>
    </row>
    <row r="584">
      <c r="A584" s="45"/>
      <c r="B584" s="38"/>
      <c r="D584" s="38"/>
      <c r="E584" s="74" t="str">
        <f t="array" ref="E584">IF(D584="","",IFERROR(_xlfn.XLOOKUP(D584,SyncCodex!L:L,SyncCodex!M:M),""))</f>
        <v/>
      </c>
      <c r="F584" s="38" t="b">
        <v>0</v>
      </c>
      <c r="G584" s="38" t="b">
        <v>0</v>
      </c>
    </row>
    <row r="585">
      <c r="A585" s="45"/>
      <c r="B585" s="38"/>
      <c r="D585" s="38"/>
      <c r="E585" s="74" t="str">
        <f t="array" ref="E585">IF(D585="","",IFERROR(_xlfn.XLOOKUP(D585,SyncCodex!L:L,SyncCodex!M:M),""))</f>
        <v/>
      </c>
      <c r="F585" s="38" t="b">
        <v>0</v>
      </c>
      <c r="G585" s="38" t="b">
        <v>0</v>
      </c>
    </row>
    <row r="586">
      <c r="A586" s="45"/>
      <c r="B586" s="38"/>
      <c r="D586" s="38"/>
      <c r="E586" s="74" t="str">
        <f t="array" ref="E586">IF(D586="","",IFERROR(_xlfn.XLOOKUP(D586,SyncCodex!L:L,SyncCodex!M:M),""))</f>
        <v/>
      </c>
      <c r="F586" s="38" t="b">
        <v>0</v>
      </c>
      <c r="G586" s="38" t="b">
        <v>0</v>
      </c>
    </row>
    <row r="587">
      <c r="A587" s="45"/>
      <c r="B587" s="38"/>
      <c r="D587" s="38"/>
      <c r="E587" s="74" t="str">
        <f t="array" ref="E587">IF(D587="","",IFERROR(_xlfn.XLOOKUP(D587,SyncCodex!L:L,SyncCodex!M:M),""))</f>
        <v/>
      </c>
      <c r="F587" s="38" t="b">
        <v>0</v>
      </c>
      <c r="G587" s="38" t="b">
        <v>0</v>
      </c>
    </row>
    <row r="588">
      <c r="A588" s="45"/>
      <c r="B588" s="38"/>
      <c r="D588" s="38"/>
      <c r="E588" s="74" t="str">
        <f t="array" ref="E588">IF(D588="","",IFERROR(_xlfn.XLOOKUP(D588,SyncCodex!L:L,SyncCodex!M:M),""))</f>
        <v/>
      </c>
      <c r="F588" s="38" t="b">
        <v>0</v>
      </c>
      <c r="G588" s="38" t="b">
        <v>0</v>
      </c>
    </row>
    <row r="589">
      <c r="A589" s="45"/>
      <c r="B589" s="38"/>
      <c r="D589" s="38"/>
      <c r="E589" s="74" t="str">
        <f t="array" ref="E589">IF(D589="","",IFERROR(_xlfn.XLOOKUP(D589,SyncCodex!L:L,SyncCodex!M:M),""))</f>
        <v/>
      </c>
      <c r="F589" s="38" t="b">
        <v>0</v>
      </c>
      <c r="G589" s="38" t="b">
        <v>0</v>
      </c>
    </row>
    <row r="590">
      <c r="A590" s="45"/>
      <c r="B590" s="38"/>
      <c r="D590" s="38"/>
      <c r="E590" s="74" t="str">
        <f t="array" ref="E590">IF(D590="","",IFERROR(_xlfn.XLOOKUP(D590,SyncCodex!L:L,SyncCodex!M:M),""))</f>
        <v/>
      </c>
      <c r="F590" s="38" t="b">
        <v>0</v>
      </c>
      <c r="G590" s="38" t="b">
        <v>0</v>
      </c>
    </row>
    <row r="591">
      <c r="A591" s="45"/>
      <c r="B591" s="38"/>
      <c r="D591" s="38"/>
      <c r="E591" s="74" t="str">
        <f t="array" ref="E591">IF(D591="","",IFERROR(_xlfn.XLOOKUP(D591,SyncCodex!L:L,SyncCodex!M:M),""))</f>
        <v/>
      </c>
      <c r="F591" s="38" t="b">
        <v>0</v>
      </c>
      <c r="G591" s="38" t="b">
        <v>0</v>
      </c>
    </row>
    <row r="592">
      <c r="A592" s="45"/>
      <c r="B592" s="38"/>
      <c r="D592" s="38"/>
      <c r="E592" s="74" t="str">
        <f t="array" ref="E592">IF(D592="","",IFERROR(_xlfn.XLOOKUP(D592,SyncCodex!L:L,SyncCodex!M:M),""))</f>
        <v/>
      </c>
      <c r="F592" s="38" t="b">
        <v>0</v>
      </c>
      <c r="G592" s="38" t="b">
        <v>0</v>
      </c>
    </row>
    <row r="593">
      <c r="A593" s="45"/>
      <c r="B593" s="38"/>
      <c r="D593" s="38"/>
      <c r="E593" s="74" t="str">
        <f t="array" ref="E593">IF(D593="","",IFERROR(_xlfn.XLOOKUP(D593,SyncCodex!L:L,SyncCodex!M:M),""))</f>
        <v/>
      </c>
      <c r="F593" s="38" t="b">
        <v>0</v>
      </c>
      <c r="G593" s="38" t="b">
        <v>0</v>
      </c>
    </row>
    <row r="594">
      <c r="A594" s="45"/>
      <c r="B594" s="38"/>
      <c r="D594" s="38"/>
      <c r="E594" s="74" t="str">
        <f t="array" ref="E594">IF(D594="","",IFERROR(_xlfn.XLOOKUP(D594,SyncCodex!L:L,SyncCodex!M:M),""))</f>
        <v/>
      </c>
      <c r="F594" s="38" t="b">
        <v>0</v>
      </c>
      <c r="G594" s="38" t="b">
        <v>0</v>
      </c>
    </row>
    <row r="595">
      <c r="A595" s="45"/>
      <c r="B595" s="38"/>
      <c r="D595" s="38"/>
      <c r="E595" s="74" t="str">
        <f t="array" ref="E595">IF(D595="","",IFERROR(_xlfn.XLOOKUP(D595,SyncCodex!L:L,SyncCodex!M:M),""))</f>
        <v/>
      </c>
      <c r="F595" s="38" t="b">
        <v>0</v>
      </c>
      <c r="G595" s="38" t="b">
        <v>0</v>
      </c>
    </row>
    <row r="596">
      <c r="A596" s="45"/>
      <c r="B596" s="38"/>
      <c r="D596" s="38"/>
      <c r="E596" s="74" t="str">
        <f t="array" ref="E596">IF(D596="","",IFERROR(_xlfn.XLOOKUP(D596,SyncCodex!L:L,SyncCodex!M:M),""))</f>
        <v/>
      </c>
      <c r="F596" s="38" t="b">
        <v>0</v>
      </c>
      <c r="G596" s="38" t="b">
        <v>0</v>
      </c>
    </row>
    <row r="597">
      <c r="A597" s="45"/>
      <c r="B597" s="38"/>
      <c r="D597" s="38"/>
      <c r="E597" s="74" t="str">
        <f t="array" ref="E597">IF(D597="","",IFERROR(_xlfn.XLOOKUP(D597,SyncCodex!L:L,SyncCodex!M:M),""))</f>
        <v/>
      </c>
      <c r="F597" s="38" t="b">
        <v>0</v>
      </c>
      <c r="G597" s="38" t="b">
        <v>0</v>
      </c>
    </row>
    <row r="598">
      <c r="A598" s="45"/>
      <c r="B598" s="38"/>
      <c r="D598" s="38"/>
      <c r="E598" s="74" t="str">
        <f t="array" ref="E598">IF(D598="","",IFERROR(_xlfn.XLOOKUP(D598,SyncCodex!L:L,SyncCodex!M:M),""))</f>
        <v/>
      </c>
      <c r="F598" s="38" t="b">
        <v>0</v>
      </c>
      <c r="G598" s="38" t="b">
        <v>0</v>
      </c>
    </row>
    <row r="599">
      <c r="A599" s="45"/>
      <c r="B599" s="38"/>
      <c r="D599" s="38"/>
      <c r="E599" s="74" t="str">
        <f t="array" ref="E599">IF(D599="","",IFERROR(_xlfn.XLOOKUP(D599,SyncCodex!L:L,SyncCodex!M:M),""))</f>
        <v/>
      </c>
      <c r="F599" s="38" t="b">
        <v>0</v>
      </c>
      <c r="G599" s="38" t="b">
        <v>0</v>
      </c>
    </row>
    <row r="600">
      <c r="A600" s="45"/>
      <c r="B600" s="38"/>
      <c r="D600" s="38"/>
      <c r="E600" s="74" t="str">
        <f t="array" ref="E600">IF(D600="","",IFERROR(_xlfn.XLOOKUP(D600,SyncCodex!L:L,SyncCodex!M:M),""))</f>
        <v/>
      </c>
      <c r="F600" s="38" t="b">
        <v>0</v>
      </c>
      <c r="G600" s="38" t="b">
        <v>0</v>
      </c>
    </row>
    <row r="601">
      <c r="A601" s="45"/>
      <c r="B601" s="38"/>
      <c r="D601" s="38"/>
      <c r="E601" s="74" t="str">
        <f t="array" ref="E601">IF(D601="","",IFERROR(_xlfn.XLOOKUP(D601,SyncCodex!L:L,SyncCodex!M:M),""))</f>
        <v/>
      </c>
      <c r="F601" s="38" t="b">
        <v>0</v>
      </c>
      <c r="G601" s="38" t="b">
        <v>0</v>
      </c>
    </row>
    <row r="602">
      <c r="A602" s="45"/>
      <c r="B602" s="38"/>
      <c r="D602" s="38"/>
      <c r="E602" s="74" t="str">
        <f t="array" ref="E602">IF(D602="","",IFERROR(_xlfn.XLOOKUP(D602,SyncCodex!L:L,SyncCodex!M:M),""))</f>
        <v/>
      </c>
      <c r="F602" s="38" t="b">
        <v>0</v>
      </c>
      <c r="G602" s="38" t="b">
        <v>0</v>
      </c>
    </row>
    <row r="603">
      <c r="A603" s="45"/>
      <c r="B603" s="38"/>
      <c r="D603" s="38"/>
      <c r="E603" s="74" t="str">
        <f t="array" ref="E603">IF(D603="","",IFERROR(_xlfn.XLOOKUP(D603,SyncCodex!L:L,SyncCodex!M:M),""))</f>
        <v/>
      </c>
      <c r="F603" s="38" t="b">
        <v>0</v>
      </c>
      <c r="G603" s="38" t="b">
        <v>0</v>
      </c>
    </row>
    <row r="604">
      <c r="A604" s="45"/>
      <c r="B604" s="38"/>
      <c r="D604" s="38"/>
      <c r="E604" s="74" t="str">
        <f t="array" ref="E604">IF(D604="","",IFERROR(_xlfn.XLOOKUP(D604,SyncCodex!L:L,SyncCodex!M:M),""))</f>
        <v/>
      </c>
      <c r="F604" s="38" t="b">
        <v>0</v>
      </c>
      <c r="G604" s="38" t="b">
        <v>0</v>
      </c>
    </row>
    <row r="605">
      <c r="A605" s="45"/>
      <c r="B605" s="38"/>
      <c r="D605" s="38"/>
      <c r="E605" s="74" t="str">
        <f t="array" ref="E605">IF(D605="","",IFERROR(_xlfn.XLOOKUP(D605,SyncCodex!L:L,SyncCodex!M:M),""))</f>
        <v/>
      </c>
      <c r="F605" s="38" t="b">
        <v>0</v>
      </c>
      <c r="G605" s="38" t="b">
        <v>0</v>
      </c>
    </row>
    <row r="606">
      <c r="A606" s="45"/>
      <c r="B606" s="38"/>
      <c r="D606" s="38"/>
      <c r="E606" s="74" t="str">
        <f t="array" ref="E606">IF(D606="","",IFERROR(_xlfn.XLOOKUP(D606,SyncCodex!L:L,SyncCodex!M:M),""))</f>
        <v/>
      </c>
      <c r="F606" s="38" t="b">
        <v>0</v>
      </c>
      <c r="G606" s="38" t="b">
        <v>0</v>
      </c>
    </row>
    <row r="607">
      <c r="A607" s="45"/>
      <c r="B607" s="38"/>
      <c r="D607" s="38"/>
      <c r="E607" s="74" t="str">
        <f t="array" ref="E607">IF(D607="","",IFERROR(_xlfn.XLOOKUP(D607,SyncCodex!L:L,SyncCodex!M:M),""))</f>
        <v/>
      </c>
      <c r="F607" s="38" t="b">
        <v>0</v>
      </c>
      <c r="G607" s="38" t="b">
        <v>0</v>
      </c>
    </row>
    <row r="608">
      <c r="A608" s="45"/>
      <c r="B608" s="38"/>
      <c r="D608" s="38"/>
      <c r="E608" s="74" t="str">
        <f t="array" ref="E608">IF(D608="","",IFERROR(_xlfn.XLOOKUP(D608,SyncCodex!L:L,SyncCodex!M:M),""))</f>
        <v/>
      </c>
      <c r="F608" s="38" t="b">
        <v>0</v>
      </c>
      <c r="G608" s="38" t="b">
        <v>0</v>
      </c>
    </row>
    <row r="609">
      <c r="A609" s="45"/>
      <c r="B609" s="38"/>
      <c r="D609" s="38"/>
      <c r="E609" s="74" t="str">
        <f t="array" ref="E609">IF(D609="","",IFERROR(_xlfn.XLOOKUP(D609,SyncCodex!L:L,SyncCodex!M:M),""))</f>
        <v/>
      </c>
      <c r="F609" s="38" t="b">
        <v>0</v>
      </c>
      <c r="G609" s="38" t="b">
        <v>0</v>
      </c>
    </row>
    <row r="610">
      <c r="A610" s="45"/>
      <c r="B610" s="38"/>
      <c r="D610" s="38"/>
      <c r="E610" s="74" t="str">
        <f t="array" ref="E610">IF(D610="","",IFERROR(_xlfn.XLOOKUP(D610,SyncCodex!L:L,SyncCodex!M:M),""))</f>
        <v/>
      </c>
      <c r="F610" s="38" t="b">
        <v>0</v>
      </c>
      <c r="G610" s="38" t="b">
        <v>0</v>
      </c>
    </row>
    <row r="611">
      <c r="A611" s="45"/>
      <c r="B611" s="38"/>
      <c r="D611" s="38"/>
      <c r="E611" s="74" t="str">
        <f t="array" ref="E611">IF(D611="","",IFERROR(_xlfn.XLOOKUP(D611,SyncCodex!L:L,SyncCodex!M:M),""))</f>
        <v/>
      </c>
      <c r="F611" s="38" t="b">
        <v>0</v>
      </c>
      <c r="G611" s="38" t="b">
        <v>0</v>
      </c>
    </row>
    <row r="612">
      <c r="A612" s="45"/>
      <c r="B612" s="38"/>
      <c r="D612" s="38"/>
      <c r="E612" s="74" t="str">
        <f t="array" ref="E612">IF(D612="","",IFERROR(_xlfn.XLOOKUP(D612,SyncCodex!L:L,SyncCodex!M:M),""))</f>
        <v/>
      </c>
      <c r="F612" s="38" t="b">
        <v>0</v>
      </c>
      <c r="G612" s="38" t="b">
        <v>0</v>
      </c>
    </row>
    <row r="613">
      <c r="A613" s="45"/>
      <c r="B613" s="38"/>
      <c r="D613" s="38"/>
      <c r="E613" s="74" t="str">
        <f t="array" ref="E613">IF(D613="","",IFERROR(_xlfn.XLOOKUP(D613,SyncCodex!L:L,SyncCodex!M:M),""))</f>
        <v/>
      </c>
      <c r="F613" s="38" t="b">
        <v>0</v>
      </c>
      <c r="G613" s="38" t="b">
        <v>0</v>
      </c>
    </row>
    <row r="614">
      <c r="A614" s="45"/>
      <c r="B614" s="38"/>
      <c r="D614" s="38"/>
      <c r="E614" s="74" t="str">
        <f t="array" ref="E614">IF(D614="","",IFERROR(_xlfn.XLOOKUP(D614,SyncCodex!L:L,SyncCodex!M:M),""))</f>
        <v/>
      </c>
      <c r="F614" s="38" t="b">
        <v>0</v>
      </c>
      <c r="G614" s="38" t="b">
        <v>0</v>
      </c>
    </row>
    <row r="615">
      <c r="A615" s="45"/>
      <c r="B615" s="38"/>
      <c r="D615" s="38"/>
      <c r="E615" s="74" t="str">
        <f t="array" ref="E615">IF(D615="","",IFERROR(_xlfn.XLOOKUP(D615,SyncCodex!L:L,SyncCodex!M:M),""))</f>
        <v/>
      </c>
      <c r="F615" s="38" t="b">
        <v>0</v>
      </c>
      <c r="G615" s="38" t="b">
        <v>0</v>
      </c>
    </row>
    <row r="616">
      <c r="A616" s="45"/>
      <c r="B616" s="38"/>
      <c r="D616" s="38"/>
      <c r="E616" s="74" t="str">
        <f t="array" ref="E616">IF(D616="","",IFERROR(_xlfn.XLOOKUP(D616,SyncCodex!L:L,SyncCodex!M:M),""))</f>
        <v/>
      </c>
      <c r="F616" s="38" t="b">
        <v>0</v>
      </c>
      <c r="G616" s="38" t="b">
        <v>0</v>
      </c>
    </row>
    <row r="617">
      <c r="A617" s="45"/>
      <c r="B617" s="38"/>
      <c r="D617" s="38"/>
      <c r="E617" s="74" t="str">
        <f t="array" ref="E617">IF(D617="","",IFERROR(_xlfn.XLOOKUP(D617,SyncCodex!L:L,SyncCodex!M:M),""))</f>
        <v/>
      </c>
      <c r="F617" s="38" t="b">
        <v>0</v>
      </c>
      <c r="G617" s="38" t="b">
        <v>0</v>
      </c>
    </row>
    <row r="618">
      <c r="A618" s="45"/>
      <c r="B618" s="38"/>
      <c r="D618" s="38"/>
      <c r="E618" s="74" t="str">
        <f t="array" ref="E618">IF(D618="","",IFERROR(_xlfn.XLOOKUP(D618,SyncCodex!L:L,SyncCodex!M:M),""))</f>
        <v/>
      </c>
      <c r="F618" s="38" t="b">
        <v>0</v>
      </c>
      <c r="G618" s="38" t="b">
        <v>0</v>
      </c>
    </row>
    <row r="619">
      <c r="A619" s="45"/>
      <c r="B619" s="38"/>
      <c r="D619" s="38"/>
      <c r="E619" s="74" t="str">
        <f t="array" ref="E619">IF(D619="","",IFERROR(_xlfn.XLOOKUP(D619,SyncCodex!L:L,SyncCodex!M:M),""))</f>
        <v/>
      </c>
      <c r="F619" s="38" t="b">
        <v>0</v>
      </c>
      <c r="G619" s="38" t="b">
        <v>0</v>
      </c>
    </row>
    <row r="620">
      <c r="A620" s="45"/>
      <c r="B620" s="38"/>
      <c r="D620" s="38"/>
      <c r="E620" s="74" t="str">
        <f t="array" ref="E620">IF(D620="","",IFERROR(_xlfn.XLOOKUP(D620,SyncCodex!L:L,SyncCodex!M:M),""))</f>
        <v/>
      </c>
      <c r="F620" s="38" t="b">
        <v>0</v>
      </c>
      <c r="G620" s="38" t="b">
        <v>0</v>
      </c>
    </row>
    <row r="621">
      <c r="A621" s="45"/>
      <c r="B621" s="38"/>
      <c r="D621" s="38"/>
      <c r="E621" s="74" t="str">
        <f t="array" ref="E621">IF(D621="","",IFERROR(_xlfn.XLOOKUP(D621,SyncCodex!L:L,SyncCodex!M:M),""))</f>
        <v/>
      </c>
      <c r="F621" s="38" t="b">
        <v>0</v>
      </c>
      <c r="G621" s="38" t="b">
        <v>0</v>
      </c>
    </row>
    <row r="622">
      <c r="A622" s="45"/>
      <c r="B622" s="38"/>
      <c r="D622" s="38"/>
      <c r="E622" s="74" t="str">
        <f t="array" ref="E622">IF(D622="","",IFERROR(_xlfn.XLOOKUP(D622,SyncCodex!L:L,SyncCodex!M:M),""))</f>
        <v/>
      </c>
      <c r="F622" s="38" t="b">
        <v>0</v>
      </c>
      <c r="G622" s="38" t="b">
        <v>0</v>
      </c>
    </row>
    <row r="623">
      <c r="A623" s="45"/>
      <c r="B623" s="38"/>
      <c r="D623" s="38"/>
      <c r="E623" s="74" t="str">
        <f t="array" ref="E623">IF(D623="","",IFERROR(_xlfn.XLOOKUP(D623,SyncCodex!L:L,SyncCodex!M:M),""))</f>
        <v/>
      </c>
      <c r="F623" s="38" t="b">
        <v>0</v>
      </c>
      <c r="G623" s="38" t="b">
        <v>0</v>
      </c>
    </row>
    <row r="624">
      <c r="A624" s="45"/>
      <c r="B624" s="38"/>
      <c r="D624" s="38"/>
      <c r="E624" s="74" t="str">
        <f t="array" ref="E624">IF(D624="","",IFERROR(_xlfn.XLOOKUP(D624,SyncCodex!L:L,SyncCodex!M:M),""))</f>
        <v/>
      </c>
      <c r="F624" s="38" t="b">
        <v>0</v>
      </c>
      <c r="G624" s="38" t="b">
        <v>0</v>
      </c>
    </row>
    <row r="625">
      <c r="A625" s="45"/>
      <c r="B625" s="38"/>
      <c r="D625" s="38"/>
      <c r="E625" s="74" t="str">
        <f t="array" ref="E625">IF(D625="","",IFERROR(_xlfn.XLOOKUP(D625,SyncCodex!L:L,SyncCodex!M:M),""))</f>
        <v/>
      </c>
      <c r="F625" s="38" t="b">
        <v>0</v>
      </c>
      <c r="G625" s="38" t="b">
        <v>0</v>
      </c>
    </row>
    <row r="626">
      <c r="A626" s="45"/>
      <c r="B626" s="38"/>
      <c r="D626" s="38"/>
      <c r="E626" s="74" t="str">
        <f t="array" ref="E626">IF(D626="","",IFERROR(_xlfn.XLOOKUP(D626,SyncCodex!L:L,SyncCodex!M:M),""))</f>
        <v/>
      </c>
      <c r="F626" s="38" t="b">
        <v>0</v>
      </c>
      <c r="G626" s="38" t="b">
        <v>0</v>
      </c>
    </row>
    <row r="627">
      <c r="A627" s="45"/>
      <c r="B627" s="38"/>
      <c r="D627" s="38"/>
      <c r="E627" s="74" t="str">
        <f t="array" ref="E627">IF(D627="","",IFERROR(_xlfn.XLOOKUP(D627,SyncCodex!L:L,SyncCodex!M:M),""))</f>
        <v/>
      </c>
      <c r="F627" s="38" t="b">
        <v>0</v>
      </c>
      <c r="G627" s="38" t="b">
        <v>0</v>
      </c>
    </row>
    <row r="628">
      <c r="A628" s="45"/>
      <c r="B628" s="38"/>
      <c r="D628" s="38"/>
      <c r="E628" s="74" t="str">
        <f t="array" ref="E628">IF(D628="","",IFERROR(_xlfn.XLOOKUP(D628,SyncCodex!L:L,SyncCodex!M:M),""))</f>
        <v/>
      </c>
      <c r="F628" s="38" t="b">
        <v>0</v>
      </c>
      <c r="G628" s="38" t="b">
        <v>0</v>
      </c>
    </row>
    <row r="629">
      <c r="A629" s="45"/>
      <c r="B629" s="38"/>
      <c r="D629" s="38"/>
      <c r="E629" s="74" t="str">
        <f t="array" ref="E629">IF(D629="","",IFERROR(_xlfn.XLOOKUP(D629,SyncCodex!L:L,SyncCodex!M:M),""))</f>
        <v/>
      </c>
      <c r="F629" s="38" t="b">
        <v>0</v>
      </c>
      <c r="G629" s="38" t="b">
        <v>0</v>
      </c>
    </row>
    <row r="630">
      <c r="A630" s="45"/>
      <c r="B630" s="38"/>
      <c r="D630" s="38"/>
      <c r="E630" s="74" t="str">
        <f t="array" ref="E630">IF(D630="","",IFERROR(_xlfn.XLOOKUP(D630,SyncCodex!L:L,SyncCodex!M:M),""))</f>
        <v/>
      </c>
      <c r="F630" s="38" t="b">
        <v>0</v>
      </c>
      <c r="G630" s="38" t="b">
        <v>0</v>
      </c>
    </row>
    <row r="631">
      <c r="A631" s="45"/>
      <c r="B631" s="38"/>
      <c r="D631" s="38"/>
      <c r="E631" s="74" t="str">
        <f t="array" ref="E631">IF(D631="","",IFERROR(_xlfn.XLOOKUP(D631,SyncCodex!L:L,SyncCodex!M:M),""))</f>
        <v/>
      </c>
      <c r="F631" s="38" t="b">
        <v>0</v>
      </c>
      <c r="G631" s="38" t="b">
        <v>0</v>
      </c>
    </row>
    <row r="632">
      <c r="A632" s="45"/>
      <c r="B632" s="38"/>
      <c r="D632" s="38"/>
      <c r="E632" s="74" t="str">
        <f t="array" ref="E632">IF(D632="","",IFERROR(_xlfn.XLOOKUP(D632,SyncCodex!L:L,SyncCodex!M:M),""))</f>
        <v/>
      </c>
      <c r="F632" s="38" t="b">
        <v>0</v>
      </c>
      <c r="G632" s="38" t="b">
        <v>0</v>
      </c>
    </row>
    <row r="633">
      <c r="A633" s="45"/>
      <c r="B633" s="38"/>
      <c r="D633" s="38"/>
      <c r="E633" s="74" t="str">
        <f t="array" ref="E633">IF(D633="","",IFERROR(_xlfn.XLOOKUP(D633,SyncCodex!L:L,SyncCodex!M:M),""))</f>
        <v/>
      </c>
      <c r="F633" s="38" t="b">
        <v>0</v>
      </c>
      <c r="G633" s="38" t="b">
        <v>0</v>
      </c>
    </row>
    <row r="634">
      <c r="A634" s="45"/>
      <c r="B634" s="38"/>
      <c r="D634" s="38"/>
      <c r="E634" s="74" t="str">
        <f t="array" ref="E634">IF(D634="","",IFERROR(_xlfn.XLOOKUP(D634,SyncCodex!L:L,SyncCodex!M:M),""))</f>
        <v/>
      </c>
      <c r="F634" s="38" t="b">
        <v>0</v>
      </c>
      <c r="G634" s="38" t="b">
        <v>0</v>
      </c>
    </row>
    <row r="635">
      <c r="A635" s="45"/>
      <c r="B635" s="38"/>
      <c r="D635" s="38"/>
      <c r="E635" s="74" t="str">
        <f t="array" ref="E635">IF(D635="","",IFERROR(_xlfn.XLOOKUP(D635,SyncCodex!L:L,SyncCodex!M:M),""))</f>
        <v/>
      </c>
      <c r="F635" s="38" t="b">
        <v>0</v>
      </c>
      <c r="G635" s="38" t="b">
        <v>0</v>
      </c>
    </row>
    <row r="636">
      <c r="A636" s="45"/>
      <c r="B636" s="38"/>
      <c r="D636" s="38"/>
      <c r="E636" s="74" t="str">
        <f t="array" ref="E636">IF(D636="","",IFERROR(_xlfn.XLOOKUP(D636,SyncCodex!L:L,SyncCodex!M:M),""))</f>
        <v/>
      </c>
      <c r="F636" s="38" t="b">
        <v>0</v>
      </c>
      <c r="G636" s="38" t="b">
        <v>0</v>
      </c>
    </row>
    <row r="637">
      <c r="A637" s="45"/>
      <c r="B637" s="38"/>
      <c r="D637" s="38"/>
      <c r="E637" s="74" t="str">
        <f t="array" ref="E637">IF(D637="","",IFERROR(_xlfn.XLOOKUP(D637,SyncCodex!L:L,SyncCodex!M:M),""))</f>
        <v/>
      </c>
      <c r="F637" s="38" t="b">
        <v>0</v>
      </c>
      <c r="G637" s="38" t="b">
        <v>0</v>
      </c>
    </row>
    <row r="638">
      <c r="A638" s="45"/>
      <c r="B638" s="38"/>
      <c r="D638" s="38"/>
      <c r="E638" s="74" t="str">
        <f t="array" ref="E638">IF(D638="","",IFERROR(_xlfn.XLOOKUP(D638,SyncCodex!L:L,SyncCodex!M:M),""))</f>
        <v/>
      </c>
      <c r="F638" s="38" t="b">
        <v>0</v>
      </c>
      <c r="G638" s="38" t="b">
        <v>0</v>
      </c>
    </row>
    <row r="639">
      <c r="A639" s="45"/>
      <c r="B639" s="38"/>
      <c r="D639" s="38"/>
      <c r="E639" s="74" t="str">
        <f t="array" ref="E639">IF(D639="","",IFERROR(_xlfn.XLOOKUP(D639,SyncCodex!L:L,SyncCodex!M:M),""))</f>
        <v/>
      </c>
      <c r="F639" s="38" t="b">
        <v>0</v>
      </c>
      <c r="G639" s="38" t="b">
        <v>0</v>
      </c>
    </row>
    <row r="640">
      <c r="A640" s="45"/>
      <c r="B640" s="38"/>
      <c r="D640" s="38"/>
      <c r="E640" s="74" t="str">
        <f t="array" ref="E640">IF(D640="","",IFERROR(_xlfn.XLOOKUP(D640,SyncCodex!L:L,SyncCodex!M:M),""))</f>
        <v/>
      </c>
      <c r="F640" s="38" t="b">
        <v>0</v>
      </c>
      <c r="G640" s="38" t="b">
        <v>0</v>
      </c>
    </row>
    <row r="641">
      <c r="A641" s="45"/>
      <c r="B641" s="38"/>
      <c r="D641" s="38"/>
      <c r="E641" s="74" t="str">
        <f t="array" ref="E641">IF(D641="","",IFERROR(_xlfn.XLOOKUP(D641,SyncCodex!L:L,SyncCodex!M:M),""))</f>
        <v/>
      </c>
      <c r="F641" s="38" t="b">
        <v>0</v>
      </c>
      <c r="G641" s="38" t="b">
        <v>0</v>
      </c>
    </row>
    <row r="642">
      <c r="A642" s="45"/>
      <c r="B642" s="38"/>
      <c r="D642" s="38"/>
      <c r="E642" s="74" t="str">
        <f t="array" ref="E642">IF(D642="","",IFERROR(_xlfn.XLOOKUP(D642,SyncCodex!L:L,SyncCodex!M:M),""))</f>
        <v/>
      </c>
      <c r="F642" s="38" t="b">
        <v>0</v>
      </c>
      <c r="G642" s="38" t="b">
        <v>0</v>
      </c>
    </row>
    <row r="643">
      <c r="A643" s="45"/>
      <c r="B643" s="38"/>
      <c r="D643" s="38"/>
      <c r="E643" s="74" t="str">
        <f t="array" ref="E643">IF(D643="","",IFERROR(_xlfn.XLOOKUP(D643,SyncCodex!L:L,SyncCodex!M:M),""))</f>
        <v/>
      </c>
      <c r="F643" s="38" t="b">
        <v>0</v>
      </c>
      <c r="G643" s="38" t="b">
        <v>0</v>
      </c>
    </row>
    <row r="644">
      <c r="A644" s="45"/>
      <c r="B644" s="38"/>
      <c r="D644" s="38"/>
      <c r="E644" s="74" t="str">
        <f t="array" ref="E644">IF(D644="","",IFERROR(_xlfn.XLOOKUP(D644,SyncCodex!L:L,SyncCodex!M:M),""))</f>
        <v/>
      </c>
      <c r="F644" s="38" t="b">
        <v>0</v>
      </c>
      <c r="G644" s="38" t="b">
        <v>0</v>
      </c>
    </row>
    <row r="645">
      <c r="A645" s="45"/>
      <c r="B645" s="38"/>
      <c r="D645" s="38"/>
      <c r="E645" s="74" t="str">
        <f t="array" ref="E645">IF(D645="","",IFERROR(_xlfn.XLOOKUP(D645,SyncCodex!L:L,SyncCodex!M:M),""))</f>
        <v/>
      </c>
      <c r="F645" s="38" t="b">
        <v>0</v>
      </c>
      <c r="G645" s="38" t="b">
        <v>0</v>
      </c>
    </row>
    <row r="646">
      <c r="A646" s="45"/>
      <c r="B646" s="38"/>
      <c r="D646" s="38"/>
      <c r="E646" s="74" t="str">
        <f t="array" ref="E646">IF(D646="","",IFERROR(_xlfn.XLOOKUP(D646,SyncCodex!L:L,SyncCodex!M:M),""))</f>
        <v/>
      </c>
      <c r="F646" s="38" t="b">
        <v>0</v>
      </c>
      <c r="G646" s="38" t="b">
        <v>0</v>
      </c>
    </row>
    <row r="647">
      <c r="A647" s="45"/>
      <c r="B647" s="38"/>
      <c r="D647" s="38"/>
      <c r="E647" s="74" t="str">
        <f t="array" ref="E647">IF(D647="","",IFERROR(_xlfn.XLOOKUP(D647,SyncCodex!L:L,SyncCodex!M:M),""))</f>
        <v/>
      </c>
      <c r="F647" s="38" t="b">
        <v>0</v>
      </c>
      <c r="G647" s="38" t="b">
        <v>0</v>
      </c>
    </row>
    <row r="648">
      <c r="A648" s="45"/>
      <c r="B648" s="38"/>
      <c r="D648" s="38"/>
      <c r="E648" s="74" t="str">
        <f t="array" ref="E648">IF(D648="","",IFERROR(_xlfn.XLOOKUP(D648,SyncCodex!L:L,SyncCodex!M:M),""))</f>
        <v/>
      </c>
      <c r="F648" s="38" t="b">
        <v>0</v>
      </c>
      <c r="G648" s="38" t="b">
        <v>0</v>
      </c>
    </row>
    <row r="649">
      <c r="A649" s="45"/>
      <c r="B649" s="38"/>
      <c r="D649" s="38"/>
      <c r="E649" s="74" t="str">
        <f t="array" ref="E649">IF(D649="","",IFERROR(_xlfn.XLOOKUP(D649,SyncCodex!L:L,SyncCodex!M:M),""))</f>
        <v/>
      </c>
      <c r="F649" s="38" t="b">
        <v>0</v>
      </c>
      <c r="G649" s="38" t="b">
        <v>0</v>
      </c>
    </row>
    <row r="650">
      <c r="A650" s="45"/>
      <c r="B650" s="38"/>
      <c r="D650" s="38"/>
      <c r="E650" s="74" t="str">
        <f t="array" ref="E650">IF(D650="","",IFERROR(_xlfn.XLOOKUP(D650,SyncCodex!L:L,SyncCodex!M:M),""))</f>
        <v/>
      </c>
      <c r="F650" s="38" t="b">
        <v>0</v>
      </c>
      <c r="G650" s="38" t="b">
        <v>0</v>
      </c>
    </row>
    <row r="651">
      <c r="A651" s="45"/>
      <c r="B651" s="38"/>
      <c r="D651" s="38"/>
      <c r="E651" s="74" t="str">
        <f t="array" ref="E651">IF(D651="","",IFERROR(_xlfn.XLOOKUP(D651,SyncCodex!L:L,SyncCodex!M:M),""))</f>
        <v/>
      </c>
      <c r="F651" s="38" t="b">
        <v>0</v>
      </c>
      <c r="G651" s="38" t="b">
        <v>0</v>
      </c>
    </row>
    <row r="652">
      <c r="A652" s="45"/>
      <c r="B652" s="38"/>
      <c r="D652" s="38"/>
      <c r="E652" s="74" t="str">
        <f t="array" ref="E652">IF(D652="","",IFERROR(_xlfn.XLOOKUP(D652,SyncCodex!L:L,SyncCodex!M:M),""))</f>
        <v/>
      </c>
      <c r="F652" s="38" t="b">
        <v>0</v>
      </c>
      <c r="G652" s="38" t="b">
        <v>0</v>
      </c>
    </row>
    <row r="653">
      <c r="A653" s="45"/>
      <c r="B653" s="38"/>
      <c r="D653" s="38"/>
      <c r="E653" s="74" t="str">
        <f t="array" ref="E653">IF(D653="","",IFERROR(_xlfn.XLOOKUP(D653,SyncCodex!L:L,SyncCodex!M:M),""))</f>
        <v/>
      </c>
      <c r="F653" s="38" t="b">
        <v>0</v>
      </c>
      <c r="G653" s="38" t="b">
        <v>0</v>
      </c>
    </row>
    <row r="654">
      <c r="A654" s="45"/>
      <c r="B654" s="38"/>
      <c r="D654" s="38"/>
      <c r="E654" s="74" t="str">
        <f t="array" ref="E654">IF(D654="","",IFERROR(_xlfn.XLOOKUP(D654,SyncCodex!L:L,SyncCodex!M:M),""))</f>
        <v/>
      </c>
      <c r="F654" s="38" t="b">
        <v>0</v>
      </c>
      <c r="G654" s="38" t="b">
        <v>0</v>
      </c>
    </row>
    <row r="655">
      <c r="A655" s="45"/>
      <c r="B655" s="38"/>
      <c r="D655" s="38"/>
      <c r="E655" s="74" t="str">
        <f t="array" ref="E655">IF(D655="","",IFERROR(_xlfn.XLOOKUP(D655,SyncCodex!L:L,SyncCodex!M:M),""))</f>
        <v/>
      </c>
      <c r="F655" s="38" t="b">
        <v>0</v>
      </c>
      <c r="G655" s="38" t="b">
        <v>0</v>
      </c>
    </row>
    <row r="656">
      <c r="A656" s="45"/>
      <c r="B656" s="38"/>
      <c r="D656" s="38"/>
      <c r="E656" s="74" t="str">
        <f t="array" ref="E656">IF(D656="","",IFERROR(_xlfn.XLOOKUP(D656,SyncCodex!L:L,SyncCodex!M:M),""))</f>
        <v/>
      </c>
      <c r="F656" s="38" t="b">
        <v>0</v>
      </c>
      <c r="G656" s="38" t="b">
        <v>0</v>
      </c>
    </row>
    <row r="657">
      <c r="A657" s="45"/>
      <c r="B657" s="38"/>
      <c r="D657" s="38"/>
      <c r="E657" s="74" t="str">
        <f t="array" ref="E657">IF(D657="","",IFERROR(_xlfn.XLOOKUP(D657,SyncCodex!L:L,SyncCodex!M:M),""))</f>
        <v/>
      </c>
      <c r="F657" s="38" t="b">
        <v>0</v>
      </c>
      <c r="G657" s="38" t="b">
        <v>0</v>
      </c>
    </row>
    <row r="658">
      <c r="A658" s="45"/>
      <c r="B658" s="38"/>
      <c r="D658" s="38"/>
      <c r="E658" s="74" t="str">
        <f t="array" ref="E658">IF(D658="","",IFERROR(_xlfn.XLOOKUP(D658,SyncCodex!L:L,SyncCodex!M:M),""))</f>
        <v/>
      </c>
      <c r="F658" s="38" t="b">
        <v>0</v>
      </c>
      <c r="G658" s="38" t="b">
        <v>0</v>
      </c>
    </row>
    <row r="659">
      <c r="A659" s="45"/>
      <c r="B659" s="38"/>
      <c r="D659" s="38"/>
      <c r="E659" s="74" t="str">
        <f t="array" ref="E659">IF(D659="","",IFERROR(_xlfn.XLOOKUP(D659,SyncCodex!L:L,SyncCodex!M:M),""))</f>
        <v/>
      </c>
      <c r="F659" s="38" t="b">
        <v>0</v>
      </c>
      <c r="G659" s="38" t="b">
        <v>0</v>
      </c>
    </row>
    <row r="660">
      <c r="A660" s="45"/>
      <c r="B660" s="38"/>
      <c r="D660" s="38"/>
      <c r="E660" s="74" t="str">
        <f t="array" ref="E660">IF(D660="","",IFERROR(_xlfn.XLOOKUP(D660,SyncCodex!L:L,SyncCodex!M:M),""))</f>
        <v/>
      </c>
      <c r="F660" s="38" t="b">
        <v>0</v>
      </c>
      <c r="G660" s="38" t="b">
        <v>0</v>
      </c>
    </row>
    <row r="661">
      <c r="A661" s="45"/>
      <c r="B661" s="38"/>
      <c r="D661" s="38"/>
      <c r="E661" s="74" t="str">
        <f t="array" ref="E661">IF(D661="","",IFERROR(_xlfn.XLOOKUP(D661,SyncCodex!L:L,SyncCodex!M:M),""))</f>
        <v/>
      </c>
      <c r="F661" s="38" t="b">
        <v>0</v>
      </c>
      <c r="G661" s="38" t="b">
        <v>0</v>
      </c>
    </row>
    <row r="662">
      <c r="A662" s="45"/>
      <c r="B662" s="38"/>
      <c r="D662" s="38"/>
      <c r="E662" s="74" t="str">
        <f t="array" ref="E662">IF(D662="","",IFERROR(_xlfn.XLOOKUP(D662,SyncCodex!L:L,SyncCodex!M:M),""))</f>
        <v/>
      </c>
      <c r="F662" s="38" t="b">
        <v>0</v>
      </c>
      <c r="G662" s="38" t="b">
        <v>0</v>
      </c>
    </row>
    <row r="663">
      <c r="A663" s="45"/>
      <c r="B663" s="38"/>
      <c r="D663" s="38"/>
      <c r="E663" s="74" t="str">
        <f t="array" ref="E663">IF(D663="","",IFERROR(_xlfn.XLOOKUP(D663,SyncCodex!L:L,SyncCodex!M:M),""))</f>
        <v/>
      </c>
      <c r="F663" s="38" t="b">
        <v>0</v>
      </c>
      <c r="G663" s="38" t="b">
        <v>0</v>
      </c>
    </row>
    <row r="664">
      <c r="A664" s="45"/>
      <c r="B664" s="38"/>
      <c r="D664" s="38"/>
      <c r="E664" s="74" t="str">
        <f t="array" ref="E664">IF(D664="","",IFERROR(_xlfn.XLOOKUP(D664,SyncCodex!L:L,SyncCodex!M:M),""))</f>
        <v/>
      </c>
      <c r="F664" s="38" t="b">
        <v>0</v>
      </c>
      <c r="G664" s="38" t="b">
        <v>0</v>
      </c>
    </row>
    <row r="665">
      <c r="A665" s="45"/>
      <c r="B665" s="38"/>
      <c r="D665" s="38"/>
      <c r="E665" s="74" t="str">
        <f t="array" ref="E665">IF(D665="","",IFERROR(_xlfn.XLOOKUP(D665,SyncCodex!L:L,SyncCodex!M:M),""))</f>
        <v/>
      </c>
      <c r="F665" s="38" t="b">
        <v>0</v>
      </c>
      <c r="G665" s="38" t="b">
        <v>0</v>
      </c>
    </row>
    <row r="666">
      <c r="A666" s="45"/>
      <c r="B666" s="38"/>
      <c r="D666" s="38"/>
      <c r="E666" s="74" t="str">
        <f t="array" ref="E666">IF(D666="","",IFERROR(_xlfn.XLOOKUP(D666,SyncCodex!L:L,SyncCodex!M:M),""))</f>
        <v/>
      </c>
      <c r="F666" s="38" t="b">
        <v>0</v>
      </c>
      <c r="G666" s="38" t="b">
        <v>0</v>
      </c>
    </row>
    <row r="667">
      <c r="A667" s="45"/>
      <c r="B667" s="38"/>
      <c r="D667" s="38"/>
      <c r="E667" s="74" t="str">
        <f t="array" ref="E667">IF(D667="","",IFERROR(_xlfn.XLOOKUP(D667,SyncCodex!L:L,SyncCodex!M:M),""))</f>
        <v/>
      </c>
      <c r="F667" s="38" t="b">
        <v>0</v>
      </c>
      <c r="G667" s="38" t="b">
        <v>0</v>
      </c>
    </row>
    <row r="668">
      <c r="A668" s="45"/>
      <c r="B668" s="38"/>
      <c r="D668" s="38"/>
      <c r="E668" s="74" t="str">
        <f t="array" ref="E668">IF(D668="","",IFERROR(_xlfn.XLOOKUP(D668,SyncCodex!L:L,SyncCodex!M:M),""))</f>
        <v/>
      </c>
      <c r="F668" s="38" t="b">
        <v>0</v>
      </c>
      <c r="G668" s="38" t="b">
        <v>0</v>
      </c>
    </row>
    <row r="669">
      <c r="A669" s="45"/>
      <c r="B669" s="38"/>
      <c r="D669" s="38"/>
      <c r="E669" s="74" t="str">
        <f t="array" ref="E669">IF(D669="","",IFERROR(_xlfn.XLOOKUP(D669,SyncCodex!L:L,SyncCodex!M:M),""))</f>
        <v/>
      </c>
      <c r="F669" s="38" t="b">
        <v>0</v>
      </c>
      <c r="G669" s="38" t="b">
        <v>0</v>
      </c>
    </row>
    <row r="670">
      <c r="A670" s="45"/>
      <c r="B670" s="38"/>
      <c r="D670" s="38"/>
      <c r="E670" s="74" t="str">
        <f t="array" ref="E670">IF(D670="","",IFERROR(_xlfn.XLOOKUP(D670,SyncCodex!L:L,SyncCodex!M:M),""))</f>
        <v/>
      </c>
      <c r="F670" s="38" t="b">
        <v>0</v>
      </c>
      <c r="G670" s="38" t="b">
        <v>0</v>
      </c>
    </row>
    <row r="671">
      <c r="A671" s="45"/>
      <c r="B671" s="38"/>
      <c r="D671" s="38"/>
      <c r="E671" s="74" t="str">
        <f t="array" ref="E671">IF(D671="","",IFERROR(_xlfn.XLOOKUP(D671,SyncCodex!L:L,SyncCodex!M:M),""))</f>
        <v/>
      </c>
      <c r="F671" s="38" t="b">
        <v>0</v>
      </c>
      <c r="G671" s="38" t="b">
        <v>0</v>
      </c>
    </row>
    <row r="672">
      <c r="A672" s="45"/>
      <c r="B672" s="38"/>
      <c r="D672" s="38"/>
      <c r="E672" s="74" t="str">
        <f t="array" ref="E672">IF(D672="","",IFERROR(_xlfn.XLOOKUP(D672,SyncCodex!L:L,SyncCodex!M:M),""))</f>
        <v/>
      </c>
      <c r="F672" s="38" t="b">
        <v>0</v>
      </c>
      <c r="G672" s="38" t="b">
        <v>0</v>
      </c>
    </row>
    <row r="673">
      <c r="A673" s="45"/>
      <c r="B673" s="38"/>
      <c r="D673" s="38"/>
      <c r="E673" s="74" t="str">
        <f t="array" ref="E673">IF(D673="","",IFERROR(_xlfn.XLOOKUP(D673,SyncCodex!L:L,SyncCodex!M:M),""))</f>
        <v/>
      </c>
      <c r="F673" s="38" t="b">
        <v>0</v>
      </c>
      <c r="G673" s="38" t="b">
        <v>0</v>
      </c>
    </row>
    <row r="674">
      <c r="A674" s="45"/>
      <c r="B674" s="38"/>
      <c r="D674" s="38"/>
      <c r="E674" s="74" t="str">
        <f t="array" ref="E674">IF(D674="","",IFERROR(_xlfn.XLOOKUP(D674,SyncCodex!L:L,SyncCodex!M:M),""))</f>
        <v/>
      </c>
      <c r="F674" s="38" t="b">
        <v>0</v>
      </c>
      <c r="G674" s="38" t="b">
        <v>0</v>
      </c>
    </row>
    <row r="675">
      <c r="A675" s="45"/>
      <c r="B675" s="38"/>
      <c r="D675" s="38"/>
      <c r="E675" s="74" t="str">
        <f t="array" ref="E675">IF(D675="","",IFERROR(_xlfn.XLOOKUP(D675,SyncCodex!L:L,SyncCodex!M:M),""))</f>
        <v/>
      </c>
      <c r="F675" s="38" t="b">
        <v>0</v>
      </c>
      <c r="G675" s="38" t="b">
        <v>0</v>
      </c>
    </row>
    <row r="676">
      <c r="A676" s="45"/>
      <c r="B676" s="38"/>
      <c r="D676" s="38"/>
      <c r="E676" s="74" t="str">
        <f t="array" ref="E676">IF(D676="","",IFERROR(_xlfn.XLOOKUP(D676,SyncCodex!L:L,SyncCodex!M:M),""))</f>
        <v/>
      </c>
      <c r="F676" s="38" t="b">
        <v>0</v>
      </c>
      <c r="G676" s="38" t="b">
        <v>0</v>
      </c>
    </row>
    <row r="677">
      <c r="A677" s="45"/>
      <c r="B677" s="38"/>
      <c r="D677" s="38"/>
      <c r="E677" s="74" t="str">
        <f t="array" ref="E677">IF(D677="","",IFERROR(_xlfn.XLOOKUP(D677,SyncCodex!L:L,SyncCodex!M:M),""))</f>
        <v/>
      </c>
      <c r="F677" s="38" t="b">
        <v>0</v>
      </c>
      <c r="G677" s="38" t="b">
        <v>0</v>
      </c>
    </row>
    <row r="678">
      <c r="A678" s="45"/>
      <c r="B678" s="38"/>
      <c r="D678" s="38"/>
      <c r="E678" s="74" t="str">
        <f t="array" ref="E678">IF(D678="","",IFERROR(_xlfn.XLOOKUP(D678,SyncCodex!L:L,SyncCodex!M:M),""))</f>
        <v/>
      </c>
      <c r="F678" s="38" t="b">
        <v>0</v>
      </c>
      <c r="G678" s="38" t="b">
        <v>0</v>
      </c>
    </row>
    <row r="679">
      <c r="A679" s="45"/>
      <c r="B679" s="38"/>
      <c r="D679" s="38"/>
      <c r="E679" s="74" t="str">
        <f t="array" ref="E679">IF(D679="","",IFERROR(_xlfn.XLOOKUP(D679,SyncCodex!L:L,SyncCodex!M:M),""))</f>
        <v/>
      </c>
      <c r="F679" s="38" t="b">
        <v>0</v>
      </c>
      <c r="G679" s="38" t="b">
        <v>0</v>
      </c>
    </row>
    <row r="680">
      <c r="A680" s="45"/>
      <c r="B680" s="38"/>
      <c r="D680" s="38"/>
      <c r="E680" s="74" t="str">
        <f t="array" ref="E680">IF(D680="","",IFERROR(_xlfn.XLOOKUP(D680,SyncCodex!L:L,SyncCodex!M:M),""))</f>
        <v/>
      </c>
      <c r="F680" s="38" t="b">
        <v>0</v>
      </c>
      <c r="G680" s="38" t="b">
        <v>0</v>
      </c>
    </row>
    <row r="681">
      <c r="A681" s="45"/>
      <c r="B681" s="38"/>
      <c r="D681" s="38"/>
      <c r="E681" s="74" t="str">
        <f t="array" ref="E681">IF(D681="","",IFERROR(_xlfn.XLOOKUP(D681,SyncCodex!L:L,SyncCodex!M:M),""))</f>
        <v/>
      </c>
      <c r="F681" s="38" t="b">
        <v>0</v>
      </c>
      <c r="G681" s="38" t="b">
        <v>0</v>
      </c>
    </row>
    <row r="682">
      <c r="A682" s="45"/>
      <c r="B682" s="38"/>
      <c r="D682" s="38"/>
      <c r="E682" s="74" t="str">
        <f t="array" ref="E682">IF(D682="","",IFERROR(_xlfn.XLOOKUP(D682,SyncCodex!L:L,SyncCodex!M:M),""))</f>
        <v/>
      </c>
      <c r="F682" s="38" t="b">
        <v>0</v>
      </c>
      <c r="G682" s="38" t="b">
        <v>0</v>
      </c>
    </row>
    <row r="683">
      <c r="A683" s="45"/>
      <c r="B683" s="38"/>
      <c r="D683" s="38"/>
      <c r="E683" s="74" t="str">
        <f t="array" ref="E683">IF(D683="","",IFERROR(_xlfn.XLOOKUP(D683,SyncCodex!L:L,SyncCodex!M:M),""))</f>
        <v/>
      </c>
      <c r="F683" s="38" t="b">
        <v>0</v>
      </c>
      <c r="G683" s="38" t="b">
        <v>0</v>
      </c>
    </row>
    <row r="684">
      <c r="A684" s="45"/>
      <c r="B684" s="38"/>
      <c r="D684" s="38"/>
      <c r="E684" s="74" t="str">
        <f t="array" ref="E684">IF(D684="","",IFERROR(_xlfn.XLOOKUP(D684,SyncCodex!L:L,SyncCodex!M:M),""))</f>
        <v/>
      </c>
      <c r="F684" s="38" t="b">
        <v>0</v>
      </c>
      <c r="G684" s="38" t="b">
        <v>0</v>
      </c>
    </row>
    <row r="685">
      <c r="A685" s="45"/>
      <c r="B685" s="38"/>
      <c r="D685" s="38"/>
      <c r="E685" s="74" t="str">
        <f t="array" ref="E685">IF(D685="","",IFERROR(_xlfn.XLOOKUP(D685,SyncCodex!L:L,SyncCodex!M:M),""))</f>
        <v/>
      </c>
      <c r="F685" s="38" t="b">
        <v>0</v>
      </c>
      <c r="G685" s="38" t="b">
        <v>0</v>
      </c>
    </row>
    <row r="686">
      <c r="A686" s="45"/>
      <c r="B686" s="38"/>
      <c r="D686" s="38"/>
      <c r="E686" s="74" t="str">
        <f t="array" ref="E686">IF(D686="","",IFERROR(_xlfn.XLOOKUP(D686,SyncCodex!L:L,SyncCodex!M:M),""))</f>
        <v/>
      </c>
      <c r="F686" s="38" t="b">
        <v>0</v>
      </c>
      <c r="G686" s="38" t="b">
        <v>0</v>
      </c>
    </row>
    <row r="687">
      <c r="A687" s="45"/>
      <c r="B687" s="38"/>
      <c r="D687" s="38"/>
      <c r="E687" s="74" t="str">
        <f t="array" ref="E687">IF(D687="","",IFERROR(_xlfn.XLOOKUP(D687,SyncCodex!L:L,SyncCodex!M:M),""))</f>
        <v/>
      </c>
      <c r="F687" s="38" t="b">
        <v>0</v>
      </c>
      <c r="G687" s="38" t="b">
        <v>0</v>
      </c>
    </row>
    <row r="688">
      <c r="A688" s="45"/>
      <c r="B688" s="38"/>
      <c r="D688" s="38"/>
      <c r="E688" s="74" t="str">
        <f t="array" ref="E688">IF(D688="","",IFERROR(_xlfn.XLOOKUP(D688,SyncCodex!L:L,SyncCodex!M:M),""))</f>
        <v/>
      </c>
      <c r="F688" s="38" t="b">
        <v>0</v>
      </c>
      <c r="G688" s="38" t="b">
        <v>0</v>
      </c>
    </row>
    <row r="689">
      <c r="A689" s="45"/>
      <c r="B689" s="38"/>
      <c r="D689" s="38"/>
      <c r="E689" s="74" t="str">
        <f t="array" ref="E689">IF(D689="","",IFERROR(_xlfn.XLOOKUP(D689,SyncCodex!L:L,SyncCodex!M:M),""))</f>
        <v/>
      </c>
      <c r="F689" s="38" t="b">
        <v>0</v>
      </c>
      <c r="G689" s="38" t="b">
        <v>0</v>
      </c>
    </row>
    <row r="690">
      <c r="A690" s="45"/>
      <c r="B690" s="38"/>
      <c r="D690" s="38"/>
      <c r="E690" s="74" t="str">
        <f t="array" ref="E690">IF(D690="","",IFERROR(_xlfn.XLOOKUP(D690,SyncCodex!L:L,SyncCodex!M:M),""))</f>
        <v/>
      </c>
      <c r="F690" s="38" t="b">
        <v>0</v>
      </c>
      <c r="G690" s="38" t="b">
        <v>0</v>
      </c>
    </row>
    <row r="691">
      <c r="A691" s="45"/>
      <c r="B691" s="38"/>
      <c r="D691" s="38"/>
      <c r="E691" s="74" t="str">
        <f t="array" ref="E691">IF(D691="","",IFERROR(_xlfn.XLOOKUP(D691,SyncCodex!L:L,SyncCodex!M:M),""))</f>
        <v/>
      </c>
      <c r="F691" s="38" t="b">
        <v>0</v>
      </c>
      <c r="G691" s="38" t="b">
        <v>0</v>
      </c>
    </row>
    <row r="692">
      <c r="A692" s="45"/>
      <c r="B692" s="38"/>
      <c r="D692" s="38"/>
      <c r="E692" s="74" t="str">
        <f t="array" ref="E692">IF(D692="","",IFERROR(_xlfn.XLOOKUP(D692,SyncCodex!L:L,SyncCodex!M:M),""))</f>
        <v/>
      </c>
      <c r="F692" s="38" t="b">
        <v>0</v>
      </c>
      <c r="G692" s="38" t="b">
        <v>0</v>
      </c>
    </row>
    <row r="693">
      <c r="A693" s="45"/>
      <c r="B693" s="38"/>
      <c r="D693" s="38"/>
      <c r="E693" s="74" t="str">
        <f t="array" ref="E693">IF(D693="","",IFERROR(_xlfn.XLOOKUP(D693,SyncCodex!L:L,SyncCodex!M:M),""))</f>
        <v/>
      </c>
      <c r="F693" s="38" t="b">
        <v>0</v>
      </c>
      <c r="G693" s="38" t="b">
        <v>0</v>
      </c>
    </row>
    <row r="694">
      <c r="A694" s="45"/>
      <c r="B694" s="38"/>
      <c r="D694" s="38"/>
      <c r="E694" s="74" t="str">
        <f t="array" ref="E694">IF(D694="","",IFERROR(_xlfn.XLOOKUP(D694,SyncCodex!L:L,SyncCodex!M:M),""))</f>
        <v/>
      </c>
      <c r="F694" s="38" t="b">
        <v>0</v>
      </c>
      <c r="G694" s="38" t="b">
        <v>0</v>
      </c>
    </row>
    <row r="695">
      <c r="A695" s="45"/>
      <c r="B695" s="38"/>
      <c r="D695" s="38"/>
      <c r="E695" s="74" t="str">
        <f t="array" ref="E695">IF(D695="","",IFERROR(_xlfn.XLOOKUP(D695,SyncCodex!L:L,SyncCodex!M:M),""))</f>
        <v/>
      </c>
      <c r="F695" s="38" t="b">
        <v>0</v>
      </c>
      <c r="G695" s="38" t="b">
        <v>0</v>
      </c>
    </row>
    <row r="696">
      <c r="A696" s="45"/>
      <c r="B696" s="38"/>
      <c r="D696" s="38"/>
      <c r="E696" s="74" t="str">
        <f t="array" ref="E696">IF(D696="","",IFERROR(_xlfn.XLOOKUP(D696,SyncCodex!L:L,SyncCodex!M:M),""))</f>
        <v/>
      </c>
      <c r="F696" s="38" t="b">
        <v>0</v>
      </c>
      <c r="G696" s="38" t="b">
        <v>0</v>
      </c>
    </row>
    <row r="697">
      <c r="A697" s="45"/>
      <c r="B697" s="38"/>
      <c r="D697" s="38"/>
      <c r="E697" s="74" t="str">
        <f t="array" ref="E697">IF(D697="","",IFERROR(_xlfn.XLOOKUP(D697,SyncCodex!L:L,SyncCodex!M:M),""))</f>
        <v/>
      </c>
      <c r="F697" s="38" t="b">
        <v>0</v>
      </c>
      <c r="G697" s="38" t="b">
        <v>0</v>
      </c>
    </row>
    <row r="698">
      <c r="A698" s="45"/>
      <c r="B698" s="38"/>
      <c r="D698" s="38"/>
      <c r="E698" s="74" t="str">
        <f t="array" ref="E698">IF(D698="","",IFERROR(_xlfn.XLOOKUP(D698,SyncCodex!L:L,SyncCodex!M:M),""))</f>
        <v/>
      </c>
      <c r="F698" s="38" t="b">
        <v>0</v>
      </c>
      <c r="G698" s="38" t="b">
        <v>0</v>
      </c>
    </row>
    <row r="699">
      <c r="A699" s="45"/>
      <c r="B699" s="38"/>
      <c r="D699" s="38"/>
      <c r="E699" s="74" t="str">
        <f t="array" ref="E699">IF(D699="","",IFERROR(_xlfn.XLOOKUP(D699,SyncCodex!L:L,SyncCodex!M:M),""))</f>
        <v/>
      </c>
      <c r="F699" s="38" t="b">
        <v>0</v>
      </c>
      <c r="G699" s="38" t="b">
        <v>0</v>
      </c>
    </row>
    <row r="700">
      <c r="A700" s="45"/>
      <c r="B700" s="38"/>
      <c r="D700" s="38"/>
      <c r="E700" s="74" t="str">
        <f t="array" ref="E700">IF(D700="","",IFERROR(_xlfn.XLOOKUP(D700,SyncCodex!L:L,SyncCodex!M:M),""))</f>
        <v/>
      </c>
      <c r="F700" s="38" t="b">
        <v>0</v>
      </c>
      <c r="G700" s="38" t="b">
        <v>0</v>
      </c>
    </row>
    <row r="701">
      <c r="A701" s="45"/>
      <c r="B701" s="38"/>
      <c r="D701" s="38"/>
      <c r="E701" s="74" t="str">
        <f t="array" ref="E701">IF(D701="","",IFERROR(_xlfn.XLOOKUP(D701,SyncCodex!L:L,SyncCodex!M:M),""))</f>
        <v/>
      </c>
      <c r="F701" s="38" t="b">
        <v>0</v>
      </c>
      <c r="G701" s="38" t="b">
        <v>0</v>
      </c>
    </row>
    <row r="702">
      <c r="A702" s="45"/>
      <c r="B702" s="38"/>
      <c r="D702" s="38"/>
      <c r="E702" s="74" t="str">
        <f t="array" ref="E702">IF(D702="","",IFERROR(_xlfn.XLOOKUP(D702,SyncCodex!L:L,SyncCodex!M:M),""))</f>
        <v/>
      </c>
      <c r="F702" s="38" t="b">
        <v>0</v>
      </c>
      <c r="G702" s="38" t="b">
        <v>0</v>
      </c>
    </row>
    <row r="703">
      <c r="A703" s="45"/>
      <c r="B703" s="38"/>
      <c r="D703" s="38"/>
      <c r="E703" s="74" t="str">
        <f t="array" ref="E703">IF(D703="","",IFERROR(_xlfn.XLOOKUP(D703,SyncCodex!L:L,SyncCodex!M:M),""))</f>
        <v/>
      </c>
      <c r="F703" s="38" t="b">
        <v>0</v>
      </c>
      <c r="G703" s="38" t="b">
        <v>0</v>
      </c>
    </row>
    <row r="704">
      <c r="A704" s="45"/>
      <c r="B704" s="38"/>
      <c r="D704" s="38"/>
      <c r="E704" s="74" t="str">
        <f t="array" ref="E704">IF(D704="","",IFERROR(_xlfn.XLOOKUP(D704,SyncCodex!L:L,SyncCodex!M:M),""))</f>
        <v/>
      </c>
      <c r="F704" s="38" t="b">
        <v>0</v>
      </c>
      <c r="G704" s="38" t="b">
        <v>0</v>
      </c>
    </row>
    <row r="705">
      <c r="A705" s="45"/>
      <c r="B705" s="38"/>
      <c r="D705" s="38"/>
      <c r="E705" s="74" t="str">
        <f t="array" ref="E705">IF(D705="","",IFERROR(_xlfn.XLOOKUP(D705,SyncCodex!L:L,SyncCodex!M:M),""))</f>
        <v/>
      </c>
      <c r="F705" s="38" t="b">
        <v>0</v>
      </c>
      <c r="G705" s="38" t="b">
        <v>0</v>
      </c>
    </row>
    <row r="706">
      <c r="A706" s="45"/>
      <c r="B706" s="38"/>
      <c r="D706" s="38"/>
      <c r="E706" s="74" t="str">
        <f t="array" ref="E706">IF(D706="","",IFERROR(_xlfn.XLOOKUP(D706,SyncCodex!L:L,SyncCodex!M:M),""))</f>
        <v/>
      </c>
      <c r="F706" s="38" t="b">
        <v>0</v>
      </c>
      <c r="G706" s="38" t="b">
        <v>0</v>
      </c>
    </row>
    <row r="707">
      <c r="A707" s="45"/>
      <c r="B707" s="38"/>
      <c r="D707" s="38"/>
      <c r="E707" s="74" t="str">
        <f t="array" ref="E707">IF(D707="","",IFERROR(_xlfn.XLOOKUP(D707,SyncCodex!L:L,SyncCodex!M:M),""))</f>
        <v/>
      </c>
      <c r="F707" s="38" t="b">
        <v>0</v>
      </c>
      <c r="G707" s="38" t="b">
        <v>0</v>
      </c>
    </row>
    <row r="708">
      <c r="A708" s="45"/>
      <c r="B708" s="38"/>
      <c r="D708" s="38"/>
      <c r="E708" s="74" t="str">
        <f t="array" ref="E708">IF(D708="","",IFERROR(_xlfn.XLOOKUP(D708,SyncCodex!L:L,SyncCodex!M:M),""))</f>
        <v/>
      </c>
      <c r="F708" s="38" t="b">
        <v>0</v>
      </c>
      <c r="G708" s="38" t="b">
        <v>0</v>
      </c>
    </row>
    <row r="709">
      <c r="A709" s="45"/>
      <c r="B709" s="38"/>
      <c r="D709" s="38"/>
      <c r="E709" s="74" t="str">
        <f t="array" ref="E709">IF(D709="","",IFERROR(_xlfn.XLOOKUP(D709,SyncCodex!L:L,SyncCodex!M:M),""))</f>
        <v/>
      </c>
      <c r="F709" s="38" t="b">
        <v>0</v>
      </c>
      <c r="G709" s="38" t="b">
        <v>0</v>
      </c>
    </row>
    <row r="710">
      <c r="A710" s="45"/>
      <c r="B710" s="38"/>
      <c r="D710" s="38"/>
      <c r="E710" s="74" t="str">
        <f t="array" ref="E710">IF(D710="","",IFERROR(_xlfn.XLOOKUP(D710,SyncCodex!L:L,SyncCodex!M:M),""))</f>
        <v/>
      </c>
      <c r="F710" s="38" t="b">
        <v>0</v>
      </c>
      <c r="G710" s="38" t="b">
        <v>0</v>
      </c>
    </row>
    <row r="711">
      <c r="A711" s="45"/>
      <c r="B711" s="38"/>
      <c r="D711" s="38"/>
      <c r="E711" s="74" t="str">
        <f t="array" ref="E711">IF(D711="","",IFERROR(_xlfn.XLOOKUP(D711,SyncCodex!L:L,SyncCodex!M:M),""))</f>
        <v/>
      </c>
      <c r="F711" s="38" t="b">
        <v>0</v>
      </c>
      <c r="G711" s="38" t="b">
        <v>0</v>
      </c>
    </row>
    <row r="712">
      <c r="A712" s="45"/>
      <c r="B712" s="38"/>
      <c r="D712" s="38"/>
      <c r="E712" s="74" t="str">
        <f t="array" ref="E712">IF(D712="","",IFERROR(_xlfn.XLOOKUP(D712,SyncCodex!L:L,SyncCodex!M:M),""))</f>
        <v/>
      </c>
      <c r="F712" s="38" t="b">
        <v>0</v>
      </c>
      <c r="G712" s="38" t="b">
        <v>0</v>
      </c>
    </row>
    <row r="713">
      <c r="A713" s="45"/>
      <c r="B713" s="38"/>
      <c r="D713" s="38"/>
      <c r="E713" s="74" t="str">
        <f t="array" ref="E713">IF(D713="","",IFERROR(_xlfn.XLOOKUP(D713,SyncCodex!L:L,SyncCodex!M:M),""))</f>
        <v/>
      </c>
      <c r="F713" s="38" t="b">
        <v>0</v>
      </c>
      <c r="G713" s="38" t="b">
        <v>0</v>
      </c>
    </row>
    <row r="714">
      <c r="A714" s="45"/>
      <c r="B714" s="38"/>
      <c r="D714" s="38"/>
      <c r="E714" s="74" t="str">
        <f t="array" ref="E714">IF(D714="","",IFERROR(_xlfn.XLOOKUP(D714,SyncCodex!L:L,SyncCodex!M:M),""))</f>
        <v/>
      </c>
      <c r="F714" s="38" t="b">
        <v>0</v>
      </c>
      <c r="G714" s="38" t="b">
        <v>0</v>
      </c>
    </row>
    <row r="715">
      <c r="A715" s="45"/>
      <c r="B715" s="38"/>
      <c r="D715" s="38"/>
      <c r="E715" s="74" t="str">
        <f t="array" ref="E715">IF(D715="","",IFERROR(_xlfn.XLOOKUP(D715,SyncCodex!L:L,SyncCodex!M:M),""))</f>
        <v/>
      </c>
      <c r="F715" s="38" t="b">
        <v>0</v>
      </c>
      <c r="G715" s="38" t="b">
        <v>0</v>
      </c>
    </row>
    <row r="716">
      <c r="A716" s="45"/>
      <c r="B716" s="38"/>
      <c r="D716" s="38"/>
      <c r="E716" s="74" t="str">
        <f t="array" ref="E716">IF(D716="","",IFERROR(_xlfn.XLOOKUP(D716,SyncCodex!L:L,SyncCodex!M:M),""))</f>
        <v/>
      </c>
      <c r="F716" s="38" t="b">
        <v>0</v>
      </c>
      <c r="G716" s="38" t="b">
        <v>0</v>
      </c>
    </row>
    <row r="717">
      <c r="A717" s="45"/>
      <c r="B717" s="38"/>
      <c r="D717" s="38"/>
      <c r="E717" s="74" t="str">
        <f t="array" ref="E717">IF(D717="","",IFERROR(_xlfn.XLOOKUP(D717,SyncCodex!L:L,SyncCodex!M:M),""))</f>
        <v/>
      </c>
      <c r="F717" s="38" t="b">
        <v>0</v>
      </c>
      <c r="G717" s="38" t="b">
        <v>0</v>
      </c>
    </row>
    <row r="718">
      <c r="A718" s="45"/>
      <c r="B718" s="38"/>
      <c r="D718" s="38"/>
      <c r="E718" s="74" t="str">
        <f t="array" ref="E718">IF(D718="","",IFERROR(_xlfn.XLOOKUP(D718,SyncCodex!L:L,SyncCodex!M:M),""))</f>
        <v/>
      </c>
      <c r="F718" s="38" t="b">
        <v>0</v>
      </c>
      <c r="G718" s="38" t="b">
        <v>0</v>
      </c>
    </row>
    <row r="719">
      <c r="A719" s="45"/>
      <c r="B719" s="38"/>
      <c r="D719" s="38"/>
      <c r="E719" s="74" t="str">
        <f t="array" ref="E719">IF(D719="","",IFERROR(_xlfn.XLOOKUP(D719,SyncCodex!L:L,SyncCodex!M:M),""))</f>
        <v/>
      </c>
      <c r="F719" s="38" t="b">
        <v>0</v>
      </c>
      <c r="G719" s="38" t="b">
        <v>0</v>
      </c>
    </row>
    <row r="720">
      <c r="A720" s="45"/>
      <c r="B720" s="38"/>
      <c r="D720" s="38"/>
      <c r="E720" s="74" t="str">
        <f t="array" ref="E720">IF(D720="","",IFERROR(_xlfn.XLOOKUP(D720,SyncCodex!L:L,SyncCodex!M:M),""))</f>
        <v/>
      </c>
      <c r="F720" s="38" t="b">
        <v>0</v>
      </c>
      <c r="G720" s="38" t="b">
        <v>0</v>
      </c>
    </row>
    <row r="721">
      <c r="A721" s="45"/>
      <c r="B721" s="38"/>
      <c r="D721" s="38"/>
      <c r="E721" s="74" t="str">
        <f t="array" ref="E721">IF(D721="","",IFERROR(_xlfn.XLOOKUP(D721,SyncCodex!L:L,SyncCodex!M:M),""))</f>
        <v/>
      </c>
      <c r="F721" s="38" t="b">
        <v>0</v>
      </c>
      <c r="G721" s="38" t="b">
        <v>0</v>
      </c>
    </row>
    <row r="722">
      <c r="A722" s="45"/>
      <c r="B722" s="38"/>
      <c r="D722" s="38"/>
      <c r="E722" s="74" t="str">
        <f t="array" ref="E722">IF(D722="","",IFERROR(_xlfn.XLOOKUP(D722,SyncCodex!L:L,SyncCodex!M:M),""))</f>
        <v/>
      </c>
      <c r="F722" s="38" t="b">
        <v>0</v>
      </c>
      <c r="G722" s="38" t="b">
        <v>0</v>
      </c>
    </row>
    <row r="723">
      <c r="A723" s="45"/>
      <c r="B723" s="38"/>
      <c r="D723" s="38"/>
      <c r="E723" s="74" t="str">
        <f t="array" ref="E723">IF(D723="","",IFERROR(_xlfn.XLOOKUP(D723,SyncCodex!L:L,SyncCodex!M:M),""))</f>
        <v/>
      </c>
      <c r="F723" s="38" t="b">
        <v>0</v>
      </c>
      <c r="G723" s="38" t="b">
        <v>0</v>
      </c>
    </row>
    <row r="724">
      <c r="A724" s="45"/>
      <c r="B724" s="38"/>
      <c r="D724" s="38"/>
      <c r="E724" s="74" t="str">
        <f t="array" ref="E724">IF(D724="","",IFERROR(_xlfn.XLOOKUP(D724,SyncCodex!L:L,SyncCodex!M:M),""))</f>
        <v/>
      </c>
      <c r="F724" s="38" t="b">
        <v>0</v>
      </c>
      <c r="G724" s="38" t="b">
        <v>0</v>
      </c>
    </row>
    <row r="725">
      <c r="A725" s="45"/>
      <c r="B725" s="38"/>
      <c r="D725" s="38"/>
      <c r="E725" s="74" t="str">
        <f t="array" ref="E725">IF(D725="","",IFERROR(_xlfn.XLOOKUP(D725,SyncCodex!L:L,SyncCodex!M:M),""))</f>
        <v/>
      </c>
      <c r="F725" s="38" t="b">
        <v>0</v>
      </c>
      <c r="G725" s="38" t="b">
        <v>0</v>
      </c>
    </row>
    <row r="726">
      <c r="A726" s="45"/>
      <c r="B726" s="38"/>
      <c r="D726" s="38"/>
      <c r="E726" s="74" t="str">
        <f t="array" ref="E726">IF(D726="","",IFERROR(_xlfn.XLOOKUP(D726,SyncCodex!L:L,SyncCodex!M:M),""))</f>
        <v/>
      </c>
      <c r="F726" s="38" t="b">
        <v>0</v>
      </c>
      <c r="G726" s="38" t="b">
        <v>0</v>
      </c>
    </row>
    <row r="727">
      <c r="A727" s="45"/>
      <c r="B727" s="38"/>
      <c r="D727" s="38"/>
      <c r="E727" s="74" t="str">
        <f t="array" ref="E727">IF(D727="","",IFERROR(_xlfn.XLOOKUP(D727,SyncCodex!L:L,SyncCodex!M:M),""))</f>
        <v/>
      </c>
      <c r="F727" s="38" t="b">
        <v>0</v>
      </c>
      <c r="G727" s="38" t="b">
        <v>0</v>
      </c>
    </row>
    <row r="728">
      <c r="A728" s="45"/>
      <c r="B728" s="38"/>
      <c r="D728" s="38"/>
      <c r="E728" s="74" t="str">
        <f t="array" ref="E728">IF(D728="","",IFERROR(_xlfn.XLOOKUP(D728,SyncCodex!L:L,SyncCodex!M:M),""))</f>
        <v/>
      </c>
      <c r="F728" s="38" t="b">
        <v>0</v>
      </c>
      <c r="G728" s="38" t="b">
        <v>0</v>
      </c>
    </row>
    <row r="729">
      <c r="A729" s="45"/>
      <c r="B729" s="38"/>
      <c r="D729" s="38"/>
      <c r="E729" s="74" t="str">
        <f t="array" ref="E729">IF(D729="","",IFERROR(_xlfn.XLOOKUP(D729,SyncCodex!L:L,SyncCodex!M:M),""))</f>
        <v/>
      </c>
      <c r="F729" s="38" t="b">
        <v>0</v>
      </c>
      <c r="G729" s="38" t="b">
        <v>0</v>
      </c>
    </row>
    <row r="730">
      <c r="A730" s="45"/>
      <c r="B730" s="38"/>
      <c r="D730" s="38"/>
      <c r="E730" s="74" t="str">
        <f t="array" ref="E730">IF(D730="","",IFERROR(_xlfn.XLOOKUP(D730,SyncCodex!L:L,SyncCodex!M:M),""))</f>
        <v/>
      </c>
      <c r="F730" s="38" t="b">
        <v>0</v>
      </c>
      <c r="G730" s="38" t="b">
        <v>0</v>
      </c>
    </row>
    <row r="731">
      <c r="A731" s="45"/>
      <c r="B731" s="38"/>
      <c r="D731" s="38"/>
      <c r="E731" s="74" t="str">
        <f t="array" ref="E731">IF(D731="","",IFERROR(_xlfn.XLOOKUP(D731,SyncCodex!L:L,SyncCodex!M:M),""))</f>
        <v/>
      </c>
      <c r="F731" s="38" t="b">
        <v>0</v>
      </c>
      <c r="G731" s="38" t="b">
        <v>0</v>
      </c>
    </row>
    <row r="732">
      <c r="A732" s="45"/>
      <c r="B732" s="38"/>
      <c r="D732" s="38"/>
      <c r="E732" s="74" t="str">
        <f t="array" ref="E732">IF(D732="","",IFERROR(_xlfn.XLOOKUP(D732,SyncCodex!L:L,SyncCodex!M:M),""))</f>
        <v/>
      </c>
      <c r="F732" s="38" t="b">
        <v>0</v>
      </c>
      <c r="G732" s="38" t="b">
        <v>0</v>
      </c>
    </row>
    <row r="733">
      <c r="A733" s="45"/>
      <c r="B733" s="38"/>
      <c r="D733" s="38"/>
      <c r="E733" s="74" t="str">
        <f t="array" ref="E733">IF(D733="","",IFERROR(_xlfn.XLOOKUP(D733,SyncCodex!L:L,SyncCodex!M:M),""))</f>
        <v/>
      </c>
      <c r="F733" s="38" t="b">
        <v>0</v>
      </c>
      <c r="G733" s="38" t="b">
        <v>0</v>
      </c>
    </row>
    <row r="734">
      <c r="A734" s="45"/>
      <c r="B734" s="38"/>
      <c r="D734" s="38"/>
      <c r="E734" s="74" t="str">
        <f t="array" ref="E734">IF(D734="","",IFERROR(_xlfn.XLOOKUP(D734,SyncCodex!L:L,SyncCodex!M:M),""))</f>
        <v/>
      </c>
      <c r="F734" s="38" t="b">
        <v>0</v>
      </c>
      <c r="G734" s="38" t="b">
        <v>0</v>
      </c>
    </row>
    <row r="735">
      <c r="A735" s="45"/>
      <c r="B735" s="38"/>
      <c r="D735" s="38"/>
      <c r="E735" s="74" t="str">
        <f t="array" ref="E735">IF(D735="","",IFERROR(_xlfn.XLOOKUP(D735,SyncCodex!L:L,SyncCodex!M:M),""))</f>
        <v/>
      </c>
      <c r="F735" s="38" t="b">
        <v>0</v>
      </c>
      <c r="G735" s="38" t="b">
        <v>0</v>
      </c>
    </row>
    <row r="736">
      <c r="A736" s="45"/>
      <c r="B736" s="38"/>
      <c r="D736" s="38"/>
      <c r="E736" s="74" t="str">
        <f t="array" ref="E736">IF(D736="","",IFERROR(_xlfn.XLOOKUP(D736,SyncCodex!L:L,SyncCodex!M:M),""))</f>
        <v/>
      </c>
      <c r="F736" s="38" t="b">
        <v>0</v>
      </c>
      <c r="G736" s="38" t="b">
        <v>0</v>
      </c>
    </row>
    <row r="737">
      <c r="A737" s="45"/>
      <c r="B737" s="38"/>
      <c r="D737" s="38"/>
      <c r="E737" s="74" t="str">
        <f t="array" ref="E737">IF(D737="","",IFERROR(_xlfn.XLOOKUP(D737,SyncCodex!L:L,SyncCodex!M:M),""))</f>
        <v/>
      </c>
      <c r="F737" s="38" t="b">
        <v>0</v>
      </c>
      <c r="G737" s="38" t="b">
        <v>0</v>
      </c>
    </row>
    <row r="738">
      <c r="A738" s="45"/>
      <c r="B738" s="38"/>
      <c r="D738" s="38"/>
      <c r="E738" s="74" t="str">
        <f t="array" ref="E738">IF(D738="","",IFERROR(_xlfn.XLOOKUP(D738,SyncCodex!L:L,SyncCodex!M:M),""))</f>
        <v/>
      </c>
      <c r="F738" s="38" t="b">
        <v>0</v>
      </c>
      <c r="G738" s="38" t="b">
        <v>0</v>
      </c>
    </row>
    <row r="739">
      <c r="A739" s="45"/>
      <c r="B739" s="38"/>
      <c r="D739" s="38"/>
      <c r="E739" s="74" t="str">
        <f t="array" ref="E739">IF(D739="","",IFERROR(_xlfn.XLOOKUP(D739,SyncCodex!L:L,SyncCodex!M:M),""))</f>
        <v/>
      </c>
      <c r="F739" s="38" t="b">
        <v>0</v>
      </c>
      <c r="G739" s="38" t="b">
        <v>0</v>
      </c>
    </row>
    <row r="740">
      <c r="A740" s="45"/>
      <c r="B740" s="38"/>
      <c r="D740" s="38"/>
      <c r="E740" s="74" t="str">
        <f t="array" ref="E740">IF(D740="","",IFERROR(_xlfn.XLOOKUP(D740,SyncCodex!L:L,SyncCodex!M:M),""))</f>
        <v/>
      </c>
      <c r="F740" s="38" t="b">
        <v>0</v>
      </c>
      <c r="G740" s="38" t="b">
        <v>0</v>
      </c>
    </row>
    <row r="741">
      <c r="A741" s="45"/>
      <c r="B741" s="38"/>
      <c r="D741" s="38"/>
      <c r="E741" s="74" t="str">
        <f t="array" ref="E741">IF(D741="","",IFERROR(_xlfn.XLOOKUP(D741,SyncCodex!L:L,SyncCodex!M:M),""))</f>
        <v/>
      </c>
      <c r="F741" s="38" t="b">
        <v>0</v>
      </c>
      <c r="G741" s="38" t="b">
        <v>0</v>
      </c>
    </row>
    <row r="742">
      <c r="A742" s="45"/>
      <c r="B742" s="38"/>
      <c r="D742" s="38"/>
      <c r="E742" s="74" t="str">
        <f t="array" ref="E742">IF(D742="","",IFERROR(_xlfn.XLOOKUP(D742,SyncCodex!L:L,SyncCodex!M:M),""))</f>
        <v/>
      </c>
      <c r="F742" s="38" t="b">
        <v>0</v>
      </c>
      <c r="G742" s="38" t="b">
        <v>0</v>
      </c>
    </row>
    <row r="743">
      <c r="A743" s="45"/>
      <c r="B743" s="38"/>
      <c r="D743" s="38"/>
      <c r="E743" s="74" t="str">
        <f t="array" ref="E743">IF(D743="","",IFERROR(_xlfn.XLOOKUP(D743,SyncCodex!L:L,SyncCodex!M:M),""))</f>
        <v/>
      </c>
      <c r="F743" s="38" t="b">
        <v>0</v>
      </c>
      <c r="G743" s="38" t="b">
        <v>0</v>
      </c>
    </row>
    <row r="744">
      <c r="A744" s="45"/>
      <c r="B744" s="38"/>
      <c r="D744" s="38"/>
      <c r="E744" s="74" t="str">
        <f t="array" ref="E744">IF(D744="","",IFERROR(_xlfn.XLOOKUP(D744,SyncCodex!L:L,SyncCodex!M:M),""))</f>
        <v/>
      </c>
      <c r="F744" s="38" t="b">
        <v>0</v>
      </c>
      <c r="G744" s="38" t="b">
        <v>0</v>
      </c>
    </row>
    <row r="745">
      <c r="A745" s="45"/>
      <c r="B745" s="38"/>
      <c r="D745" s="38"/>
      <c r="E745" s="74" t="str">
        <f t="array" ref="E745">IF(D745="","",IFERROR(_xlfn.XLOOKUP(D745,SyncCodex!L:L,SyncCodex!M:M),""))</f>
        <v/>
      </c>
      <c r="F745" s="38" t="b">
        <v>0</v>
      </c>
      <c r="G745" s="38" t="b">
        <v>0</v>
      </c>
    </row>
    <row r="746">
      <c r="A746" s="45"/>
      <c r="B746" s="38"/>
      <c r="D746" s="38"/>
      <c r="E746" s="74" t="str">
        <f t="array" ref="E746">IF(D746="","",IFERROR(_xlfn.XLOOKUP(D746,SyncCodex!L:L,SyncCodex!M:M),""))</f>
        <v/>
      </c>
      <c r="F746" s="38" t="b">
        <v>0</v>
      </c>
      <c r="G746" s="38" t="b">
        <v>0</v>
      </c>
    </row>
    <row r="747">
      <c r="A747" s="45"/>
      <c r="B747" s="38"/>
      <c r="D747" s="38"/>
      <c r="E747" s="74" t="str">
        <f t="array" ref="E747">IF(D747="","",IFERROR(_xlfn.XLOOKUP(D747,SyncCodex!L:L,SyncCodex!M:M),""))</f>
        <v/>
      </c>
      <c r="F747" s="38" t="b">
        <v>0</v>
      </c>
      <c r="G747" s="38" t="b">
        <v>0</v>
      </c>
    </row>
    <row r="748">
      <c r="A748" s="45"/>
      <c r="B748" s="38"/>
      <c r="D748" s="38"/>
      <c r="E748" s="74" t="str">
        <f t="array" ref="E748">IF(D748="","",IFERROR(_xlfn.XLOOKUP(D748,SyncCodex!L:L,SyncCodex!M:M),""))</f>
        <v/>
      </c>
      <c r="F748" s="38" t="b">
        <v>0</v>
      </c>
      <c r="G748" s="38" t="b">
        <v>0</v>
      </c>
    </row>
    <row r="749">
      <c r="A749" s="45"/>
      <c r="B749" s="38"/>
      <c r="D749" s="38"/>
      <c r="E749" s="74" t="str">
        <f t="array" ref="E749">IF(D749="","",IFERROR(_xlfn.XLOOKUP(D749,SyncCodex!L:L,SyncCodex!M:M),""))</f>
        <v/>
      </c>
      <c r="F749" s="38" t="b">
        <v>0</v>
      </c>
      <c r="G749" s="38" t="b">
        <v>0</v>
      </c>
    </row>
    <row r="750">
      <c r="A750" s="45"/>
      <c r="B750" s="38"/>
      <c r="D750" s="38"/>
      <c r="E750" s="74" t="str">
        <f t="array" ref="E750">IF(D750="","",IFERROR(_xlfn.XLOOKUP(D750,SyncCodex!L:L,SyncCodex!M:M),""))</f>
        <v/>
      </c>
      <c r="F750" s="38" t="b">
        <v>0</v>
      </c>
      <c r="G750" s="38" t="b">
        <v>0</v>
      </c>
    </row>
    <row r="751">
      <c r="A751" s="45"/>
      <c r="B751" s="38"/>
      <c r="D751" s="38"/>
      <c r="E751" s="74" t="str">
        <f t="array" ref="E751">IF(D751="","",IFERROR(_xlfn.XLOOKUP(D751,SyncCodex!L:L,SyncCodex!M:M),""))</f>
        <v/>
      </c>
      <c r="F751" s="38" t="b">
        <v>0</v>
      </c>
      <c r="G751" s="38" t="b">
        <v>0</v>
      </c>
    </row>
    <row r="752">
      <c r="A752" s="45"/>
      <c r="B752" s="38"/>
      <c r="D752" s="38"/>
      <c r="E752" s="74" t="str">
        <f t="array" ref="E752">IF(D752="","",IFERROR(_xlfn.XLOOKUP(D752,SyncCodex!L:L,SyncCodex!M:M),""))</f>
        <v/>
      </c>
      <c r="F752" s="38" t="b">
        <v>0</v>
      </c>
      <c r="G752" s="38" t="b">
        <v>0</v>
      </c>
    </row>
    <row r="753">
      <c r="A753" s="45"/>
      <c r="B753" s="38"/>
      <c r="D753" s="38"/>
      <c r="E753" s="74" t="str">
        <f t="array" ref="E753">IF(D753="","",IFERROR(_xlfn.XLOOKUP(D753,SyncCodex!L:L,SyncCodex!M:M),""))</f>
        <v/>
      </c>
      <c r="F753" s="38" t="b">
        <v>0</v>
      </c>
      <c r="G753" s="38" t="b">
        <v>0</v>
      </c>
    </row>
    <row r="754">
      <c r="A754" s="45"/>
      <c r="B754" s="38"/>
      <c r="D754" s="38"/>
      <c r="E754" s="74" t="str">
        <f t="array" ref="E754">IF(D754="","",IFERROR(_xlfn.XLOOKUP(D754,SyncCodex!L:L,SyncCodex!M:M),""))</f>
        <v/>
      </c>
      <c r="F754" s="38" t="b">
        <v>0</v>
      </c>
      <c r="G754" s="38" t="b">
        <v>0</v>
      </c>
    </row>
    <row r="755">
      <c r="A755" s="45"/>
      <c r="B755" s="38"/>
      <c r="D755" s="38"/>
      <c r="E755" s="74" t="str">
        <f t="array" ref="E755">IF(D755="","",IFERROR(_xlfn.XLOOKUP(D755,SyncCodex!L:L,SyncCodex!M:M),""))</f>
        <v/>
      </c>
      <c r="F755" s="38" t="b">
        <v>0</v>
      </c>
      <c r="G755" s="38" t="b">
        <v>0</v>
      </c>
    </row>
    <row r="756">
      <c r="A756" s="45"/>
      <c r="B756" s="38"/>
      <c r="D756" s="38"/>
      <c r="E756" s="74" t="str">
        <f t="array" ref="E756">IF(D756="","",IFERROR(_xlfn.XLOOKUP(D756,SyncCodex!L:L,SyncCodex!M:M),""))</f>
        <v/>
      </c>
      <c r="F756" s="38" t="b">
        <v>0</v>
      </c>
      <c r="G756" s="38" t="b">
        <v>0</v>
      </c>
    </row>
    <row r="757">
      <c r="A757" s="45"/>
      <c r="B757" s="38"/>
      <c r="D757" s="38"/>
      <c r="E757" s="74" t="str">
        <f t="array" ref="E757">IF(D757="","",IFERROR(_xlfn.XLOOKUP(D757,SyncCodex!L:L,SyncCodex!M:M),""))</f>
        <v/>
      </c>
      <c r="F757" s="38" t="b">
        <v>0</v>
      </c>
      <c r="G757" s="38" t="b">
        <v>0</v>
      </c>
    </row>
    <row r="758">
      <c r="A758" s="45"/>
      <c r="B758" s="38"/>
      <c r="D758" s="38"/>
      <c r="E758" s="74" t="str">
        <f t="array" ref="E758">IF(D758="","",IFERROR(_xlfn.XLOOKUP(D758,SyncCodex!L:L,SyncCodex!M:M),""))</f>
        <v/>
      </c>
      <c r="F758" s="38" t="b">
        <v>0</v>
      </c>
      <c r="G758" s="38" t="b">
        <v>0</v>
      </c>
    </row>
    <row r="759">
      <c r="A759" s="45"/>
      <c r="B759" s="38"/>
      <c r="D759" s="38"/>
      <c r="E759" s="74" t="str">
        <f t="array" ref="E759">IF(D759="","",IFERROR(_xlfn.XLOOKUP(D759,SyncCodex!L:L,SyncCodex!M:M),""))</f>
        <v/>
      </c>
      <c r="F759" s="38" t="b">
        <v>0</v>
      </c>
      <c r="G759" s="38" t="b">
        <v>0</v>
      </c>
    </row>
    <row r="760">
      <c r="A760" s="45"/>
      <c r="B760" s="38"/>
      <c r="D760" s="38"/>
      <c r="E760" s="74" t="str">
        <f t="array" ref="E760">IF(D760="","",IFERROR(_xlfn.XLOOKUP(D760,SyncCodex!L:L,SyncCodex!M:M),""))</f>
        <v/>
      </c>
      <c r="F760" s="38" t="b">
        <v>0</v>
      </c>
      <c r="G760" s="38" t="b">
        <v>0</v>
      </c>
    </row>
    <row r="761">
      <c r="A761" s="45"/>
      <c r="B761" s="38"/>
      <c r="D761" s="38"/>
      <c r="E761" s="74" t="str">
        <f t="array" ref="E761">IF(D761="","",IFERROR(_xlfn.XLOOKUP(D761,SyncCodex!L:L,SyncCodex!M:M),""))</f>
        <v/>
      </c>
      <c r="F761" s="38" t="b">
        <v>0</v>
      </c>
      <c r="G761" s="38" t="b">
        <v>0</v>
      </c>
    </row>
    <row r="762">
      <c r="A762" s="45"/>
      <c r="B762" s="38"/>
      <c r="D762" s="38"/>
      <c r="E762" s="74" t="str">
        <f t="array" ref="E762">IF(D762="","",IFERROR(_xlfn.XLOOKUP(D762,SyncCodex!L:L,SyncCodex!M:M),""))</f>
        <v/>
      </c>
      <c r="F762" s="38" t="b">
        <v>0</v>
      </c>
      <c r="G762" s="38" t="b">
        <v>0</v>
      </c>
    </row>
    <row r="763">
      <c r="A763" s="45"/>
      <c r="B763" s="38"/>
      <c r="D763" s="38"/>
      <c r="E763" s="74" t="str">
        <f t="array" ref="E763">IF(D763="","",IFERROR(_xlfn.XLOOKUP(D763,SyncCodex!L:L,SyncCodex!M:M),""))</f>
        <v/>
      </c>
      <c r="F763" s="38" t="b">
        <v>0</v>
      </c>
      <c r="G763" s="38" t="b">
        <v>0</v>
      </c>
    </row>
    <row r="764">
      <c r="A764" s="45"/>
      <c r="B764" s="38"/>
      <c r="D764" s="38"/>
      <c r="E764" s="74" t="str">
        <f t="array" ref="E764">IF(D764="","",IFERROR(_xlfn.XLOOKUP(D764,SyncCodex!L:L,SyncCodex!M:M),""))</f>
        <v/>
      </c>
      <c r="F764" s="38" t="b">
        <v>0</v>
      </c>
      <c r="G764" s="38" t="b">
        <v>0</v>
      </c>
    </row>
    <row r="765">
      <c r="A765" s="45"/>
      <c r="B765" s="38"/>
      <c r="D765" s="38"/>
      <c r="E765" s="74" t="str">
        <f t="array" ref="E765">IF(D765="","",IFERROR(_xlfn.XLOOKUP(D765,SyncCodex!L:L,SyncCodex!M:M),""))</f>
        <v/>
      </c>
      <c r="F765" s="38" t="b">
        <v>0</v>
      </c>
      <c r="G765" s="38" t="b">
        <v>0</v>
      </c>
    </row>
    <row r="766">
      <c r="A766" s="45"/>
      <c r="B766" s="38"/>
      <c r="D766" s="38"/>
      <c r="E766" s="74" t="str">
        <f t="array" ref="E766">IF(D766="","",IFERROR(_xlfn.XLOOKUP(D766,SyncCodex!L:L,SyncCodex!M:M),""))</f>
        <v/>
      </c>
      <c r="F766" s="38" t="b">
        <v>0</v>
      </c>
      <c r="G766" s="38" t="b">
        <v>0</v>
      </c>
    </row>
    <row r="767">
      <c r="A767" s="45"/>
      <c r="B767" s="38"/>
      <c r="D767" s="38"/>
      <c r="E767" s="74" t="str">
        <f t="array" ref="E767">IF(D767="","",IFERROR(_xlfn.XLOOKUP(D767,SyncCodex!L:L,SyncCodex!M:M),""))</f>
        <v/>
      </c>
      <c r="F767" s="38" t="b">
        <v>0</v>
      </c>
      <c r="G767" s="38" t="b">
        <v>0</v>
      </c>
    </row>
    <row r="768">
      <c r="A768" s="45"/>
      <c r="B768" s="38"/>
      <c r="D768" s="38"/>
      <c r="E768" s="74" t="str">
        <f t="array" ref="E768">IF(D768="","",IFERROR(_xlfn.XLOOKUP(D768,SyncCodex!L:L,SyncCodex!M:M),""))</f>
        <v/>
      </c>
      <c r="F768" s="38" t="b">
        <v>0</v>
      </c>
      <c r="G768" s="38" t="b">
        <v>0</v>
      </c>
    </row>
    <row r="769">
      <c r="A769" s="45"/>
      <c r="B769" s="38"/>
      <c r="D769" s="38"/>
      <c r="E769" s="74" t="str">
        <f t="array" ref="E769">IF(D769="","",IFERROR(_xlfn.XLOOKUP(D769,SyncCodex!L:L,SyncCodex!M:M),""))</f>
        <v/>
      </c>
      <c r="F769" s="38" t="b">
        <v>0</v>
      </c>
      <c r="G769" s="38" t="b">
        <v>0</v>
      </c>
    </row>
    <row r="770">
      <c r="A770" s="45"/>
      <c r="B770" s="38"/>
      <c r="D770" s="38"/>
      <c r="E770" s="74" t="str">
        <f t="array" ref="E770">IF(D770="","",IFERROR(_xlfn.XLOOKUP(D770,SyncCodex!L:L,SyncCodex!M:M),""))</f>
        <v/>
      </c>
      <c r="F770" s="38" t="b">
        <v>0</v>
      </c>
      <c r="G770" s="38" t="b">
        <v>0</v>
      </c>
    </row>
    <row r="771">
      <c r="A771" s="45"/>
      <c r="B771" s="38"/>
      <c r="D771" s="38"/>
      <c r="E771" s="74" t="str">
        <f t="array" ref="E771">IF(D771="","",IFERROR(_xlfn.XLOOKUP(D771,SyncCodex!L:L,SyncCodex!M:M),""))</f>
        <v/>
      </c>
      <c r="F771" s="38" t="b">
        <v>0</v>
      </c>
      <c r="G771" s="38" t="b">
        <v>0</v>
      </c>
    </row>
    <row r="772">
      <c r="A772" s="45"/>
      <c r="B772" s="38"/>
      <c r="D772" s="38"/>
      <c r="E772" s="74" t="str">
        <f t="array" ref="E772">IF(D772="","",IFERROR(_xlfn.XLOOKUP(D772,SyncCodex!L:L,SyncCodex!M:M),""))</f>
        <v/>
      </c>
      <c r="F772" s="38" t="b">
        <v>0</v>
      </c>
      <c r="G772" s="38" t="b">
        <v>0</v>
      </c>
    </row>
    <row r="773">
      <c r="A773" s="45"/>
      <c r="B773" s="38"/>
      <c r="D773" s="38"/>
      <c r="E773" s="74" t="str">
        <f t="array" ref="E773">IF(D773="","",IFERROR(_xlfn.XLOOKUP(D773,SyncCodex!L:L,SyncCodex!M:M),""))</f>
        <v/>
      </c>
      <c r="F773" s="38" t="b">
        <v>0</v>
      </c>
      <c r="G773" s="38" t="b">
        <v>0</v>
      </c>
    </row>
    <row r="774">
      <c r="A774" s="45"/>
      <c r="B774" s="38"/>
      <c r="D774" s="38"/>
      <c r="E774" s="74" t="str">
        <f t="array" ref="E774">IF(D774="","",IFERROR(_xlfn.XLOOKUP(D774,SyncCodex!L:L,SyncCodex!M:M),""))</f>
        <v/>
      </c>
      <c r="F774" s="38" t="b">
        <v>0</v>
      </c>
      <c r="G774" s="38" t="b">
        <v>0</v>
      </c>
    </row>
    <row r="775">
      <c r="A775" s="45"/>
      <c r="B775" s="38"/>
      <c r="D775" s="38"/>
      <c r="E775" s="74" t="str">
        <f t="array" ref="E775">IF(D775="","",IFERROR(_xlfn.XLOOKUP(D775,SyncCodex!L:L,SyncCodex!M:M),""))</f>
        <v/>
      </c>
      <c r="F775" s="38" t="b">
        <v>0</v>
      </c>
      <c r="G775" s="38" t="b">
        <v>0</v>
      </c>
    </row>
    <row r="776">
      <c r="A776" s="45"/>
      <c r="B776" s="38"/>
      <c r="D776" s="38"/>
      <c r="E776" s="74" t="str">
        <f t="array" ref="E776">IF(D776="","",IFERROR(_xlfn.XLOOKUP(D776,SyncCodex!L:L,SyncCodex!M:M),""))</f>
        <v/>
      </c>
      <c r="F776" s="38" t="b">
        <v>0</v>
      </c>
      <c r="G776" s="38" t="b">
        <v>0</v>
      </c>
    </row>
    <row r="777">
      <c r="A777" s="45"/>
      <c r="B777" s="38"/>
      <c r="D777" s="38"/>
      <c r="E777" s="74" t="str">
        <f t="array" ref="E777">IF(D777="","",IFERROR(_xlfn.XLOOKUP(D777,SyncCodex!L:L,SyncCodex!M:M),""))</f>
        <v/>
      </c>
      <c r="F777" s="38" t="b">
        <v>0</v>
      </c>
      <c r="G777" s="38" t="b">
        <v>0</v>
      </c>
    </row>
    <row r="778">
      <c r="A778" s="45"/>
      <c r="B778" s="38"/>
      <c r="D778" s="38"/>
      <c r="E778" s="74" t="str">
        <f t="array" ref="E778">IF(D778="","",IFERROR(_xlfn.XLOOKUP(D778,SyncCodex!L:L,SyncCodex!M:M),""))</f>
        <v/>
      </c>
      <c r="F778" s="38" t="b">
        <v>0</v>
      </c>
      <c r="G778" s="38" t="b">
        <v>0</v>
      </c>
    </row>
    <row r="779">
      <c r="A779" s="45"/>
      <c r="B779" s="38"/>
      <c r="D779" s="38"/>
      <c r="E779" s="74" t="str">
        <f t="array" ref="E779">IF(D779="","",IFERROR(_xlfn.XLOOKUP(D779,SyncCodex!L:L,SyncCodex!M:M),""))</f>
        <v/>
      </c>
      <c r="F779" s="38" t="b">
        <v>0</v>
      </c>
      <c r="G779" s="38" t="b">
        <v>0</v>
      </c>
    </row>
    <row r="780">
      <c r="A780" s="45"/>
      <c r="B780" s="38"/>
      <c r="D780" s="38"/>
      <c r="E780" s="74" t="str">
        <f t="array" ref="E780">IF(D780="","",IFERROR(_xlfn.XLOOKUP(D780,SyncCodex!L:L,SyncCodex!M:M),""))</f>
        <v/>
      </c>
      <c r="F780" s="38" t="b">
        <v>0</v>
      </c>
      <c r="G780" s="38" t="b">
        <v>0</v>
      </c>
    </row>
    <row r="781">
      <c r="A781" s="45"/>
      <c r="B781" s="38"/>
      <c r="D781" s="38"/>
      <c r="E781" s="74" t="str">
        <f t="array" ref="E781">IF(D781="","",IFERROR(_xlfn.XLOOKUP(D781,SyncCodex!L:L,SyncCodex!M:M),""))</f>
        <v/>
      </c>
      <c r="F781" s="38" t="b">
        <v>0</v>
      </c>
      <c r="G781" s="38" t="b">
        <v>0</v>
      </c>
    </row>
    <row r="782">
      <c r="A782" s="45"/>
      <c r="B782" s="38"/>
      <c r="D782" s="38"/>
      <c r="E782" s="74" t="str">
        <f t="array" ref="E782">IF(D782="","",IFERROR(_xlfn.XLOOKUP(D782,SyncCodex!L:L,SyncCodex!M:M),""))</f>
        <v/>
      </c>
      <c r="F782" s="38" t="b">
        <v>0</v>
      </c>
      <c r="G782" s="38" t="b">
        <v>0</v>
      </c>
    </row>
    <row r="783">
      <c r="A783" s="45"/>
      <c r="B783" s="38"/>
      <c r="D783" s="38"/>
      <c r="E783" s="74" t="str">
        <f t="array" ref="E783">IF(D783="","",IFERROR(_xlfn.XLOOKUP(D783,SyncCodex!L:L,SyncCodex!M:M),""))</f>
        <v/>
      </c>
      <c r="F783" s="38" t="b">
        <v>0</v>
      </c>
      <c r="G783" s="38" t="b">
        <v>0</v>
      </c>
    </row>
    <row r="784">
      <c r="A784" s="45"/>
      <c r="B784" s="38"/>
      <c r="D784" s="38"/>
      <c r="E784" s="74" t="str">
        <f t="array" ref="E784">IF(D784="","",IFERROR(_xlfn.XLOOKUP(D784,SyncCodex!L:L,SyncCodex!M:M),""))</f>
        <v/>
      </c>
      <c r="F784" s="38" t="b">
        <v>0</v>
      </c>
      <c r="G784" s="38" t="b">
        <v>0</v>
      </c>
    </row>
    <row r="785">
      <c r="A785" s="45"/>
      <c r="B785" s="38"/>
      <c r="D785" s="38"/>
      <c r="E785" s="74" t="str">
        <f t="array" ref="E785">IF(D785="","",IFERROR(_xlfn.XLOOKUP(D785,SyncCodex!L:L,SyncCodex!M:M),""))</f>
        <v/>
      </c>
      <c r="F785" s="38" t="b">
        <v>0</v>
      </c>
      <c r="G785" s="38" t="b">
        <v>0</v>
      </c>
    </row>
    <row r="786">
      <c r="A786" s="45"/>
      <c r="B786" s="38"/>
      <c r="D786" s="38"/>
      <c r="E786" s="74" t="str">
        <f t="array" ref="E786">IF(D786="","",IFERROR(_xlfn.XLOOKUP(D786,SyncCodex!L:L,SyncCodex!M:M),""))</f>
        <v/>
      </c>
      <c r="F786" s="38" t="b">
        <v>0</v>
      </c>
      <c r="G786" s="38" t="b">
        <v>0</v>
      </c>
    </row>
    <row r="787">
      <c r="A787" s="45"/>
      <c r="B787" s="38"/>
      <c r="D787" s="38"/>
      <c r="E787" s="74" t="str">
        <f t="array" ref="E787">IF(D787="","",IFERROR(_xlfn.XLOOKUP(D787,SyncCodex!L:L,SyncCodex!M:M),""))</f>
        <v/>
      </c>
      <c r="F787" s="38" t="b">
        <v>0</v>
      </c>
      <c r="G787" s="38" t="b">
        <v>0</v>
      </c>
    </row>
    <row r="788">
      <c r="A788" s="45"/>
      <c r="B788" s="38"/>
      <c r="D788" s="38"/>
      <c r="E788" s="74" t="str">
        <f t="array" ref="E788">IF(D788="","",IFERROR(_xlfn.XLOOKUP(D788,SyncCodex!L:L,SyncCodex!M:M),""))</f>
        <v/>
      </c>
      <c r="F788" s="38" t="b">
        <v>0</v>
      </c>
      <c r="G788" s="38" t="b">
        <v>0</v>
      </c>
    </row>
    <row r="789">
      <c r="A789" s="45"/>
      <c r="B789" s="38"/>
      <c r="D789" s="38"/>
      <c r="E789" s="74" t="str">
        <f t="array" ref="E789">IF(D789="","",IFERROR(_xlfn.XLOOKUP(D789,SyncCodex!L:L,SyncCodex!M:M),""))</f>
        <v/>
      </c>
      <c r="F789" s="38" t="b">
        <v>0</v>
      </c>
      <c r="G789" s="38" t="b">
        <v>0</v>
      </c>
    </row>
    <row r="790">
      <c r="A790" s="45"/>
      <c r="B790" s="38"/>
      <c r="D790" s="38"/>
      <c r="E790" s="74" t="str">
        <f t="array" ref="E790">IF(D790="","",IFERROR(_xlfn.XLOOKUP(D790,SyncCodex!L:L,SyncCodex!M:M),""))</f>
        <v/>
      </c>
      <c r="F790" s="38" t="b">
        <v>0</v>
      </c>
      <c r="G790" s="38" t="b">
        <v>0</v>
      </c>
    </row>
    <row r="791">
      <c r="A791" s="45"/>
      <c r="B791" s="38"/>
      <c r="D791" s="38"/>
      <c r="E791" s="74" t="str">
        <f t="array" ref="E791">IF(D791="","",IFERROR(_xlfn.XLOOKUP(D791,SyncCodex!L:L,SyncCodex!M:M),""))</f>
        <v/>
      </c>
      <c r="F791" s="38" t="b">
        <v>0</v>
      </c>
      <c r="G791" s="38" t="b">
        <v>0</v>
      </c>
    </row>
    <row r="792">
      <c r="A792" s="45"/>
      <c r="B792" s="38"/>
      <c r="D792" s="38"/>
      <c r="E792" s="74" t="str">
        <f t="array" ref="E792">IF(D792="","",IFERROR(_xlfn.XLOOKUP(D792,SyncCodex!L:L,SyncCodex!M:M),""))</f>
        <v/>
      </c>
      <c r="F792" s="38" t="b">
        <v>0</v>
      </c>
      <c r="G792" s="38" t="b">
        <v>0</v>
      </c>
    </row>
    <row r="793">
      <c r="A793" s="45"/>
      <c r="B793" s="38"/>
      <c r="D793" s="38"/>
      <c r="E793" s="74" t="str">
        <f t="array" ref="E793">IF(D793="","",IFERROR(_xlfn.XLOOKUP(D793,SyncCodex!L:L,SyncCodex!M:M),""))</f>
        <v/>
      </c>
      <c r="F793" s="38" t="b">
        <v>0</v>
      </c>
      <c r="G793" s="38" t="b">
        <v>0</v>
      </c>
    </row>
    <row r="794">
      <c r="A794" s="45"/>
      <c r="B794" s="38"/>
      <c r="D794" s="38"/>
      <c r="E794" s="74" t="str">
        <f t="array" ref="E794">IF(D794="","",IFERROR(_xlfn.XLOOKUP(D794,SyncCodex!L:L,SyncCodex!M:M),""))</f>
        <v/>
      </c>
      <c r="F794" s="38" t="b">
        <v>0</v>
      </c>
      <c r="G794" s="38" t="b">
        <v>0</v>
      </c>
    </row>
    <row r="795">
      <c r="A795" s="45"/>
      <c r="B795" s="38"/>
      <c r="D795" s="38"/>
      <c r="E795" s="74" t="str">
        <f t="array" ref="E795">IF(D795="","",IFERROR(_xlfn.XLOOKUP(D795,SyncCodex!L:L,SyncCodex!M:M),""))</f>
        <v/>
      </c>
      <c r="F795" s="38" t="b">
        <v>0</v>
      </c>
      <c r="G795" s="38" t="b">
        <v>0</v>
      </c>
    </row>
    <row r="796">
      <c r="A796" s="45"/>
      <c r="B796" s="38"/>
      <c r="D796" s="38"/>
      <c r="E796" s="74" t="str">
        <f t="array" ref="E796">IF(D796="","",IFERROR(_xlfn.XLOOKUP(D796,SyncCodex!L:L,SyncCodex!M:M),""))</f>
        <v/>
      </c>
      <c r="F796" s="38" t="b">
        <v>0</v>
      </c>
      <c r="G796" s="38" t="b">
        <v>0</v>
      </c>
    </row>
    <row r="797">
      <c r="A797" s="45"/>
      <c r="B797" s="38"/>
      <c r="D797" s="38"/>
      <c r="E797" s="74" t="str">
        <f t="array" ref="E797">IF(D797="","",IFERROR(_xlfn.XLOOKUP(D797,SyncCodex!L:L,SyncCodex!M:M),""))</f>
        <v/>
      </c>
      <c r="F797" s="38" t="b">
        <v>0</v>
      </c>
      <c r="G797" s="38" t="b">
        <v>0</v>
      </c>
    </row>
    <row r="798">
      <c r="A798" s="45"/>
      <c r="B798" s="38"/>
      <c r="D798" s="38"/>
      <c r="E798" s="74" t="str">
        <f t="array" ref="E798">IF(D798="","",IFERROR(_xlfn.XLOOKUP(D798,SyncCodex!L:L,SyncCodex!M:M),""))</f>
        <v/>
      </c>
      <c r="F798" s="38" t="b">
        <v>0</v>
      </c>
      <c r="G798" s="38" t="b">
        <v>0</v>
      </c>
    </row>
    <row r="799">
      <c r="A799" s="45"/>
      <c r="B799" s="38"/>
      <c r="D799" s="38"/>
      <c r="E799" s="74" t="str">
        <f t="array" ref="E799">IF(D799="","",IFERROR(_xlfn.XLOOKUP(D799,SyncCodex!L:L,SyncCodex!M:M),""))</f>
        <v/>
      </c>
      <c r="F799" s="38" t="b">
        <v>0</v>
      </c>
      <c r="G799" s="38" t="b">
        <v>0</v>
      </c>
    </row>
    <row r="800">
      <c r="A800" s="45"/>
      <c r="B800" s="38"/>
      <c r="D800" s="38"/>
      <c r="E800" s="74" t="str">
        <f t="array" ref="E800">IF(D800="","",IFERROR(_xlfn.XLOOKUP(D800,SyncCodex!L:L,SyncCodex!M:M),""))</f>
        <v/>
      </c>
      <c r="F800" s="38" t="b">
        <v>0</v>
      </c>
      <c r="G800" s="38" t="b">
        <v>0</v>
      </c>
    </row>
    <row r="801">
      <c r="A801" s="45"/>
      <c r="B801" s="38"/>
      <c r="D801" s="38"/>
      <c r="E801" s="74" t="str">
        <f t="array" ref="E801">IF(D801="","",IFERROR(_xlfn.XLOOKUP(D801,SyncCodex!L:L,SyncCodex!M:M),""))</f>
        <v/>
      </c>
      <c r="F801" s="38" t="b">
        <v>0</v>
      </c>
      <c r="G801" s="38" t="b">
        <v>0</v>
      </c>
    </row>
    <row r="802">
      <c r="A802" s="45"/>
      <c r="B802" s="38"/>
      <c r="D802" s="38"/>
      <c r="E802" s="74" t="str">
        <f t="array" ref="E802">IF(D802="","",IFERROR(_xlfn.XLOOKUP(D802,SyncCodex!L:L,SyncCodex!M:M),""))</f>
        <v/>
      </c>
      <c r="F802" s="38" t="b">
        <v>0</v>
      </c>
      <c r="G802" s="38" t="b">
        <v>0</v>
      </c>
    </row>
    <row r="803">
      <c r="A803" s="45"/>
      <c r="B803" s="38"/>
      <c r="D803" s="38"/>
      <c r="E803" s="74" t="str">
        <f t="array" ref="E803">IF(D803="","",IFERROR(_xlfn.XLOOKUP(D803,SyncCodex!L:L,SyncCodex!M:M),""))</f>
        <v/>
      </c>
      <c r="F803" s="38" t="b">
        <v>0</v>
      </c>
      <c r="G803" s="38" t="b">
        <v>0</v>
      </c>
    </row>
    <row r="804">
      <c r="A804" s="45"/>
      <c r="B804" s="38"/>
      <c r="D804" s="38"/>
      <c r="E804" s="74" t="str">
        <f t="array" ref="E804">IF(D804="","",IFERROR(_xlfn.XLOOKUP(D804,SyncCodex!L:L,SyncCodex!M:M),""))</f>
        <v/>
      </c>
      <c r="F804" s="38" t="b">
        <v>0</v>
      </c>
      <c r="G804" s="38" t="b">
        <v>0</v>
      </c>
    </row>
    <row r="805">
      <c r="A805" s="45"/>
      <c r="B805" s="38"/>
      <c r="D805" s="38"/>
      <c r="E805" s="74" t="str">
        <f t="array" ref="E805">IF(D805="","",IFERROR(_xlfn.XLOOKUP(D805,SyncCodex!L:L,SyncCodex!M:M),""))</f>
        <v/>
      </c>
      <c r="F805" s="38" t="b">
        <v>0</v>
      </c>
      <c r="G805" s="38" t="b">
        <v>0</v>
      </c>
    </row>
    <row r="806">
      <c r="A806" s="45"/>
      <c r="B806" s="38"/>
      <c r="D806" s="38"/>
      <c r="E806" s="74" t="str">
        <f t="array" ref="E806">IF(D806="","",IFERROR(_xlfn.XLOOKUP(D806,SyncCodex!L:L,SyncCodex!M:M),""))</f>
        <v/>
      </c>
      <c r="F806" s="38" t="b">
        <v>0</v>
      </c>
      <c r="G806" s="38" t="b">
        <v>0</v>
      </c>
    </row>
    <row r="807">
      <c r="A807" s="45"/>
      <c r="B807" s="38"/>
      <c r="D807" s="38"/>
      <c r="E807" s="74" t="str">
        <f t="array" ref="E807">IF(D807="","",IFERROR(_xlfn.XLOOKUP(D807,SyncCodex!L:L,SyncCodex!M:M),""))</f>
        <v/>
      </c>
      <c r="F807" s="38" t="b">
        <v>0</v>
      </c>
      <c r="G807" s="38" t="b">
        <v>0</v>
      </c>
    </row>
    <row r="808">
      <c r="A808" s="45"/>
      <c r="B808" s="38"/>
      <c r="D808" s="38"/>
      <c r="E808" s="74" t="str">
        <f t="array" ref="E808">IF(D808="","",IFERROR(_xlfn.XLOOKUP(D808,SyncCodex!L:L,SyncCodex!M:M),""))</f>
        <v/>
      </c>
      <c r="F808" s="38" t="b">
        <v>0</v>
      </c>
      <c r="G808" s="38" t="b">
        <v>0</v>
      </c>
    </row>
    <row r="809">
      <c r="A809" s="45"/>
      <c r="B809" s="38"/>
      <c r="D809" s="38"/>
      <c r="E809" s="74" t="str">
        <f t="array" ref="E809">IF(D809="","",IFERROR(_xlfn.XLOOKUP(D809,SyncCodex!L:L,SyncCodex!M:M),""))</f>
        <v/>
      </c>
      <c r="F809" s="38" t="b">
        <v>0</v>
      </c>
      <c r="G809" s="38" t="b">
        <v>0</v>
      </c>
    </row>
    <row r="810">
      <c r="A810" s="45"/>
      <c r="B810" s="38"/>
      <c r="D810" s="38"/>
      <c r="E810" s="74" t="str">
        <f t="array" ref="E810">IF(D810="","",IFERROR(_xlfn.XLOOKUP(D810,SyncCodex!L:L,SyncCodex!M:M),""))</f>
        <v/>
      </c>
      <c r="F810" s="38" t="b">
        <v>0</v>
      </c>
      <c r="G810" s="38" t="b">
        <v>0</v>
      </c>
    </row>
    <row r="811">
      <c r="A811" s="45"/>
      <c r="B811" s="38"/>
      <c r="D811" s="38"/>
      <c r="E811" s="74" t="str">
        <f t="array" ref="E811">IF(D811="","",IFERROR(_xlfn.XLOOKUP(D811,SyncCodex!L:L,SyncCodex!M:M),""))</f>
        <v/>
      </c>
      <c r="F811" s="38" t="b">
        <v>0</v>
      </c>
      <c r="G811" s="38" t="b">
        <v>0</v>
      </c>
    </row>
    <row r="812">
      <c r="A812" s="45"/>
      <c r="B812" s="38"/>
      <c r="D812" s="38"/>
      <c r="E812" s="74" t="str">
        <f t="array" ref="E812">IF(D812="","",IFERROR(_xlfn.XLOOKUP(D812,SyncCodex!L:L,SyncCodex!M:M),""))</f>
        <v/>
      </c>
      <c r="F812" s="38" t="b">
        <v>0</v>
      </c>
      <c r="G812" s="38" t="b">
        <v>0</v>
      </c>
    </row>
    <row r="813">
      <c r="A813" s="45"/>
      <c r="B813" s="38"/>
      <c r="D813" s="38"/>
      <c r="E813" s="74" t="str">
        <f t="array" ref="E813">IF(D813="","",IFERROR(_xlfn.XLOOKUP(D813,SyncCodex!L:L,SyncCodex!M:M),""))</f>
        <v/>
      </c>
      <c r="F813" s="38" t="b">
        <v>0</v>
      </c>
      <c r="G813" s="38" t="b">
        <v>0</v>
      </c>
    </row>
    <row r="814">
      <c r="A814" s="45"/>
      <c r="B814" s="38"/>
      <c r="D814" s="38"/>
      <c r="E814" s="74" t="str">
        <f t="array" ref="E814">IF(D814="","",IFERROR(_xlfn.XLOOKUP(D814,SyncCodex!L:L,SyncCodex!M:M),""))</f>
        <v/>
      </c>
      <c r="F814" s="38" t="b">
        <v>0</v>
      </c>
      <c r="G814" s="38" t="b">
        <v>0</v>
      </c>
    </row>
    <row r="815">
      <c r="A815" s="45"/>
      <c r="B815" s="38"/>
      <c r="D815" s="38"/>
      <c r="E815" s="74" t="str">
        <f t="array" ref="E815">IF(D815="","",IFERROR(_xlfn.XLOOKUP(D815,SyncCodex!L:L,SyncCodex!M:M),""))</f>
        <v/>
      </c>
      <c r="F815" s="38" t="b">
        <v>0</v>
      </c>
      <c r="G815" s="38" t="b">
        <v>0</v>
      </c>
    </row>
    <row r="816">
      <c r="A816" s="45"/>
      <c r="B816" s="38"/>
      <c r="D816" s="38"/>
      <c r="E816" s="74" t="str">
        <f t="array" ref="E816">IF(D816="","",IFERROR(_xlfn.XLOOKUP(D816,SyncCodex!L:L,SyncCodex!M:M),""))</f>
        <v/>
      </c>
      <c r="F816" s="38" t="b">
        <v>0</v>
      </c>
      <c r="G816" s="38" t="b">
        <v>0</v>
      </c>
    </row>
    <row r="817">
      <c r="A817" s="45"/>
      <c r="B817" s="38"/>
      <c r="D817" s="38"/>
      <c r="E817" s="74" t="str">
        <f t="array" ref="E817">IF(D817="","",IFERROR(_xlfn.XLOOKUP(D817,SyncCodex!L:L,SyncCodex!M:M),""))</f>
        <v/>
      </c>
      <c r="F817" s="38" t="b">
        <v>0</v>
      </c>
      <c r="G817" s="38" t="b">
        <v>0</v>
      </c>
    </row>
    <row r="818">
      <c r="A818" s="45"/>
      <c r="B818" s="38"/>
      <c r="D818" s="38"/>
      <c r="E818" s="74" t="str">
        <f t="array" ref="E818">IF(D818="","",IFERROR(_xlfn.XLOOKUP(D818,SyncCodex!L:L,SyncCodex!M:M),""))</f>
        <v/>
      </c>
      <c r="F818" s="38" t="b">
        <v>0</v>
      </c>
      <c r="G818" s="38" t="b">
        <v>0</v>
      </c>
    </row>
    <row r="819">
      <c r="A819" s="45"/>
      <c r="B819" s="38"/>
      <c r="D819" s="38"/>
      <c r="E819" s="74" t="str">
        <f t="array" ref="E819">IF(D819="","",IFERROR(_xlfn.XLOOKUP(D819,SyncCodex!L:L,SyncCodex!M:M),""))</f>
        <v/>
      </c>
      <c r="F819" s="38" t="b">
        <v>0</v>
      </c>
      <c r="G819" s="38" t="b">
        <v>0</v>
      </c>
    </row>
    <row r="820">
      <c r="A820" s="45"/>
      <c r="B820" s="38"/>
      <c r="D820" s="38"/>
      <c r="E820" s="74" t="str">
        <f t="array" ref="E820">IF(D820="","",IFERROR(_xlfn.XLOOKUP(D820,SyncCodex!L:L,SyncCodex!M:M),""))</f>
        <v/>
      </c>
      <c r="F820" s="38" t="b">
        <v>0</v>
      </c>
      <c r="G820" s="38" t="b">
        <v>0</v>
      </c>
    </row>
    <row r="821">
      <c r="A821" s="45"/>
      <c r="B821" s="38"/>
      <c r="D821" s="38"/>
      <c r="E821" s="74" t="str">
        <f t="array" ref="E821">IF(D821="","",IFERROR(_xlfn.XLOOKUP(D821,SyncCodex!L:L,SyncCodex!M:M),""))</f>
        <v/>
      </c>
      <c r="F821" s="38" t="b">
        <v>0</v>
      </c>
      <c r="G821" s="38" t="b">
        <v>0</v>
      </c>
    </row>
    <row r="822">
      <c r="A822" s="45"/>
      <c r="B822" s="38"/>
      <c r="D822" s="38"/>
      <c r="E822" s="74" t="str">
        <f t="array" ref="E822">IF(D822="","",IFERROR(_xlfn.XLOOKUP(D822,SyncCodex!L:L,SyncCodex!M:M),""))</f>
        <v/>
      </c>
      <c r="F822" s="38" t="b">
        <v>0</v>
      </c>
      <c r="G822" s="38" t="b">
        <v>0</v>
      </c>
    </row>
    <row r="823">
      <c r="A823" s="45"/>
      <c r="B823" s="38"/>
      <c r="D823" s="38"/>
      <c r="E823" s="74" t="str">
        <f t="array" ref="E823">IF(D823="","",IFERROR(_xlfn.XLOOKUP(D823,SyncCodex!L:L,SyncCodex!M:M),""))</f>
        <v/>
      </c>
      <c r="F823" s="38" t="b">
        <v>0</v>
      </c>
      <c r="G823" s="38" t="b">
        <v>0</v>
      </c>
    </row>
    <row r="824">
      <c r="A824" s="45"/>
      <c r="B824" s="38"/>
      <c r="D824" s="38"/>
      <c r="E824" s="74" t="str">
        <f t="array" ref="E824">IF(D824="","",IFERROR(_xlfn.XLOOKUP(D824,SyncCodex!L:L,SyncCodex!M:M),""))</f>
        <v/>
      </c>
      <c r="F824" s="38" t="b">
        <v>0</v>
      </c>
      <c r="G824" s="38" t="b">
        <v>0</v>
      </c>
    </row>
    <row r="825">
      <c r="A825" s="45"/>
      <c r="B825" s="38"/>
      <c r="D825" s="38"/>
      <c r="E825" s="74" t="str">
        <f t="array" ref="E825">IF(D825="","",IFERROR(_xlfn.XLOOKUP(D825,SyncCodex!L:L,SyncCodex!M:M),""))</f>
        <v/>
      </c>
      <c r="F825" s="38" t="b">
        <v>0</v>
      </c>
      <c r="G825" s="38" t="b">
        <v>0</v>
      </c>
    </row>
    <row r="826">
      <c r="A826" s="45"/>
      <c r="B826" s="38"/>
      <c r="D826" s="38"/>
      <c r="E826" s="74" t="str">
        <f t="array" ref="E826">IF(D826="","",IFERROR(_xlfn.XLOOKUP(D826,SyncCodex!L:L,SyncCodex!M:M),""))</f>
        <v/>
      </c>
      <c r="F826" s="38" t="b">
        <v>0</v>
      </c>
      <c r="G826" s="38" t="b">
        <v>0</v>
      </c>
    </row>
    <row r="827">
      <c r="A827" s="45"/>
      <c r="B827" s="38"/>
      <c r="D827" s="38"/>
      <c r="E827" s="74" t="str">
        <f t="array" ref="E827">IF(D827="","",IFERROR(_xlfn.XLOOKUP(D827,SyncCodex!L:L,SyncCodex!M:M),""))</f>
        <v/>
      </c>
      <c r="F827" s="38" t="b">
        <v>0</v>
      </c>
      <c r="G827" s="38" t="b">
        <v>0</v>
      </c>
    </row>
    <row r="828">
      <c r="A828" s="45"/>
      <c r="B828" s="38"/>
      <c r="D828" s="38"/>
      <c r="E828" s="74" t="str">
        <f t="array" ref="E828">IF(D828="","",IFERROR(_xlfn.XLOOKUP(D828,SyncCodex!L:L,SyncCodex!M:M),""))</f>
        <v/>
      </c>
      <c r="F828" s="38" t="b">
        <v>0</v>
      </c>
      <c r="G828" s="38" t="b">
        <v>0</v>
      </c>
    </row>
    <row r="829">
      <c r="A829" s="45"/>
      <c r="B829" s="38"/>
      <c r="D829" s="38"/>
      <c r="E829" s="74" t="str">
        <f t="array" ref="E829">IF(D829="","",IFERROR(_xlfn.XLOOKUP(D829,SyncCodex!L:L,SyncCodex!M:M),""))</f>
        <v/>
      </c>
      <c r="F829" s="38" t="b">
        <v>0</v>
      </c>
      <c r="G829" s="38" t="b">
        <v>0</v>
      </c>
    </row>
    <row r="830">
      <c r="A830" s="45"/>
      <c r="B830" s="38"/>
      <c r="D830" s="38"/>
      <c r="E830" s="74" t="str">
        <f t="array" ref="E830">IF(D830="","",IFERROR(_xlfn.XLOOKUP(D830,SyncCodex!L:L,SyncCodex!M:M),""))</f>
        <v/>
      </c>
      <c r="F830" s="38" t="b">
        <v>0</v>
      </c>
      <c r="G830" s="38" t="b">
        <v>0</v>
      </c>
    </row>
    <row r="831">
      <c r="A831" s="45"/>
      <c r="B831" s="38"/>
      <c r="D831" s="38"/>
      <c r="E831" s="74" t="str">
        <f t="array" ref="E831">IF(D831="","",IFERROR(_xlfn.XLOOKUP(D831,SyncCodex!L:L,SyncCodex!M:M),""))</f>
        <v/>
      </c>
      <c r="F831" s="38" t="b">
        <v>0</v>
      </c>
      <c r="G831" s="38" t="b">
        <v>0</v>
      </c>
    </row>
    <row r="832">
      <c r="A832" s="45"/>
      <c r="B832" s="38"/>
      <c r="D832" s="38"/>
      <c r="E832" s="74" t="str">
        <f t="array" ref="E832">IF(D832="","",IFERROR(_xlfn.XLOOKUP(D832,SyncCodex!L:L,SyncCodex!M:M),""))</f>
        <v/>
      </c>
      <c r="F832" s="38" t="b">
        <v>0</v>
      </c>
      <c r="G832" s="38" t="b">
        <v>0</v>
      </c>
    </row>
    <row r="833">
      <c r="A833" s="45"/>
      <c r="B833" s="38"/>
      <c r="D833" s="38"/>
      <c r="E833" s="74" t="str">
        <f t="array" ref="E833">IF(D833="","",IFERROR(_xlfn.XLOOKUP(D833,SyncCodex!L:L,SyncCodex!M:M),""))</f>
        <v/>
      </c>
      <c r="F833" s="38" t="b">
        <v>0</v>
      </c>
      <c r="G833" s="38" t="b">
        <v>0</v>
      </c>
    </row>
    <row r="834">
      <c r="A834" s="45"/>
      <c r="B834" s="38"/>
      <c r="D834" s="38"/>
      <c r="E834" s="74" t="str">
        <f t="array" ref="E834">IF(D834="","",IFERROR(_xlfn.XLOOKUP(D834,SyncCodex!L:L,SyncCodex!M:M),""))</f>
        <v/>
      </c>
      <c r="F834" s="38" t="b">
        <v>0</v>
      </c>
      <c r="G834" s="38" t="b">
        <v>0</v>
      </c>
    </row>
    <row r="835">
      <c r="A835" s="45"/>
      <c r="B835" s="38"/>
      <c r="D835" s="38"/>
      <c r="E835" s="74" t="str">
        <f t="array" ref="E835">IF(D835="","",IFERROR(_xlfn.XLOOKUP(D835,SyncCodex!L:L,SyncCodex!M:M),""))</f>
        <v/>
      </c>
      <c r="F835" s="38" t="b">
        <v>0</v>
      </c>
      <c r="G835" s="38" t="b">
        <v>0</v>
      </c>
    </row>
    <row r="836">
      <c r="A836" s="45"/>
      <c r="B836" s="38"/>
      <c r="D836" s="38"/>
      <c r="E836" s="74" t="str">
        <f t="array" ref="E836">IF(D836="","",IFERROR(_xlfn.XLOOKUP(D836,SyncCodex!L:L,SyncCodex!M:M),""))</f>
        <v/>
      </c>
      <c r="F836" s="38" t="b">
        <v>0</v>
      </c>
      <c r="G836" s="38" t="b">
        <v>0</v>
      </c>
    </row>
    <row r="837">
      <c r="A837" s="45"/>
      <c r="B837" s="38"/>
      <c r="D837" s="38"/>
      <c r="E837" s="74" t="str">
        <f t="array" ref="E837">IF(D837="","",IFERROR(_xlfn.XLOOKUP(D837,SyncCodex!L:L,SyncCodex!M:M),""))</f>
        <v/>
      </c>
      <c r="F837" s="38" t="b">
        <v>0</v>
      </c>
      <c r="G837" s="38" t="b">
        <v>0</v>
      </c>
    </row>
    <row r="838">
      <c r="A838" s="45"/>
      <c r="B838" s="38"/>
      <c r="D838" s="38"/>
      <c r="E838" s="74" t="str">
        <f t="array" ref="E838">IF(D838="","",IFERROR(_xlfn.XLOOKUP(D838,SyncCodex!L:L,SyncCodex!M:M),""))</f>
        <v/>
      </c>
      <c r="F838" s="38" t="b">
        <v>0</v>
      </c>
      <c r="G838" s="38" t="b">
        <v>0</v>
      </c>
    </row>
    <row r="839">
      <c r="A839" s="45"/>
      <c r="B839" s="38"/>
      <c r="D839" s="38"/>
      <c r="E839" s="74" t="str">
        <f t="array" ref="E839">IF(D839="","",IFERROR(_xlfn.XLOOKUP(D839,SyncCodex!L:L,SyncCodex!M:M),""))</f>
        <v/>
      </c>
      <c r="F839" s="38" t="b">
        <v>0</v>
      </c>
      <c r="G839" s="38" t="b">
        <v>0</v>
      </c>
    </row>
    <row r="840">
      <c r="A840" s="45"/>
      <c r="B840" s="38"/>
      <c r="D840" s="38"/>
      <c r="E840" s="74" t="str">
        <f t="array" ref="E840">IF(D840="","",IFERROR(_xlfn.XLOOKUP(D840,SyncCodex!L:L,SyncCodex!M:M),""))</f>
        <v/>
      </c>
      <c r="F840" s="38" t="b">
        <v>0</v>
      </c>
      <c r="G840" s="38" t="b">
        <v>0</v>
      </c>
    </row>
    <row r="841">
      <c r="A841" s="45"/>
      <c r="B841" s="38"/>
      <c r="D841" s="38"/>
      <c r="E841" s="74" t="str">
        <f t="array" ref="E841">IF(D841="","",IFERROR(_xlfn.XLOOKUP(D841,SyncCodex!L:L,SyncCodex!M:M),""))</f>
        <v/>
      </c>
      <c r="F841" s="38" t="b">
        <v>0</v>
      </c>
      <c r="G841" s="38" t="b">
        <v>0</v>
      </c>
    </row>
    <row r="842">
      <c r="A842" s="45"/>
      <c r="B842" s="38"/>
      <c r="D842" s="38"/>
      <c r="E842" s="74" t="str">
        <f t="array" ref="E842">IF(D842="","",IFERROR(_xlfn.XLOOKUP(D842,SyncCodex!L:L,SyncCodex!M:M),""))</f>
        <v/>
      </c>
      <c r="F842" s="38" t="b">
        <v>0</v>
      </c>
      <c r="G842" s="38" t="b">
        <v>0</v>
      </c>
    </row>
    <row r="843">
      <c r="A843" s="45"/>
      <c r="B843" s="38"/>
      <c r="D843" s="38"/>
      <c r="E843" s="74" t="str">
        <f t="array" ref="E843">IF(D843="","",IFERROR(_xlfn.XLOOKUP(D843,SyncCodex!L:L,SyncCodex!M:M),""))</f>
        <v/>
      </c>
      <c r="F843" s="38" t="b">
        <v>0</v>
      </c>
      <c r="G843" s="38" t="b">
        <v>0</v>
      </c>
    </row>
    <row r="844">
      <c r="A844" s="45"/>
      <c r="B844" s="38"/>
      <c r="D844" s="38"/>
      <c r="E844" s="74" t="str">
        <f t="array" ref="E844">IF(D844="","",IFERROR(_xlfn.XLOOKUP(D844,SyncCodex!L:L,SyncCodex!M:M),""))</f>
        <v/>
      </c>
      <c r="F844" s="38" t="b">
        <v>0</v>
      </c>
      <c r="G844" s="38" t="b">
        <v>0</v>
      </c>
    </row>
    <row r="845">
      <c r="A845" s="45"/>
      <c r="B845" s="38"/>
      <c r="D845" s="38"/>
      <c r="E845" s="74" t="str">
        <f t="array" ref="E845">IF(D845="","",IFERROR(_xlfn.XLOOKUP(D845,SyncCodex!L:L,SyncCodex!M:M),""))</f>
        <v/>
      </c>
      <c r="F845" s="38" t="b">
        <v>0</v>
      </c>
      <c r="G845" s="38" t="b">
        <v>0</v>
      </c>
    </row>
    <row r="846">
      <c r="A846" s="45"/>
      <c r="B846" s="38"/>
      <c r="D846" s="38"/>
      <c r="E846" s="74" t="str">
        <f t="array" ref="E846">IF(D846="","",IFERROR(_xlfn.XLOOKUP(D846,SyncCodex!L:L,SyncCodex!M:M),""))</f>
        <v/>
      </c>
      <c r="F846" s="38" t="b">
        <v>0</v>
      </c>
      <c r="G846" s="38" t="b">
        <v>0</v>
      </c>
    </row>
    <row r="847">
      <c r="A847" s="45"/>
      <c r="B847" s="38"/>
      <c r="D847" s="38"/>
      <c r="E847" s="74" t="str">
        <f t="array" ref="E847">IF(D847="","",IFERROR(_xlfn.XLOOKUP(D847,SyncCodex!L:L,SyncCodex!M:M),""))</f>
        <v/>
      </c>
      <c r="F847" s="38" t="b">
        <v>0</v>
      </c>
      <c r="G847" s="38" t="b">
        <v>0</v>
      </c>
    </row>
    <row r="848">
      <c r="A848" s="45"/>
      <c r="B848" s="38"/>
      <c r="D848" s="38"/>
      <c r="E848" s="74" t="str">
        <f t="array" ref="E848">IF(D848="","",IFERROR(_xlfn.XLOOKUP(D848,SyncCodex!L:L,SyncCodex!M:M),""))</f>
        <v/>
      </c>
      <c r="F848" s="38" t="b">
        <v>0</v>
      </c>
      <c r="G848" s="38" t="b">
        <v>0</v>
      </c>
    </row>
    <row r="849">
      <c r="A849" s="45"/>
      <c r="B849" s="38"/>
      <c r="D849" s="38"/>
      <c r="E849" s="74" t="str">
        <f t="array" ref="E849">IF(D849="","",IFERROR(_xlfn.XLOOKUP(D849,SyncCodex!L:L,SyncCodex!M:M),""))</f>
        <v/>
      </c>
      <c r="F849" s="38" t="b">
        <v>0</v>
      </c>
      <c r="G849" s="38" t="b">
        <v>0</v>
      </c>
    </row>
    <row r="850">
      <c r="A850" s="45"/>
      <c r="B850" s="38"/>
      <c r="D850" s="38"/>
      <c r="E850" s="74" t="str">
        <f t="array" ref="E850">IF(D850="","",IFERROR(_xlfn.XLOOKUP(D850,SyncCodex!L:L,SyncCodex!M:M),""))</f>
        <v/>
      </c>
      <c r="F850" s="38" t="b">
        <v>0</v>
      </c>
      <c r="G850" s="38" t="b">
        <v>0</v>
      </c>
    </row>
    <row r="851">
      <c r="A851" s="45"/>
      <c r="B851" s="38"/>
      <c r="D851" s="38"/>
      <c r="E851" s="74" t="str">
        <f t="array" ref="E851">IF(D851="","",IFERROR(_xlfn.XLOOKUP(D851,SyncCodex!L:L,SyncCodex!M:M),""))</f>
        <v/>
      </c>
      <c r="F851" s="38" t="b">
        <v>0</v>
      </c>
      <c r="G851" s="38" t="b">
        <v>0</v>
      </c>
    </row>
    <row r="852">
      <c r="A852" s="45"/>
      <c r="B852" s="38"/>
      <c r="D852" s="38"/>
      <c r="E852" s="74" t="str">
        <f t="array" ref="E852">IF(D852="","",IFERROR(_xlfn.XLOOKUP(D852,SyncCodex!L:L,SyncCodex!M:M),""))</f>
        <v/>
      </c>
      <c r="F852" s="38" t="b">
        <v>0</v>
      </c>
      <c r="G852" s="38" t="b">
        <v>0</v>
      </c>
    </row>
    <row r="853">
      <c r="A853" s="45"/>
      <c r="B853" s="38"/>
      <c r="D853" s="38"/>
      <c r="E853" s="74" t="str">
        <f t="array" ref="E853">IF(D853="","",IFERROR(_xlfn.XLOOKUP(D853,SyncCodex!L:L,SyncCodex!M:M),""))</f>
        <v/>
      </c>
      <c r="F853" s="38" t="b">
        <v>0</v>
      </c>
      <c r="G853" s="38" t="b">
        <v>0</v>
      </c>
    </row>
    <row r="854">
      <c r="A854" s="45"/>
      <c r="B854" s="38"/>
      <c r="D854" s="38"/>
      <c r="E854" s="74" t="str">
        <f t="array" ref="E854">IF(D854="","",IFERROR(_xlfn.XLOOKUP(D854,SyncCodex!L:L,SyncCodex!M:M),""))</f>
        <v/>
      </c>
      <c r="F854" s="38" t="b">
        <v>0</v>
      </c>
      <c r="G854" s="38" t="b">
        <v>0</v>
      </c>
    </row>
    <row r="855">
      <c r="A855" s="45"/>
      <c r="B855" s="38"/>
      <c r="D855" s="38"/>
      <c r="E855" s="74" t="str">
        <f t="array" ref="E855">IF(D855="","",IFERROR(_xlfn.XLOOKUP(D855,SyncCodex!L:L,SyncCodex!M:M),""))</f>
        <v/>
      </c>
      <c r="F855" s="38" t="b">
        <v>0</v>
      </c>
      <c r="G855" s="38" t="b">
        <v>0</v>
      </c>
    </row>
    <row r="856">
      <c r="A856" s="45"/>
      <c r="B856" s="38"/>
      <c r="D856" s="38"/>
      <c r="E856" s="74" t="str">
        <f t="array" ref="E856">IF(D856="","",IFERROR(_xlfn.XLOOKUP(D856,SyncCodex!L:L,SyncCodex!M:M),""))</f>
        <v/>
      </c>
      <c r="F856" s="38" t="b">
        <v>0</v>
      </c>
      <c r="G856" s="38" t="b">
        <v>0</v>
      </c>
    </row>
    <row r="857">
      <c r="A857" s="45"/>
      <c r="B857" s="38"/>
      <c r="D857" s="38"/>
      <c r="E857" s="74" t="str">
        <f t="array" ref="E857">IF(D857="","",IFERROR(_xlfn.XLOOKUP(D857,SyncCodex!L:L,SyncCodex!M:M),""))</f>
        <v/>
      </c>
      <c r="F857" s="38" t="b">
        <v>0</v>
      </c>
      <c r="G857" s="38" t="b">
        <v>0</v>
      </c>
    </row>
    <row r="858">
      <c r="A858" s="45"/>
      <c r="B858" s="38"/>
      <c r="D858" s="38"/>
      <c r="E858" s="74" t="str">
        <f t="array" ref="E858">IF(D858="","",IFERROR(_xlfn.XLOOKUP(D858,SyncCodex!L:L,SyncCodex!M:M),""))</f>
        <v/>
      </c>
      <c r="F858" s="38" t="b">
        <v>0</v>
      </c>
      <c r="G858" s="38" t="b">
        <v>0</v>
      </c>
    </row>
    <row r="859">
      <c r="A859" s="45"/>
      <c r="B859" s="38"/>
      <c r="D859" s="38"/>
      <c r="E859" s="74" t="str">
        <f t="array" ref="E859">IF(D859="","",IFERROR(_xlfn.XLOOKUP(D859,SyncCodex!L:L,SyncCodex!M:M),""))</f>
        <v/>
      </c>
      <c r="F859" s="38" t="b">
        <v>0</v>
      </c>
      <c r="G859" s="38" t="b">
        <v>0</v>
      </c>
    </row>
    <row r="860">
      <c r="A860" s="45"/>
      <c r="B860" s="38"/>
      <c r="D860" s="38"/>
      <c r="E860" s="74" t="str">
        <f t="array" ref="E860">IF(D860="","",IFERROR(_xlfn.XLOOKUP(D860,SyncCodex!L:L,SyncCodex!M:M),""))</f>
        <v/>
      </c>
      <c r="F860" s="38" t="b">
        <v>0</v>
      </c>
      <c r="G860" s="38" t="b">
        <v>0</v>
      </c>
    </row>
    <row r="861">
      <c r="A861" s="45"/>
      <c r="B861" s="38"/>
      <c r="D861" s="38"/>
      <c r="E861" s="74" t="str">
        <f t="array" ref="E861">IF(D861="","",IFERROR(_xlfn.XLOOKUP(D861,SyncCodex!L:L,SyncCodex!M:M),""))</f>
        <v/>
      </c>
      <c r="F861" s="38" t="b">
        <v>0</v>
      </c>
      <c r="G861" s="38" t="b">
        <v>0</v>
      </c>
    </row>
    <row r="862">
      <c r="A862" s="45"/>
      <c r="B862" s="38"/>
      <c r="D862" s="38"/>
      <c r="E862" s="74" t="str">
        <f t="array" ref="E862">IF(D862="","",IFERROR(_xlfn.XLOOKUP(D862,SyncCodex!L:L,SyncCodex!M:M),""))</f>
        <v/>
      </c>
      <c r="F862" s="38" t="b">
        <v>0</v>
      </c>
      <c r="G862" s="38" t="b">
        <v>0</v>
      </c>
    </row>
    <row r="863">
      <c r="A863" s="45"/>
      <c r="B863" s="38"/>
      <c r="D863" s="38"/>
      <c r="E863" s="74" t="str">
        <f t="array" ref="E863">IF(D863="","",IFERROR(_xlfn.XLOOKUP(D863,SyncCodex!L:L,SyncCodex!M:M),""))</f>
        <v/>
      </c>
      <c r="F863" s="38" t="b">
        <v>0</v>
      </c>
      <c r="G863" s="38" t="b">
        <v>0</v>
      </c>
    </row>
    <row r="864">
      <c r="A864" s="45"/>
      <c r="B864" s="38"/>
      <c r="D864" s="38"/>
      <c r="E864" s="74" t="str">
        <f t="array" ref="E864">IF(D864="","",IFERROR(_xlfn.XLOOKUP(D864,SyncCodex!L:L,SyncCodex!M:M),""))</f>
        <v/>
      </c>
      <c r="F864" s="38" t="b">
        <v>0</v>
      </c>
      <c r="G864" s="38" t="b">
        <v>0</v>
      </c>
    </row>
    <row r="865">
      <c r="A865" s="45"/>
      <c r="B865" s="38"/>
      <c r="D865" s="38"/>
      <c r="E865" s="74" t="str">
        <f t="array" ref="E865">IF(D865="","",IFERROR(_xlfn.XLOOKUP(D865,SyncCodex!L:L,SyncCodex!M:M),""))</f>
        <v/>
      </c>
      <c r="F865" s="38" t="b">
        <v>0</v>
      </c>
      <c r="G865" s="38" t="b">
        <v>0</v>
      </c>
    </row>
    <row r="866">
      <c r="A866" s="45"/>
      <c r="B866" s="38"/>
      <c r="D866" s="38"/>
      <c r="E866" s="74" t="str">
        <f t="array" ref="E866">IF(D866="","",IFERROR(_xlfn.XLOOKUP(D866,SyncCodex!L:L,SyncCodex!M:M),""))</f>
        <v/>
      </c>
      <c r="F866" s="38" t="b">
        <v>0</v>
      </c>
      <c r="G866" s="38" t="b">
        <v>0</v>
      </c>
    </row>
    <row r="867">
      <c r="A867" s="45"/>
      <c r="B867" s="38"/>
      <c r="D867" s="38"/>
      <c r="E867" s="74" t="str">
        <f t="array" ref="E867">IF(D867="","",IFERROR(_xlfn.XLOOKUP(D867,SyncCodex!L:L,SyncCodex!M:M),""))</f>
        <v/>
      </c>
      <c r="F867" s="38" t="b">
        <v>0</v>
      </c>
      <c r="G867" s="38" t="b">
        <v>0</v>
      </c>
    </row>
    <row r="868">
      <c r="A868" s="45"/>
      <c r="B868" s="38"/>
      <c r="D868" s="38"/>
      <c r="E868" s="74" t="str">
        <f t="array" ref="E868">IF(D868="","",IFERROR(_xlfn.XLOOKUP(D868,SyncCodex!L:L,SyncCodex!M:M),""))</f>
        <v/>
      </c>
      <c r="F868" s="38" t="b">
        <v>0</v>
      </c>
      <c r="G868" s="38" t="b">
        <v>0</v>
      </c>
    </row>
    <row r="869">
      <c r="A869" s="45"/>
      <c r="B869" s="38"/>
      <c r="D869" s="38"/>
      <c r="E869" s="74" t="str">
        <f t="array" ref="E869">IF(D869="","",IFERROR(_xlfn.XLOOKUP(D869,SyncCodex!L:L,SyncCodex!M:M),""))</f>
        <v/>
      </c>
      <c r="F869" s="38" t="b">
        <v>0</v>
      </c>
      <c r="G869" s="38" t="b">
        <v>0</v>
      </c>
    </row>
    <row r="870">
      <c r="A870" s="45"/>
      <c r="B870" s="38"/>
      <c r="D870" s="38"/>
      <c r="E870" s="74" t="str">
        <f t="array" ref="E870">IF(D870="","",IFERROR(_xlfn.XLOOKUP(D870,SyncCodex!L:L,SyncCodex!M:M),""))</f>
        <v/>
      </c>
      <c r="F870" s="38" t="b">
        <v>0</v>
      </c>
      <c r="G870" s="38" t="b">
        <v>0</v>
      </c>
    </row>
    <row r="871">
      <c r="A871" s="45"/>
      <c r="B871" s="38"/>
      <c r="D871" s="38"/>
      <c r="E871" s="74" t="str">
        <f t="array" ref="E871">IF(D871="","",IFERROR(_xlfn.XLOOKUP(D871,SyncCodex!L:L,SyncCodex!M:M),""))</f>
        <v/>
      </c>
      <c r="F871" s="38" t="b">
        <v>0</v>
      </c>
      <c r="G871" s="38" t="b">
        <v>0</v>
      </c>
    </row>
    <row r="872">
      <c r="A872" s="45"/>
      <c r="B872" s="38"/>
      <c r="D872" s="38"/>
      <c r="E872" s="74" t="str">
        <f t="array" ref="E872">IF(D872="","",IFERROR(_xlfn.XLOOKUP(D872,SyncCodex!L:L,SyncCodex!M:M),""))</f>
        <v/>
      </c>
      <c r="F872" s="38" t="b">
        <v>0</v>
      </c>
      <c r="G872" s="38" t="b">
        <v>0</v>
      </c>
    </row>
    <row r="873">
      <c r="A873" s="45"/>
      <c r="B873" s="38"/>
      <c r="D873" s="38"/>
      <c r="E873" s="74" t="str">
        <f t="array" ref="E873">IF(D873="","",IFERROR(_xlfn.XLOOKUP(D873,SyncCodex!L:L,SyncCodex!M:M),""))</f>
        <v/>
      </c>
      <c r="F873" s="38" t="b">
        <v>0</v>
      </c>
      <c r="G873" s="38" t="b">
        <v>0</v>
      </c>
    </row>
    <row r="874">
      <c r="A874" s="45"/>
      <c r="B874" s="38"/>
      <c r="D874" s="38"/>
      <c r="E874" s="74" t="str">
        <f t="array" ref="E874">IF(D874="","",IFERROR(_xlfn.XLOOKUP(D874,SyncCodex!L:L,SyncCodex!M:M),""))</f>
        <v/>
      </c>
      <c r="F874" s="38" t="b">
        <v>0</v>
      </c>
      <c r="G874" s="38" t="b">
        <v>0</v>
      </c>
    </row>
    <row r="875">
      <c r="A875" s="45"/>
      <c r="B875" s="38"/>
      <c r="D875" s="38"/>
      <c r="E875" s="74" t="str">
        <f t="array" ref="E875">IF(D875="","",IFERROR(_xlfn.XLOOKUP(D875,SyncCodex!L:L,SyncCodex!M:M),""))</f>
        <v/>
      </c>
      <c r="F875" s="38" t="b">
        <v>0</v>
      </c>
      <c r="G875" s="38" t="b">
        <v>0</v>
      </c>
    </row>
    <row r="876">
      <c r="A876" s="45"/>
      <c r="B876" s="38"/>
      <c r="D876" s="38"/>
      <c r="E876" s="74" t="str">
        <f t="array" ref="E876">IF(D876="","",IFERROR(_xlfn.XLOOKUP(D876,SyncCodex!L:L,SyncCodex!M:M),""))</f>
        <v/>
      </c>
      <c r="F876" s="38" t="b">
        <v>0</v>
      </c>
      <c r="G876" s="38" t="b">
        <v>0</v>
      </c>
    </row>
    <row r="877">
      <c r="A877" s="45"/>
      <c r="B877" s="38"/>
      <c r="D877" s="38"/>
      <c r="E877" s="74" t="str">
        <f t="array" ref="E877">IF(D877="","",IFERROR(_xlfn.XLOOKUP(D877,SyncCodex!L:L,SyncCodex!M:M),""))</f>
        <v/>
      </c>
      <c r="F877" s="38" t="b">
        <v>0</v>
      </c>
      <c r="G877" s="38" t="b">
        <v>0</v>
      </c>
    </row>
    <row r="878">
      <c r="A878" s="45"/>
      <c r="B878" s="38"/>
      <c r="D878" s="38"/>
      <c r="E878" s="74" t="str">
        <f t="array" ref="E878">IF(D878="","",IFERROR(_xlfn.XLOOKUP(D878,SyncCodex!L:L,SyncCodex!M:M),""))</f>
        <v/>
      </c>
      <c r="F878" s="38" t="b">
        <v>0</v>
      </c>
      <c r="G878" s="38" t="b">
        <v>0</v>
      </c>
    </row>
    <row r="879">
      <c r="A879" s="45"/>
      <c r="B879" s="38"/>
      <c r="D879" s="38"/>
      <c r="E879" s="74" t="str">
        <f t="array" ref="E879">IF(D879="","",IFERROR(_xlfn.XLOOKUP(D879,SyncCodex!L:L,SyncCodex!M:M),""))</f>
        <v/>
      </c>
      <c r="F879" s="38" t="b">
        <v>0</v>
      </c>
      <c r="G879" s="38" t="b">
        <v>0</v>
      </c>
    </row>
    <row r="880">
      <c r="A880" s="45"/>
      <c r="B880" s="38"/>
      <c r="D880" s="38"/>
      <c r="E880" s="74" t="str">
        <f t="array" ref="E880">IF(D880="","",IFERROR(_xlfn.XLOOKUP(D880,SyncCodex!L:L,SyncCodex!M:M),""))</f>
        <v/>
      </c>
      <c r="F880" s="38" t="b">
        <v>0</v>
      </c>
      <c r="G880" s="38" t="b">
        <v>0</v>
      </c>
    </row>
    <row r="881">
      <c r="A881" s="45"/>
      <c r="B881" s="38"/>
      <c r="D881" s="38"/>
      <c r="E881" s="74" t="str">
        <f t="array" ref="E881">IF(D881="","",IFERROR(_xlfn.XLOOKUP(D881,SyncCodex!L:L,SyncCodex!M:M),""))</f>
        <v/>
      </c>
      <c r="F881" s="38" t="b">
        <v>0</v>
      </c>
      <c r="G881" s="38" t="b">
        <v>0</v>
      </c>
    </row>
    <row r="882">
      <c r="A882" s="45"/>
      <c r="B882" s="38"/>
      <c r="D882" s="38"/>
      <c r="E882" s="74" t="str">
        <f t="array" ref="E882">IF(D882="","",IFERROR(_xlfn.XLOOKUP(D882,SyncCodex!L:L,SyncCodex!M:M),""))</f>
        <v/>
      </c>
      <c r="F882" s="38" t="b">
        <v>0</v>
      </c>
      <c r="G882" s="38" t="b">
        <v>0</v>
      </c>
    </row>
    <row r="883">
      <c r="A883" s="45"/>
      <c r="B883" s="38"/>
      <c r="D883" s="38"/>
      <c r="E883" s="74" t="str">
        <f t="array" ref="E883">IF(D883="","",IFERROR(_xlfn.XLOOKUP(D883,SyncCodex!L:L,SyncCodex!M:M),""))</f>
        <v/>
      </c>
      <c r="F883" s="38" t="b">
        <v>0</v>
      </c>
      <c r="G883" s="38" t="b">
        <v>0</v>
      </c>
    </row>
    <row r="884">
      <c r="A884" s="45"/>
      <c r="B884" s="38"/>
      <c r="D884" s="38"/>
      <c r="E884" s="74" t="str">
        <f t="array" ref="E884">IF(D884="","",IFERROR(_xlfn.XLOOKUP(D884,SyncCodex!L:L,SyncCodex!M:M),""))</f>
        <v/>
      </c>
      <c r="F884" s="38" t="b">
        <v>0</v>
      </c>
      <c r="G884" s="38" t="b">
        <v>0</v>
      </c>
    </row>
    <row r="885">
      <c r="A885" s="45"/>
      <c r="B885" s="38"/>
      <c r="D885" s="38"/>
      <c r="E885" s="74" t="str">
        <f t="array" ref="E885">IF(D885="","",IFERROR(_xlfn.XLOOKUP(D885,SyncCodex!L:L,SyncCodex!M:M),""))</f>
        <v/>
      </c>
      <c r="F885" s="38" t="b">
        <v>0</v>
      </c>
      <c r="G885" s="38" t="b">
        <v>0</v>
      </c>
    </row>
    <row r="886">
      <c r="A886" s="45"/>
      <c r="B886" s="38"/>
      <c r="D886" s="38"/>
      <c r="E886" s="74" t="str">
        <f t="array" ref="E886">IF(D886="","",IFERROR(_xlfn.XLOOKUP(D886,SyncCodex!L:L,SyncCodex!M:M),""))</f>
        <v/>
      </c>
      <c r="F886" s="38" t="b">
        <v>0</v>
      </c>
      <c r="G886" s="38" t="b">
        <v>0</v>
      </c>
    </row>
    <row r="887">
      <c r="A887" s="45"/>
      <c r="B887" s="38"/>
      <c r="D887" s="38"/>
      <c r="E887" s="74" t="str">
        <f t="array" ref="E887">IF(D887="","",IFERROR(_xlfn.XLOOKUP(D887,SyncCodex!L:L,SyncCodex!M:M),""))</f>
        <v/>
      </c>
      <c r="F887" s="38" t="b">
        <v>0</v>
      </c>
      <c r="G887" s="38" t="b">
        <v>0</v>
      </c>
    </row>
    <row r="888">
      <c r="A888" s="45"/>
      <c r="B888" s="38"/>
      <c r="D888" s="38"/>
      <c r="E888" s="74" t="str">
        <f t="array" ref="E888">IF(D888="","",IFERROR(_xlfn.XLOOKUP(D888,SyncCodex!L:L,SyncCodex!M:M),""))</f>
        <v/>
      </c>
      <c r="F888" s="38" t="b">
        <v>0</v>
      </c>
      <c r="G888" s="38" t="b">
        <v>0</v>
      </c>
    </row>
    <row r="889">
      <c r="A889" s="45"/>
      <c r="B889" s="38"/>
      <c r="D889" s="38"/>
      <c r="E889" s="74" t="str">
        <f t="array" ref="E889">IF(D889="","",IFERROR(_xlfn.XLOOKUP(D889,SyncCodex!L:L,SyncCodex!M:M),""))</f>
        <v/>
      </c>
      <c r="F889" s="38" t="b">
        <v>0</v>
      </c>
      <c r="G889" s="38" t="b">
        <v>0</v>
      </c>
    </row>
    <row r="890">
      <c r="A890" s="45"/>
      <c r="B890" s="38"/>
      <c r="D890" s="38"/>
      <c r="E890" s="74" t="str">
        <f t="array" ref="E890">IF(D890="","",IFERROR(_xlfn.XLOOKUP(D890,SyncCodex!L:L,SyncCodex!M:M),""))</f>
        <v/>
      </c>
      <c r="F890" s="38" t="b">
        <v>0</v>
      </c>
      <c r="G890" s="38" t="b">
        <v>0</v>
      </c>
    </row>
    <row r="891">
      <c r="A891" s="45"/>
      <c r="B891" s="38"/>
      <c r="D891" s="38"/>
      <c r="E891" s="74" t="str">
        <f t="array" ref="E891">IF(D891="","",IFERROR(_xlfn.XLOOKUP(D891,SyncCodex!L:L,SyncCodex!M:M),""))</f>
        <v/>
      </c>
      <c r="F891" s="38" t="b">
        <v>0</v>
      </c>
      <c r="G891" s="38" t="b">
        <v>0</v>
      </c>
    </row>
    <row r="892">
      <c r="A892" s="45"/>
      <c r="B892" s="38"/>
      <c r="D892" s="38"/>
      <c r="E892" s="74" t="str">
        <f t="array" ref="E892">IF(D892="","",IFERROR(_xlfn.XLOOKUP(D892,SyncCodex!L:L,SyncCodex!M:M),""))</f>
        <v/>
      </c>
      <c r="F892" s="38" t="b">
        <v>0</v>
      </c>
      <c r="G892" s="38" t="b">
        <v>0</v>
      </c>
    </row>
    <row r="893">
      <c r="A893" s="45"/>
      <c r="B893" s="38"/>
      <c r="D893" s="38"/>
      <c r="E893" s="74" t="str">
        <f t="array" ref="E893">IF(D893="","",IFERROR(_xlfn.XLOOKUP(D893,SyncCodex!L:L,SyncCodex!M:M),""))</f>
        <v/>
      </c>
      <c r="F893" s="38" t="b">
        <v>0</v>
      </c>
      <c r="G893" s="38" t="b">
        <v>0</v>
      </c>
    </row>
    <row r="894">
      <c r="A894" s="45"/>
      <c r="B894" s="38"/>
      <c r="D894" s="38"/>
      <c r="E894" s="74" t="str">
        <f t="array" ref="E894">IF(D894="","",IFERROR(_xlfn.XLOOKUP(D894,SyncCodex!L:L,SyncCodex!M:M),""))</f>
        <v/>
      </c>
      <c r="F894" s="38" t="b">
        <v>0</v>
      </c>
      <c r="G894" s="38" t="b">
        <v>0</v>
      </c>
    </row>
    <row r="895">
      <c r="A895" s="45"/>
      <c r="B895" s="38"/>
      <c r="D895" s="38"/>
      <c r="E895" s="74" t="str">
        <f t="array" ref="E895">IF(D895="","",IFERROR(_xlfn.XLOOKUP(D895,SyncCodex!L:L,SyncCodex!M:M),""))</f>
        <v/>
      </c>
      <c r="F895" s="38" t="b">
        <v>0</v>
      </c>
      <c r="G895" s="38" t="b">
        <v>0</v>
      </c>
    </row>
    <row r="896">
      <c r="A896" s="45"/>
      <c r="B896" s="38"/>
      <c r="D896" s="38"/>
      <c r="E896" s="74" t="str">
        <f t="array" ref="E896">IF(D896="","",IFERROR(_xlfn.XLOOKUP(D896,SyncCodex!L:L,SyncCodex!M:M),""))</f>
        <v/>
      </c>
      <c r="F896" s="38" t="b">
        <v>0</v>
      </c>
      <c r="G896" s="38" t="b">
        <v>0</v>
      </c>
    </row>
    <row r="897">
      <c r="A897" s="45"/>
      <c r="B897" s="38"/>
      <c r="D897" s="38"/>
      <c r="E897" s="74" t="str">
        <f t="array" ref="E897">IF(D897="","",IFERROR(_xlfn.XLOOKUP(D897,SyncCodex!L:L,SyncCodex!M:M),""))</f>
        <v/>
      </c>
      <c r="F897" s="38" t="b">
        <v>0</v>
      </c>
      <c r="G897" s="38" t="b">
        <v>0</v>
      </c>
    </row>
    <row r="898">
      <c r="A898" s="45"/>
      <c r="B898" s="38"/>
      <c r="D898" s="38"/>
      <c r="E898" s="74" t="str">
        <f t="array" ref="E898">IF(D898="","",IFERROR(_xlfn.XLOOKUP(D898,SyncCodex!L:L,SyncCodex!M:M),""))</f>
        <v/>
      </c>
      <c r="F898" s="38" t="b">
        <v>0</v>
      </c>
      <c r="G898" s="38" t="b">
        <v>0</v>
      </c>
    </row>
    <row r="899">
      <c r="A899" s="45"/>
      <c r="B899" s="38"/>
      <c r="D899" s="38"/>
      <c r="E899" s="74" t="str">
        <f t="array" ref="E899">IF(D899="","",IFERROR(_xlfn.XLOOKUP(D899,SyncCodex!L:L,SyncCodex!M:M),""))</f>
        <v/>
      </c>
      <c r="F899" s="38" t="b">
        <v>0</v>
      </c>
      <c r="G899" s="38" t="b">
        <v>0</v>
      </c>
    </row>
    <row r="900">
      <c r="A900" s="45"/>
      <c r="B900" s="38"/>
      <c r="D900" s="38"/>
      <c r="E900" s="74" t="str">
        <f t="array" ref="E900">IF(D900="","",IFERROR(_xlfn.XLOOKUP(D900,SyncCodex!L:L,SyncCodex!M:M),""))</f>
        <v/>
      </c>
      <c r="F900" s="38" t="b">
        <v>0</v>
      </c>
      <c r="G900" s="38" t="b">
        <v>0</v>
      </c>
    </row>
    <row r="901">
      <c r="A901" s="45"/>
      <c r="B901" s="38"/>
      <c r="D901" s="38"/>
      <c r="E901" s="74" t="str">
        <f t="array" ref="E901">IF(D901="","",IFERROR(_xlfn.XLOOKUP(D901,SyncCodex!L:L,SyncCodex!M:M),""))</f>
        <v/>
      </c>
      <c r="F901" s="38" t="b">
        <v>0</v>
      </c>
      <c r="G901" s="38" t="b">
        <v>0</v>
      </c>
    </row>
    <row r="902">
      <c r="A902" s="45"/>
      <c r="B902" s="38"/>
      <c r="D902" s="38"/>
      <c r="E902" s="74" t="str">
        <f t="array" ref="E902">IF(D902="","",IFERROR(_xlfn.XLOOKUP(D902,SyncCodex!L:L,SyncCodex!M:M),""))</f>
        <v/>
      </c>
      <c r="F902" s="38" t="b">
        <v>0</v>
      </c>
      <c r="G902" s="38" t="b">
        <v>0</v>
      </c>
    </row>
    <row r="903">
      <c r="A903" s="45"/>
      <c r="B903" s="38"/>
      <c r="D903" s="38"/>
      <c r="E903" s="74" t="str">
        <f t="array" ref="E903">IF(D903="","",IFERROR(_xlfn.XLOOKUP(D903,SyncCodex!L:L,SyncCodex!M:M),""))</f>
        <v/>
      </c>
      <c r="F903" s="38" t="b">
        <v>0</v>
      </c>
      <c r="G903" s="38" t="b">
        <v>0</v>
      </c>
    </row>
    <row r="904">
      <c r="A904" s="45"/>
      <c r="B904" s="38"/>
      <c r="D904" s="38"/>
      <c r="E904" s="74" t="str">
        <f t="array" ref="E904">IF(D904="","",IFERROR(_xlfn.XLOOKUP(D904,SyncCodex!L:L,SyncCodex!M:M),""))</f>
        <v/>
      </c>
      <c r="F904" s="38" t="b">
        <v>0</v>
      </c>
      <c r="G904" s="38" t="b">
        <v>0</v>
      </c>
    </row>
    <row r="905">
      <c r="A905" s="45"/>
      <c r="B905" s="38"/>
      <c r="D905" s="38"/>
      <c r="E905" s="74" t="str">
        <f t="array" ref="E905">IF(D905="","",IFERROR(_xlfn.XLOOKUP(D905,SyncCodex!L:L,SyncCodex!M:M),""))</f>
        <v/>
      </c>
      <c r="F905" s="38" t="b">
        <v>0</v>
      </c>
      <c r="G905" s="38" t="b">
        <v>0</v>
      </c>
    </row>
    <row r="906">
      <c r="A906" s="45"/>
      <c r="B906" s="38"/>
      <c r="D906" s="38"/>
      <c r="E906" s="74" t="str">
        <f t="array" ref="E906">IF(D906="","",IFERROR(_xlfn.XLOOKUP(D906,SyncCodex!L:L,SyncCodex!M:M),""))</f>
        <v/>
      </c>
      <c r="F906" s="38" t="b">
        <v>0</v>
      </c>
      <c r="G906" s="38" t="b">
        <v>0</v>
      </c>
    </row>
    <row r="907">
      <c r="A907" s="45"/>
      <c r="B907" s="38"/>
      <c r="D907" s="38"/>
      <c r="E907" s="74" t="str">
        <f t="array" ref="E907">IF(D907="","",IFERROR(_xlfn.XLOOKUP(D907,SyncCodex!L:L,SyncCodex!M:M),""))</f>
        <v/>
      </c>
      <c r="F907" s="38" t="b">
        <v>0</v>
      </c>
      <c r="G907" s="38" t="b">
        <v>0</v>
      </c>
    </row>
    <row r="908">
      <c r="A908" s="45"/>
      <c r="B908" s="38"/>
      <c r="D908" s="38"/>
      <c r="E908" s="74" t="str">
        <f t="array" ref="E908">IF(D908="","",IFERROR(_xlfn.XLOOKUP(D908,SyncCodex!L:L,SyncCodex!M:M),""))</f>
        <v/>
      </c>
      <c r="F908" s="38" t="b">
        <v>0</v>
      </c>
      <c r="G908" s="38" t="b">
        <v>0</v>
      </c>
    </row>
    <row r="909">
      <c r="A909" s="45"/>
      <c r="B909" s="38"/>
      <c r="D909" s="38"/>
      <c r="E909" s="74" t="str">
        <f t="array" ref="E909">IF(D909="","",IFERROR(_xlfn.XLOOKUP(D909,SyncCodex!L:L,SyncCodex!M:M),""))</f>
        <v/>
      </c>
      <c r="F909" s="38" t="b">
        <v>0</v>
      </c>
      <c r="G909" s="38" t="b">
        <v>0</v>
      </c>
    </row>
    <row r="910">
      <c r="A910" s="45"/>
      <c r="B910" s="38"/>
      <c r="D910" s="38"/>
      <c r="E910" s="74" t="str">
        <f t="array" ref="E910">IF(D910="","",IFERROR(_xlfn.XLOOKUP(D910,SyncCodex!L:L,SyncCodex!M:M),""))</f>
        <v/>
      </c>
      <c r="F910" s="38" t="b">
        <v>0</v>
      </c>
      <c r="G910" s="38" t="b">
        <v>0</v>
      </c>
    </row>
    <row r="911">
      <c r="A911" s="45"/>
      <c r="B911" s="38"/>
      <c r="D911" s="38"/>
      <c r="E911" s="74" t="str">
        <f t="array" ref="E911">IF(D911="","",IFERROR(_xlfn.XLOOKUP(D911,SyncCodex!L:L,SyncCodex!M:M),""))</f>
        <v/>
      </c>
      <c r="F911" s="38" t="b">
        <v>0</v>
      </c>
      <c r="G911" s="38" t="b">
        <v>0</v>
      </c>
    </row>
    <row r="912">
      <c r="A912" s="45"/>
      <c r="B912" s="38"/>
      <c r="D912" s="38"/>
      <c r="E912" s="74" t="str">
        <f t="array" ref="E912">IF(D912="","",IFERROR(_xlfn.XLOOKUP(D912,SyncCodex!L:L,SyncCodex!M:M),""))</f>
        <v/>
      </c>
      <c r="F912" s="38" t="b">
        <v>0</v>
      </c>
      <c r="G912" s="38" t="b">
        <v>0</v>
      </c>
    </row>
    <row r="913">
      <c r="A913" s="45"/>
      <c r="B913" s="38"/>
      <c r="D913" s="38"/>
      <c r="E913" s="74" t="str">
        <f t="array" ref="E913">IF(D913="","",IFERROR(_xlfn.XLOOKUP(D913,SyncCodex!L:L,SyncCodex!M:M),""))</f>
        <v/>
      </c>
      <c r="F913" s="38" t="b">
        <v>0</v>
      </c>
      <c r="G913" s="38" t="b">
        <v>0</v>
      </c>
    </row>
    <row r="914">
      <c r="A914" s="45"/>
      <c r="B914" s="38"/>
      <c r="D914" s="38"/>
      <c r="E914" s="74" t="str">
        <f t="array" ref="E914">IF(D914="","",IFERROR(_xlfn.XLOOKUP(D914,SyncCodex!L:L,SyncCodex!M:M),""))</f>
        <v/>
      </c>
      <c r="F914" s="38" t="b">
        <v>0</v>
      </c>
      <c r="G914" s="38" t="b">
        <v>0</v>
      </c>
    </row>
    <row r="915">
      <c r="A915" s="45"/>
      <c r="B915" s="38"/>
      <c r="D915" s="38"/>
      <c r="E915" s="74" t="str">
        <f t="array" ref="E915">IF(D915="","",IFERROR(_xlfn.XLOOKUP(D915,SyncCodex!L:L,SyncCodex!M:M),""))</f>
        <v/>
      </c>
      <c r="F915" s="38" t="b">
        <v>0</v>
      </c>
      <c r="G915" s="38" t="b">
        <v>0</v>
      </c>
    </row>
    <row r="916">
      <c r="A916" s="45"/>
      <c r="B916" s="38"/>
      <c r="D916" s="38"/>
      <c r="E916" s="74" t="str">
        <f t="array" ref="E916">IF(D916="","",IFERROR(_xlfn.XLOOKUP(D916,SyncCodex!L:L,SyncCodex!M:M),""))</f>
        <v/>
      </c>
      <c r="F916" s="38" t="b">
        <v>0</v>
      </c>
      <c r="G916" s="38" t="b">
        <v>0</v>
      </c>
    </row>
    <row r="917">
      <c r="A917" s="45"/>
      <c r="B917" s="38"/>
      <c r="D917" s="38"/>
      <c r="E917" s="74" t="str">
        <f t="array" ref="E917">IF(D917="","",IFERROR(_xlfn.XLOOKUP(D917,SyncCodex!L:L,SyncCodex!M:M),""))</f>
        <v/>
      </c>
      <c r="F917" s="38" t="b">
        <v>0</v>
      </c>
      <c r="G917" s="38" t="b">
        <v>0</v>
      </c>
    </row>
    <row r="918">
      <c r="A918" s="45"/>
      <c r="B918" s="38"/>
      <c r="D918" s="38"/>
      <c r="E918" s="74" t="str">
        <f t="array" ref="E918">IF(D918="","",IFERROR(_xlfn.XLOOKUP(D918,SyncCodex!L:L,SyncCodex!M:M),""))</f>
        <v/>
      </c>
      <c r="F918" s="38" t="b">
        <v>0</v>
      </c>
      <c r="G918" s="38" t="b">
        <v>0</v>
      </c>
    </row>
    <row r="919">
      <c r="A919" s="45"/>
      <c r="B919" s="38"/>
      <c r="D919" s="38"/>
      <c r="E919" s="74" t="str">
        <f t="array" ref="E919">IF(D919="","",IFERROR(_xlfn.XLOOKUP(D919,SyncCodex!L:L,SyncCodex!M:M),""))</f>
        <v/>
      </c>
      <c r="F919" s="38" t="b">
        <v>0</v>
      </c>
      <c r="G919" s="38" t="b">
        <v>0</v>
      </c>
    </row>
    <row r="920">
      <c r="A920" s="45"/>
      <c r="B920" s="38"/>
      <c r="D920" s="38"/>
      <c r="E920" s="74" t="str">
        <f t="array" ref="E920">IF(D920="","",IFERROR(_xlfn.XLOOKUP(D920,SyncCodex!L:L,SyncCodex!M:M),""))</f>
        <v/>
      </c>
      <c r="F920" s="38" t="b">
        <v>0</v>
      </c>
      <c r="G920" s="38" t="b">
        <v>0</v>
      </c>
    </row>
    <row r="921">
      <c r="A921" s="45"/>
      <c r="B921" s="38"/>
      <c r="D921" s="38"/>
      <c r="E921" s="74" t="str">
        <f t="array" ref="E921">IF(D921="","",IFERROR(_xlfn.XLOOKUP(D921,SyncCodex!L:L,SyncCodex!M:M),""))</f>
        <v/>
      </c>
      <c r="F921" s="38" t="b">
        <v>0</v>
      </c>
      <c r="G921" s="38" t="b">
        <v>0</v>
      </c>
    </row>
    <row r="922">
      <c r="A922" s="45"/>
      <c r="B922" s="38"/>
      <c r="D922" s="38"/>
      <c r="E922" s="74" t="str">
        <f t="array" ref="E922">IF(D922="","",IFERROR(_xlfn.XLOOKUP(D922,SyncCodex!L:L,SyncCodex!M:M),""))</f>
        <v/>
      </c>
      <c r="F922" s="38" t="b">
        <v>0</v>
      </c>
      <c r="G922" s="38" t="b">
        <v>0</v>
      </c>
    </row>
    <row r="923">
      <c r="A923" s="45"/>
      <c r="B923" s="38"/>
      <c r="D923" s="38"/>
      <c r="E923" s="74" t="str">
        <f t="array" ref="E923">IF(D923="","",IFERROR(_xlfn.XLOOKUP(D923,SyncCodex!L:L,SyncCodex!M:M),""))</f>
        <v/>
      </c>
      <c r="F923" s="38" t="b">
        <v>0</v>
      </c>
      <c r="G923" s="38" t="b">
        <v>0</v>
      </c>
    </row>
    <row r="924">
      <c r="A924" s="45"/>
      <c r="B924" s="38"/>
      <c r="D924" s="38"/>
      <c r="E924" s="74" t="str">
        <f t="array" ref="E924">IF(D924="","",IFERROR(_xlfn.XLOOKUP(D924,SyncCodex!L:L,SyncCodex!M:M),""))</f>
        <v/>
      </c>
      <c r="F924" s="38" t="b">
        <v>0</v>
      </c>
      <c r="G924" s="38" t="b">
        <v>0</v>
      </c>
    </row>
    <row r="925">
      <c r="A925" s="45"/>
      <c r="B925" s="38"/>
      <c r="D925" s="38"/>
      <c r="E925" s="74" t="str">
        <f t="array" ref="E925">IF(D925="","",IFERROR(_xlfn.XLOOKUP(D925,SyncCodex!L:L,SyncCodex!M:M),""))</f>
        <v/>
      </c>
      <c r="F925" s="38" t="b">
        <v>0</v>
      </c>
      <c r="G925" s="38" t="b">
        <v>0</v>
      </c>
    </row>
    <row r="926">
      <c r="A926" s="45"/>
      <c r="B926" s="38"/>
      <c r="D926" s="38"/>
      <c r="E926" s="74" t="str">
        <f t="array" ref="E926">IF(D926="","",IFERROR(_xlfn.XLOOKUP(D926,SyncCodex!L:L,SyncCodex!M:M),""))</f>
        <v/>
      </c>
      <c r="F926" s="38" t="b">
        <v>0</v>
      </c>
      <c r="G926" s="38" t="b">
        <v>0</v>
      </c>
    </row>
    <row r="927">
      <c r="A927" s="45"/>
      <c r="B927" s="38"/>
      <c r="D927" s="38"/>
      <c r="E927" s="74" t="str">
        <f t="array" ref="E927">IF(D927="","",IFERROR(_xlfn.XLOOKUP(D927,SyncCodex!L:L,SyncCodex!M:M),""))</f>
        <v/>
      </c>
      <c r="F927" s="38" t="b">
        <v>0</v>
      </c>
      <c r="G927" s="38" t="b">
        <v>0</v>
      </c>
    </row>
    <row r="928">
      <c r="A928" s="45"/>
      <c r="B928" s="38"/>
      <c r="D928" s="38"/>
      <c r="E928" s="74" t="str">
        <f t="array" ref="E928">IF(D928="","",IFERROR(_xlfn.XLOOKUP(D928,SyncCodex!L:L,SyncCodex!M:M),""))</f>
        <v/>
      </c>
      <c r="F928" s="38" t="b">
        <v>0</v>
      </c>
      <c r="G928" s="38" t="b">
        <v>0</v>
      </c>
    </row>
    <row r="929">
      <c r="A929" s="45"/>
      <c r="B929" s="38"/>
      <c r="D929" s="38"/>
      <c r="E929" s="74" t="str">
        <f t="array" ref="E929">IF(D929="","",IFERROR(_xlfn.XLOOKUP(D929,SyncCodex!L:L,SyncCodex!M:M),""))</f>
        <v/>
      </c>
      <c r="F929" s="38" t="b">
        <v>0</v>
      </c>
      <c r="G929" s="38" t="b">
        <v>0</v>
      </c>
    </row>
    <row r="930">
      <c r="A930" s="45"/>
      <c r="B930" s="38"/>
      <c r="D930" s="38"/>
      <c r="E930" s="74" t="str">
        <f t="array" ref="E930">IF(D930="","",IFERROR(_xlfn.XLOOKUP(D930,SyncCodex!L:L,SyncCodex!M:M),""))</f>
        <v/>
      </c>
      <c r="F930" s="38" t="b">
        <v>0</v>
      </c>
      <c r="G930" s="38" t="b">
        <v>0</v>
      </c>
    </row>
    <row r="931">
      <c r="A931" s="45"/>
      <c r="B931" s="38"/>
      <c r="D931" s="38"/>
      <c r="E931" s="74" t="str">
        <f t="array" ref="E931">IF(D931="","",IFERROR(_xlfn.XLOOKUP(D931,SyncCodex!L:L,SyncCodex!M:M),""))</f>
        <v/>
      </c>
      <c r="F931" s="38" t="b">
        <v>0</v>
      </c>
      <c r="G931" s="38" t="b">
        <v>0</v>
      </c>
    </row>
    <row r="932">
      <c r="A932" s="45"/>
      <c r="B932" s="38"/>
      <c r="D932" s="38"/>
      <c r="E932" s="74" t="str">
        <f t="array" ref="E932">IF(D932="","",IFERROR(_xlfn.XLOOKUP(D932,SyncCodex!L:L,SyncCodex!M:M),""))</f>
        <v/>
      </c>
      <c r="F932" s="38" t="b">
        <v>0</v>
      </c>
      <c r="G932" s="38" t="b">
        <v>0</v>
      </c>
    </row>
    <row r="933">
      <c r="A933" s="45"/>
      <c r="B933" s="38"/>
      <c r="D933" s="38"/>
      <c r="E933" s="74" t="str">
        <f t="array" ref="E933">IF(D933="","",IFERROR(_xlfn.XLOOKUP(D933,SyncCodex!L:L,SyncCodex!M:M),""))</f>
        <v/>
      </c>
      <c r="F933" s="38" t="b">
        <v>0</v>
      </c>
      <c r="G933" s="38" t="b">
        <v>0</v>
      </c>
    </row>
    <row r="934">
      <c r="A934" s="45"/>
      <c r="B934" s="38"/>
      <c r="D934" s="38"/>
      <c r="E934" s="74" t="str">
        <f t="array" ref="E934">IF(D934="","",IFERROR(_xlfn.XLOOKUP(D934,SyncCodex!L:L,SyncCodex!M:M),""))</f>
        <v/>
      </c>
      <c r="F934" s="38" t="b">
        <v>0</v>
      </c>
      <c r="G934" s="38" t="b">
        <v>0</v>
      </c>
    </row>
    <row r="935">
      <c r="A935" s="45"/>
      <c r="B935" s="38"/>
      <c r="D935" s="38"/>
      <c r="E935" s="74" t="str">
        <f t="array" ref="E935">IF(D935="","",IFERROR(_xlfn.XLOOKUP(D935,SyncCodex!L:L,SyncCodex!M:M),""))</f>
        <v/>
      </c>
      <c r="F935" s="38" t="b">
        <v>0</v>
      </c>
      <c r="G935" s="38" t="b">
        <v>0</v>
      </c>
    </row>
    <row r="936">
      <c r="A936" s="45"/>
      <c r="B936" s="38"/>
      <c r="D936" s="38"/>
      <c r="E936" s="74" t="str">
        <f t="array" ref="E936">IF(D936="","",IFERROR(_xlfn.XLOOKUP(D936,SyncCodex!L:L,SyncCodex!M:M),""))</f>
        <v/>
      </c>
      <c r="F936" s="38" t="b">
        <v>0</v>
      </c>
      <c r="G936" s="38" t="b">
        <v>0</v>
      </c>
    </row>
    <row r="937">
      <c r="A937" s="45"/>
      <c r="B937" s="38"/>
      <c r="D937" s="38"/>
      <c r="E937" s="74" t="str">
        <f t="array" ref="E937">IF(D937="","",IFERROR(_xlfn.XLOOKUP(D937,SyncCodex!L:L,SyncCodex!M:M),""))</f>
        <v/>
      </c>
      <c r="F937" s="38" t="b">
        <v>0</v>
      </c>
      <c r="G937" s="38" t="b">
        <v>0</v>
      </c>
    </row>
    <row r="938">
      <c r="A938" s="45"/>
      <c r="B938" s="38"/>
      <c r="D938" s="38"/>
      <c r="E938" s="74" t="str">
        <f t="array" ref="E938">IF(D938="","",IFERROR(_xlfn.XLOOKUP(D938,SyncCodex!L:L,SyncCodex!M:M),""))</f>
        <v/>
      </c>
      <c r="F938" s="38" t="b">
        <v>0</v>
      </c>
      <c r="G938" s="38" t="b">
        <v>0</v>
      </c>
    </row>
    <row r="939">
      <c r="A939" s="45"/>
      <c r="B939" s="38"/>
      <c r="D939" s="38"/>
      <c r="E939" s="74" t="str">
        <f t="array" ref="E939">IF(D939="","",IFERROR(_xlfn.XLOOKUP(D939,SyncCodex!L:L,SyncCodex!M:M),""))</f>
        <v/>
      </c>
      <c r="F939" s="38" t="b">
        <v>0</v>
      </c>
      <c r="G939" s="38" t="b">
        <v>0</v>
      </c>
    </row>
    <row r="940">
      <c r="A940" s="45"/>
      <c r="B940" s="38"/>
      <c r="D940" s="38"/>
      <c r="E940" s="74" t="str">
        <f t="array" ref="E940">IF(D940="","",IFERROR(_xlfn.XLOOKUP(D940,SyncCodex!L:L,SyncCodex!M:M),""))</f>
        <v/>
      </c>
      <c r="F940" s="38" t="b">
        <v>0</v>
      </c>
      <c r="G940" s="38" t="b">
        <v>0</v>
      </c>
    </row>
    <row r="941">
      <c r="A941" s="45"/>
      <c r="B941" s="38"/>
      <c r="D941" s="38"/>
      <c r="E941" s="74" t="str">
        <f t="array" ref="E941">IF(D941="","",IFERROR(_xlfn.XLOOKUP(D941,SyncCodex!L:L,SyncCodex!M:M),""))</f>
        <v/>
      </c>
      <c r="F941" s="38" t="b">
        <v>0</v>
      </c>
      <c r="G941" s="38" t="b">
        <v>0</v>
      </c>
    </row>
    <row r="942">
      <c r="A942" s="45"/>
      <c r="B942" s="38"/>
      <c r="D942" s="38"/>
      <c r="E942" s="74" t="str">
        <f t="array" ref="E942">IF(D942="","",IFERROR(_xlfn.XLOOKUP(D942,SyncCodex!L:L,SyncCodex!M:M),""))</f>
        <v/>
      </c>
      <c r="F942" s="38" t="b">
        <v>0</v>
      </c>
      <c r="G942" s="38" t="b">
        <v>0</v>
      </c>
    </row>
    <row r="943">
      <c r="A943" s="45"/>
      <c r="B943" s="38"/>
      <c r="D943" s="38"/>
      <c r="E943" s="74" t="str">
        <f t="array" ref="E943">IF(D943="","",IFERROR(_xlfn.XLOOKUP(D943,SyncCodex!L:L,SyncCodex!M:M),""))</f>
        <v/>
      </c>
      <c r="F943" s="38" t="b">
        <v>0</v>
      </c>
      <c r="G943" s="38" t="b">
        <v>0</v>
      </c>
    </row>
    <row r="944">
      <c r="A944" s="45"/>
      <c r="B944" s="38"/>
      <c r="D944" s="38"/>
      <c r="E944" s="74" t="str">
        <f t="array" ref="E944">IF(D944="","",IFERROR(_xlfn.XLOOKUP(D944,SyncCodex!L:L,SyncCodex!M:M),""))</f>
        <v/>
      </c>
      <c r="F944" s="38" t="b">
        <v>0</v>
      </c>
      <c r="G944" s="38" t="b">
        <v>0</v>
      </c>
    </row>
    <row r="945">
      <c r="A945" s="45"/>
      <c r="B945" s="38"/>
      <c r="D945" s="38"/>
      <c r="E945" s="74" t="str">
        <f t="array" ref="E945">IF(D945="","",IFERROR(_xlfn.XLOOKUP(D945,SyncCodex!L:L,SyncCodex!M:M),""))</f>
        <v/>
      </c>
      <c r="F945" s="38" t="b">
        <v>0</v>
      </c>
      <c r="G945" s="38" t="b">
        <v>0</v>
      </c>
    </row>
    <row r="946">
      <c r="A946" s="45"/>
      <c r="B946" s="38"/>
      <c r="D946" s="38"/>
      <c r="E946" s="74" t="str">
        <f t="array" ref="E946">IF(D946="","",IFERROR(_xlfn.XLOOKUP(D946,SyncCodex!L:L,SyncCodex!M:M),""))</f>
        <v/>
      </c>
      <c r="F946" s="38" t="b">
        <v>0</v>
      </c>
      <c r="G946" s="38" t="b">
        <v>0</v>
      </c>
    </row>
    <row r="947">
      <c r="A947" s="45"/>
      <c r="B947" s="38"/>
      <c r="D947" s="38"/>
      <c r="E947" s="74" t="str">
        <f t="array" ref="E947">IF(D947="","",IFERROR(_xlfn.XLOOKUP(D947,SyncCodex!L:L,SyncCodex!M:M),""))</f>
        <v/>
      </c>
      <c r="F947" s="38" t="b">
        <v>0</v>
      </c>
      <c r="G947" s="38" t="b">
        <v>0</v>
      </c>
    </row>
    <row r="948">
      <c r="A948" s="45"/>
      <c r="B948" s="38"/>
      <c r="D948" s="38"/>
      <c r="E948" s="74" t="str">
        <f t="array" ref="E948">IF(D948="","",IFERROR(_xlfn.XLOOKUP(D948,SyncCodex!L:L,SyncCodex!M:M),""))</f>
        <v/>
      </c>
      <c r="F948" s="38" t="b">
        <v>0</v>
      </c>
      <c r="G948" s="38" t="b">
        <v>0</v>
      </c>
    </row>
    <row r="949">
      <c r="A949" s="45"/>
      <c r="B949" s="38"/>
      <c r="D949" s="38"/>
      <c r="E949" s="74" t="str">
        <f t="array" ref="E949">IF(D949="","",IFERROR(_xlfn.XLOOKUP(D949,SyncCodex!L:L,SyncCodex!M:M),""))</f>
        <v/>
      </c>
      <c r="F949" s="38" t="b">
        <v>0</v>
      </c>
      <c r="G949" s="38" t="b">
        <v>0</v>
      </c>
    </row>
    <row r="950">
      <c r="A950" s="45"/>
      <c r="B950" s="38"/>
      <c r="D950" s="38"/>
      <c r="E950" s="74" t="str">
        <f t="array" ref="E950">IF(D950="","",IFERROR(_xlfn.XLOOKUP(D950,SyncCodex!L:L,SyncCodex!M:M),""))</f>
        <v/>
      </c>
      <c r="F950" s="38" t="b">
        <v>0</v>
      </c>
      <c r="G950" s="38" t="b">
        <v>0</v>
      </c>
    </row>
    <row r="951">
      <c r="A951" s="45"/>
      <c r="B951" s="38"/>
      <c r="D951" s="38"/>
      <c r="E951" s="74" t="str">
        <f t="array" ref="E951">IF(D951="","",IFERROR(_xlfn.XLOOKUP(D951,SyncCodex!L:L,SyncCodex!M:M),""))</f>
        <v/>
      </c>
      <c r="F951" s="38" t="b">
        <v>0</v>
      </c>
      <c r="G951" s="38" t="b">
        <v>0</v>
      </c>
    </row>
    <row r="952">
      <c r="A952" s="45"/>
      <c r="B952" s="38"/>
      <c r="D952" s="38"/>
      <c r="E952" s="74" t="str">
        <f t="array" ref="E952">IF(D952="","",IFERROR(_xlfn.XLOOKUP(D952,SyncCodex!L:L,SyncCodex!M:M),""))</f>
        <v/>
      </c>
      <c r="F952" s="38" t="b">
        <v>0</v>
      </c>
      <c r="G952" s="38" t="b">
        <v>0</v>
      </c>
    </row>
    <row r="953">
      <c r="A953" s="45"/>
      <c r="B953" s="38"/>
      <c r="D953" s="38"/>
      <c r="E953" s="74" t="str">
        <f t="array" ref="E953">IF(D953="","",IFERROR(_xlfn.XLOOKUP(D953,SyncCodex!L:L,SyncCodex!M:M),""))</f>
        <v/>
      </c>
      <c r="F953" s="38" t="b">
        <v>0</v>
      </c>
      <c r="G953" s="38" t="b">
        <v>0</v>
      </c>
    </row>
    <row r="954">
      <c r="A954" s="45"/>
      <c r="B954" s="38"/>
      <c r="D954" s="38"/>
      <c r="E954" s="74" t="str">
        <f t="array" ref="E954">IF(D954="","",IFERROR(_xlfn.XLOOKUP(D954,SyncCodex!L:L,SyncCodex!M:M),""))</f>
        <v/>
      </c>
      <c r="F954" s="38" t="b">
        <v>0</v>
      </c>
      <c r="G954" s="38" t="b">
        <v>0</v>
      </c>
    </row>
    <row r="955">
      <c r="A955" s="45"/>
      <c r="B955" s="38"/>
      <c r="D955" s="38"/>
      <c r="E955" s="74" t="str">
        <f t="array" ref="E955">IF(D955="","",IFERROR(_xlfn.XLOOKUP(D955,SyncCodex!L:L,SyncCodex!M:M),""))</f>
        <v/>
      </c>
      <c r="F955" s="38" t="b">
        <v>0</v>
      </c>
      <c r="G955" s="38" t="b">
        <v>0</v>
      </c>
    </row>
    <row r="956">
      <c r="A956" s="45"/>
      <c r="B956" s="38"/>
      <c r="D956" s="38"/>
      <c r="E956" s="74" t="str">
        <f t="array" ref="E956">IF(D956="","",IFERROR(_xlfn.XLOOKUP(D956,SyncCodex!L:L,SyncCodex!M:M),""))</f>
        <v/>
      </c>
      <c r="F956" s="38" t="b">
        <v>0</v>
      </c>
      <c r="G956" s="38" t="b">
        <v>0</v>
      </c>
    </row>
    <row r="957">
      <c r="A957" s="45"/>
      <c r="B957" s="38"/>
      <c r="D957" s="38"/>
      <c r="E957" s="74" t="str">
        <f t="array" ref="E957">IF(D957="","",IFERROR(_xlfn.XLOOKUP(D957,SyncCodex!L:L,SyncCodex!M:M),""))</f>
        <v/>
      </c>
      <c r="F957" s="38" t="b">
        <v>0</v>
      </c>
      <c r="G957" s="38" t="b">
        <v>0</v>
      </c>
    </row>
    <row r="958">
      <c r="A958" s="45"/>
      <c r="B958" s="38"/>
      <c r="D958" s="38"/>
      <c r="E958" s="74" t="str">
        <f t="array" ref="E958">IF(D958="","",IFERROR(_xlfn.XLOOKUP(D958,SyncCodex!L:L,SyncCodex!M:M),""))</f>
        <v/>
      </c>
      <c r="F958" s="38" t="b">
        <v>0</v>
      </c>
      <c r="G958" s="38" t="b">
        <v>0</v>
      </c>
    </row>
    <row r="959">
      <c r="A959" s="45"/>
      <c r="B959" s="38"/>
      <c r="D959" s="38"/>
      <c r="E959" s="74" t="str">
        <f t="array" ref="E959">IF(D959="","",IFERROR(_xlfn.XLOOKUP(D959,SyncCodex!L:L,SyncCodex!M:M),""))</f>
        <v/>
      </c>
      <c r="F959" s="38" t="b">
        <v>0</v>
      </c>
      <c r="G959" s="38" t="b">
        <v>0</v>
      </c>
    </row>
    <row r="960">
      <c r="A960" s="45"/>
      <c r="B960" s="38"/>
      <c r="D960" s="38"/>
      <c r="E960" s="74" t="str">
        <f t="array" ref="E960">IF(D960="","",IFERROR(_xlfn.XLOOKUP(D960,SyncCodex!L:L,SyncCodex!M:M),""))</f>
        <v/>
      </c>
      <c r="F960" s="38" t="b">
        <v>0</v>
      </c>
      <c r="G960" s="38" t="b">
        <v>0</v>
      </c>
    </row>
    <row r="961">
      <c r="A961" s="45"/>
      <c r="B961" s="38"/>
      <c r="D961" s="38"/>
      <c r="E961" s="74" t="str">
        <f t="array" ref="E961">IF(D961="","",IFERROR(_xlfn.XLOOKUP(D961,SyncCodex!L:L,SyncCodex!M:M),""))</f>
        <v/>
      </c>
      <c r="F961" s="38" t="b">
        <v>0</v>
      </c>
      <c r="G961" s="38" t="b">
        <v>0</v>
      </c>
    </row>
    <row r="962">
      <c r="A962" s="45"/>
      <c r="B962" s="38"/>
      <c r="D962" s="38"/>
      <c r="E962" s="74" t="str">
        <f t="array" ref="E962">IF(D962="","",IFERROR(_xlfn.XLOOKUP(D962,SyncCodex!L:L,SyncCodex!M:M),""))</f>
        <v/>
      </c>
      <c r="F962" s="38" t="b">
        <v>0</v>
      </c>
      <c r="G962" s="38" t="b">
        <v>0</v>
      </c>
    </row>
    <row r="963">
      <c r="A963" s="45"/>
      <c r="B963" s="38"/>
      <c r="D963" s="38"/>
      <c r="E963" s="74" t="str">
        <f t="array" ref="E963">IF(D963="","",IFERROR(_xlfn.XLOOKUP(D963,SyncCodex!L:L,SyncCodex!M:M),""))</f>
        <v/>
      </c>
      <c r="F963" s="38" t="b">
        <v>0</v>
      </c>
      <c r="G963" s="38" t="b">
        <v>0</v>
      </c>
    </row>
    <row r="964">
      <c r="A964" s="45"/>
      <c r="B964" s="38"/>
      <c r="D964" s="38"/>
      <c r="E964" s="74" t="str">
        <f t="array" ref="E964">IF(D964="","",IFERROR(_xlfn.XLOOKUP(D964,SyncCodex!L:L,SyncCodex!M:M),""))</f>
        <v/>
      </c>
      <c r="F964" s="38" t="b">
        <v>0</v>
      </c>
      <c r="G964" s="38" t="b">
        <v>0</v>
      </c>
    </row>
    <row r="965">
      <c r="A965" s="45"/>
      <c r="B965" s="38"/>
      <c r="D965" s="38"/>
      <c r="E965" s="74" t="str">
        <f t="array" ref="E965">IF(D965="","",IFERROR(_xlfn.XLOOKUP(D965,SyncCodex!L:L,SyncCodex!M:M),""))</f>
        <v/>
      </c>
      <c r="F965" s="38" t="b">
        <v>0</v>
      </c>
      <c r="G965" s="38" t="b">
        <v>0</v>
      </c>
    </row>
    <row r="966">
      <c r="A966" s="45"/>
      <c r="B966" s="38"/>
      <c r="D966" s="38"/>
      <c r="E966" s="74" t="str">
        <f t="array" ref="E966">IF(D966="","",IFERROR(_xlfn.XLOOKUP(D966,SyncCodex!L:L,SyncCodex!M:M),""))</f>
        <v/>
      </c>
      <c r="F966" s="38" t="b">
        <v>0</v>
      </c>
      <c r="G966" s="38" t="b">
        <v>0</v>
      </c>
    </row>
    <row r="967">
      <c r="A967" s="45"/>
      <c r="B967" s="38"/>
      <c r="D967" s="38"/>
      <c r="E967" s="74" t="str">
        <f t="array" ref="E967">IF(D967="","",IFERROR(_xlfn.XLOOKUP(D967,SyncCodex!L:L,SyncCodex!M:M),""))</f>
        <v/>
      </c>
      <c r="F967" s="38" t="b">
        <v>0</v>
      </c>
      <c r="G967" s="38" t="b">
        <v>0</v>
      </c>
    </row>
    <row r="968">
      <c r="A968" s="45"/>
      <c r="B968" s="38"/>
      <c r="D968" s="38"/>
      <c r="E968" s="74" t="str">
        <f t="array" ref="E968">IF(D968="","",IFERROR(_xlfn.XLOOKUP(D968,SyncCodex!L:L,SyncCodex!M:M),""))</f>
        <v/>
      </c>
      <c r="F968" s="38" t="b">
        <v>0</v>
      </c>
      <c r="G968" s="38" t="b">
        <v>0</v>
      </c>
    </row>
    <row r="969">
      <c r="A969" s="45"/>
      <c r="B969" s="38"/>
      <c r="D969" s="38"/>
      <c r="E969" s="74" t="str">
        <f t="array" ref="E969">IF(D969="","",IFERROR(_xlfn.XLOOKUP(D969,SyncCodex!L:L,SyncCodex!M:M),""))</f>
        <v/>
      </c>
      <c r="F969" s="38" t="b">
        <v>0</v>
      </c>
      <c r="G969" s="38" t="b">
        <v>0</v>
      </c>
    </row>
    <row r="970">
      <c r="A970" s="45"/>
      <c r="B970" s="38"/>
      <c r="D970" s="38"/>
      <c r="E970" s="74" t="str">
        <f t="array" ref="E970">IF(D970="","",IFERROR(_xlfn.XLOOKUP(D970,SyncCodex!L:L,SyncCodex!M:M),""))</f>
        <v/>
      </c>
      <c r="F970" s="38" t="b">
        <v>0</v>
      </c>
      <c r="G970" s="38" t="b">
        <v>0</v>
      </c>
    </row>
    <row r="971">
      <c r="A971" s="45"/>
      <c r="B971" s="38"/>
      <c r="D971" s="38"/>
      <c r="E971" s="74" t="str">
        <f t="array" ref="E971">IF(D971="","",IFERROR(_xlfn.XLOOKUP(D971,SyncCodex!L:L,SyncCodex!M:M),""))</f>
        <v/>
      </c>
      <c r="F971" s="38" t="b">
        <v>0</v>
      </c>
      <c r="G971" s="38" t="b">
        <v>0</v>
      </c>
    </row>
    <row r="972">
      <c r="A972" s="45"/>
      <c r="B972" s="38"/>
      <c r="D972" s="38"/>
      <c r="E972" s="74" t="str">
        <f t="array" ref="E972">IF(D972="","",IFERROR(_xlfn.XLOOKUP(D972,SyncCodex!L:L,SyncCodex!M:M),""))</f>
        <v/>
      </c>
      <c r="F972" s="38" t="b">
        <v>0</v>
      </c>
      <c r="G972" s="38" t="b">
        <v>0</v>
      </c>
    </row>
    <row r="973">
      <c r="A973" s="45"/>
      <c r="B973" s="38"/>
      <c r="D973" s="38"/>
      <c r="E973" s="74" t="str">
        <f t="array" ref="E973">IF(D973="","",IFERROR(_xlfn.XLOOKUP(D973,SyncCodex!L:L,SyncCodex!M:M),""))</f>
        <v/>
      </c>
      <c r="F973" s="38" t="b">
        <v>0</v>
      </c>
      <c r="G973" s="38" t="b">
        <v>0</v>
      </c>
    </row>
    <row r="974">
      <c r="A974" s="45"/>
      <c r="B974" s="38"/>
      <c r="D974" s="38"/>
      <c r="E974" s="74" t="str">
        <f t="array" ref="E974">IF(D974="","",IFERROR(_xlfn.XLOOKUP(D974,SyncCodex!L:L,SyncCodex!M:M),""))</f>
        <v/>
      </c>
      <c r="F974" s="38" t="b">
        <v>0</v>
      </c>
      <c r="G974" s="38" t="b">
        <v>0</v>
      </c>
    </row>
    <row r="975">
      <c r="A975" s="45"/>
      <c r="B975" s="38"/>
      <c r="D975" s="38"/>
      <c r="E975" s="74" t="str">
        <f t="array" ref="E975">IF(D975="","",IFERROR(_xlfn.XLOOKUP(D975,SyncCodex!L:L,SyncCodex!M:M),""))</f>
        <v/>
      </c>
      <c r="F975" s="38" t="b">
        <v>0</v>
      </c>
      <c r="G975" s="38" t="b">
        <v>0</v>
      </c>
    </row>
    <row r="976">
      <c r="A976" s="45"/>
      <c r="B976" s="38"/>
      <c r="D976" s="38"/>
      <c r="E976" s="74" t="str">
        <f t="array" ref="E976">IF(D976="","",IFERROR(_xlfn.XLOOKUP(D976,SyncCodex!L:L,SyncCodex!M:M),""))</f>
        <v/>
      </c>
      <c r="F976" s="38" t="b">
        <v>0</v>
      </c>
      <c r="G976" s="38" t="b">
        <v>0</v>
      </c>
    </row>
    <row r="977">
      <c r="A977" s="45"/>
      <c r="B977" s="38"/>
      <c r="D977" s="38"/>
      <c r="E977" s="74" t="str">
        <f t="array" ref="E977">IF(D977="","",IFERROR(_xlfn.XLOOKUP(D977,SyncCodex!L:L,SyncCodex!M:M),""))</f>
        <v/>
      </c>
      <c r="F977" s="38" t="b">
        <v>0</v>
      </c>
      <c r="G977" s="38" t="b">
        <v>0</v>
      </c>
    </row>
    <row r="978">
      <c r="A978" s="45"/>
      <c r="B978" s="38"/>
      <c r="D978" s="38"/>
      <c r="E978" s="74" t="str">
        <f t="array" ref="E978">IF(D978="","",IFERROR(_xlfn.XLOOKUP(D978,SyncCodex!L:L,SyncCodex!M:M),""))</f>
        <v/>
      </c>
      <c r="F978" s="38" t="b">
        <v>0</v>
      </c>
      <c r="G978" s="38" t="b">
        <v>0</v>
      </c>
    </row>
    <row r="979">
      <c r="A979" s="45"/>
      <c r="B979" s="38"/>
      <c r="D979" s="38"/>
      <c r="E979" s="74" t="str">
        <f t="array" ref="E979">IF(D979="","",IFERROR(_xlfn.XLOOKUP(D979,SyncCodex!L:L,SyncCodex!M:M),""))</f>
        <v/>
      </c>
      <c r="F979" s="38" t="b">
        <v>0</v>
      </c>
      <c r="G979" s="38" t="b">
        <v>0</v>
      </c>
    </row>
    <row r="980">
      <c r="A980" s="45"/>
      <c r="B980" s="38"/>
      <c r="D980" s="38"/>
      <c r="E980" s="74" t="str">
        <f t="array" ref="E980">IF(D980="","",IFERROR(_xlfn.XLOOKUP(D980,SyncCodex!L:L,SyncCodex!M:M),""))</f>
        <v/>
      </c>
      <c r="F980" s="38" t="b">
        <v>0</v>
      </c>
      <c r="G980" s="38" t="b">
        <v>0</v>
      </c>
    </row>
    <row r="981">
      <c r="A981" s="45"/>
      <c r="B981" s="38"/>
      <c r="D981" s="38"/>
      <c r="E981" s="74" t="str">
        <f t="array" ref="E981">IF(D981="","",IFERROR(_xlfn.XLOOKUP(D981,SyncCodex!L:L,SyncCodex!M:M),""))</f>
        <v/>
      </c>
      <c r="F981" s="38" t="b">
        <v>0</v>
      </c>
      <c r="G981" s="38" t="b">
        <v>0</v>
      </c>
    </row>
    <row r="982">
      <c r="A982" s="45"/>
      <c r="B982" s="38"/>
      <c r="D982" s="38"/>
      <c r="E982" s="74" t="str">
        <f t="array" ref="E982">IF(D982="","",IFERROR(_xlfn.XLOOKUP(D982,SyncCodex!L:L,SyncCodex!M:M),""))</f>
        <v/>
      </c>
      <c r="F982" s="38" t="b">
        <v>0</v>
      </c>
      <c r="G982" s="38" t="b">
        <v>0</v>
      </c>
    </row>
    <row r="983">
      <c r="A983" s="45"/>
      <c r="B983" s="38"/>
      <c r="D983" s="38"/>
      <c r="E983" s="74" t="str">
        <f t="array" ref="E983">IF(D983="","",IFERROR(_xlfn.XLOOKUP(D983,SyncCodex!L:L,SyncCodex!M:M),""))</f>
        <v/>
      </c>
      <c r="F983" s="38" t="b">
        <v>0</v>
      </c>
      <c r="G983" s="38" t="b">
        <v>0</v>
      </c>
    </row>
    <row r="984">
      <c r="A984" s="45"/>
      <c r="B984" s="38"/>
      <c r="D984" s="38"/>
      <c r="E984" s="74" t="str">
        <f t="array" ref="E984">IF(D984="","",IFERROR(_xlfn.XLOOKUP(D984,SyncCodex!L:L,SyncCodex!M:M),""))</f>
        <v/>
      </c>
      <c r="F984" s="38" t="b">
        <v>0</v>
      </c>
      <c r="G984" s="38" t="b">
        <v>0</v>
      </c>
    </row>
    <row r="985">
      <c r="A985" s="45"/>
      <c r="B985" s="38"/>
      <c r="D985" s="38"/>
      <c r="E985" s="74" t="str">
        <f t="array" ref="E985">IF(D985="","",IFERROR(_xlfn.XLOOKUP(D985,SyncCodex!L:L,SyncCodex!M:M),""))</f>
        <v/>
      </c>
      <c r="F985" s="38" t="b">
        <v>0</v>
      </c>
      <c r="G985" s="38" t="b">
        <v>0</v>
      </c>
    </row>
    <row r="986">
      <c r="A986" s="45"/>
      <c r="B986" s="38"/>
      <c r="D986" s="38"/>
      <c r="E986" s="74" t="str">
        <f t="array" ref="E986">IF(D986="","",IFERROR(_xlfn.XLOOKUP(D986,SyncCodex!L:L,SyncCodex!M:M),""))</f>
        <v/>
      </c>
      <c r="F986" s="38" t="b">
        <v>0</v>
      </c>
      <c r="G986" s="38" t="b">
        <v>0</v>
      </c>
    </row>
    <row r="987">
      <c r="A987" s="45"/>
      <c r="B987" s="38"/>
      <c r="D987" s="38"/>
      <c r="E987" s="74" t="str">
        <f t="array" ref="E987">IF(D987="","",IFERROR(_xlfn.XLOOKUP(D987,SyncCodex!L:L,SyncCodex!M:M),""))</f>
        <v/>
      </c>
      <c r="F987" s="38" t="b">
        <v>0</v>
      </c>
      <c r="G987" s="38" t="b">
        <v>0</v>
      </c>
    </row>
    <row r="988">
      <c r="A988" s="45"/>
      <c r="B988" s="38"/>
      <c r="D988" s="38"/>
      <c r="E988" s="74" t="str">
        <f t="array" ref="E988">IF(D988="","",IFERROR(_xlfn.XLOOKUP(D988,SyncCodex!L:L,SyncCodex!M:M),""))</f>
        <v/>
      </c>
      <c r="F988" s="38" t="b">
        <v>0</v>
      </c>
      <c r="G988" s="38" t="b">
        <v>0</v>
      </c>
    </row>
    <row r="989">
      <c r="A989" s="45"/>
      <c r="B989" s="38"/>
      <c r="D989" s="38"/>
      <c r="E989" s="74" t="str">
        <f t="array" ref="E989">IF(D989="","",IFERROR(_xlfn.XLOOKUP(D989,SyncCodex!L:L,SyncCodex!M:M),""))</f>
        <v/>
      </c>
      <c r="F989" s="38" t="b">
        <v>0</v>
      </c>
      <c r="G989" s="38" t="b">
        <v>0</v>
      </c>
    </row>
    <row r="990">
      <c r="A990" s="45"/>
      <c r="B990" s="38"/>
      <c r="D990" s="38"/>
      <c r="E990" s="74" t="str">
        <f t="array" ref="E990">IF(D990="","",IFERROR(_xlfn.XLOOKUP(D990,SyncCodex!L:L,SyncCodex!M:M),""))</f>
        <v/>
      </c>
      <c r="F990" s="38" t="b">
        <v>0</v>
      </c>
      <c r="G990" s="38" t="b">
        <v>0</v>
      </c>
    </row>
    <row r="991">
      <c r="A991" s="45"/>
      <c r="B991" s="38"/>
      <c r="D991" s="38"/>
      <c r="E991" s="74" t="str">
        <f t="array" ref="E991">IF(D991="","",IFERROR(_xlfn.XLOOKUP(D991,SyncCodex!L:L,SyncCodex!M:M),""))</f>
        <v/>
      </c>
      <c r="F991" s="38" t="b">
        <v>0</v>
      </c>
      <c r="G991" s="38" t="b">
        <v>0</v>
      </c>
    </row>
    <row r="992">
      <c r="A992" s="45"/>
      <c r="B992" s="38"/>
      <c r="D992" s="38"/>
      <c r="E992" s="74" t="str">
        <f t="array" ref="E992">IF(D992="","",IFERROR(_xlfn.XLOOKUP(D992,SyncCodex!L:L,SyncCodex!M:M),""))</f>
        <v/>
      </c>
      <c r="F992" s="38" t="b">
        <v>0</v>
      </c>
      <c r="G992" s="38" t="b">
        <v>0</v>
      </c>
    </row>
    <row r="993">
      <c r="A993" s="45"/>
      <c r="B993" s="38"/>
      <c r="D993" s="38"/>
      <c r="E993" s="74" t="str">
        <f t="array" ref="E993">IF(D993="","",IFERROR(_xlfn.XLOOKUP(D993,SyncCodex!L:L,SyncCodex!M:M),""))</f>
        <v/>
      </c>
      <c r="F993" s="38" t="b">
        <v>0</v>
      </c>
      <c r="G993" s="38" t="b">
        <v>0</v>
      </c>
    </row>
  </sheetData>
  <autoFilter ref="$A$1:$Z$993"/>
  <dataValidations>
    <dataValidation type="list" allowBlank="1" showErrorMessage="1" sqref="D2:D48 D50 D52:D53 D60:D68 D72:D73 D75 D77:D79 D90:D92 D95:D96 D99:D100 D102:D993">
      <formula1>SyncCodex!$L$2:$L$81</formula1>
    </dataValidation>
    <dataValidation type="list" allowBlank="1" showErrorMessage="1" sqref="B2:B993">
      <formula1>'Données'!$O:$O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25.13"/>
    <col customWidth="1" min="3" max="3" width="23.88"/>
    <col customWidth="1" min="4" max="4" width="10.0"/>
    <col customWidth="1" min="5" max="5" width="41.38"/>
    <col customWidth="1" min="6" max="6" width="15.13"/>
    <col customWidth="1" min="7" max="7" width="21.38"/>
    <col customWidth="1" min="8" max="8" width="23.88"/>
    <col customWidth="1" min="9" max="9" width="10.75"/>
    <col customWidth="1" min="10" max="10" width="37.63"/>
    <col customWidth="1" min="11" max="11" width="50.13"/>
  </cols>
  <sheetData>
    <row r="1">
      <c r="A1" s="94" t="s">
        <v>4066</v>
      </c>
      <c r="B1" s="95" t="s">
        <v>55</v>
      </c>
      <c r="C1" s="95" t="s">
        <v>6717</v>
      </c>
      <c r="D1" s="95" t="s">
        <v>6720</v>
      </c>
      <c r="E1" s="95" t="s">
        <v>4076</v>
      </c>
      <c r="F1" s="95" t="s">
        <v>6724</v>
      </c>
      <c r="G1" s="95" t="s">
        <v>6726</v>
      </c>
      <c r="H1" s="95" t="s">
        <v>6729</v>
      </c>
      <c r="I1" s="96" t="s">
        <v>6732</v>
      </c>
      <c r="J1" s="96" t="s">
        <v>6739</v>
      </c>
      <c r="K1" s="96" t="s">
        <v>6740</v>
      </c>
    </row>
    <row r="2">
      <c r="A2" s="97">
        <v>46271.5</v>
      </c>
      <c r="B2" s="4" t="s">
        <v>4956</v>
      </c>
      <c r="C2" s="4" t="s">
        <v>6760</v>
      </c>
      <c r="D2" s="4">
        <v>2.0</v>
      </c>
      <c r="E2" s="98" t="s">
        <v>6769</v>
      </c>
      <c r="F2" s="98"/>
      <c r="G2" s="99">
        <v>46271.893055555556</v>
      </c>
      <c r="H2" s="99"/>
      <c r="I2" s="4" t="b">
        <v>1</v>
      </c>
      <c r="J2" s="100" t="s">
        <v>6779</v>
      </c>
      <c r="K2" s="100" t="s">
        <v>6782</v>
      </c>
    </row>
    <row r="3">
      <c r="A3" s="97">
        <v>46273.5</v>
      </c>
      <c r="B3" s="4" t="s">
        <v>4361</v>
      </c>
      <c r="C3" s="4" t="s">
        <v>6787</v>
      </c>
      <c r="D3" s="4">
        <v>1.0</v>
      </c>
      <c r="E3" s="98" t="s">
        <v>6790</v>
      </c>
      <c r="F3" s="98">
        <v>2.0</v>
      </c>
      <c r="G3" s="99">
        <v>46273.62361111111</v>
      </c>
      <c r="H3" s="99">
        <v>46273.70694444445</v>
      </c>
      <c r="I3" s="4" t="b">
        <v>1</v>
      </c>
      <c r="J3" s="100" t="s">
        <v>6794</v>
      </c>
      <c r="K3" s="100" t="s">
        <v>6796</v>
      </c>
    </row>
    <row r="4">
      <c r="A4" s="97">
        <v>46274.5</v>
      </c>
      <c r="B4" s="4" t="s">
        <v>326</v>
      </c>
      <c r="C4" s="4" t="s">
        <v>6800</v>
      </c>
      <c r="D4" s="4">
        <v>1.0</v>
      </c>
      <c r="E4" s="98" t="s">
        <v>4398</v>
      </c>
      <c r="F4" s="101"/>
      <c r="G4" s="99">
        <v>46274.05069444445</v>
      </c>
      <c r="H4" s="102"/>
      <c r="I4" s="4" t="b">
        <v>1</v>
      </c>
      <c r="J4" s="100" t="s">
        <v>293</v>
      </c>
      <c r="K4" s="100" t="s">
        <v>6810</v>
      </c>
    </row>
    <row r="5">
      <c r="A5" s="97">
        <v>46277.5</v>
      </c>
      <c r="B5" s="4" t="s">
        <v>4361</v>
      </c>
      <c r="C5" s="4" t="s">
        <v>6815</v>
      </c>
      <c r="E5" s="98" t="s">
        <v>6817</v>
      </c>
      <c r="F5" s="98">
        <v>1.0</v>
      </c>
      <c r="G5" s="99">
        <v>46277.743055555555</v>
      </c>
      <c r="H5" s="99">
        <v>46277.78472222222</v>
      </c>
      <c r="I5" s="4" t="b">
        <v>1</v>
      </c>
      <c r="J5" s="100" t="s">
        <v>6821</v>
      </c>
      <c r="K5" s="100" t="s">
        <v>6823</v>
      </c>
    </row>
    <row r="6">
      <c r="A6" s="97">
        <v>46278.5</v>
      </c>
      <c r="B6" s="4" t="s">
        <v>4361</v>
      </c>
      <c r="C6" s="4" t="s">
        <v>6827</v>
      </c>
      <c r="D6" s="4">
        <v>3.0</v>
      </c>
      <c r="E6" s="98" t="s">
        <v>6830</v>
      </c>
      <c r="F6" s="98">
        <v>24.0</v>
      </c>
      <c r="G6" s="99">
        <v>46278.02083333333</v>
      </c>
      <c r="H6" s="99">
        <v>46279.02083333333</v>
      </c>
      <c r="I6" s="4" t="b">
        <v>1</v>
      </c>
      <c r="J6" s="100" t="s">
        <v>293</v>
      </c>
      <c r="K6" s="103"/>
    </row>
    <row r="7">
      <c r="A7" s="97">
        <v>46281.5</v>
      </c>
      <c r="B7" s="4" t="s">
        <v>632</v>
      </c>
      <c r="C7" s="4" t="s">
        <v>6839</v>
      </c>
      <c r="D7" s="4">
        <v>1.0</v>
      </c>
      <c r="E7" s="98" t="s">
        <v>6842</v>
      </c>
      <c r="F7" s="98">
        <v>1.0</v>
      </c>
      <c r="G7" s="99">
        <v>46281.90694444445</v>
      </c>
      <c r="H7" s="99">
        <v>46281.94861111111</v>
      </c>
      <c r="I7" s="4" t="b">
        <v>1</v>
      </c>
      <c r="J7" s="100" t="s">
        <v>293</v>
      </c>
      <c r="K7" s="103"/>
    </row>
    <row r="8">
      <c r="A8" s="97">
        <v>46282.5</v>
      </c>
      <c r="B8" s="4" t="s">
        <v>4361</v>
      </c>
      <c r="C8" s="4" t="s">
        <v>6849</v>
      </c>
      <c r="D8" s="4">
        <v>4.0</v>
      </c>
      <c r="E8" s="98" t="s">
        <v>6851</v>
      </c>
      <c r="F8" s="98">
        <v>2.0</v>
      </c>
      <c r="G8" s="99">
        <v>46281.97916666667</v>
      </c>
      <c r="H8" s="99">
        <v>46282.0625</v>
      </c>
      <c r="I8" s="4" t="b">
        <v>1</v>
      </c>
      <c r="J8" s="100" t="s">
        <v>293</v>
      </c>
      <c r="K8" s="100" t="s">
        <v>6857</v>
      </c>
    </row>
    <row r="9">
      <c r="A9" s="97">
        <v>46282.5</v>
      </c>
      <c r="B9" s="4" t="s">
        <v>4956</v>
      </c>
      <c r="C9" s="4" t="s">
        <v>6860</v>
      </c>
      <c r="D9" s="4">
        <v>1.0</v>
      </c>
      <c r="E9" s="98" t="s">
        <v>6865</v>
      </c>
      <c r="F9" s="98">
        <v>1.0</v>
      </c>
      <c r="G9" s="99">
        <v>46282.44791666667</v>
      </c>
      <c r="H9" s="99">
        <v>46282.48958333333</v>
      </c>
      <c r="I9" s="4" t="b">
        <v>1</v>
      </c>
      <c r="J9" s="100" t="s">
        <v>6869</v>
      </c>
      <c r="K9" s="103"/>
    </row>
    <row r="10">
      <c r="A10" s="97">
        <v>46282.5</v>
      </c>
      <c r="B10" s="4" t="s">
        <v>4361</v>
      </c>
      <c r="C10" s="4" t="s">
        <v>6873</v>
      </c>
      <c r="D10" s="4">
        <v>1.0</v>
      </c>
      <c r="E10" s="98" t="s">
        <v>6876</v>
      </c>
      <c r="F10" s="98">
        <v>24.0</v>
      </c>
      <c r="G10" s="99">
        <v>46282.95833333333</v>
      </c>
      <c r="H10" s="99">
        <v>46283.95833333333</v>
      </c>
      <c r="I10" s="4" t="b">
        <v>1</v>
      </c>
      <c r="J10" s="100" t="s">
        <v>6881</v>
      </c>
      <c r="K10" s="103"/>
    </row>
    <row r="11">
      <c r="A11" s="97">
        <v>46282.5</v>
      </c>
      <c r="B11" s="4" t="s">
        <v>462</v>
      </c>
      <c r="C11" s="4" t="s">
        <v>4776</v>
      </c>
      <c r="D11" s="4">
        <v>3.0</v>
      </c>
      <c r="E11" s="98" t="s">
        <v>6876</v>
      </c>
      <c r="F11" s="98">
        <v>24.0</v>
      </c>
      <c r="G11" s="99">
        <v>46282.95833333333</v>
      </c>
      <c r="H11" s="99">
        <v>46283.95833333333</v>
      </c>
      <c r="I11" s="4" t="b">
        <v>1</v>
      </c>
      <c r="J11" s="100" t="s">
        <v>6890</v>
      </c>
      <c r="K11" s="103"/>
    </row>
    <row r="12">
      <c r="A12" s="97">
        <v>46283.5</v>
      </c>
      <c r="B12" s="4" t="s">
        <v>4858</v>
      </c>
      <c r="C12" s="4" t="s">
        <v>6895</v>
      </c>
      <c r="D12" s="4">
        <v>2.0</v>
      </c>
      <c r="E12" s="98" t="s">
        <v>6897</v>
      </c>
      <c r="F12" s="98">
        <v>1.0</v>
      </c>
      <c r="G12" s="99">
        <v>46283.71875</v>
      </c>
      <c r="H12" s="99">
        <v>46283.76041666667</v>
      </c>
      <c r="I12" s="4" t="b">
        <v>1</v>
      </c>
      <c r="J12" s="100" t="s">
        <v>293</v>
      </c>
      <c r="K12" s="103"/>
    </row>
    <row r="13">
      <c r="A13" s="97">
        <v>46283.5</v>
      </c>
      <c r="B13" s="4" t="s">
        <v>4361</v>
      </c>
      <c r="C13" s="4" t="s">
        <v>6904</v>
      </c>
      <c r="D13" s="4">
        <v>3.0</v>
      </c>
      <c r="E13" s="98" t="s">
        <v>6908</v>
      </c>
      <c r="F13" s="98">
        <v>1.0</v>
      </c>
      <c r="G13" s="99">
        <v>46283.72916666667</v>
      </c>
      <c r="H13" s="99">
        <v>46283.77083333333</v>
      </c>
      <c r="I13" s="4" t="b">
        <v>1</v>
      </c>
      <c r="J13" s="100" t="s">
        <v>293</v>
      </c>
      <c r="K13" s="100" t="s">
        <v>6913</v>
      </c>
    </row>
    <row r="14">
      <c r="A14" s="97">
        <v>46285.5</v>
      </c>
      <c r="B14" s="4" t="s">
        <v>6916</v>
      </c>
      <c r="C14" s="4" t="s">
        <v>6918</v>
      </c>
      <c r="D14" s="4">
        <v>1.0</v>
      </c>
      <c r="E14" s="98" t="s">
        <v>6923</v>
      </c>
      <c r="F14" s="98">
        <v>24.0</v>
      </c>
      <c r="G14" s="99">
        <v>46285.16666666667</v>
      </c>
      <c r="H14" s="99">
        <v>46286.16666666667</v>
      </c>
      <c r="I14" s="4" t="b">
        <v>1</v>
      </c>
      <c r="J14" s="100" t="s">
        <v>6928</v>
      </c>
      <c r="K14" s="100" t="s">
        <v>6930</v>
      </c>
    </row>
    <row r="15">
      <c r="A15" s="97">
        <v>46285.5</v>
      </c>
      <c r="B15" s="4" t="s">
        <v>4361</v>
      </c>
      <c r="C15" s="4" t="s">
        <v>4859</v>
      </c>
      <c r="D15" s="4">
        <v>4.0</v>
      </c>
      <c r="E15" s="98" t="s">
        <v>6938</v>
      </c>
      <c r="F15" s="98">
        <v>4.0</v>
      </c>
      <c r="G15" s="99">
        <v>46285.740277777775</v>
      </c>
      <c r="H15" s="99">
        <v>46285.90694444445</v>
      </c>
      <c r="I15" s="4" t="b">
        <v>1</v>
      </c>
      <c r="J15" s="100" t="s">
        <v>293</v>
      </c>
      <c r="K15" s="100" t="s">
        <v>6943</v>
      </c>
    </row>
    <row r="16">
      <c r="A16" s="97">
        <v>46285.5</v>
      </c>
      <c r="B16" s="4" t="s">
        <v>874</v>
      </c>
      <c r="C16" s="4" t="s">
        <v>6945</v>
      </c>
      <c r="D16" s="4" t="s">
        <v>6946</v>
      </c>
      <c r="E16" s="98" t="s">
        <v>6947</v>
      </c>
      <c r="F16" s="98">
        <v>6.000001</v>
      </c>
      <c r="G16" s="99">
        <v>46285.90972222222</v>
      </c>
      <c r="H16" s="99">
        <v>46286.15972225694</v>
      </c>
      <c r="I16" s="4" t="b">
        <v>1</v>
      </c>
      <c r="J16" s="100" t="s">
        <v>6954</v>
      </c>
      <c r="K16" s="100" t="s">
        <v>6956</v>
      </c>
    </row>
    <row r="17">
      <c r="A17" s="97">
        <v>46290.5</v>
      </c>
      <c r="B17" s="4" t="s">
        <v>486</v>
      </c>
      <c r="C17" s="4" t="s">
        <v>6960</v>
      </c>
      <c r="D17" s="4">
        <v>1.0</v>
      </c>
      <c r="E17" s="98" t="s">
        <v>6962</v>
      </c>
      <c r="F17" s="98">
        <v>24.0</v>
      </c>
      <c r="G17" s="99">
        <v>46290.77291666667</v>
      </c>
      <c r="H17" s="99">
        <v>46291.77291666667</v>
      </c>
      <c r="I17" s="4" t="b">
        <v>1</v>
      </c>
      <c r="J17" s="100" t="s">
        <v>6966</v>
      </c>
      <c r="K17" s="100" t="s">
        <v>6968</v>
      </c>
    </row>
    <row r="18">
      <c r="A18" s="97">
        <v>46290.5</v>
      </c>
      <c r="B18" s="4" t="s">
        <v>4858</v>
      </c>
      <c r="C18" s="4" t="s">
        <v>6972</v>
      </c>
      <c r="D18" s="4">
        <v>1.0</v>
      </c>
      <c r="E18" s="98" t="s">
        <v>6975</v>
      </c>
      <c r="F18" s="98">
        <v>0.1</v>
      </c>
      <c r="G18" s="99">
        <v>46290.77777777778</v>
      </c>
      <c r="H18" s="99">
        <v>46290.78194444445</v>
      </c>
      <c r="I18" s="4" t="b">
        <v>1</v>
      </c>
      <c r="J18" s="100" t="s">
        <v>6978</v>
      </c>
      <c r="K18" s="100" t="s">
        <v>6980</v>
      </c>
    </row>
    <row r="19">
      <c r="A19" s="104"/>
      <c r="B19" s="38"/>
      <c r="E19" s="101"/>
      <c r="F19" s="101" t="str">
        <f t="array" ref="F19">IF(E19="","",IFERROR(_xlfn.XLOOKUP(E19,SyncCodex!N:N,SyncCodex!O:O),""))</f>
        <v/>
      </c>
      <c r="G19" s="102"/>
      <c r="H19" s="102" t="str">
        <f t="shared" ref="H19:H997" si="1">IF(OR(G19="",F19=""),"",G19+(F19/24))</f>
        <v/>
      </c>
      <c r="I19" s="38" t="b">
        <v>0</v>
      </c>
      <c r="J19" s="103"/>
      <c r="K19" s="103"/>
    </row>
    <row r="20">
      <c r="A20" s="104"/>
      <c r="B20" s="38"/>
      <c r="E20" s="101"/>
      <c r="F20" s="101" t="str">
        <f t="array" ref="F20">IF(E20="","",IFERROR(_xlfn.XLOOKUP(E20,SyncCodex!N:N,SyncCodex!O:O),""))</f>
        <v/>
      </c>
      <c r="G20" s="102"/>
      <c r="H20" s="102" t="str">
        <f t="shared" si="1"/>
        <v/>
      </c>
      <c r="I20" s="38" t="b">
        <v>0</v>
      </c>
      <c r="J20" s="103"/>
      <c r="K20" s="103"/>
    </row>
    <row r="21">
      <c r="A21" s="104"/>
      <c r="B21" s="38"/>
      <c r="E21" s="101"/>
      <c r="F21" s="101" t="str">
        <f t="array" ref="F21">IF(E21="","",IFERROR(_xlfn.XLOOKUP(E21,SyncCodex!N:N,SyncCodex!O:O),""))</f>
        <v/>
      </c>
      <c r="G21" s="102"/>
      <c r="H21" s="102" t="str">
        <f t="shared" si="1"/>
        <v/>
      </c>
      <c r="I21" s="38" t="b">
        <v>0</v>
      </c>
      <c r="J21" s="103"/>
      <c r="K21" s="103"/>
    </row>
    <row r="22">
      <c r="A22" s="104"/>
      <c r="B22" s="38"/>
      <c r="E22" s="101"/>
      <c r="F22" s="101" t="str">
        <f t="array" ref="F22">IF(E22="","",IFERROR(_xlfn.XLOOKUP(E22,SyncCodex!N:N,SyncCodex!O:O),""))</f>
        <v/>
      </c>
      <c r="G22" s="102"/>
      <c r="H22" s="102" t="str">
        <f t="shared" si="1"/>
        <v/>
      </c>
      <c r="I22" s="38" t="b">
        <v>0</v>
      </c>
      <c r="J22" s="103"/>
      <c r="K22" s="103"/>
    </row>
    <row r="23">
      <c r="A23" s="104"/>
      <c r="B23" s="38"/>
      <c r="E23" s="101"/>
      <c r="F23" s="101" t="str">
        <f t="array" ref="F23">IF(E23="","",IFERROR(_xlfn.XLOOKUP(E23,SyncCodex!N:N,SyncCodex!O:O),""))</f>
        <v/>
      </c>
      <c r="G23" s="102"/>
      <c r="H23" s="102" t="str">
        <f t="shared" si="1"/>
        <v/>
      </c>
      <c r="I23" s="38" t="b">
        <v>0</v>
      </c>
      <c r="J23" s="103"/>
      <c r="K23" s="103"/>
    </row>
    <row r="24">
      <c r="A24" s="104"/>
      <c r="B24" s="38"/>
      <c r="E24" s="101"/>
      <c r="F24" s="101" t="str">
        <f t="array" ref="F24">IF(E24="","",IFERROR(_xlfn.XLOOKUP(E24,SyncCodex!N:N,SyncCodex!O:O),""))</f>
        <v/>
      </c>
      <c r="G24" s="102"/>
      <c r="H24" s="102" t="str">
        <f t="shared" si="1"/>
        <v/>
      </c>
      <c r="I24" s="38" t="b">
        <v>0</v>
      </c>
      <c r="J24" s="103"/>
      <c r="K24" s="103"/>
    </row>
    <row r="25">
      <c r="A25" s="104"/>
      <c r="B25" s="38"/>
      <c r="E25" s="101"/>
      <c r="F25" s="101" t="str">
        <f t="array" ref="F25">IF(E25="","",IFERROR(_xlfn.XLOOKUP(E25,SyncCodex!N:N,SyncCodex!O:O),""))</f>
        <v/>
      </c>
      <c r="G25" s="102"/>
      <c r="H25" s="102" t="str">
        <f t="shared" si="1"/>
        <v/>
      </c>
      <c r="I25" s="38" t="b">
        <v>0</v>
      </c>
      <c r="J25" s="103"/>
      <c r="K25" s="103"/>
    </row>
    <row r="26">
      <c r="A26" s="104"/>
      <c r="B26" s="38"/>
      <c r="E26" s="101"/>
      <c r="F26" s="101" t="str">
        <f t="array" ref="F26">IF(E26="","",IFERROR(_xlfn.XLOOKUP(E26,SyncCodex!N:N,SyncCodex!O:O),""))</f>
        <v/>
      </c>
      <c r="G26" s="102"/>
      <c r="H26" s="102" t="str">
        <f t="shared" si="1"/>
        <v/>
      </c>
      <c r="I26" s="38" t="b">
        <v>0</v>
      </c>
      <c r="J26" s="103"/>
      <c r="K26" s="103"/>
    </row>
    <row r="27">
      <c r="A27" s="104"/>
      <c r="B27" s="38"/>
      <c r="E27" s="101"/>
      <c r="F27" s="101" t="str">
        <f t="array" ref="F27">IF(E27="","",IFERROR(_xlfn.XLOOKUP(E27,SyncCodex!N:N,SyncCodex!O:O),""))</f>
        <v/>
      </c>
      <c r="G27" s="102"/>
      <c r="H27" s="102" t="str">
        <f t="shared" si="1"/>
        <v/>
      </c>
      <c r="I27" s="38" t="b">
        <v>0</v>
      </c>
      <c r="J27" s="103"/>
      <c r="K27" s="103"/>
    </row>
    <row r="28">
      <c r="A28" s="104"/>
      <c r="B28" s="38"/>
      <c r="E28" s="101"/>
      <c r="F28" s="101" t="str">
        <f t="array" ref="F28">IF(E28="","",IFERROR(_xlfn.XLOOKUP(E28,SyncCodex!N:N,SyncCodex!O:O),""))</f>
        <v/>
      </c>
      <c r="G28" s="102"/>
      <c r="H28" s="102" t="str">
        <f t="shared" si="1"/>
        <v/>
      </c>
      <c r="I28" s="38" t="b">
        <v>0</v>
      </c>
      <c r="J28" s="103"/>
      <c r="K28" s="103"/>
    </row>
    <row r="29">
      <c r="A29" s="104"/>
      <c r="B29" s="38"/>
      <c r="E29" s="101"/>
      <c r="F29" s="101" t="str">
        <f t="array" ref="F29">IF(E29="","",IFERROR(_xlfn.XLOOKUP(E29,SyncCodex!N:N,SyncCodex!O:O),""))</f>
        <v/>
      </c>
      <c r="G29" s="102"/>
      <c r="H29" s="102" t="str">
        <f t="shared" si="1"/>
        <v/>
      </c>
      <c r="I29" s="38" t="b">
        <v>0</v>
      </c>
      <c r="J29" s="103"/>
      <c r="K29" s="103"/>
    </row>
    <row r="30">
      <c r="A30" s="104"/>
      <c r="B30" s="38"/>
      <c r="E30" s="101"/>
      <c r="F30" s="101" t="str">
        <f t="array" ref="F30">IF(E30="","",IFERROR(_xlfn.XLOOKUP(E30,SyncCodex!N:N,SyncCodex!O:O),""))</f>
        <v/>
      </c>
      <c r="G30" s="102"/>
      <c r="H30" s="102" t="str">
        <f t="shared" si="1"/>
        <v/>
      </c>
      <c r="I30" s="38" t="b">
        <v>0</v>
      </c>
      <c r="J30" s="103"/>
      <c r="K30" s="103"/>
    </row>
    <row r="31">
      <c r="A31" s="104"/>
      <c r="B31" s="38"/>
      <c r="E31" s="101"/>
      <c r="F31" s="101" t="str">
        <f t="array" ref="F31">IF(E31="","",IFERROR(_xlfn.XLOOKUP(E31,SyncCodex!N:N,SyncCodex!O:O),""))</f>
        <v/>
      </c>
      <c r="G31" s="102"/>
      <c r="H31" s="102" t="str">
        <f t="shared" si="1"/>
        <v/>
      </c>
      <c r="I31" s="38" t="b">
        <v>0</v>
      </c>
      <c r="J31" s="103"/>
      <c r="K31" s="103"/>
    </row>
    <row r="32">
      <c r="A32" s="104"/>
      <c r="B32" s="38"/>
      <c r="E32" s="101"/>
      <c r="F32" s="101" t="str">
        <f t="array" ref="F32">IF(E32="","",IFERROR(_xlfn.XLOOKUP(E32,SyncCodex!N:N,SyncCodex!O:O),""))</f>
        <v/>
      </c>
      <c r="G32" s="102"/>
      <c r="H32" s="102" t="str">
        <f t="shared" si="1"/>
        <v/>
      </c>
      <c r="I32" s="38" t="b">
        <v>0</v>
      </c>
      <c r="J32" s="103"/>
      <c r="K32" s="103"/>
    </row>
    <row r="33">
      <c r="A33" s="104"/>
      <c r="B33" s="38"/>
      <c r="E33" s="101"/>
      <c r="F33" s="101" t="str">
        <f t="array" ref="F33">IF(E33="","",IFERROR(_xlfn.XLOOKUP(E33,SyncCodex!N:N,SyncCodex!O:O),""))</f>
        <v/>
      </c>
      <c r="G33" s="102"/>
      <c r="H33" s="102" t="str">
        <f t="shared" si="1"/>
        <v/>
      </c>
      <c r="I33" s="38" t="b">
        <v>0</v>
      </c>
      <c r="J33" s="103"/>
      <c r="K33" s="103"/>
    </row>
    <row r="34">
      <c r="A34" s="104"/>
      <c r="B34" s="38"/>
      <c r="E34" s="101"/>
      <c r="F34" s="101" t="str">
        <f t="array" ref="F34">IF(E34="","",IFERROR(_xlfn.XLOOKUP(E34,SyncCodex!N:N,SyncCodex!O:O),""))</f>
        <v/>
      </c>
      <c r="G34" s="102"/>
      <c r="H34" s="102" t="str">
        <f t="shared" si="1"/>
        <v/>
      </c>
      <c r="I34" s="38" t="b">
        <v>0</v>
      </c>
      <c r="J34" s="103"/>
      <c r="K34" s="103"/>
    </row>
    <row r="35">
      <c r="A35" s="104"/>
      <c r="B35" s="38"/>
      <c r="E35" s="101"/>
      <c r="F35" s="101" t="str">
        <f t="array" ref="F35">IF(E35="","",IFERROR(_xlfn.XLOOKUP(E35,SyncCodex!N:N,SyncCodex!O:O),""))</f>
        <v/>
      </c>
      <c r="G35" s="102"/>
      <c r="H35" s="102" t="str">
        <f t="shared" si="1"/>
        <v/>
      </c>
      <c r="I35" s="38" t="b">
        <v>0</v>
      </c>
      <c r="J35" s="103"/>
      <c r="K35" s="103"/>
    </row>
    <row r="36">
      <c r="A36" s="104"/>
      <c r="B36" s="38"/>
      <c r="E36" s="101"/>
      <c r="F36" s="101" t="str">
        <f t="array" ref="F36">IF(E36="","",IFERROR(_xlfn.XLOOKUP(E36,SyncCodex!N:N,SyncCodex!O:O),""))</f>
        <v/>
      </c>
      <c r="G36" s="102"/>
      <c r="H36" s="102" t="str">
        <f t="shared" si="1"/>
        <v/>
      </c>
      <c r="I36" s="38" t="b">
        <v>0</v>
      </c>
      <c r="J36" s="103"/>
      <c r="K36" s="103"/>
    </row>
    <row r="37">
      <c r="A37" s="104"/>
      <c r="B37" s="38"/>
      <c r="E37" s="101"/>
      <c r="F37" s="101" t="str">
        <f t="array" ref="F37">IF(E37="","",IFERROR(_xlfn.XLOOKUP(E37,SyncCodex!N:N,SyncCodex!O:O),""))</f>
        <v/>
      </c>
      <c r="G37" s="102"/>
      <c r="H37" s="102" t="str">
        <f t="shared" si="1"/>
        <v/>
      </c>
      <c r="I37" s="38" t="b">
        <v>0</v>
      </c>
      <c r="J37" s="103"/>
      <c r="K37" s="103"/>
    </row>
    <row r="38">
      <c r="A38" s="104"/>
      <c r="B38" s="38"/>
      <c r="E38" s="101"/>
      <c r="F38" s="101" t="str">
        <f t="array" ref="F38">IF(E38="","",IFERROR(_xlfn.XLOOKUP(E38,SyncCodex!N:N,SyncCodex!O:O),""))</f>
        <v/>
      </c>
      <c r="G38" s="102"/>
      <c r="H38" s="102" t="str">
        <f t="shared" si="1"/>
        <v/>
      </c>
      <c r="I38" s="38" t="b">
        <v>0</v>
      </c>
      <c r="J38" s="103"/>
      <c r="K38" s="103"/>
    </row>
    <row r="39">
      <c r="A39" s="104"/>
      <c r="B39" s="38"/>
      <c r="E39" s="101"/>
      <c r="F39" s="101" t="str">
        <f t="array" ref="F39">IF(E39="","",IFERROR(_xlfn.XLOOKUP(E39,SyncCodex!N:N,SyncCodex!O:O),""))</f>
        <v/>
      </c>
      <c r="G39" s="102"/>
      <c r="H39" s="102" t="str">
        <f t="shared" si="1"/>
        <v/>
      </c>
      <c r="I39" s="38" t="b">
        <v>0</v>
      </c>
      <c r="J39" s="103"/>
      <c r="K39" s="103"/>
    </row>
    <row r="40">
      <c r="A40" s="104"/>
      <c r="B40" s="38"/>
      <c r="E40" s="101"/>
      <c r="F40" s="101" t="str">
        <f t="array" ref="F40">IF(E40="","",IFERROR(_xlfn.XLOOKUP(E40,SyncCodex!N:N,SyncCodex!O:O),""))</f>
        <v/>
      </c>
      <c r="G40" s="102"/>
      <c r="H40" s="102" t="str">
        <f t="shared" si="1"/>
        <v/>
      </c>
      <c r="I40" s="38" t="b">
        <v>0</v>
      </c>
      <c r="J40" s="103"/>
      <c r="K40" s="103"/>
    </row>
    <row r="41">
      <c r="A41" s="104"/>
      <c r="B41" s="38"/>
      <c r="E41" s="101"/>
      <c r="F41" s="101" t="str">
        <f t="array" ref="F41">IF(E41="","",IFERROR(_xlfn.XLOOKUP(E41,SyncCodex!N:N,SyncCodex!O:O),""))</f>
        <v/>
      </c>
      <c r="G41" s="102"/>
      <c r="H41" s="102" t="str">
        <f t="shared" si="1"/>
        <v/>
      </c>
      <c r="I41" s="38" t="b">
        <v>0</v>
      </c>
      <c r="J41" s="103"/>
      <c r="K41" s="103"/>
    </row>
    <row r="42">
      <c r="A42" s="104"/>
      <c r="B42" s="38"/>
      <c r="E42" s="101"/>
      <c r="F42" s="101" t="str">
        <f t="array" ref="F42">IF(E42="","",IFERROR(_xlfn.XLOOKUP(E42,SyncCodex!N:N,SyncCodex!O:O),""))</f>
        <v/>
      </c>
      <c r="G42" s="102"/>
      <c r="H42" s="102" t="str">
        <f t="shared" si="1"/>
        <v/>
      </c>
      <c r="I42" s="38" t="b">
        <v>0</v>
      </c>
      <c r="J42" s="103"/>
      <c r="K42" s="103"/>
    </row>
    <row r="43">
      <c r="A43" s="104"/>
      <c r="B43" s="38"/>
      <c r="E43" s="101"/>
      <c r="F43" s="101" t="str">
        <f t="array" ref="F43">IF(E43="","",IFERROR(_xlfn.XLOOKUP(E43,SyncCodex!N:N,SyncCodex!O:O),""))</f>
        <v/>
      </c>
      <c r="G43" s="102"/>
      <c r="H43" s="102" t="str">
        <f t="shared" si="1"/>
        <v/>
      </c>
      <c r="I43" s="38" t="b">
        <v>0</v>
      </c>
      <c r="J43" s="103"/>
      <c r="K43" s="103"/>
    </row>
    <row r="44">
      <c r="A44" s="104"/>
      <c r="B44" s="38"/>
      <c r="E44" s="101"/>
      <c r="F44" s="101" t="str">
        <f t="array" ref="F44">IF(E44="","",IFERROR(_xlfn.XLOOKUP(E44,SyncCodex!N:N,SyncCodex!O:O),""))</f>
        <v/>
      </c>
      <c r="G44" s="102"/>
      <c r="H44" s="102" t="str">
        <f t="shared" si="1"/>
        <v/>
      </c>
      <c r="I44" s="38" t="b">
        <v>0</v>
      </c>
      <c r="J44" s="103"/>
      <c r="K44" s="103"/>
    </row>
    <row r="45">
      <c r="A45" s="104"/>
      <c r="B45" s="38"/>
      <c r="E45" s="101"/>
      <c r="F45" s="101" t="str">
        <f t="array" ref="F45">IF(E45="","",IFERROR(_xlfn.XLOOKUP(E45,SyncCodex!N:N,SyncCodex!O:O),""))</f>
        <v/>
      </c>
      <c r="G45" s="102"/>
      <c r="H45" s="102" t="str">
        <f t="shared" si="1"/>
        <v/>
      </c>
      <c r="I45" s="38" t="b">
        <v>0</v>
      </c>
      <c r="J45" s="103"/>
      <c r="K45" s="103"/>
    </row>
    <row r="46">
      <c r="A46" s="104"/>
      <c r="B46" s="38"/>
      <c r="E46" s="101"/>
      <c r="F46" s="101" t="str">
        <f t="array" ref="F46">IF(E46="","",IFERROR(_xlfn.XLOOKUP(E46,SyncCodex!N:N,SyncCodex!O:O),""))</f>
        <v/>
      </c>
      <c r="G46" s="102"/>
      <c r="H46" s="102" t="str">
        <f t="shared" si="1"/>
        <v/>
      </c>
      <c r="I46" s="38" t="b">
        <v>0</v>
      </c>
      <c r="J46" s="103"/>
      <c r="K46" s="103"/>
    </row>
    <row r="47">
      <c r="A47" s="104"/>
      <c r="B47" s="38"/>
      <c r="E47" s="101"/>
      <c r="F47" s="101" t="str">
        <f t="array" ref="F47">IF(E47="","",IFERROR(_xlfn.XLOOKUP(E47,SyncCodex!N:N,SyncCodex!O:O),""))</f>
        <v/>
      </c>
      <c r="G47" s="102"/>
      <c r="H47" s="102" t="str">
        <f t="shared" si="1"/>
        <v/>
      </c>
      <c r="I47" s="38" t="b">
        <v>0</v>
      </c>
      <c r="J47" s="103"/>
      <c r="K47" s="103"/>
    </row>
    <row r="48">
      <c r="A48" s="104"/>
      <c r="B48" s="38"/>
      <c r="E48" s="101"/>
      <c r="F48" s="101" t="str">
        <f t="array" ref="F48">IF(E48="","",IFERROR(_xlfn.XLOOKUP(E48,SyncCodex!N:N,SyncCodex!O:O),""))</f>
        <v/>
      </c>
      <c r="G48" s="102"/>
      <c r="H48" s="102" t="str">
        <f t="shared" si="1"/>
        <v/>
      </c>
      <c r="I48" s="38" t="b">
        <v>0</v>
      </c>
      <c r="J48" s="103"/>
      <c r="K48" s="103"/>
    </row>
    <row r="49">
      <c r="A49" s="104"/>
      <c r="B49" s="38"/>
      <c r="E49" s="101"/>
      <c r="F49" s="101" t="str">
        <f t="array" ref="F49">IF(E49="","",IFERROR(_xlfn.XLOOKUP(E49,SyncCodex!N:N,SyncCodex!O:O),""))</f>
        <v/>
      </c>
      <c r="G49" s="102"/>
      <c r="H49" s="102" t="str">
        <f t="shared" si="1"/>
        <v/>
      </c>
      <c r="I49" s="38" t="b">
        <v>0</v>
      </c>
      <c r="J49" s="103"/>
      <c r="K49" s="103"/>
    </row>
    <row r="50">
      <c r="A50" s="104"/>
      <c r="B50" s="38"/>
      <c r="E50" s="101"/>
      <c r="F50" s="101" t="str">
        <f t="array" ref="F50">IF(E50="","",IFERROR(_xlfn.XLOOKUP(E50,SyncCodex!N:N,SyncCodex!O:O),""))</f>
        <v/>
      </c>
      <c r="G50" s="102"/>
      <c r="H50" s="102" t="str">
        <f t="shared" si="1"/>
        <v/>
      </c>
      <c r="I50" s="38" t="b">
        <v>0</v>
      </c>
      <c r="J50" s="103"/>
      <c r="K50" s="103"/>
    </row>
    <row r="51">
      <c r="A51" s="104"/>
      <c r="B51" s="38"/>
      <c r="E51" s="101"/>
      <c r="F51" s="101" t="str">
        <f t="array" ref="F51">IF(E51="","",IFERROR(_xlfn.XLOOKUP(E51,SyncCodex!N:N,SyncCodex!O:O),""))</f>
        <v/>
      </c>
      <c r="G51" s="102"/>
      <c r="H51" s="102" t="str">
        <f t="shared" si="1"/>
        <v/>
      </c>
      <c r="I51" s="38" t="b">
        <v>0</v>
      </c>
      <c r="J51" s="103"/>
      <c r="K51" s="103"/>
    </row>
    <row r="52">
      <c r="A52" s="104"/>
      <c r="B52" s="38"/>
      <c r="E52" s="101"/>
      <c r="F52" s="101" t="str">
        <f t="array" ref="F52">IF(E52="","",IFERROR(_xlfn.XLOOKUP(E52,SyncCodex!N:N,SyncCodex!O:O),""))</f>
        <v/>
      </c>
      <c r="G52" s="102"/>
      <c r="H52" s="102" t="str">
        <f t="shared" si="1"/>
        <v/>
      </c>
      <c r="I52" s="38" t="b">
        <v>0</v>
      </c>
      <c r="J52" s="103"/>
      <c r="K52" s="103"/>
    </row>
    <row r="53">
      <c r="A53" s="104"/>
      <c r="B53" s="38"/>
      <c r="E53" s="101"/>
      <c r="F53" s="101" t="str">
        <f t="array" ref="F53">IF(E53="","",IFERROR(_xlfn.XLOOKUP(E53,SyncCodex!N:N,SyncCodex!O:O),""))</f>
        <v/>
      </c>
      <c r="G53" s="102"/>
      <c r="H53" s="102" t="str">
        <f t="shared" si="1"/>
        <v/>
      </c>
      <c r="I53" s="38" t="b">
        <v>0</v>
      </c>
      <c r="J53" s="103"/>
      <c r="K53" s="103"/>
    </row>
    <row r="54">
      <c r="A54" s="104"/>
      <c r="B54" s="38"/>
      <c r="E54" s="101"/>
      <c r="F54" s="101" t="str">
        <f t="array" ref="F54">IF(E54="","",IFERROR(_xlfn.XLOOKUP(E54,SyncCodex!N:N,SyncCodex!O:O),""))</f>
        <v/>
      </c>
      <c r="G54" s="102"/>
      <c r="H54" s="102" t="str">
        <f t="shared" si="1"/>
        <v/>
      </c>
      <c r="I54" s="38" t="b">
        <v>0</v>
      </c>
      <c r="J54" s="103"/>
      <c r="K54" s="103"/>
    </row>
    <row r="55">
      <c r="A55" s="104"/>
      <c r="B55" s="38"/>
      <c r="E55" s="101"/>
      <c r="F55" s="101" t="str">
        <f t="array" ref="F55">IF(E55="","",IFERROR(_xlfn.XLOOKUP(E55,SyncCodex!N:N,SyncCodex!O:O),""))</f>
        <v/>
      </c>
      <c r="G55" s="102"/>
      <c r="H55" s="102" t="str">
        <f t="shared" si="1"/>
        <v/>
      </c>
      <c r="I55" s="38" t="b">
        <v>0</v>
      </c>
      <c r="J55" s="103"/>
      <c r="K55" s="103"/>
    </row>
    <row r="56">
      <c r="A56" s="104"/>
      <c r="B56" s="38"/>
      <c r="E56" s="101"/>
      <c r="F56" s="101" t="str">
        <f t="array" ref="F56">IF(E56="","",IFERROR(_xlfn.XLOOKUP(E56,SyncCodex!N:N,SyncCodex!O:O),""))</f>
        <v/>
      </c>
      <c r="G56" s="102"/>
      <c r="H56" s="102" t="str">
        <f t="shared" si="1"/>
        <v/>
      </c>
      <c r="I56" s="38" t="b">
        <v>0</v>
      </c>
      <c r="J56" s="103"/>
      <c r="K56" s="103"/>
    </row>
    <row r="57">
      <c r="A57" s="104"/>
      <c r="B57" s="38"/>
      <c r="E57" s="101"/>
      <c r="F57" s="101" t="str">
        <f t="array" ref="F57">IF(E57="","",IFERROR(_xlfn.XLOOKUP(E57,SyncCodex!N:N,SyncCodex!O:O),""))</f>
        <v/>
      </c>
      <c r="G57" s="102"/>
      <c r="H57" s="102" t="str">
        <f t="shared" si="1"/>
        <v/>
      </c>
      <c r="I57" s="38" t="b">
        <v>0</v>
      </c>
      <c r="J57" s="103"/>
      <c r="K57" s="103"/>
    </row>
    <row r="58">
      <c r="A58" s="104"/>
      <c r="B58" s="38"/>
      <c r="E58" s="101"/>
      <c r="F58" s="101" t="str">
        <f t="array" ref="F58">IF(E58="","",IFERROR(_xlfn.XLOOKUP(E58,SyncCodex!N:N,SyncCodex!O:O),""))</f>
        <v/>
      </c>
      <c r="G58" s="102"/>
      <c r="H58" s="102" t="str">
        <f t="shared" si="1"/>
        <v/>
      </c>
      <c r="I58" s="38" t="b">
        <v>0</v>
      </c>
      <c r="J58" s="103"/>
      <c r="K58" s="103"/>
    </row>
    <row r="59">
      <c r="A59" s="104"/>
      <c r="B59" s="38"/>
      <c r="E59" s="101"/>
      <c r="F59" s="101" t="str">
        <f t="array" ref="F59">IF(E59="","",IFERROR(_xlfn.XLOOKUP(E59,SyncCodex!N:N,SyncCodex!O:O),""))</f>
        <v/>
      </c>
      <c r="G59" s="102"/>
      <c r="H59" s="102" t="str">
        <f t="shared" si="1"/>
        <v/>
      </c>
      <c r="I59" s="38" t="b">
        <v>0</v>
      </c>
      <c r="J59" s="103"/>
      <c r="K59" s="103"/>
    </row>
    <row r="60">
      <c r="A60" s="104"/>
      <c r="B60" s="38"/>
      <c r="E60" s="101"/>
      <c r="F60" s="101" t="str">
        <f t="array" ref="F60">IF(E60="","",IFERROR(_xlfn.XLOOKUP(E60,SyncCodex!N:N,SyncCodex!O:O),""))</f>
        <v/>
      </c>
      <c r="G60" s="102"/>
      <c r="H60" s="102" t="str">
        <f t="shared" si="1"/>
        <v/>
      </c>
      <c r="I60" s="38" t="b">
        <v>0</v>
      </c>
      <c r="J60" s="103"/>
      <c r="K60" s="103"/>
    </row>
    <row r="61">
      <c r="A61" s="104"/>
      <c r="B61" s="38"/>
      <c r="E61" s="101"/>
      <c r="F61" s="101" t="str">
        <f t="array" ref="F61">IF(E61="","",IFERROR(_xlfn.XLOOKUP(E61,SyncCodex!N:N,SyncCodex!O:O),""))</f>
        <v/>
      </c>
      <c r="G61" s="102"/>
      <c r="H61" s="102" t="str">
        <f t="shared" si="1"/>
        <v/>
      </c>
      <c r="I61" s="38" t="b">
        <v>0</v>
      </c>
      <c r="J61" s="103"/>
      <c r="K61" s="103"/>
    </row>
    <row r="62">
      <c r="A62" s="104"/>
      <c r="B62" s="38"/>
      <c r="E62" s="101"/>
      <c r="F62" s="101" t="str">
        <f t="array" ref="F62">IF(E62="","",IFERROR(_xlfn.XLOOKUP(E62,SyncCodex!N:N,SyncCodex!O:O),""))</f>
        <v/>
      </c>
      <c r="G62" s="102"/>
      <c r="H62" s="102" t="str">
        <f t="shared" si="1"/>
        <v/>
      </c>
      <c r="I62" s="38" t="b">
        <v>0</v>
      </c>
      <c r="J62" s="103"/>
      <c r="K62" s="103"/>
    </row>
    <row r="63">
      <c r="A63" s="104"/>
      <c r="B63" s="38"/>
      <c r="E63" s="101"/>
      <c r="F63" s="101" t="str">
        <f t="array" ref="F63">IF(E63="","",IFERROR(_xlfn.XLOOKUP(E63,SyncCodex!N:N,SyncCodex!O:O),""))</f>
        <v/>
      </c>
      <c r="G63" s="102"/>
      <c r="H63" s="102" t="str">
        <f t="shared" si="1"/>
        <v/>
      </c>
      <c r="I63" s="38" t="b">
        <v>0</v>
      </c>
      <c r="J63" s="103"/>
      <c r="K63" s="103"/>
    </row>
    <row r="64">
      <c r="A64" s="104"/>
      <c r="B64" s="38"/>
      <c r="E64" s="101"/>
      <c r="F64" s="101" t="str">
        <f t="array" ref="F64">IF(E64="","",IFERROR(_xlfn.XLOOKUP(E64,SyncCodex!N:N,SyncCodex!O:O),""))</f>
        <v/>
      </c>
      <c r="G64" s="102"/>
      <c r="H64" s="102" t="str">
        <f t="shared" si="1"/>
        <v/>
      </c>
      <c r="I64" s="38" t="b">
        <v>0</v>
      </c>
      <c r="J64" s="103"/>
      <c r="K64" s="103"/>
    </row>
    <row r="65">
      <c r="A65" s="104"/>
      <c r="B65" s="38"/>
      <c r="E65" s="101"/>
      <c r="F65" s="101" t="str">
        <f t="array" ref="F65">IF(E65="","",IFERROR(_xlfn.XLOOKUP(E65,SyncCodex!N:N,SyncCodex!O:O),""))</f>
        <v/>
      </c>
      <c r="G65" s="102"/>
      <c r="H65" s="102" t="str">
        <f t="shared" si="1"/>
        <v/>
      </c>
      <c r="I65" s="38" t="b">
        <v>0</v>
      </c>
      <c r="J65" s="103"/>
      <c r="K65" s="103"/>
    </row>
    <row r="66">
      <c r="A66" s="104"/>
      <c r="B66" s="38"/>
      <c r="E66" s="101"/>
      <c r="F66" s="101" t="str">
        <f t="array" ref="F66">IF(E66="","",IFERROR(_xlfn.XLOOKUP(E66,SyncCodex!N:N,SyncCodex!O:O),""))</f>
        <v/>
      </c>
      <c r="G66" s="102"/>
      <c r="H66" s="102" t="str">
        <f t="shared" si="1"/>
        <v/>
      </c>
      <c r="I66" s="38" t="b">
        <v>0</v>
      </c>
      <c r="J66" s="103"/>
      <c r="K66" s="103"/>
    </row>
    <row r="67">
      <c r="A67" s="104"/>
      <c r="B67" s="38"/>
      <c r="E67" s="101"/>
      <c r="F67" s="101" t="str">
        <f t="array" ref="F67">IF(E67="","",IFERROR(_xlfn.XLOOKUP(E67,SyncCodex!N:N,SyncCodex!O:O),""))</f>
        <v/>
      </c>
      <c r="G67" s="102"/>
      <c r="H67" s="102" t="str">
        <f t="shared" si="1"/>
        <v/>
      </c>
      <c r="I67" s="38" t="b">
        <v>0</v>
      </c>
      <c r="J67" s="103"/>
      <c r="K67" s="103"/>
    </row>
    <row r="68">
      <c r="A68" s="104"/>
      <c r="B68" s="38"/>
      <c r="E68" s="101"/>
      <c r="F68" s="101" t="str">
        <f t="array" ref="F68">IF(E68="","",IFERROR(_xlfn.XLOOKUP(E68,SyncCodex!N:N,SyncCodex!O:O),""))</f>
        <v/>
      </c>
      <c r="G68" s="102"/>
      <c r="H68" s="102" t="str">
        <f t="shared" si="1"/>
        <v/>
      </c>
      <c r="I68" s="38" t="b">
        <v>0</v>
      </c>
      <c r="J68" s="103"/>
      <c r="K68" s="103"/>
    </row>
    <row r="69">
      <c r="A69" s="104"/>
      <c r="B69" s="38"/>
      <c r="E69" s="101"/>
      <c r="F69" s="101" t="str">
        <f t="array" ref="F69">IF(E69="","",IFERROR(_xlfn.XLOOKUP(E69,SyncCodex!N:N,SyncCodex!O:O),""))</f>
        <v/>
      </c>
      <c r="G69" s="102"/>
      <c r="H69" s="102" t="str">
        <f t="shared" si="1"/>
        <v/>
      </c>
      <c r="I69" s="38" t="b">
        <v>0</v>
      </c>
      <c r="J69" s="103"/>
      <c r="K69" s="103"/>
    </row>
    <row r="70">
      <c r="A70" s="104"/>
      <c r="B70" s="38"/>
      <c r="E70" s="101"/>
      <c r="F70" s="101" t="str">
        <f t="array" ref="F70">IF(E70="","",IFERROR(_xlfn.XLOOKUP(E70,SyncCodex!N:N,SyncCodex!O:O),""))</f>
        <v/>
      </c>
      <c r="G70" s="102"/>
      <c r="H70" s="102" t="str">
        <f t="shared" si="1"/>
        <v/>
      </c>
      <c r="I70" s="38" t="b">
        <v>0</v>
      </c>
      <c r="J70" s="103"/>
      <c r="K70" s="103"/>
    </row>
    <row r="71">
      <c r="A71" s="104"/>
      <c r="B71" s="38"/>
      <c r="E71" s="101"/>
      <c r="F71" s="101" t="str">
        <f t="array" ref="F71">IF(E71="","",IFERROR(_xlfn.XLOOKUP(E71,SyncCodex!N:N,SyncCodex!O:O),""))</f>
        <v/>
      </c>
      <c r="G71" s="102"/>
      <c r="H71" s="102" t="str">
        <f t="shared" si="1"/>
        <v/>
      </c>
      <c r="I71" s="38" t="b">
        <v>0</v>
      </c>
      <c r="J71" s="103"/>
      <c r="K71" s="103"/>
    </row>
    <row r="72">
      <c r="A72" s="104"/>
      <c r="B72" s="38"/>
      <c r="E72" s="101"/>
      <c r="F72" s="101" t="str">
        <f t="array" ref="F72">IF(E72="","",IFERROR(_xlfn.XLOOKUP(E72,SyncCodex!N:N,SyncCodex!O:O),""))</f>
        <v/>
      </c>
      <c r="G72" s="102"/>
      <c r="H72" s="102" t="str">
        <f t="shared" si="1"/>
        <v/>
      </c>
      <c r="I72" s="38" t="b">
        <v>0</v>
      </c>
      <c r="J72" s="103"/>
      <c r="K72" s="103"/>
    </row>
    <row r="73">
      <c r="A73" s="104"/>
      <c r="B73" s="38"/>
      <c r="E73" s="101"/>
      <c r="F73" s="101" t="str">
        <f t="array" ref="F73">IF(E73="","",IFERROR(_xlfn.XLOOKUP(E73,SyncCodex!N:N,SyncCodex!O:O),""))</f>
        <v/>
      </c>
      <c r="G73" s="102"/>
      <c r="H73" s="102" t="str">
        <f t="shared" si="1"/>
        <v/>
      </c>
      <c r="I73" s="38" t="b">
        <v>0</v>
      </c>
      <c r="J73" s="103"/>
      <c r="K73" s="103"/>
    </row>
    <row r="74">
      <c r="A74" s="104"/>
      <c r="B74" s="38"/>
      <c r="E74" s="101"/>
      <c r="F74" s="101" t="str">
        <f t="array" ref="F74">IF(E74="","",IFERROR(_xlfn.XLOOKUP(E74,SyncCodex!N:N,SyncCodex!O:O),""))</f>
        <v/>
      </c>
      <c r="G74" s="102"/>
      <c r="H74" s="102" t="str">
        <f t="shared" si="1"/>
        <v/>
      </c>
      <c r="I74" s="38" t="b">
        <v>0</v>
      </c>
      <c r="J74" s="103"/>
      <c r="K74" s="103"/>
    </row>
    <row r="75">
      <c r="A75" s="104"/>
      <c r="B75" s="38"/>
      <c r="E75" s="101"/>
      <c r="F75" s="101" t="str">
        <f t="array" ref="F75">IF(E75="","",IFERROR(_xlfn.XLOOKUP(E75,SyncCodex!N:N,SyncCodex!O:O),""))</f>
        <v/>
      </c>
      <c r="G75" s="102"/>
      <c r="H75" s="102" t="str">
        <f t="shared" si="1"/>
        <v/>
      </c>
      <c r="I75" s="38" t="b">
        <v>0</v>
      </c>
      <c r="J75" s="103"/>
      <c r="K75" s="103"/>
    </row>
    <row r="76">
      <c r="A76" s="104"/>
      <c r="B76" s="38"/>
      <c r="E76" s="101"/>
      <c r="F76" s="101" t="str">
        <f t="array" ref="F76">IF(E76="","",IFERROR(_xlfn.XLOOKUP(E76,SyncCodex!N:N,SyncCodex!O:O),""))</f>
        <v/>
      </c>
      <c r="G76" s="102"/>
      <c r="H76" s="102" t="str">
        <f t="shared" si="1"/>
        <v/>
      </c>
      <c r="I76" s="38" t="b">
        <v>0</v>
      </c>
      <c r="J76" s="103"/>
      <c r="K76" s="103"/>
    </row>
    <row r="77">
      <c r="A77" s="104"/>
      <c r="B77" s="38"/>
      <c r="E77" s="101"/>
      <c r="F77" s="101" t="str">
        <f t="array" ref="F77">IF(E77="","",IFERROR(_xlfn.XLOOKUP(E77,SyncCodex!N:N,SyncCodex!O:O),""))</f>
        <v/>
      </c>
      <c r="G77" s="102"/>
      <c r="H77" s="102" t="str">
        <f t="shared" si="1"/>
        <v/>
      </c>
      <c r="I77" s="38" t="b">
        <v>0</v>
      </c>
      <c r="J77" s="103"/>
      <c r="K77" s="103"/>
    </row>
    <row r="78">
      <c r="A78" s="104"/>
      <c r="B78" s="38"/>
      <c r="E78" s="101"/>
      <c r="F78" s="101" t="str">
        <f t="array" ref="F78">IF(E78="","",IFERROR(_xlfn.XLOOKUP(E78,SyncCodex!N:N,SyncCodex!O:O),""))</f>
        <v/>
      </c>
      <c r="G78" s="102"/>
      <c r="H78" s="102" t="str">
        <f t="shared" si="1"/>
        <v/>
      </c>
      <c r="I78" s="38" t="b">
        <v>0</v>
      </c>
      <c r="J78" s="103"/>
      <c r="K78" s="103"/>
    </row>
    <row r="79">
      <c r="A79" s="104"/>
      <c r="B79" s="38"/>
      <c r="E79" s="101"/>
      <c r="F79" s="101" t="str">
        <f t="array" ref="F79">IF(E79="","",IFERROR(_xlfn.XLOOKUP(E79,SyncCodex!N:N,SyncCodex!O:O),""))</f>
        <v/>
      </c>
      <c r="G79" s="102"/>
      <c r="H79" s="102" t="str">
        <f t="shared" si="1"/>
        <v/>
      </c>
      <c r="I79" s="38" t="b">
        <v>0</v>
      </c>
      <c r="J79" s="103"/>
      <c r="K79" s="103"/>
    </row>
    <row r="80">
      <c r="A80" s="104"/>
      <c r="B80" s="38"/>
      <c r="E80" s="101"/>
      <c r="F80" s="101" t="str">
        <f t="array" ref="F80">IF(E80="","",IFERROR(_xlfn.XLOOKUP(E80,SyncCodex!N:N,SyncCodex!O:O),""))</f>
        <v/>
      </c>
      <c r="G80" s="102"/>
      <c r="H80" s="102" t="str">
        <f t="shared" si="1"/>
        <v/>
      </c>
      <c r="I80" s="38" t="b">
        <v>0</v>
      </c>
      <c r="J80" s="103"/>
      <c r="K80" s="103"/>
    </row>
    <row r="81">
      <c r="A81" s="104"/>
      <c r="B81" s="38"/>
      <c r="E81" s="101"/>
      <c r="F81" s="101" t="str">
        <f t="array" ref="F81">IF(E81="","",IFERROR(_xlfn.XLOOKUP(E81,SyncCodex!N:N,SyncCodex!O:O),""))</f>
        <v/>
      </c>
      <c r="G81" s="102"/>
      <c r="H81" s="102" t="str">
        <f t="shared" si="1"/>
        <v/>
      </c>
      <c r="I81" s="38" t="b">
        <v>0</v>
      </c>
      <c r="J81" s="103"/>
      <c r="K81" s="103"/>
    </row>
    <row r="82">
      <c r="A82" s="104"/>
      <c r="B82" s="38"/>
      <c r="E82" s="101"/>
      <c r="F82" s="101" t="str">
        <f t="array" ref="F82">IF(E82="","",IFERROR(_xlfn.XLOOKUP(E82,SyncCodex!N:N,SyncCodex!O:O),""))</f>
        <v/>
      </c>
      <c r="G82" s="102"/>
      <c r="H82" s="102" t="str">
        <f t="shared" si="1"/>
        <v/>
      </c>
      <c r="I82" s="38" t="b">
        <v>0</v>
      </c>
      <c r="J82" s="103"/>
      <c r="K82" s="103"/>
    </row>
    <row r="83">
      <c r="A83" s="104"/>
      <c r="B83" s="38"/>
      <c r="E83" s="101"/>
      <c r="F83" s="101" t="str">
        <f t="array" ref="F83">IF(E83="","",IFERROR(_xlfn.XLOOKUP(E83,SyncCodex!N:N,SyncCodex!O:O),""))</f>
        <v/>
      </c>
      <c r="G83" s="102"/>
      <c r="H83" s="102" t="str">
        <f t="shared" si="1"/>
        <v/>
      </c>
      <c r="I83" s="38" t="b">
        <v>0</v>
      </c>
      <c r="J83" s="103"/>
      <c r="K83" s="103"/>
    </row>
    <row r="84">
      <c r="A84" s="104"/>
      <c r="B84" s="38"/>
      <c r="E84" s="101"/>
      <c r="F84" s="101" t="str">
        <f t="array" ref="F84">IF(E84="","",IFERROR(_xlfn.XLOOKUP(E84,SyncCodex!N:N,SyncCodex!O:O),""))</f>
        <v/>
      </c>
      <c r="G84" s="102"/>
      <c r="H84" s="102" t="str">
        <f t="shared" si="1"/>
        <v/>
      </c>
      <c r="I84" s="38" t="b">
        <v>0</v>
      </c>
      <c r="J84" s="103"/>
      <c r="K84" s="103"/>
    </row>
    <row r="85">
      <c r="A85" s="104"/>
      <c r="B85" s="38"/>
      <c r="E85" s="101"/>
      <c r="F85" s="101" t="str">
        <f t="array" ref="F85">IF(E85="","",IFERROR(_xlfn.XLOOKUP(E85,SyncCodex!N:N,SyncCodex!O:O),""))</f>
        <v/>
      </c>
      <c r="G85" s="102"/>
      <c r="H85" s="102" t="str">
        <f t="shared" si="1"/>
        <v/>
      </c>
      <c r="I85" s="38" t="b">
        <v>0</v>
      </c>
      <c r="J85" s="103"/>
      <c r="K85" s="103"/>
    </row>
    <row r="86">
      <c r="A86" s="104"/>
      <c r="B86" s="38"/>
      <c r="E86" s="101"/>
      <c r="F86" s="101" t="str">
        <f t="array" ref="F86">IF(E86="","",IFERROR(_xlfn.XLOOKUP(E86,SyncCodex!N:N,SyncCodex!O:O),""))</f>
        <v/>
      </c>
      <c r="G86" s="102"/>
      <c r="H86" s="102" t="str">
        <f t="shared" si="1"/>
        <v/>
      </c>
      <c r="I86" s="38" t="b">
        <v>0</v>
      </c>
      <c r="J86" s="103"/>
      <c r="K86" s="103"/>
    </row>
    <row r="87">
      <c r="A87" s="104"/>
      <c r="B87" s="38"/>
      <c r="E87" s="101"/>
      <c r="F87" s="101" t="str">
        <f t="array" ref="F87">IF(E87="","",IFERROR(_xlfn.XLOOKUP(E87,SyncCodex!N:N,SyncCodex!O:O),""))</f>
        <v/>
      </c>
      <c r="G87" s="102"/>
      <c r="H87" s="102" t="str">
        <f t="shared" si="1"/>
        <v/>
      </c>
      <c r="I87" s="38" t="b">
        <v>0</v>
      </c>
      <c r="J87" s="103"/>
      <c r="K87" s="103"/>
    </row>
    <row r="88">
      <c r="A88" s="104"/>
      <c r="B88" s="38"/>
      <c r="E88" s="101"/>
      <c r="F88" s="101" t="str">
        <f t="array" ref="F88">IF(E88="","",IFERROR(_xlfn.XLOOKUP(E88,SyncCodex!N:N,SyncCodex!O:O),""))</f>
        <v/>
      </c>
      <c r="G88" s="102"/>
      <c r="H88" s="102" t="str">
        <f t="shared" si="1"/>
        <v/>
      </c>
      <c r="I88" s="38" t="b">
        <v>0</v>
      </c>
      <c r="J88" s="103"/>
      <c r="K88" s="103"/>
    </row>
    <row r="89">
      <c r="A89" s="104"/>
      <c r="B89" s="38"/>
      <c r="E89" s="101"/>
      <c r="F89" s="101" t="str">
        <f t="array" ref="F89">IF(E89="","",IFERROR(_xlfn.XLOOKUP(E89,SyncCodex!N:N,SyncCodex!O:O),""))</f>
        <v/>
      </c>
      <c r="G89" s="102"/>
      <c r="H89" s="102" t="str">
        <f t="shared" si="1"/>
        <v/>
      </c>
      <c r="I89" s="38" t="b">
        <v>0</v>
      </c>
      <c r="J89" s="103"/>
      <c r="K89" s="103"/>
    </row>
    <row r="90">
      <c r="A90" s="104"/>
      <c r="B90" s="38"/>
      <c r="E90" s="101"/>
      <c r="F90" s="101" t="str">
        <f t="array" ref="F90">IF(E90="","",IFERROR(_xlfn.XLOOKUP(E90,SyncCodex!N:N,SyncCodex!O:O),""))</f>
        <v/>
      </c>
      <c r="G90" s="102"/>
      <c r="H90" s="102" t="str">
        <f t="shared" si="1"/>
        <v/>
      </c>
      <c r="I90" s="38" t="b">
        <v>0</v>
      </c>
      <c r="J90" s="103"/>
      <c r="K90" s="103"/>
    </row>
    <row r="91">
      <c r="A91" s="104"/>
      <c r="B91" s="38"/>
      <c r="E91" s="101"/>
      <c r="F91" s="101" t="str">
        <f t="array" ref="F91">IF(E91="","",IFERROR(_xlfn.XLOOKUP(E91,SyncCodex!N:N,SyncCodex!O:O),""))</f>
        <v/>
      </c>
      <c r="G91" s="102"/>
      <c r="H91" s="102" t="str">
        <f t="shared" si="1"/>
        <v/>
      </c>
      <c r="I91" s="38" t="b">
        <v>0</v>
      </c>
      <c r="J91" s="103"/>
      <c r="K91" s="103"/>
    </row>
    <row r="92">
      <c r="A92" s="104"/>
      <c r="B92" s="38"/>
      <c r="E92" s="101"/>
      <c r="F92" s="101" t="str">
        <f t="array" ref="F92">IF(E92="","",IFERROR(_xlfn.XLOOKUP(E92,SyncCodex!N:N,SyncCodex!O:O),""))</f>
        <v/>
      </c>
      <c r="G92" s="102"/>
      <c r="H92" s="102" t="str">
        <f t="shared" si="1"/>
        <v/>
      </c>
      <c r="I92" s="38" t="b">
        <v>0</v>
      </c>
      <c r="J92" s="103"/>
      <c r="K92" s="103"/>
    </row>
    <row r="93">
      <c r="A93" s="104"/>
      <c r="B93" s="38"/>
      <c r="E93" s="101"/>
      <c r="F93" s="101" t="str">
        <f t="array" ref="F93">IF(E93="","",IFERROR(_xlfn.XLOOKUP(E93,SyncCodex!N:N,SyncCodex!O:O),""))</f>
        <v/>
      </c>
      <c r="G93" s="102"/>
      <c r="H93" s="102" t="str">
        <f t="shared" si="1"/>
        <v/>
      </c>
      <c r="I93" s="38" t="b">
        <v>0</v>
      </c>
      <c r="J93" s="103"/>
      <c r="K93" s="103"/>
    </row>
    <row r="94">
      <c r="A94" s="104"/>
      <c r="B94" s="38"/>
      <c r="E94" s="101"/>
      <c r="F94" s="101" t="str">
        <f t="array" ref="F94">IF(E94="","",IFERROR(_xlfn.XLOOKUP(E94,SyncCodex!N:N,SyncCodex!O:O),""))</f>
        <v/>
      </c>
      <c r="G94" s="102"/>
      <c r="H94" s="102" t="str">
        <f t="shared" si="1"/>
        <v/>
      </c>
      <c r="I94" s="38" t="b">
        <v>0</v>
      </c>
      <c r="J94" s="103"/>
      <c r="K94" s="103"/>
    </row>
    <row r="95">
      <c r="A95" s="104"/>
      <c r="B95" s="38"/>
      <c r="E95" s="101"/>
      <c r="F95" s="101" t="str">
        <f t="array" ref="F95">IF(E95="","",IFERROR(_xlfn.XLOOKUP(E95,SyncCodex!N:N,SyncCodex!O:O),""))</f>
        <v/>
      </c>
      <c r="G95" s="102"/>
      <c r="H95" s="102" t="str">
        <f t="shared" si="1"/>
        <v/>
      </c>
      <c r="I95" s="38" t="b">
        <v>0</v>
      </c>
      <c r="J95" s="103"/>
      <c r="K95" s="103"/>
    </row>
    <row r="96">
      <c r="A96" s="104"/>
      <c r="B96" s="38"/>
      <c r="E96" s="101"/>
      <c r="F96" s="101" t="str">
        <f t="array" ref="F96">IF(E96="","",IFERROR(_xlfn.XLOOKUP(E96,SyncCodex!N:N,SyncCodex!O:O),""))</f>
        <v/>
      </c>
      <c r="G96" s="102"/>
      <c r="H96" s="102" t="str">
        <f t="shared" si="1"/>
        <v/>
      </c>
      <c r="I96" s="38" t="b">
        <v>0</v>
      </c>
      <c r="J96" s="103"/>
      <c r="K96" s="103"/>
    </row>
    <row r="97">
      <c r="A97" s="104"/>
      <c r="B97" s="38"/>
      <c r="E97" s="101"/>
      <c r="F97" s="101" t="str">
        <f t="array" ref="F97">IF(E97="","",IFERROR(_xlfn.XLOOKUP(E97,SyncCodex!N:N,SyncCodex!O:O),""))</f>
        <v/>
      </c>
      <c r="G97" s="102"/>
      <c r="H97" s="102" t="str">
        <f t="shared" si="1"/>
        <v/>
      </c>
      <c r="I97" s="38" t="b">
        <v>0</v>
      </c>
      <c r="J97" s="103"/>
      <c r="K97" s="103"/>
    </row>
    <row r="98">
      <c r="A98" s="104"/>
      <c r="B98" s="38"/>
      <c r="E98" s="101"/>
      <c r="F98" s="101" t="str">
        <f t="array" ref="F98">IF(E98="","",IFERROR(_xlfn.XLOOKUP(E98,SyncCodex!N:N,SyncCodex!O:O),""))</f>
        <v/>
      </c>
      <c r="G98" s="102"/>
      <c r="H98" s="102" t="str">
        <f t="shared" si="1"/>
        <v/>
      </c>
      <c r="I98" s="38" t="b">
        <v>0</v>
      </c>
      <c r="J98" s="103"/>
      <c r="K98" s="103"/>
    </row>
    <row r="99">
      <c r="A99" s="104"/>
      <c r="B99" s="38"/>
      <c r="E99" s="101"/>
      <c r="F99" s="101" t="str">
        <f t="array" ref="F99">IF(E99="","",IFERROR(_xlfn.XLOOKUP(E99,SyncCodex!N:N,SyncCodex!O:O),""))</f>
        <v/>
      </c>
      <c r="G99" s="102"/>
      <c r="H99" s="102" t="str">
        <f t="shared" si="1"/>
        <v/>
      </c>
      <c r="I99" s="38" t="b">
        <v>0</v>
      </c>
      <c r="J99" s="103"/>
      <c r="K99" s="103"/>
    </row>
    <row r="100">
      <c r="A100" s="104"/>
      <c r="B100" s="38"/>
      <c r="E100" s="101"/>
      <c r="F100" s="101" t="str">
        <f t="array" ref="F100">IF(E100="","",IFERROR(_xlfn.XLOOKUP(E100,SyncCodex!N:N,SyncCodex!O:O),""))</f>
        <v/>
      </c>
      <c r="G100" s="102"/>
      <c r="H100" s="102" t="str">
        <f t="shared" si="1"/>
        <v/>
      </c>
      <c r="I100" s="38" t="b">
        <v>0</v>
      </c>
      <c r="J100" s="103"/>
      <c r="K100" s="103"/>
    </row>
    <row r="101">
      <c r="A101" s="104"/>
      <c r="B101" s="38"/>
      <c r="E101" s="101"/>
      <c r="F101" s="101" t="str">
        <f t="array" ref="F101">IF(E101="","",IFERROR(_xlfn.XLOOKUP(E101,SyncCodex!N:N,SyncCodex!O:O),""))</f>
        <v/>
      </c>
      <c r="G101" s="102"/>
      <c r="H101" s="102" t="str">
        <f t="shared" si="1"/>
        <v/>
      </c>
      <c r="I101" s="38" t="b">
        <v>0</v>
      </c>
      <c r="J101" s="103"/>
      <c r="K101" s="103"/>
    </row>
    <row r="102">
      <c r="A102" s="104"/>
      <c r="B102" s="38"/>
      <c r="E102" s="101"/>
      <c r="F102" s="101" t="str">
        <f t="array" ref="F102">IF(E102="","",IFERROR(_xlfn.XLOOKUP(E102,SyncCodex!N:N,SyncCodex!O:O),""))</f>
        <v/>
      </c>
      <c r="G102" s="102"/>
      <c r="H102" s="102" t="str">
        <f t="shared" si="1"/>
        <v/>
      </c>
      <c r="I102" s="38" t="b">
        <v>0</v>
      </c>
      <c r="J102" s="103"/>
      <c r="K102" s="103"/>
    </row>
    <row r="103">
      <c r="A103" s="104"/>
      <c r="B103" s="38"/>
      <c r="E103" s="101"/>
      <c r="F103" s="101" t="str">
        <f t="array" ref="F103">IF(E103="","",IFERROR(_xlfn.XLOOKUP(E103,SyncCodex!N:N,SyncCodex!O:O),""))</f>
        <v/>
      </c>
      <c r="G103" s="102"/>
      <c r="H103" s="102" t="str">
        <f t="shared" si="1"/>
        <v/>
      </c>
      <c r="I103" s="38" t="b">
        <v>0</v>
      </c>
      <c r="J103" s="103"/>
      <c r="K103" s="103"/>
    </row>
    <row r="104">
      <c r="A104" s="104"/>
      <c r="B104" s="38"/>
      <c r="E104" s="101"/>
      <c r="F104" s="101" t="str">
        <f t="array" ref="F104">IF(E104="","",IFERROR(_xlfn.XLOOKUP(E104,SyncCodex!N:N,SyncCodex!O:O),""))</f>
        <v/>
      </c>
      <c r="G104" s="102"/>
      <c r="H104" s="102" t="str">
        <f t="shared" si="1"/>
        <v/>
      </c>
      <c r="I104" s="38" t="b">
        <v>0</v>
      </c>
      <c r="J104" s="103"/>
      <c r="K104" s="103"/>
    </row>
    <row r="105">
      <c r="A105" s="104"/>
      <c r="B105" s="38"/>
      <c r="E105" s="101"/>
      <c r="F105" s="101" t="str">
        <f t="array" ref="F105">IF(E105="","",IFERROR(_xlfn.XLOOKUP(E105,SyncCodex!N:N,SyncCodex!O:O),""))</f>
        <v/>
      </c>
      <c r="G105" s="102"/>
      <c r="H105" s="102" t="str">
        <f t="shared" si="1"/>
        <v/>
      </c>
      <c r="I105" s="38" t="b">
        <v>0</v>
      </c>
      <c r="J105" s="103"/>
      <c r="K105" s="103"/>
    </row>
    <row r="106">
      <c r="A106" s="104"/>
      <c r="B106" s="38"/>
      <c r="E106" s="101"/>
      <c r="F106" s="101" t="str">
        <f t="array" ref="F106">IF(E106="","",IFERROR(_xlfn.XLOOKUP(E106,SyncCodex!N:N,SyncCodex!O:O),""))</f>
        <v/>
      </c>
      <c r="G106" s="102"/>
      <c r="H106" s="102" t="str">
        <f t="shared" si="1"/>
        <v/>
      </c>
      <c r="I106" s="38" t="b">
        <v>0</v>
      </c>
      <c r="J106" s="103"/>
      <c r="K106" s="103"/>
    </row>
    <row r="107">
      <c r="A107" s="104"/>
      <c r="B107" s="38"/>
      <c r="E107" s="101"/>
      <c r="F107" s="101" t="str">
        <f t="array" ref="F107">IF(E107="","",IFERROR(_xlfn.XLOOKUP(E107,SyncCodex!N:N,SyncCodex!O:O),""))</f>
        <v/>
      </c>
      <c r="G107" s="102"/>
      <c r="H107" s="102" t="str">
        <f t="shared" si="1"/>
        <v/>
      </c>
      <c r="I107" s="38" t="b">
        <v>0</v>
      </c>
      <c r="J107" s="103"/>
      <c r="K107" s="103"/>
    </row>
    <row r="108">
      <c r="A108" s="104"/>
      <c r="B108" s="38"/>
      <c r="E108" s="101"/>
      <c r="F108" s="101" t="str">
        <f t="array" ref="F108">IF(E108="","",IFERROR(_xlfn.XLOOKUP(E108,SyncCodex!N:N,SyncCodex!O:O),""))</f>
        <v/>
      </c>
      <c r="G108" s="102"/>
      <c r="H108" s="102" t="str">
        <f t="shared" si="1"/>
        <v/>
      </c>
      <c r="I108" s="38" t="b">
        <v>0</v>
      </c>
      <c r="J108" s="103"/>
      <c r="K108" s="103"/>
    </row>
    <row r="109">
      <c r="A109" s="104"/>
      <c r="B109" s="38"/>
      <c r="E109" s="101"/>
      <c r="F109" s="101" t="str">
        <f t="array" ref="F109">IF(E109="","",IFERROR(_xlfn.XLOOKUP(E109,SyncCodex!N:N,SyncCodex!O:O),""))</f>
        <v/>
      </c>
      <c r="G109" s="102"/>
      <c r="H109" s="102" t="str">
        <f t="shared" si="1"/>
        <v/>
      </c>
      <c r="I109" s="38" t="b">
        <v>0</v>
      </c>
      <c r="J109" s="103"/>
      <c r="K109" s="103"/>
    </row>
    <row r="110">
      <c r="A110" s="104"/>
      <c r="B110" s="38"/>
      <c r="E110" s="101"/>
      <c r="F110" s="101" t="str">
        <f t="array" ref="F110">IF(E110="","",IFERROR(_xlfn.XLOOKUP(E110,SyncCodex!N:N,SyncCodex!O:O),""))</f>
        <v/>
      </c>
      <c r="G110" s="102"/>
      <c r="H110" s="102" t="str">
        <f t="shared" si="1"/>
        <v/>
      </c>
      <c r="I110" s="38" t="b">
        <v>0</v>
      </c>
      <c r="J110" s="103"/>
      <c r="K110" s="103"/>
    </row>
    <row r="111">
      <c r="A111" s="104"/>
      <c r="B111" s="38"/>
      <c r="E111" s="101"/>
      <c r="F111" s="101" t="str">
        <f t="array" ref="F111">IF(E111="","",IFERROR(_xlfn.XLOOKUP(E111,SyncCodex!N:N,SyncCodex!O:O),""))</f>
        <v/>
      </c>
      <c r="G111" s="102"/>
      <c r="H111" s="102" t="str">
        <f t="shared" si="1"/>
        <v/>
      </c>
      <c r="I111" s="38" t="b">
        <v>0</v>
      </c>
      <c r="J111" s="103"/>
      <c r="K111" s="103"/>
    </row>
    <row r="112">
      <c r="A112" s="104"/>
      <c r="B112" s="38"/>
      <c r="E112" s="101"/>
      <c r="F112" s="101" t="str">
        <f t="array" ref="F112">IF(E112="","",IFERROR(_xlfn.XLOOKUP(E112,SyncCodex!N:N,SyncCodex!O:O),""))</f>
        <v/>
      </c>
      <c r="G112" s="102"/>
      <c r="H112" s="102" t="str">
        <f t="shared" si="1"/>
        <v/>
      </c>
      <c r="I112" s="38" t="b">
        <v>0</v>
      </c>
      <c r="J112" s="103"/>
      <c r="K112" s="103"/>
    </row>
    <row r="113">
      <c r="A113" s="104"/>
      <c r="B113" s="38"/>
      <c r="E113" s="101"/>
      <c r="F113" s="101" t="str">
        <f t="array" ref="F113">IF(E113="","",IFERROR(_xlfn.XLOOKUP(E113,SyncCodex!N:N,SyncCodex!O:O),""))</f>
        <v/>
      </c>
      <c r="G113" s="102"/>
      <c r="H113" s="102" t="str">
        <f t="shared" si="1"/>
        <v/>
      </c>
      <c r="I113" s="38" t="b">
        <v>0</v>
      </c>
      <c r="J113" s="103"/>
      <c r="K113" s="103"/>
    </row>
    <row r="114">
      <c r="A114" s="104"/>
      <c r="B114" s="38"/>
      <c r="E114" s="101"/>
      <c r="F114" s="101" t="str">
        <f t="array" ref="F114">IF(E114="","",IFERROR(_xlfn.XLOOKUP(E114,SyncCodex!N:N,SyncCodex!O:O),""))</f>
        <v/>
      </c>
      <c r="G114" s="102"/>
      <c r="H114" s="102" t="str">
        <f t="shared" si="1"/>
        <v/>
      </c>
      <c r="I114" s="38" t="b">
        <v>0</v>
      </c>
      <c r="J114" s="103"/>
      <c r="K114" s="103"/>
    </row>
    <row r="115">
      <c r="A115" s="104"/>
      <c r="B115" s="38"/>
      <c r="E115" s="101"/>
      <c r="F115" s="101" t="str">
        <f t="array" ref="F115">IF(E115="","",IFERROR(_xlfn.XLOOKUP(E115,SyncCodex!N:N,SyncCodex!O:O),""))</f>
        <v/>
      </c>
      <c r="G115" s="102"/>
      <c r="H115" s="102" t="str">
        <f t="shared" si="1"/>
        <v/>
      </c>
      <c r="I115" s="38" t="b">
        <v>0</v>
      </c>
      <c r="J115" s="103"/>
      <c r="K115" s="103"/>
    </row>
    <row r="116">
      <c r="A116" s="104"/>
      <c r="B116" s="38"/>
      <c r="E116" s="101"/>
      <c r="F116" s="101" t="str">
        <f t="array" ref="F116">IF(E116="","",IFERROR(_xlfn.XLOOKUP(E116,SyncCodex!N:N,SyncCodex!O:O),""))</f>
        <v/>
      </c>
      <c r="G116" s="102"/>
      <c r="H116" s="102" t="str">
        <f t="shared" si="1"/>
        <v/>
      </c>
      <c r="I116" s="38" t="b">
        <v>0</v>
      </c>
      <c r="J116" s="103"/>
      <c r="K116" s="103"/>
    </row>
    <row r="117">
      <c r="A117" s="104"/>
      <c r="B117" s="38"/>
      <c r="E117" s="101"/>
      <c r="F117" s="101" t="str">
        <f t="array" ref="F117">IF(E117="","",IFERROR(_xlfn.XLOOKUP(E117,SyncCodex!N:N,SyncCodex!O:O),""))</f>
        <v/>
      </c>
      <c r="G117" s="102"/>
      <c r="H117" s="102" t="str">
        <f t="shared" si="1"/>
        <v/>
      </c>
      <c r="I117" s="38" t="b">
        <v>0</v>
      </c>
      <c r="J117" s="103"/>
      <c r="K117" s="103"/>
    </row>
    <row r="118">
      <c r="A118" s="104"/>
      <c r="B118" s="38"/>
      <c r="E118" s="101"/>
      <c r="F118" s="101" t="str">
        <f t="array" ref="F118">IF(E118="","",IFERROR(_xlfn.XLOOKUP(E118,SyncCodex!N:N,SyncCodex!O:O),""))</f>
        <v/>
      </c>
      <c r="G118" s="102"/>
      <c r="H118" s="102" t="str">
        <f t="shared" si="1"/>
        <v/>
      </c>
      <c r="I118" s="38" t="b">
        <v>0</v>
      </c>
      <c r="J118" s="103"/>
      <c r="K118" s="103"/>
    </row>
    <row r="119">
      <c r="A119" s="104"/>
      <c r="B119" s="38"/>
      <c r="E119" s="101"/>
      <c r="F119" s="101" t="str">
        <f t="array" ref="F119">IF(E119="","",IFERROR(_xlfn.XLOOKUP(E119,SyncCodex!N:N,SyncCodex!O:O),""))</f>
        <v/>
      </c>
      <c r="G119" s="102"/>
      <c r="H119" s="102" t="str">
        <f t="shared" si="1"/>
        <v/>
      </c>
      <c r="I119" s="38" t="b">
        <v>0</v>
      </c>
      <c r="J119" s="103"/>
      <c r="K119" s="103"/>
    </row>
    <row r="120">
      <c r="A120" s="104"/>
      <c r="B120" s="38"/>
      <c r="E120" s="101"/>
      <c r="F120" s="101" t="str">
        <f t="array" ref="F120">IF(E120="","",IFERROR(_xlfn.XLOOKUP(E120,SyncCodex!N:N,SyncCodex!O:O),""))</f>
        <v/>
      </c>
      <c r="G120" s="102"/>
      <c r="H120" s="102" t="str">
        <f t="shared" si="1"/>
        <v/>
      </c>
      <c r="I120" s="38" t="b">
        <v>0</v>
      </c>
      <c r="J120" s="103"/>
      <c r="K120" s="103"/>
    </row>
    <row r="121">
      <c r="A121" s="104"/>
      <c r="B121" s="38"/>
      <c r="E121" s="101"/>
      <c r="F121" s="101" t="str">
        <f t="array" ref="F121">IF(E121="","",IFERROR(_xlfn.XLOOKUP(E121,SyncCodex!N:N,SyncCodex!O:O),""))</f>
        <v/>
      </c>
      <c r="G121" s="102"/>
      <c r="H121" s="102" t="str">
        <f t="shared" si="1"/>
        <v/>
      </c>
      <c r="I121" s="38" t="b">
        <v>0</v>
      </c>
      <c r="J121" s="103"/>
      <c r="K121" s="103"/>
    </row>
    <row r="122">
      <c r="A122" s="104"/>
      <c r="B122" s="38"/>
      <c r="E122" s="101"/>
      <c r="F122" s="101" t="str">
        <f t="array" ref="F122">IF(E122="","",IFERROR(_xlfn.XLOOKUP(E122,SyncCodex!N:N,SyncCodex!O:O),""))</f>
        <v/>
      </c>
      <c r="G122" s="102"/>
      <c r="H122" s="102" t="str">
        <f t="shared" si="1"/>
        <v/>
      </c>
      <c r="I122" s="38" t="b">
        <v>0</v>
      </c>
      <c r="J122" s="103"/>
      <c r="K122" s="103"/>
    </row>
    <row r="123">
      <c r="A123" s="104"/>
      <c r="B123" s="38"/>
      <c r="E123" s="101"/>
      <c r="F123" s="101" t="str">
        <f t="array" ref="F123">IF(E123="","",IFERROR(_xlfn.XLOOKUP(E123,SyncCodex!N:N,SyncCodex!O:O),""))</f>
        <v/>
      </c>
      <c r="G123" s="102"/>
      <c r="H123" s="102" t="str">
        <f t="shared" si="1"/>
        <v/>
      </c>
      <c r="I123" s="38" t="b">
        <v>0</v>
      </c>
      <c r="J123" s="103"/>
      <c r="K123" s="103"/>
    </row>
    <row r="124">
      <c r="A124" s="104"/>
      <c r="B124" s="38"/>
      <c r="E124" s="101"/>
      <c r="F124" s="101" t="str">
        <f t="array" ref="F124">IF(E124="","",IFERROR(_xlfn.XLOOKUP(E124,SyncCodex!N:N,SyncCodex!O:O),""))</f>
        <v/>
      </c>
      <c r="G124" s="102"/>
      <c r="H124" s="102" t="str">
        <f t="shared" si="1"/>
        <v/>
      </c>
      <c r="I124" s="38" t="b">
        <v>0</v>
      </c>
      <c r="J124" s="103"/>
      <c r="K124" s="103"/>
    </row>
    <row r="125">
      <c r="A125" s="104"/>
      <c r="B125" s="38"/>
      <c r="E125" s="101"/>
      <c r="F125" s="101" t="str">
        <f t="array" ref="F125">IF(E125="","",IFERROR(_xlfn.XLOOKUP(E125,SyncCodex!N:N,SyncCodex!O:O),""))</f>
        <v/>
      </c>
      <c r="G125" s="102"/>
      <c r="H125" s="102" t="str">
        <f t="shared" si="1"/>
        <v/>
      </c>
      <c r="I125" s="38" t="b">
        <v>0</v>
      </c>
      <c r="J125" s="103"/>
      <c r="K125" s="103"/>
    </row>
    <row r="126">
      <c r="A126" s="104"/>
      <c r="B126" s="38"/>
      <c r="E126" s="101"/>
      <c r="F126" s="101" t="str">
        <f t="array" ref="F126">IF(E126="","",IFERROR(_xlfn.XLOOKUP(E126,SyncCodex!N:N,SyncCodex!O:O),""))</f>
        <v/>
      </c>
      <c r="G126" s="102"/>
      <c r="H126" s="102" t="str">
        <f t="shared" si="1"/>
        <v/>
      </c>
      <c r="I126" s="38" t="b">
        <v>0</v>
      </c>
      <c r="J126" s="103"/>
      <c r="K126" s="103"/>
    </row>
    <row r="127">
      <c r="A127" s="104"/>
      <c r="B127" s="38"/>
      <c r="E127" s="101"/>
      <c r="F127" s="101" t="str">
        <f t="array" ref="F127">IF(E127="","",IFERROR(_xlfn.XLOOKUP(E127,SyncCodex!N:N,SyncCodex!O:O),""))</f>
        <v/>
      </c>
      <c r="G127" s="102"/>
      <c r="H127" s="102" t="str">
        <f t="shared" si="1"/>
        <v/>
      </c>
      <c r="I127" s="38" t="b">
        <v>0</v>
      </c>
      <c r="J127" s="103"/>
      <c r="K127" s="103"/>
    </row>
    <row r="128">
      <c r="A128" s="104"/>
      <c r="B128" s="38"/>
      <c r="E128" s="101"/>
      <c r="F128" s="101" t="str">
        <f t="array" ref="F128">IF(E128="","",IFERROR(_xlfn.XLOOKUP(E128,SyncCodex!N:N,SyncCodex!O:O),""))</f>
        <v/>
      </c>
      <c r="G128" s="102"/>
      <c r="H128" s="102" t="str">
        <f t="shared" si="1"/>
        <v/>
      </c>
      <c r="I128" s="38" t="b">
        <v>0</v>
      </c>
      <c r="J128" s="103"/>
      <c r="K128" s="103"/>
    </row>
    <row r="129">
      <c r="A129" s="104"/>
      <c r="B129" s="38"/>
      <c r="E129" s="101"/>
      <c r="F129" s="101" t="str">
        <f t="array" ref="F129">IF(E129="","",IFERROR(_xlfn.XLOOKUP(E129,SyncCodex!N:N,SyncCodex!O:O),""))</f>
        <v/>
      </c>
      <c r="G129" s="102"/>
      <c r="H129" s="102" t="str">
        <f t="shared" si="1"/>
        <v/>
      </c>
      <c r="I129" s="38" t="b">
        <v>0</v>
      </c>
      <c r="J129" s="103"/>
      <c r="K129" s="103"/>
    </row>
    <row r="130">
      <c r="A130" s="104"/>
      <c r="B130" s="38"/>
      <c r="E130" s="101"/>
      <c r="F130" s="101" t="str">
        <f t="array" ref="F130">IF(E130="","",IFERROR(_xlfn.XLOOKUP(E130,SyncCodex!N:N,SyncCodex!O:O),""))</f>
        <v/>
      </c>
      <c r="G130" s="102"/>
      <c r="H130" s="102" t="str">
        <f t="shared" si="1"/>
        <v/>
      </c>
      <c r="I130" s="38" t="b">
        <v>0</v>
      </c>
      <c r="J130" s="103"/>
      <c r="K130" s="103"/>
    </row>
    <row r="131">
      <c r="A131" s="104"/>
      <c r="B131" s="38"/>
      <c r="E131" s="101"/>
      <c r="F131" s="101" t="str">
        <f t="array" ref="F131">IF(E131="","",IFERROR(_xlfn.XLOOKUP(E131,SyncCodex!N:N,SyncCodex!O:O),""))</f>
        <v/>
      </c>
      <c r="G131" s="102"/>
      <c r="H131" s="102" t="str">
        <f t="shared" si="1"/>
        <v/>
      </c>
      <c r="I131" s="38" t="b">
        <v>0</v>
      </c>
      <c r="J131" s="103"/>
      <c r="K131" s="103"/>
    </row>
    <row r="132">
      <c r="A132" s="104"/>
      <c r="B132" s="38"/>
      <c r="E132" s="101"/>
      <c r="F132" s="101" t="str">
        <f t="array" ref="F132">IF(E132="","",IFERROR(_xlfn.XLOOKUP(E132,SyncCodex!N:N,SyncCodex!O:O),""))</f>
        <v/>
      </c>
      <c r="G132" s="102"/>
      <c r="H132" s="102" t="str">
        <f t="shared" si="1"/>
        <v/>
      </c>
      <c r="I132" s="38" t="b">
        <v>0</v>
      </c>
      <c r="J132" s="103"/>
      <c r="K132" s="103"/>
    </row>
    <row r="133">
      <c r="A133" s="104"/>
      <c r="B133" s="38"/>
      <c r="E133" s="101"/>
      <c r="F133" s="101" t="str">
        <f t="array" ref="F133">IF(E133="","",IFERROR(_xlfn.XLOOKUP(E133,SyncCodex!N:N,SyncCodex!O:O),""))</f>
        <v/>
      </c>
      <c r="G133" s="102"/>
      <c r="H133" s="102" t="str">
        <f t="shared" si="1"/>
        <v/>
      </c>
      <c r="I133" s="38" t="b">
        <v>0</v>
      </c>
      <c r="J133" s="103"/>
      <c r="K133" s="103"/>
    </row>
    <row r="134">
      <c r="A134" s="104"/>
      <c r="B134" s="38"/>
      <c r="E134" s="101"/>
      <c r="F134" s="101" t="str">
        <f t="array" ref="F134">IF(E134="","",IFERROR(_xlfn.XLOOKUP(E134,SyncCodex!N:N,SyncCodex!O:O),""))</f>
        <v/>
      </c>
      <c r="G134" s="102"/>
      <c r="H134" s="102" t="str">
        <f t="shared" si="1"/>
        <v/>
      </c>
      <c r="I134" s="38" t="b">
        <v>0</v>
      </c>
      <c r="J134" s="103"/>
      <c r="K134" s="103"/>
    </row>
    <row r="135">
      <c r="A135" s="104"/>
      <c r="B135" s="38"/>
      <c r="E135" s="101"/>
      <c r="F135" s="101" t="str">
        <f t="array" ref="F135">IF(E135="","",IFERROR(_xlfn.XLOOKUP(E135,SyncCodex!N:N,SyncCodex!O:O),""))</f>
        <v/>
      </c>
      <c r="G135" s="102"/>
      <c r="H135" s="102" t="str">
        <f t="shared" si="1"/>
        <v/>
      </c>
      <c r="I135" s="38" t="b">
        <v>0</v>
      </c>
      <c r="J135" s="103"/>
      <c r="K135" s="103"/>
    </row>
    <row r="136">
      <c r="A136" s="104"/>
      <c r="B136" s="38"/>
      <c r="E136" s="101"/>
      <c r="F136" s="101" t="str">
        <f t="array" ref="F136">IF(E136="","",IFERROR(_xlfn.XLOOKUP(E136,SyncCodex!N:N,SyncCodex!O:O),""))</f>
        <v/>
      </c>
      <c r="G136" s="102"/>
      <c r="H136" s="102" t="str">
        <f t="shared" si="1"/>
        <v/>
      </c>
      <c r="I136" s="38" t="b">
        <v>0</v>
      </c>
      <c r="J136" s="103"/>
      <c r="K136" s="103"/>
    </row>
    <row r="137">
      <c r="A137" s="104"/>
      <c r="B137" s="38"/>
      <c r="E137" s="101"/>
      <c r="F137" s="101" t="str">
        <f t="array" ref="F137">IF(E137="","",IFERROR(_xlfn.XLOOKUP(E137,SyncCodex!N:N,SyncCodex!O:O),""))</f>
        <v/>
      </c>
      <c r="G137" s="102"/>
      <c r="H137" s="102" t="str">
        <f t="shared" si="1"/>
        <v/>
      </c>
      <c r="I137" s="38" t="b">
        <v>0</v>
      </c>
      <c r="J137" s="103"/>
      <c r="K137" s="103"/>
    </row>
    <row r="138">
      <c r="A138" s="104"/>
      <c r="B138" s="38"/>
      <c r="E138" s="101"/>
      <c r="F138" s="101" t="str">
        <f t="array" ref="F138">IF(E138="","",IFERROR(_xlfn.XLOOKUP(E138,SyncCodex!N:N,SyncCodex!O:O),""))</f>
        <v/>
      </c>
      <c r="G138" s="102"/>
      <c r="H138" s="102" t="str">
        <f t="shared" si="1"/>
        <v/>
      </c>
      <c r="I138" s="38" t="b">
        <v>0</v>
      </c>
      <c r="J138" s="103"/>
      <c r="K138" s="103"/>
    </row>
    <row r="139">
      <c r="A139" s="104"/>
      <c r="B139" s="38"/>
      <c r="E139" s="101"/>
      <c r="F139" s="101" t="str">
        <f t="array" ref="F139">IF(E139="","",IFERROR(_xlfn.XLOOKUP(E139,SyncCodex!N:N,SyncCodex!O:O),""))</f>
        <v/>
      </c>
      <c r="G139" s="102"/>
      <c r="H139" s="102" t="str">
        <f t="shared" si="1"/>
        <v/>
      </c>
      <c r="I139" s="38" t="b">
        <v>0</v>
      </c>
      <c r="J139" s="103"/>
      <c r="K139" s="103"/>
    </row>
    <row r="140">
      <c r="A140" s="104"/>
      <c r="B140" s="38"/>
      <c r="E140" s="101"/>
      <c r="F140" s="101" t="str">
        <f t="array" ref="F140">IF(E140="","",IFERROR(_xlfn.XLOOKUP(E140,SyncCodex!N:N,SyncCodex!O:O),""))</f>
        <v/>
      </c>
      <c r="G140" s="102"/>
      <c r="H140" s="102" t="str">
        <f t="shared" si="1"/>
        <v/>
      </c>
      <c r="I140" s="38" t="b">
        <v>0</v>
      </c>
      <c r="J140" s="103"/>
      <c r="K140" s="103"/>
    </row>
    <row r="141">
      <c r="A141" s="104"/>
      <c r="B141" s="38"/>
      <c r="E141" s="101"/>
      <c r="F141" s="101" t="str">
        <f t="array" ref="F141">IF(E141="","",IFERROR(_xlfn.XLOOKUP(E141,SyncCodex!N:N,SyncCodex!O:O),""))</f>
        <v/>
      </c>
      <c r="G141" s="102"/>
      <c r="H141" s="102" t="str">
        <f t="shared" si="1"/>
        <v/>
      </c>
      <c r="I141" s="38" t="b">
        <v>0</v>
      </c>
      <c r="J141" s="103"/>
      <c r="K141" s="103"/>
    </row>
    <row r="142">
      <c r="A142" s="104"/>
      <c r="B142" s="38"/>
      <c r="E142" s="101"/>
      <c r="F142" s="101" t="str">
        <f t="array" ref="F142">IF(E142="","",IFERROR(_xlfn.XLOOKUP(E142,SyncCodex!N:N,SyncCodex!O:O),""))</f>
        <v/>
      </c>
      <c r="G142" s="102"/>
      <c r="H142" s="102" t="str">
        <f t="shared" si="1"/>
        <v/>
      </c>
      <c r="I142" s="38" t="b">
        <v>0</v>
      </c>
      <c r="J142" s="103"/>
      <c r="K142" s="103"/>
    </row>
    <row r="143">
      <c r="A143" s="104"/>
      <c r="B143" s="38"/>
      <c r="E143" s="101"/>
      <c r="F143" s="101" t="str">
        <f t="array" ref="F143">IF(E143="","",IFERROR(_xlfn.XLOOKUP(E143,SyncCodex!N:N,SyncCodex!O:O),""))</f>
        <v/>
      </c>
      <c r="G143" s="102"/>
      <c r="H143" s="102" t="str">
        <f t="shared" si="1"/>
        <v/>
      </c>
      <c r="I143" s="38" t="b">
        <v>0</v>
      </c>
      <c r="J143" s="103"/>
      <c r="K143" s="103"/>
    </row>
    <row r="144">
      <c r="A144" s="104"/>
      <c r="B144" s="38"/>
      <c r="E144" s="101"/>
      <c r="F144" s="101" t="str">
        <f t="array" ref="F144">IF(E144="","",IFERROR(_xlfn.XLOOKUP(E144,SyncCodex!N:N,SyncCodex!O:O),""))</f>
        <v/>
      </c>
      <c r="G144" s="102"/>
      <c r="H144" s="102" t="str">
        <f t="shared" si="1"/>
        <v/>
      </c>
      <c r="I144" s="38" t="b">
        <v>0</v>
      </c>
      <c r="J144" s="103"/>
      <c r="K144" s="103"/>
    </row>
    <row r="145">
      <c r="A145" s="104"/>
      <c r="B145" s="38"/>
      <c r="E145" s="101"/>
      <c r="F145" s="101" t="str">
        <f t="array" ref="F145">IF(E145="","",IFERROR(_xlfn.XLOOKUP(E145,SyncCodex!N:N,SyncCodex!O:O),""))</f>
        <v/>
      </c>
      <c r="G145" s="102"/>
      <c r="H145" s="102" t="str">
        <f t="shared" si="1"/>
        <v/>
      </c>
      <c r="I145" s="38" t="b">
        <v>0</v>
      </c>
      <c r="J145" s="103"/>
      <c r="K145" s="103"/>
    </row>
    <row r="146">
      <c r="A146" s="104"/>
      <c r="B146" s="38"/>
      <c r="E146" s="101"/>
      <c r="F146" s="101" t="str">
        <f t="array" ref="F146">IF(E146="","",IFERROR(_xlfn.XLOOKUP(E146,SyncCodex!N:N,SyncCodex!O:O),""))</f>
        <v/>
      </c>
      <c r="G146" s="102"/>
      <c r="H146" s="102" t="str">
        <f t="shared" si="1"/>
        <v/>
      </c>
      <c r="I146" s="38" t="b">
        <v>0</v>
      </c>
      <c r="J146" s="103"/>
      <c r="K146" s="103"/>
    </row>
    <row r="147">
      <c r="A147" s="104"/>
      <c r="B147" s="38"/>
      <c r="E147" s="101"/>
      <c r="F147" s="101" t="str">
        <f t="array" ref="F147">IF(E147="","",IFERROR(_xlfn.XLOOKUP(E147,SyncCodex!N:N,SyncCodex!O:O),""))</f>
        <v/>
      </c>
      <c r="G147" s="102"/>
      <c r="H147" s="102" t="str">
        <f t="shared" si="1"/>
        <v/>
      </c>
      <c r="I147" s="38" t="b">
        <v>0</v>
      </c>
      <c r="J147" s="103"/>
      <c r="K147" s="103"/>
    </row>
    <row r="148">
      <c r="A148" s="104"/>
      <c r="B148" s="38"/>
      <c r="E148" s="101"/>
      <c r="F148" s="101" t="str">
        <f t="array" ref="F148">IF(E148="","",IFERROR(_xlfn.XLOOKUP(E148,SyncCodex!N:N,SyncCodex!O:O),""))</f>
        <v/>
      </c>
      <c r="G148" s="102"/>
      <c r="H148" s="102" t="str">
        <f t="shared" si="1"/>
        <v/>
      </c>
      <c r="I148" s="38" t="b">
        <v>0</v>
      </c>
      <c r="J148" s="103"/>
      <c r="K148" s="103"/>
    </row>
    <row r="149">
      <c r="A149" s="104"/>
      <c r="B149" s="38"/>
      <c r="E149" s="101"/>
      <c r="F149" s="101" t="str">
        <f t="array" ref="F149">IF(E149="","",IFERROR(_xlfn.XLOOKUP(E149,SyncCodex!N:N,SyncCodex!O:O),""))</f>
        <v/>
      </c>
      <c r="G149" s="102"/>
      <c r="H149" s="102" t="str">
        <f t="shared" si="1"/>
        <v/>
      </c>
      <c r="I149" s="38" t="b">
        <v>0</v>
      </c>
      <c r="J149" s="103"/>
      <c r="K149" s="103"/>
    </row>
    <row r="150">
      <c r="A150" s="104"/>
      <c r="B150" s="38"/>
      <c r="E150" s="101"/>
      <c r="F150" s="101" t="str">
        <f t="array" ref="F150">IF(E150="","",IFERROR(_xlfn.XLOOKUP(E150,SyncCodex!N:N,SyncCodex!O:O),""))</f>
        <v/>
      </c>
      <c r="G150" s="102"/>
      <c r="H150" s="102" t="str">
        <f t="shared" si="1"/>
        <v/>
      </c>
      <c r="I150" s="38" t="b">
        <v>0</v>
      </c>
      <c r="J150" s="103"/>
      <c r="K150" s="103"/>
    </row>
    <row r="151">
      <c r="A151" s="104"/>
      <c r="B151" s="38"/>
      <c r="E151" s="101"/>
      <c r="F151" s="101" t="str">
        <f t="array" ref="F151">IF(E151="","",IFERROR(_xlfn.XLOOKUP(E151,SyncCodex!N:N,SyncCodex!O:O),""))</f>
        <v/>
      </c>
      <c r="G151" s="102"/>
      <c r="H151" s="102" t="str">
        <f t="shared" si="1"/>
        <v/>
      </c>
      <c r="I151" s="38" t="b">
        <v>0</v>
      </c>
      <c r="J151" s="103"/>
      <c r="K151" s="103"/>
    </row>
    <row r="152">
      <c r="A152" s="104"/>
      <c r="B152" s="38"/>
      <c r="E152" s="101"/>
      <c r="F152" s="101" t="str">
        <f t="array" ref="F152">IF(E152="","",IFERROR(_xlfn.XLOOKUP(E152,SyncCodex!N:N,SyncCodex!O:O),""))</f>
        <v/>
      </c>
      <c r="G152" s="102"/>
      <c r="H152" s="102" t="str">
        <f t="shared" si="1"/>
        <v/>
      </c>
      <c r="I152" s="38" t="b">
        <v>0</v>
      </c>
      <c r="J152" s="103"/>
      <c r="K152" s="103"/>
    </row>
    <row r="153">
      <c r="A153" s="104"/>
      <c r="B153" s="38"/>
      <c r="E153" s="101"/>
      <c r="F153" s="101" t="str">
        <f t="array" ref="F153">IF(E153="","",IFERROR(_xlfn.XLOOKUP(E153,SyncCodex!N:N,SyncCodex!O:O),""))</f>
        <v/>
      </c>
      <c r="G153" s="102"/>
      <c r="H153" s="102" t="str">
        <f t="shared" si="1"/>
        <v/>
      </c>
      <c r="I153" s="38" t="b">
        <v>0</v>
      </c>
      <c r="J153" s="103"/>
      <c r="K153" s="103"/>
    </row>
    <row r="154">
      <c r="A154" s="104"/>
      <c r="B154" s="38"/>
      <c r="E154" s="101"/>
      <c r="F154" s="101" t="str">
        <f t="array" ref="F154">IF(E154="","",IFERROR(_xlfn.XLOOKUP(E154,SyncCodex!N:N,SyncCodex!O:O),""))</f>
        <v/>
      </c>
      <c r="G154" s="102"/>
      <c r="H154" s="102" t="str">
        <f t="shared" si="1"/>
        <v/>
      </c>
      <c r="I154" s="38" t="b">
        <v>0</v>
      </c>
      <c r="J154" s="103"/>
      <c r="K154" s="103"/>
    </row>
    <row r="155">
      <c r="A155" s="104"/>
      <c r="B155" s="38"/>
      <c r="E155" s="101"/>
      <c r="F155" s="101" t="str">
        <f t="array" ref="F155">IF(E155="","",IFERROR(_xlfn.XLOOKUP(E155,SyncCodex!N:N,SyncCodex!O:O),""))</f>
        <v/>
      </c>
      <c r="G155" s="102"/>
      <c r="H155" s="102" t="str">
        <f t="shared" si="1"/>
        <v/>
      </c>
      <c r="I155" s="38" t="b">
        <v>0</v>
      </c>
      <c r="J155" s="103"/>
      <c r="K155" s="103"/>
    </row>
    <row r="156">
      <c r="A156" s="104"/>
      <c r="B156" s="38"/>
      <c r="E156" s="101"/>
      <c r="F156" s="101" t="str">
        <f t="array" ref="F156">IF(E156="","",IFERROR(_xlfn.XLOOKUP(E156,SyncCodex!N:N,SyncCodex!O:O),""))</f>
        <v/>
      </c>
      <c r="G156" s="102"/>
      <c r="H156" s="102" t="str">
        <f t="shared" si="1"/>
        <v/>
      </c>
      <c r="I156" s="38" t="b">
        <v>0</v>
      </c>
      <c r="J156" s="103"/>
      <c r="K156" s="103"/>
    </row>
    <row r="157">
      <c r="A157" s="104"/>
      <c r="B157" s="38"/>
      <c r="E157" s="101"/>
      <c r="F157" s="101" t="str">
        <f t="array" ref="F157">IF(E157="","",IFERROR(_xlfn.XLOOKUP(E157,SyncCodex!N:N,SyncCodex!O:O),""))</f>
        <v/>
      </c>
      <c r="G157" s="102"/>
      <c r="H157" s="102" t="str">
        <f t="shared" si="1"/>
        <v/>
      </c>
      <c r="I157" s="38" t="b">
        <v>0</v>
      </c>
      <c r="J157" s="103"/>
      <c r="K157" s="103"/>
    </row>
    <row r="158">
      <c r="A158" s="104"/>
      <c r="B158" s="38"/>
      <c r="E158" s="101"/>
      <c r="F158" s="101" t="str">
        <f t="array" ref="F158">IF(E158="","",IFERROR(_xlfn.XLOOKUP(E158,SyncCodex!N:N,SyncCodex!O:O),""))</f>
        <v/>
      </c>
      <c r="G158" s="102"/>
      <c r="H158" s="102" t="str">
        <f t="shared" si="1"/>
        <v/>
      </c>
      <c r="I158" s="38" t="b">
        <v>0</v>
      </c>
      <c r="J158" s="103"/>
      <c r="K158" s="103"/>
    </row>
    <row r="159">
      <c r="A159" s="104"/>
      <c r="B159" s="38"/>
      <c r="E159" s="101"/>
      <c r="F159" s="101" t="str">
        <f t="array" ref="F159">IF(E159="","",IFERROR(_xlfn.XLOOKUP(E159,SyncCodex!N:N,SyncCodex!O:O),""))</f>
        <v/>
      </c>
      <c r="G159" s="102"/>
      <c r="H159" s="102" t="str">
        <f t="shared" si="1"/>
        <v/>
      </c>
      <c r="I159" s="38" t="b">
        <v>0</v>
      </c>
      <c r="J159" s="103"/>
      <c r="K159" s="103"/>
    </row>
    <row r="160">
      <c r="A160" s="104"/>
      <c r="B160" s="38"/>
      <c r="E160" s="101"/>
      <c r="F160" s="101" t="str">
        <f t="array" ref="F160">IF(E160="","",IFERROR(_xlfn.XLOOKUP(E160,SyncCodex!N:N,SyncCodex!O:O),""))</f>
        <v/>
      </c>
      <c r="G160" s="102"/>
      <c r="H160" s="102" t="str">
        <f t="shared" si="1"/>
        <v/>
      </c>
      <c r="I160" s="38" t="b">
        <v>0</v>
      </c>
      <c r="J160" s="103"/>
      <c r="K160" s="103"/>
    </row>
    <row r="161">
      <c r="A161" s="104"/>
      <c r="B161" s="38"/>
      <c r="E161" s="101"/>
      <c r="F161" s="101" t="str">
        <f t="array" ref="F161">IF(E161="","",IFERROR(_xlfn.XLOOKUP(E161,SyncCodex!N:N,SyncCodex!O:O),""))</f>
        <v/>
      </c>
      <c r="G161" s="102"/>
      <c r="H161" s="102" t="str">
        <f t="shared" si="1"/>
        <v/>
      </c>
      <c r="I161" s="38" t="b">
        <v>0</v>
      </c>
      <c r="J161" s="103"/>
      <c r="K161" s="103"/>
    </row>
    <row r="162">
      <c r="A162" s="104"/>
      <c r="B162" s="38"/>
      <c r="E162" s="101"/>
      <c r="F162" s="101" t="str">
        <f t="array" ref="F162">IF(E162="","",IFERROR(_xlfn.XLOOKUP(E162,SyncCodex!N:N,SyncCodex!O:O),""))</f>
        <v/>
      </c>
      <c r="G162" s="102"/>
      <c r="H162" s="102" t="str">
        <f t="shared" si="1"/>
        <v/>
      </c>
      <c r="I162" s="38" t="b">
        <v>0</v>
      </c>
      <c r="J162" s="103"/>
      <c r="K162" s="103"/>
    </row>
    <row r="163">
      <c r="A163" s="104"/>
      <c r="B163" s="38"/>
      <c r="E163" s="101"/>
      <c r="F163" s="101" t="str">
        <f t="array" ref="F163">IF(E163="","",IFERROR(_xlfn.XLOOKUP(E163,SyncCodex!N:N,SyncCodex!O:O),""))</f>
        <v/>
      </c>
      <c r="G163" s="102"/>
      <c r="H163" s="102" t="str">
        <f t="shared" si="1"/>
        <v/>
      </c>
      <c r="I163" s="38" t="b">
        <v>0</v>
      </c>
      <c r="J163" s="103"/>
      <c r="K163" s="103"/>
    </row>
    <row r="164">
      <c r="A164" s="104"/>
      <c r="B164" s="38"/>
      <c r="E164" s="101"/>
      <c r="F164" s="101" t="str">
        <f t="array" ref="F164">IF(E164="","",IFERROR(_xlfn.XLOOKUP(E164,SyncCodex!N:N,SyncCodex!O:O),""))</f>
        <v/>
      </c>
      <c r="G164" s="102"/>
      <c r="H164" s="102" t="str">
        <f t="shared" si="1"/>
        <v/>
      </c>
      <c r="I164" s="38" t="b">
        <v>0</v>
      </c>
      <c r="J164" s="103"/>
      <c r="K164" s="103"/>
    </row>
    <row r="165">
      <c r="A165" s="104"/>
      <c r="B165" s="38"/>
      <c r="E165" s="101"/>
      <c r="F165" s="101" t="str">
        <f t="array" ref="F165">IF(E165="","",IFERROR(_xlfn.XLOOKUP(E165,SyncCodex!N:N,SyncCodex!O:O),""))</f>
        <v/>
      </c>
      <c r="G165" s="102"/>
      <c r="H165" s="102" t="str">
        <f t="shared" si="1"/>
        <v/>
      </c>
      <c r="I165" s="38" t="b">
        <v>0</v>
      </c>
      <c r="J165" s="103"/>
      <c r="K165" s="103"/>
    </row>
    <row r="166">
      <c r="A166" s="104"/>
      <c r="B166" s="38"/>
      <c r="E166" s="101"/>
      <c r="F166" s="101" t="str">
        <f t="array" ref="F166">IF(E166="","",IFERROR(_xlfn.XLOOKUP(E166,SyncCodex!N:N,SyncCodex!O:O),""))</f>
        <v/>
      </c>
      <c r="G166" s="102"/>
      <c r="H166" s="102" t="str">
        <f t="shared" si="1"/>
        <v/>
      </c>
      <c r="I166" s="38" t="b">
        <v>0</v>
      </c>
      <c r="J166" s="103"/>
      <c r="K166" s="103"/>
    </row>
    <row r="167">
      <c r="A167" s="104"/>
      <c r="B167" s="38"/>
      <c r="E167" s="101"/>
      <c r="F167" s="101" t="str">
        <f t="array" ref="F167">IF(E167="","",IFERROR(_xlfn.XLOOKUP(E167,SyncCodex!N:N,SyncCodex!O:O),""))</f>
        <v/>
      </c>
      <c r="G167" s="102"/>
      <c r="H167" s="102" t="str">
        <f t="shared" si="1"/>
        <v/>
      </c>
      <c r="I167" s="38" t="b">
        <v>0</v>
      </c>
      <c r="J167" s="103"/>
      <c r="K167" s="103"/>
    </row>
    <row r="168">
      <c r="A168" s="104"/>
      <c r="B168" s="38"/>
      <c r="E168" s="101"/>
      <c r="F168" s="101" t="str">
        <f t="array" ref="F168">IF(E168="","",IFERROR(_xlfn.XLOOKUP(E168,SyncCodex!N:N,SyncCodex!O:O),""))</f>
        <v/>
      </c>
      <c r="G168" s="102"/>
      <c r="H168" s="102" t="str">
        <f t="shared" si="1"/>
        <v/>
      </c>
      <c r="I168" s="38" t="b">
        <v>0</v>
      </c>
      <c r="J168" s="103"/>
      <c r="K168" s="103"/>
    </row>
    <row r="169">
      <c r="A169" s="104"/>
      <c r="B169" s="38"/>
      <c r="E169" s="101"/>
      <c r="F169" s="101" t="str">
        <f t="array" ref="F169">IF(E169="","",IFERROR(_xlfn.XLOOKUP(E169,SyncCodex!N:N,SyncCodex!O:O),""))</f>
        <v/>
      </c>
      <c r="G169" s="102"/>
      <c r="H169" s="102" t="str">
        <f t="shared" si="1"/>
        <v/>
      </c>
      <c r="I169" s="38" t="b">
        <v>0</v>
      </c>
      <c r="J169" s="103"/>
      <c r="K169" s="103"/>
    </row>
    <row r="170">
      <c r="A170" s="104"/>
      <c r="B170" s="38"/>
      <c r="E170" s="101"/>
      <c r="F170" s="101" t="str">
        <f t="array" ref="F170">IF(E170="","",IFERROR(_xlfn.XLOOKUP(E170,SyncCodex!N:N,SyncCodex!O:O),""))</f>
        <v/>
      </c>
      <c r="G170" s="102"/>
      <c r="H170" s="102" t="str">
        <f t="shared" si="1"/>
        <v/>
      </c>
      <c r="I170" s="38" t="b">
        <v>0</v>
      </c>
      <c r="J170" s="103"/>
      <c r="K170" s="103"/>
    </row>
    <row r="171">
      <c r="A171" s="104"/>
      <c r="B171" s="38"/>
      <c r="E171" s="101"/>
      <c r="F171" s="101" t="str">
        <f t="array" ref="F171">IF(E171="","",IFERROR(_xlfn.XLOOKUP(E171,SyncCodex!N:N,SyncCodex!O:O),""))</f>
        <v/>
      </c>
      <c r="G171" s="102"/>
      <c r="H171" s="102" t="str">
        <f t="shared" si="1"/>
        <v/>
      </c>
      <c r="I171" s="38" t="b">
        <v>0</v>
      </c>
      <c r="J171" s="103"/>
      <c r="K171" s="103"/>
    </row>
    <row r="172">
      <c r="A172" s="104"/>
      <c r="B172" s="38"/>
      <c r="E172" s="101"/>
      <c r="F172" s="101" t="str">
        <f t="array" ref="F172">IF(E172="","",IFERROR(_xlfn.XLOOKUP(E172,SyncCodex!N:N,SyncCodex!O:O),""))</f>
        <v/>
      </c>
      <c r="G172" s="102"/>
      <c r="H172" s="102" t="str">
        <f t="shared" si="1"/>
        <v/>
      </c>
      <c r="I172" s="38" t="b">
        <v>0</v>
      </c>
      <c r="J172" s="103"/>
      <c r="K172" s="103"/>
    </row>
    <row r="173">
      <c r="A173" s="104"/>
      <c r="B173" s="38"/>
      <c r="E173" s="101"/>
      <c r="F173" s="101" t="str">
        <f t="array" ref="F173">IF(E173="","",IFERROR(_xlfn.XLOOKUP(E173,SyncCodex!N:N,SyncCodex!O:O),""))</f>
        <v/>
      </c>
      <c r="G173" s="102"/>
      <c r="H173" s="102" t="str">
        <f t="shared" si="1"/>
        <v/>
      </c>
      <c r="I173" s="38" t="b">
        <v>0</v>
      </c>
      <c r="J173" s="103"/>
      <c r="K173" s="103"/>
    </row>
    <row r="174">
      <c r="A174" s="104"/>
      <c r="B174" s="38"/>
      <c r="E174" s="101"/>
      <c r="F174" s="101" t="str">
        <f t="array" ref="F174">IF(E174="","",IFERROR(_xlfn.XLOOKUP(E174,SyncCodex!N:N,SyncCodex!O:O),""))</f>
        <v/>
      </c>
      <c r="G174" s="102"/>
      <c r="H174" s="102" t="str">
        <f t="shared" si="1"/>
        <v/>
      </c>
      <c r="I174" s="38" t="b">
        <v>0</v>
      </c>
      <c r="J174" s="103"/>
      <c r="K174" s="103"/>
    </row>
    <row r="175">
      <c r="A175" s="104"/>
      <c r="B175" s="38"/>
      <c r="E175" s="101"/>
      <c r="F175" s="101" t="str">
        <f t="array" ref="F175">IF(E175="","",IFERROR(_xlfn.XLOOKUP(E175,SyncCodex!N:N,SyncCodex!O:O),""))</f>
        <v/>
      </c>
      <c r="G175" s="102"/>
      <c r="H175" s="102" t="str">
        <f t="shared" si="1"/>
        <v/>
      </c>
      <c r="I175" s="38" t="b">
        <v>0</v>
      </c>
      <c r="J175" s="103"/>
      <c r="K175" s="103"/>
    </row>
    <row r="176">
      <c r="A176" s="104"/>
      <c r="B176" s="38"/>
      <c r="E176" s="101"/>
      <c r="F176" s="101" t="str">
        <f t="array" ref="F176">IF(E176="","",IFERROR(_xlfn.XLOOKUP(E176,SyncCodex!N:N,SyncCodex!O:O),""))</f>
        <v/>
      </c>
      <c r="G176" s="102"/>
      <c r="H176" s="102" t="str">
        <f t="shared" si="1"/>
        <v/>
      </c>
      <c r="I176" s="38" t="b">
        <v>0</v>
      </c>
      <c r="J176" s="103"/>
      <c r="K176" s="103"/>
    </row>
    <row r="177">
      <c r="A177" s="104"/>
      <c r="B177" s="38"/>
      <c r="E177" s="101"/>
      <c r="F177" s="101" t="str">
        <f t="array" ref="F177">IF(E177="","",IFERROR(_xlfn.XLOOKUP(E177,SyncCodex!N:N,SyncCodex!O:O),""))</f>
        <v/>
      </c>
      <c r="G177" s="102"/>
      <c r="H177" s="102" t="str">
        <f t="shared" si="1"/>
        <v/>
      </c>
      <c r="I177" s="38" t="b">
        <v>0</v>
      </c>
      <c r="J177" s="103"/>
      <c r="K177" s="103"/>
    </row>
    <row r="178">
      <c r="A178" s="104"/>
      <c r="B178" s="38"/>
      <c r="E178" s="101"/>
      <c r="F178" s="101" t="str">
        <f t="array" ref="F178">IF(E178="","",IFERROR(_xlfn.XLOOKUP(E178,SyncCodex!N:N,SyncCodex!O:O),""))</f>
        <v/>
      </c>
      <c r="G178" s="102"/>
      <c r="H178" s="102" t="str">
        <f t="shared" si="1"/>
        <v/>
      </c>
      <c r="I178" s="38" t="b">
        <v>0</v>
      </c>
      <c r="J178" s="103"/>
      <c r="K178" s="103"/>
    </row>
    <row r="179">
      <c r="A179" s="104"/>
      <c r="B179" s="38"/>
      <c r="E179" s="101"/>
      <c r="F179" s="101" t="str">
        <f t="array" ref="F179">IF(E179="","",IFERROR(_xlfn.XLOOKUP(E179,SyncCodex!N:N,SyncCodex!O:O),""))</f>
        <v/>
      </c>
      <c r="G179" s="102"/>
      <c r="H179" s="102" t="str">
        <f t="shared" si="1"/>
        <v/>
      </c>
      <c r="I179" s="38" t="b">
        <v>0</v>
      </c>
      <c r="J179" s="103"/>
      <c r="K179" s="103"/>
    </row>
    <row r="180">
      <c r="A180" s="104"/>
      <c r="B180" s="38"/>
      <c r="E180" s="101"/>
      <c r="F180" s="101" t="str">
        <f t="array" ref="F180">IF(E180="","",IFERROR(_xlfn.XLOOKUP(E180,SyncCodex!N:N,SyncCodex!O:O),""))</f>
        <v/>
      </c>
      <c r="G180" s="102"/>
      <c r="H180" s="102" t="str">
        <f t="shared" si="1"/>
        <v/>
      </c>
      <c r="I180" s="38" t="b">
        <v>0</v>
      </c>
      <c r="J180" s="103"/>
      <c r="K180" s="103"/>
    </row>
    <row r="181">
      <c r="A181" s="104"/>
      <c r="B181" s="38"/>
      <c r="E181" s="101"/>
      <c r="F181" s="101" t="str">
        <f t="array" ref="F181">IF(E181="","",IFERROR(_xlfn.XLOOKUP(E181,SyncCodex!N:N,SyncCodex!O:O),""))</f>
        <v/>
      </c>
      <c r="G181" s="102"/>
      <c r="H181" s="102" t="str">
        <f t="shared" si="1"/>
        <v/>
      </c>
      <c r="I181" s="38" t="b">
        <v>0</v>
      </c>
      <c r="J181" s="103"/>
      <c r="K181" s="103"/>
    </row>
    <row r="182">
      <c r="A182" s="104"/>
      <c r="B182" s="38"/>
      <c r="E182" s="101"/>
      <c r="F182" s="101" t="str">
        <f t="array" ref="F182">IF(E182="","",IFERROR(_xlfn.XLOOKUP(E182,SyncCodex!N:N,SyncCodex!O:O),""))</f>
        <v/>
      </c>
      <c r="G182" s="102"/>
      <c r="H182" s="102" t="str">
        <f t="shared" si="1"/>
        <v/>
      </c>
      <c r="I182" s="38" t="b">
        <v>0</v>
      </c>
      <c r="J182" s="103"/>
      <c r="K182" s="103"/>
    </row>
    <row r="183">
      <c r="A183" s="104"/>
      <c r="B183" s="38"/>
      <c r="E183" s="101"/>
      <c r="F183" s="101" t="str">
        <f t="array" ref="F183">IF(E183="","",IFERROR(_xlfn.XLOOKUP(E183,SyncCodex!N:N,SyncCodex!O:O),""))</f>
        <v/>
      </c>
      <c r="G183" s="102"/>
      <c r="H183" s="102" t="str">
        <f t="shared" si="1"/>
        <v/>
      </c>
      <c r="I183" s="38" t="b">
        <v>0</v>
      </c>
      <c r="J183" s="103"/>
      <c r="K183" s="103"/>
    </row>
    <row r="184">
      <c r="A184" s="104"/>
      <c r="B184" s="38"/>
      <c r="E184" s="101"/>
      <c r="F184" s="101" t="str">
        <f t="array" ref="F184">IF(E184="","",IFERROR(_xlfn.XLOOKUP(E184,SyncCodex!N:N,SyncCodex!O:O),""))</f>
        <v/>
      </c>
      <c r="G184" s="102"/>
      <c r="H184" s="102" t="str">
        <f t="shared" si="1"/>
        <v/>
      </c>
      <c r="I184" s="38" t="b">
        <v>0</v>
      </c>
      <c r="J184" s="103"/>
      <c r="K184" s="103"/>
    </row>
    <row r="185">
      <c r="A185" s="104"/>
      <c r="B185" s="38"/>
      <c r="E185" s="101"/>
      <c r="F185" s="101" t="str">
        <f t="array" ref="F185">IF(E185="","",IFERROR(_xlfn.XLOOKUP(E185,SyncCodex!N:N,SyncCodex!O:O),""))</f>
        <v/>
      </c>
      <c r="G185" s="102"/>
      <c r="H185" s="102" t="str">
        <f t="shared" si="1"/>
        <v/>
      </c>
      <c r="I185" s="38" t="b">
        <v>0</v>
      </c>
      <c r="J185" s="103"/>
      <c r="K185" s="103"/>
    </row>
    <row r="186">
      <c r="A186" s="104"/>
      <c r="B186" s="38"/>
      <c r="E186" s="101"/>
      <c r="F186" s="101" t="str">
        <f t="array" ref="F186">IF(E186="","",IFERROR(_xlfn.XLOOKUP(E186,SyncCodex!N:N,SyncCodex!O:O),""))</f>
        <v/>
      </c>
      <c r="G186" s="102"/>
      <c r="H186" s="102" t="str">
        <f t="shared" si="1"/>
        <v/>
      </c>
      <c r="I186" s="38" t="b">
        <v>0</v>
      </c>
      <c r="J186" s="103"/>
      <c r="K186" s="103"/>
    </row>
    <row r="187">
      <c r="A187" s="104"/>
      <c r="B187" s="38"/>
      <c r="E187" s="101"/>
      <c r="F187" s="101" t="str">
        <f t="array" ref="F187">IF(E187="","",IFERROR(_xlfn.XLOOKUP(E187,SyncCodex!N:N,SyncCodex!O:O),""))</f>
        <v/>
      </c>
      <c r="G187" s="102"/>
      <c r="H187" s="102" t="str">
        <f t="shared" si="1"/>
        <v/>
      </c>
      <c r="I187" s="38" t="b">
        <v>0</v>
      </c>
      <c r="J187" s="103"/>
      <c r="K187" s="103"/>
    </row>
    <row r="188">
      <c r="A188" s="104"/>
      <c r="B188" s="38"/>
      <c r="E188" s="101"/>
      <c r="F188" s="101" t="str">
        <f t="array" ref="F188">IF(E188="","",IFERROR(_xlfn.XLOOKUP(E188,SyncCodex!N:N,SyncCodex!O:O),""))</f>
        <v/>
      </c>
      <c r="G188" s="102"/>
      <c r="H188" s="102" t="str">
        <f t="shared" si="1"/>
        <v/>
      </c>
      <c r="I188" s="38" t="b">
        <v>0</v>
      </c>
      <c r="J188" s="103"/>
      <c r="K188" s="103"/>
    </row>
    <row r="189">
      <c r="A189" s="104"/>
      <c r="B189" s="38"/>
      <c r="E189" s="101"/>
      <c r="F189" s="101" t="str">
        <f t="array" ref="F189">IF(E189="","",IFERROR(_xlfn.XLOOKUP(E189,SyncCodex!N:N,SyncCodex!O:O),""))</f>
        <v/>
      </c>
      <c r="G189" s="102"/>
      <c r="H189" s="102" t="str">
        <f t="shared" si="1"/>
        <v/>
      </c>
      <c r="I189" s="38" t="b">
        <v>0</v>
      </c>
      <c r="J189" s="103"/>
      <c r="K189" s="103"/>
    </row>
    <row r="190">
      <c r="A190" s="104"/>
      <c r="B190" s="38"/>
      <c r="E190" s="101"/>
      <c r="F190" s="101" t="str">
        <f t="array" ref="F190">IF(E190="","",IFERROR(_xlfn.XLOOKUP(E190,SyncCodex!N:N,SyncCodex!O:O),""))</f>
        <v/>
      </c>
      <c r="G190" s="102"/>
      <c r="H190" s="102" t="str">
        <f t="shared" si="1"/>
        <v/>
      </c>
      <c r="I190" s="38" t="b">
        <v>0</v>
      </c>
      <c r="J190" s="103"/>
      <c r="K190" s="103"/>
    </row>
    <row r="191">
      <c r="A191" s="104"/>
      <c r="B191" s="38"/>
      <c r="E191" s="101"/>
      <c r="F191" s="101" t="str">
        <f t="array" ref="F191">IF(E191="","",IFERROR(_xlfn.XLOOKUP(E191,SyncCodex!N:N,SyncCodex!O:O),""))</f>
        <v/>
      </c>
      <c r="G191" s="102"/>
      <c r="H191" s="102" t="str">
        <f t="shared" si="1"/>
        <v/>
      </c>
      <c r="I191" s="38" t="b">
        <v>0</v>
      </c>
      <c r="J191" s="103"/>
      <c r="K191" s="103"/>
    </row>
    <row r="192">
      <c r="A192" s="104"/>
      <c r="B192" s="38"/>
      <c r="E192" s="101"/>
      <c r="F192" s="101" t="str">
        <f t="array" ref="F192">IF(E192="","",IFERROR(_xlfn.XLOOKUP(E192,SyncCodex!N:N,SyncCodex!O:O),""))</f>
        <v/>
      </c>
      <c r="G192" s="102"/>
      <c r="H192" s="102" t="str">
        <f t="shared" si="1"/>
        <v/>
      </c>
      <c r="I192" s="38" t="b">
        <v>0</v>
      </c>
      <c r="J192" s="103"/>
      <c r="K192" s="103"/>
    </row>
    <row r="193">
      <c r="A193" s="104"/>
      <c r="B193" s="38"/>
      <c r="E193" s="101"/>
      <c r="F193" s="101" t="str">
        <f t="array" ref="F193">IF(E193="","",IFERROR(_xlfn.XLOOKUP(E193,SyncCodex!N:N,SyncCodex!O:O),""))</f>
        <v/>
      </c>
      <c r="G193" s="102"/>
      <c r="H193" s="102" t="str">
        <f t="shared" si="1"/>
        <v/>
      </c>
      <c r="I193" s="38" t="b">
        <v>0</v>
      </c>
      <c r="J193" s="103"/>
      <c r="K193" s="103"/>
    </row>
    <row r="194">
      <c r="A194" s="104"/>
      <c r="B194" s="38"/>
      <c r="E194" s="101"/>
      <c r="F194" s="101" t="str">
        <f t="array" ref="F194">IF(E194="","",IFERROR(_xlfn.XLOOKUP(E194,SyncCodex!N:N,SyncCodex!O:O),""))</f>
        <v/>
      </c>
      <c r="G194" s="102"/>
      <c r="H194" s="102" t="str">
        <f t="shared" si="1"/>
        <v/>
      </c>
      <c r="I194" s="38" t="b">
        <v>0</v>
      </c>
      <c r="J194" s="103"/>
      <c r="K194" s="103"/>
    </row>
    <row r="195">
      <c r="A195" s="104"/>
      <c r="B195" s="38"/>
      <c r="E195" s="101"/>
      <c r="F195" s="101" t="str">
        <f t="array" ref="F195">IF(E195="","",IFERROR(_xlfn.XLOOKUP(E195,SyncCodex!N:N,SyncCodex!O:O),""))</f>
        <v/>
      </c>
      <c r="G195" s="102"/>
      <c r="H195" s="102" t="str">
        <f t="shared" si="1"/>
        <v/>
      </c>
      <c r="I195" s="38" t="b">
        <v>0</v>
      </c>
      <c r="J195" s="103"/>
      <c r="K195" s="103"/>
    </row>
    <row r="196">
      <c r="A196" s="104"/>
      <c r="B196" s="38"/>
      <c r="E196" s="101"/>
      <c r="F196" s="101" t="str">
        <f t="array" ref="F196">IF(E196="","",IFERROR(_xlfn.XLOOKUP(E196,SyncCodex!N:N,SyncCodex!O:O),""))</f>
        <v/>
      </c>
      <c r="G196" s="102"/>
      <c r="H196" s="102" t="str">
        <f t="shared" si="1"/>
        <v/>
      </c>
      <c r="I196" s="38" t="b">
        <v>0</v>
      </c>
      <c r="J196" s="103"/>
      <c r="K196" s="103"/>
    </row>
    <row r="197">
      <c r="A197" s="104"/>
      <c r="B197" s="38"/>
      <c r="E197" s="101"/>
      <c r="F197" s="101" t="str">
        <f t="array" ref="F197">IF(E197="","",IFERROR(_xlfn.XLOOKUP(E197,SyncCodex!N:N,SyncCodex!O:O),""))</f>
        <v/>
      </c>
      <c r="G197" s="102"/>
      <c r="H197" s="102" t="str">
        <f t="shared" si="1"/>
        <v/>
      </c>
      <c r="I197" s="38" t="b">
        <v>0</v>
      </c>
      <c r="J197" s="103"/>
      <c r="K197" s="103"/>
    </row>
    <row r="198">
      <c r="A198" s="104"/>
      <c r="B198" s="38"/>
      <c r="E198" s="101"/>
      <c r="F198" s="101" t="str">
        <f t="array" ref="F198">IF(E198="","",IFERROR(_xlfn.XLOOKUP(E198,SyncCodex!N:N,SyncCodex!O:O),""))</f>
        <v/>
      </c>
      <c r="G198" s="102"/>
      <c r="H198" s="102" t="str">
        <f t="shared" si="1"/>
        <v/>
      </c>
      <c r="I198" s="38" t="b">
        <v>0</v>
      </c>
      <c r="J198" s="103"/>
      <c r="K198" s="103"/>
    </row>
    <row r="199">
      <c r="A199" s="104"/>
      <c r="B199" s="38"/>
      <c r="E199" s="101"/>
      <c r="F199" s="101" t="str">
        <f t="array" ref="F199">IF(E199="","",IFERROR(_xlfn.XLOOKUP(E199,SyncCodex!N:N,SyncCodex!O:O),""))</f>
        <v/>
      </c>
      <c r="G199" s="102"/>
      <c r="H199" s="102" t="str">
        <f t="shared" si="1"/>
        <v/>
      </c>
      <c r="I199" s="38" t="b">
        <v>0</v>
      </c>
      <c r="J199" s="103"/>
      <c r="K199" s="103"/>
    </row>
    <row r="200">
      <c r="A200" s="104"/>
      <c r="B200" s="38"/>
      <c r="E200" s="101"/>
      <c r="F200" s="101" t="str">
        <f t="array" ref="F200">IF(E200="","",IFERROR(_xlfn.XLOOKUP(E200,SyncCodex!N:N,SyncCodex!O:O),""))</f>
        <v/>
      </c>
      <c r="G200" s="102"/>
      <c r="H200" s="102" t="str">
        <f t="shared" si="1"/>
        <v/>
      </c>
      <c r="I200" s="38" t="b">
        <v>0</v>
      </c>
      <c r="J200" s="103"/>
      <c r="K200" s="103"/>
    </row>
    <row r="201">
      <c r="A201" s="104"/>
      <c r="B201" s="38"/>
      <c r="E201" s="101"/>
      <c r="F201" s="101" t="str">
        <f t="array" ref="F201">IF(E201="","",IFERROR(_xlfn.XLOOKUP(E201,SyncCodex!N:N,SyncCodex!O:O),""))</f>
        <v/>
      </c>
      <c r="G201" s="102"/>
      <c r="H201" s="102" t="str">
        <f t="shared" si="1"/>
        <v/>
      </c>
      <c r="I201" s="38" t="b">
        <v>0</v>
      </c>
      <c r="J201" s="103"/>
      <c r="K201" s="103"/>
    </row>
    <row r="202">
      <c r="A202" s="104"/>
      <c r="B202" s="38"/>
      <c r="E202" s="101"/>
      <c r="F202" s="101" t="str">
        <f t="array" ref="F202">IF(E202="","",IFERROR(_xlfn.XLOOKUP(E202,SyncCodex!N:N,SyncCodex!O:O),""))</f>
        <v/>
      </c>
      <c r="G202" s="102"/>
      <c r="H202" s="102" t="str">
        <f t="shared" si="1"/>
        <v/>
      </c>
      <c r="I202" s="38" t="b">
        <v>0</v>
      </c>
      <c r="J202" s="103"/>
      <c r="K202" s="103"/>
    </row>
    <row r="203">
      <c r="A203" s="104"/>
      <c r="B203" s="38"/>
      <c r="E203" s="101"/>
      <c r="F203" s="101" t="str">
        <f t="array" ref="F203">IF(E203="","",IFERROR(_xlfn.XLOOKUP(E203,SyncCodex!N:N,SyncCodex!O:O),""))</f>
        <v/>
      </c>
      <c r="G203" s="102"/>
      <c r="H203" s="102" t="str">
        <f t="shared" si="1"/>
        <v/>
      </c>
      <c r="I203" s="38" t="b">
        <v>0</v>
      </c>
      <c r="J203" s="103"/>
      <c r="K203" s="103"/>
    </row>
    <row r="204">
      <c r="A204" s="104"/>
      <c r="B204" s="38"/>
      <c r="E204" s="101"/>
      <c r="F204" s="101" t="str">
        <f t="array" ref="F204">IF(E204="","",IFERROR(_xlfn.XLOOKUP(E204,SyncCodex!N:N,SyncCodex!O:O),""))</f>
        <v/>
      </c>
      <c r="G204" s="102"/>
      <c r="H204" s="102" t="str">
        <f t="shared" si="1"/>
        <v/>
      </c>
      <c r="I204" s="38" t="b">
        <v>0</v>
      </c>
      <c r="J204" s="103"/>
      <c r="K204" s="103"/>
    </row>
    <row r="205">
      <c r="A205" s="104"/>
      <c r="B205" s="38"/>
      <c r="E205" s="101"/>
      <c r="F205" s="101" t="str">
        <f t="array" ref="F205">IF(E205="","",IFERROR(_xlfn.XLOOKUP(E205,SyncCodex!N:N,SyncCodex!O:O),""))</f>
        <v/>
      </c>
      <c r="G205" s="102"/>
      <c r="H205" s="102" t="str">
        <f t="shared" si="1"/>
        <v/>
      </c>
      <c r="I205" s="38" t="b">
        <v>0</v>
      </c>
      <c r="J205" s="103"/>
      <c r="K205" s="103"/>
    </row>
    <row r="206">
      <c r="A206" s="104"/>
      <c r="B206" s="38"/>
      <c r="E206" s="101"/>
      <c r="F206" s="101" t="str">
        <f t="array" ref="F206">IF(E206="","",IFERROR(_xlfn.XLOOKUP(E206,SyncCodex!N:N,SyncCodex!O:O),""))</f>
        <v/>
      </c>
      <c r="G206" s="102"/>
      <c r="H206" s="102" t="str">
        <f t="shared" si="1"/>
        <v/>
      </c>
      <c r="I206" s="38" t="b">
        <v>0</v>
      </c>
      <c r="J206" s="103"/>
      <c r="K206" s="103"/>
    </row>
    <row r="207">
      <c r="A207" s="104"/>
      <c r="B207" s="38"/>
      <c r="E207" s="101"/>
      <c r="F207" s="101" t="str">
        <f t="array" ref="F207">IF(E207="","",IFERROR(_xlfn.XLOOKUP(E207,SyncCodex!N:N,SyncCodex!O:O),""))</f>
        <v/>
      </c>
      <c r="G207" s="102"/>
      <c r="H207" s="102" t="str">
        <f t="shared" si="1"/>
        <v/>
      </c>
      <c r="I207" s="38" t="b">
        <v>0</v>
      </c>
      <c r="J207" s="103"/>
      <c r="K207" s="103"/>
    </row>
    <row r="208">
      <c r="A208" s="104"/>
      <c r="B208" s="38"/>
      <c r="E208" s="101"/>
      <c r="F208" s="101" t="str">
        <f t="array" ref="F208">IF(E208="","",IFERROR(_xlfn.XLOOKUP(E208,SyncCodex!N:N,SyncCodex!O:O),""))</f>
        <v/>
      </c>
      <c r="G208" s="102"/>
      <c r="H208" s="102" t="str">
        <f t="shared" si="1"/>
        <v/>
      </c>
      <c r="I208" s="38" t="b">
        <v>0</v>
      </c>
      <c r="J208" s="103"/>
      <c r="K208" s="103"/>
    </row>
    <row r="209">
      <c r="A209" s="104"/>
      <c r="B209" s="38"/>
      <c r="E209" s="101"/>
      <c r="F209" s="101" t="str">
        <f t="array" ref="F209">IF(E209="","",IFERROR(_xlfn.XLOOKUP(E209,SyncCodex!N:N,SyncCodex!O:O),""))</f>
        <v/>
      </c>
      <c r="G209" s="102"/>
      <c r="H209" s="102" t="str">
        <f t="shared" si="1"/>
        <v/>
      </c>
      <c r="I209" s="38" t="b">
        <v>0</v>
      </c>
      <c r="J209" s="103"/>
      <c r="K209" s="103"/>
    </row>
    <row r="210">
      <c r="A210" s="104"/>
      <c r="B210" s="38"/>
      <c r="E210" s="101"/>
      <c r="F210" s="101" t="str">
        <f t="array" ref="F210">IF(E210="","",IFERROR(_xlfn.XLOOKUP(E210,SyncCodex!N:N,SyncCodex!O:O),""))</f>
        <v/>
      </c>
      <c r="G210" s="102"/>
      <c r="H210" s="102" t="str">
        <f t="shared" si="1"/>
        <v/>
      </c>
      <c r="I210" s="38" t="b">
        <v>0</v>
      </c>
      <c r="J210" s="103"/>
      <c r="K210" s="103"/>
    </row>
    <row r="211">
      <c r="A211" s="104"/>
      <c r="B211" s="38"/>
      <c r="E211" s="101"/>
      <c r="F211" s="101" t="str">
        <f t="array" ref="F211">IF(E211="","",IFERROR(_xlfn.XLOOKUP(E211,SyncCodex!N:N,SyncCodex!O:O),""))</f>
        <v/>
      </c>
      <c r="G211" s="102"/>
      <c r="H211" s="102" t="str">
        <f t="shared" si="1"/>
        <v/>
      </c>
      <c r="I211" s="38" t="b">
        <v>0</v>
      </c>
      <c r="J211" s="103"/>
      <c r="K211" s="103"/>
    </row>
    <row r="212">
      <c r="A212" s="104"/>
      <c r="B212" s="38"/>
      <c r="E212" s="101"/>
      <c r="F212" s="101" t="str">
        <f t="array" ref="F212">IF(E212="","",IFERROR(_xlfn.XLOOKUP(E212,SyncCodex!N:N,SyncCodex!O:O),""))</f>
        <v/>
      </c>
      <c r="G212" s="102"/>
      <c r="H212" s="102" t="str">
        <f t="shared" si="1"/>
        <v/>
      </c>
      <c r="I212" s="38" t="b">
        <v>0</v>
      </c>
      <c r="J212" s="103"/>
      <c r="K212" s="103"/>
    </row>
    <row r="213">
      <c r="A213" s="104"/>
      <c r="B213" s="38"/>
      <c r="E213" s="101"/>
      <c r="F213" s="101" t="str">
        <f t="array" ref="F213">IF(E213="","",IFERROR(_xlfn.XLOOKUP(E213,SyncCodex!N:N,SyncCodex!O:O),""))</f>
        <v/>
      </c>
      <c r="G213" s="102"/>
      <c r="H213" s="102" t="str">
        <f t="shared" si="1"/>
        <v/>
      </c>
      <c r="I213" s="38" t="b">
        <v>0</v>
      </c>
      <c r="J213" s="103"/>
      <c r="K213" s="103"/>
    </row>
    <row r="214">
      <c r="A214" s="104"/>
      <c r="B214" s="38"/>
      <c r="E214" s="101"/>
      <c r="F214" s="101" t="str">
        <f t="array" ref="F214">IF(E214="","",IFERROR(_xlfn.XLOOKUP(E214,SyncCodex!N:N,SyncCodex!O:O),""))</f>
        <v/>
      </c>
      <c r="G214" s="102"/>
      <c r="H214" s="102" t="str">
        <f t="shared" si="1"/>
        <v/>
      </c>
      <c r="I214" s="38" t="b">
        <v>0</v>
      </c>
      <c r="J214" s="103"/>
      <c r="K214" s="103"/>
    </row>
    <row r="215">
      <c r="A215" s="104"/>
      <c r="B215" s="38"/>
      <c r="E215" s="101"/>
      <c r="F215" s="101" t="str">
        <f t="array" ref="F215">IF(E215="","",IFERROR(_xlfn.XLOOKUP(E215,SyncCodex!N:N,SyncCodex!O:O),""))</f>
        <v/>
      </c>
      <c r="G215" s="102"/>
      <c r="H215" s="102" t="str">
        <f t="shared" si="1"/>
        <v/>
      </c>
      <c r="I215" s="38" t="b">
        <v>0</v>
      </c>
      <c r="J215" s="103"/>
      <c r="K215" s="103"/>
    </row>
    <row r="216">
      <c r="A216" s="104"/>
      <c r="B216" s="38"/>
      <c r="E216" s="101"/>
      <c r="F216" s="101" t="str">
        <f t="array" ref="F216">IF(E216="","",IFERROR(_xlfn.XLOOKUP(E216,SyncCodex!N:N,SyncCodex!O:O),""))</f>
        <v/>
      </c>
      <c r="G216" s="102"/>
      <c r="H216" s="102" t="str">
        <f t="shared" si="1"/>
        <v/>
      </c>
      <c r="I216" s="38" t="b">
        <v>0</v>
      </c>
      <c r="J216" s="103"/>
      <c r="K216" s="103"/>
    </row>
    <row r="217">
      <c r="A217" s="104"/>
      <c r="B217" s="38"/>
      <c r="E217" s="101"/>
      <c r="F217" s="101" t="str">
        <f t="array" ref="F217">IF(E217="","",IFERROR(_xlfn.XLOOKUP(E217,SyncCodex!N:N,SyncCodex!O:O),""))</f>
        <v/>
      </c>
      <c r="G217" s="102"/>
      <c r="H217" s="102" t="str">
        <f t="shared" si="1"/>
        <v/>
      </c>
      <c r="I217" s="38" t="b">
        <v>0</v>
      </c>
      <c r="J217" s="103"/>
      <c r="K217" s="103"/>
    </row>
    <row r="218">
      <c r="A218" s="104"/>
      <c r="B218" s="38"/>
      <c r="E218" s="101"/>
      <c r="F218" s="101" t="str">
        <f t="array" ref="F218">IF(E218="","",IFERROR(_xlfn.XLOOKUP(E218,SyncCodex!N:N,SyncCodex!O:O),""))</f>
        <v/>
      </c>
      <c r="G218" s="102"/>
      <c r="H218" s="102" t="str">
        <f t="shared" si="1"/>
        <v/>
      </c>
      <c r="I218" s="38" t="b">
        <v>0</v>
      </c>
      <c r="J218" s="103"/>
      <c r="K218" s="103"/>
    </row>
    <row r="219">
      <c r="A219" s="104"/>
      <c r="B219" s="38"/>
      <c r="E219" s="101"/>
      <c r="F219" s="101" t="str">
        <f t="array" ref="F219">IF(E219="","",IFERROR(_xlfn.XLOOKUP(E219,SyncCodex!N:N,SyncCodex!O:O),""))</f>
        <v/>
      </c>
      <c r="G219" s="102"/>
      <c r="H219" s="102" t="str">
        <f t="shared" si="1"/>
        <v/>
      </c>
      <c r="I219" s="38" t="b">
        <v>0</v>
      </c>
      <c r="J219" s="103"/>
      <c r="K219" s="103"/>
    </row>
    <row r="220">
      <c r="A220" s="104"/>
      <c r="B220" s="38"/>
      <c r="E220" s="101"/>
      <c r="F220" s="101" t="str">
        <f t="array" ref="F220">IF(E220="","",IFERROR(_xlfn.XLOOKUP(E220,SyncCodex!N:N,SyncCodex!O:O),""))</f>
        <v/>
      </c>
      <c r="G220" s="102"/>
      <c r="H220" s="102" t="str">
        <f t="shared" si="1"/>
        <v/>
      </c>
      <c r="I220" s="38" t="b">
        <v>0</v>
      </c>
      <c r="J220" s="103"/>
      <c r="K220" s="103"/>
    </row>
    <row r="221">
      <c r="A221" s="104"/>
      <c r="B221" s="38"/>
      <c r="E221" s="101"/>
      <c r="F221" s="101" t="str">
        <f t="array" ref="F221">IF(E221="","",IFERROR(_xlfn.XLOOKUP(E221,SyncCodex!N:N,SyncCodex!O:O),""))</f>
        <v/>
      </c>
      <c r="G221" s="102"/>
      <c r="H221" s="102" t="str">
        <f t="shared" si="1"/>
        <v/>
      </c>
      <c r="I221" s="38" t="b">
        <v>0</v>
      </c>
      <c r="J221" s="103"/>
      <c r="K221" s="103"/>
    </row>
    <row r="222">
      <c r="A222" s="104"/>
      <c r="B222" s="38"/>
      <c r="E222" s="101"/>
      <c r="F222" s="101" t="str">
        <f t="array" ref="F222">IF(E222="","",IFERROR(_xlfn.XLOOKUP(E222,SyncCodex!N:N,SyncCodex!O:O),""))</f>
        <v/>
      </c>
      <c r="G222" s="102"/>
      <c r="H222" s="102" t="str">
        <f t="shared" si="1"/>
        <v/>
      </c>
      <c r="I222" s="38" t="b">
        <v>0</v>
      </c>
      <c r="J222" s="103"/>
      <c r="K222" s="103"/>
    </row>
    <row r="223">
      <c r="A223" s="104"/>
      <c r="B223" s="38"/>
      <c r="E223" s="101"/>
      <c r="F223" s="101" t="str">
        <f t="array" ref="F223">IF(E223="","",IFERROR(_xlfn.XLOOKUP(E223,SyncCodex!N:N,SyncCodex!O:O),""))</f>
        <v/>
      </c>
      <c r="G223" s="102"/>
      <c r="H223" s="102" t="str">
        <f t="shared" si="1"/>
        <v/>
      </c>
      <c r="I223" s="38" t="b">
        <v>0</v>
      </c>
      <c r="J223" s="103"/>
      <c r="K223" s="103"/>
    </row>
    <row r="224">
      <c r="A224" s="104"/>
      <c r="B224" s="38"/>
      <c r="E224" s="101"/>
      <c r="F224" s="101" t="str">
        <f t="array" ref="F224">IF(E224="","",IFERROR(_xlfn.XLOOKUP(E224,SyncCodex!N:N,SyncCodex!O:O),""))</f>
        <v/>
      </c>
      <c r="G224" s="102"/>
      <c r="H224" s="102" t="str">
        <f t="shared" si="1"/>
        <v/>
      </c>
      <c r="I224" s="38" t="b">
        <v>0</v>
      </c>
      <c r="J224" s="103"/>
      <c r="K224" s="103"/>
    </row>
    <row r="225">
      <c r="A225" s="104"/>
      <c r="B225" s="38"/>
      <c r="E225" s="101"/>
      <c r="F225" s="101" t="str">
        <f t="array" ref="F225">IF(E225="","",IFERROR(_xlfn.XLOOKUP(E225,SyncCodex!N:N,SyncCodex!O:O),""))</f>
        <v/>
      </c>
      <c r="G225" s="102"/>
      <c r="H225" s="102" t="str">
        <f t="shared" si="1"/>
        <v/>
      </c>
      <c r="I225" s="38" t="b">
        <v>0</v>
      </c>
      <c r="J225" s="103"/>
      <c r="K225" s="103"/>
    </row>
    <row r="226">
      <c r="A226" s="104"/>
      <c r="B226" s="38"/>
      <c r="E226" s="101"/>
      <c r="F226" s="101" t="str">
        <f t="array" ref="F226">IF(E226="","",IFERROR(_xlfn.XLOOKUP(E226,SyncCodex!N:N,SyncCodex!O:O),""))</f>
        <v/>
      </c>
      <c r="G226" s="102"/>
      <c r="H226" s="102" t="str">
        <f t="shared" si="1"/>
        <v/>
      </c>
      <c r="I226" s="38" t="b">
        <v>0</v>
      </c>
      <c r="J226" s="103"/>
      <c r="K226" s="103"/>
    </row>
    <row r="227">
      <c r="A227" s="104"/>
      <c r="B227" s="38"/>
      <c r="E227" s="101"/>
      <c r="F227" s="101" t="str">
        <f t="array" ref="F227">IF(E227="","",IFERROR(_xlfn.XLOOKUP(E227,SyncCodex!N:N,SyncCodex!O:O),""))</f>
        <v/>
      </c>
      <c r="G227" s="102"/>
      <c r="H227" s="102" t="str">
        <f t="shared" si="1"/>
        <v/>
      </c>
      <c r="I227" s="38" t="b">
        <v>0</v>
      </c>
      <c r="J227" s="103"/>
      <c r="K227" s="103"/>
    </row>
    <row r="228">
      <c r="A228" s="104"/>
      <c r="B228" s="38"/>
      <c r="E228" s="101"/>
      <c r="F228" s="101" t="str">
        <f t="array" ref="F228">IF(E228="","",IFERROR(_xlfn.XLOOKUP(E228,SyncCodex!N:N,SyncCodex!O:O),""))</f>
        <v/>
      </c>
      <c r="G228" s="102"/>
      <c r="H228" s="102" t="str">
        <f t="shared" si="1"/>
        <v/>
      </c>
      <c r="I228" s="38" t="b">
        <v>0</v>
      </c>
      <c r="J228" s="103"/>
      <c r="K228" s="103"/>
    </row>
    <row r="229">
      <c r="A229" s="104"/>
      <c r="B229" s="38"/>
      <c r="E229" s="101"/>
      <c r="F229" s="101" t="str">
        <f t="array" ref="F229">IF(E229="","",IFERROR(_xlfn.XLOOKUP(E229,SyncCodex!N:N,SyncCodex!O:O),""))</f>
        <v/>
      </c>
      <c r="G229" s="102"/>
      <c r="H229" s="102" t="str">
        <f t="shared" si="1"/>
        <v/>
      </c>
      <c r="I229" s="38" t="b">
        <v>0</v>
      </c>
      <c r="J229" s="103"/>
      <c r="K229" s="103"/>
    </row>
    <row r="230">
      <c r="A230" s="104"/>
      <c r="B230" s="38"/>
      <c r="E230" s="101"/>
      <c r="F230" s="101" t="str">
        <f t="array" ref="F230">IF(E230="","",IFERROR(_xlfn.XLOOKUP(E230,SyncCodex!N:N,SyncCodex!O:O),""))</f>
        <v/>
      </c>
      <c r="G230" s="102"/>
      <c r="H230" s="102" t="str">
        <f t="shared" si="1"/>
        <v/>
      </c>
      <c r="I230" s="38" t="b">
        <v>0</v>
      </c>
      <c r="J230" s="103"/>
      <c r="K230" s="103"/>
    </row>
    <row r="231">
      <c r="A231" s="104"/>
      <c r="B231" s="38"/>
      <c r="E231" s="101"/>
      <c r="F231" s="101" t="str">
        <f t="array" ref="F231">IF(E231="","",IFERROR(_xlfn.XLOOKUP(E231,SyncCodex!N:N,SyncCodex!O:O),""))</f>
        <v/>
      </c>
      <c r="G231" s="102"/>
      <c r="H231" s="102" t="str">
        <f t="shared" si="1"/>
        <v/>
      </c>
      <c r="I231" s="38" t="b">
        <v>0</v>
      </c>
      <c r="J231" s="103"/>
      <c r="K231" s="103"/>
    </row>
    <row r="232">
      <c r="A232" s="104"/>
      <c r="B232" s="38"/>
      <c r="E232" s="101"/>
      <c r="F232" s="101" t="str">
        <f t="array" ref="F232">IF(E232="","",IFERROR(_xlfn.XLOOKUP(E232,SyncCodex!N:N,SyncCodex!O:O),""))</f>
        <v/>
      </c>
      <c r="G232" s="102"/>
      <c r="H232" s="102" t="str">
        <f t="shared" si="1"/>
        <v/>
      </c>
      <c r="I232" s="38" t="b">
        <v>0</v>
      </c>
      <c r="J232" s="103"/>
      <c r="K232" s="103"/>
    </row>
    <row r="233">
      <c r="A233" s="104"/>
      <c r="B233" s="38"/>
      <c r="E233" s="101"/>
      <c r="F233" s="101" t="str">
        <f t="array" ref="F233">IF(E233="","",IFERROR(_xlfn.XLOOKUP(E233,SyncCodex!N:N,SyncCodex!O:O),""))</f>
        <v/>
      </c>
      <c r="G233" s="102"/>
      <c r="H233" s="102" t="str">
        <f t="shared" si="1"/>
        <v/>
      </c>
      <c r="I233" s="38" t="b">
        <v>0</v>
      </c>
      <c r="J233" s="103"/>
      <c r="K233" s="103"/>
    </row>
    <row r="234">
      <c r="A234" s="104"/>
      <c r="B234" s="38"/>
      <c r="E234" s="101"/>
      <c r="F234" s="101" t="str">
        <f t="array" ref="F234">IF(E234="","",IFERROR(_xlfn.XLOOKUP(E234,SyncCodex!N:N,SyncCodex!O:O),""))</f>
        <v/>
      </c>
      <c r="G234" s="102"/>
      <c r="H234" s="102" t="str">
        <f t="shared" si="1"/>
        <v/>
      </c>
      <c r="I234" s="38" t="b">
        <v>0</v>
      </c>
      <c r="J234" s="103"/>
      <c r="K234" s="103"/>
    </row>
    <row r="235">
      <c r="A235" s="104"/>
      <c r="B235" s="38"/>
      <c r="E235" s="101"/>
      <c r="F235" s="101" t="str">
        <f t="array" ref="F235">IF(E235="","",IFERROR(_xlfn.XLOOKUP(E235,SyncCodex!N:N,SyncCodex!O:O),""))</f>
        <v/>
      </c>
      <c r="G235" s="102"/>
      <c r="H235" s="102" t="str">
        <f t="shared" si="1"/>
        <v/>
      </c>
      <c r="I235" s="38" t="b">
        <v>0</v>
      </c>
      <c r="J235" s="103"/>
      <c r="K235" s="103"/>
    </row>
    <row r="236">
      <c r="A236" s="104"/>
      <c r="B236" s="38"/>
      <c r="E236" s="101"/>
      <c r="F236" s="101" t="str">
        <f t="array" ref="F236">IF(E236="","",IFERROR(_xlfn.XLOOKUP(E236,SyncCodex!N:N,SyncCodex!O:O),""))</f>
        <v/>
      </c>
      <c r="G236" s="102"/>
      <c r="H236" s="102" t="str">
        <f t="shared" si="1"/>
        <v/>
      </c>
      <c r="I236" s="38" t="b">
        <v>0</v>
      </c>
      <c r="J236" s="103"/>
      <c r="K236" s="103"/>
    </row>
    <row r="237">
      <c r="A237" s="104"/>
      <c r="B237" s="38"/>
      <c r="E237" s="101"/>
      <c r="F237" s="101" t="str">
        <f t="array" ref="F237">IF(E237="","",IFERROR(_xlfn.XLOOKUP(E237,SyncCodex!N:N,SyncCodex!O:O),""))</f>
        <v/>
      </c>
      <c r="G237" s="102"/>
      <c r="H237" s="102" t="str">
        <f t="shared" si="1"/>
        <v/>
      </c>
      <c r="I237" s="38" t="b">
        <v>0</v>
      </c>
      <c r="J237" s="103"/>
      <c r="K237" s="103"/>
    </row>
    <row r="238">
      <c r="A238" s="104"/>
      <c r="B238" s="38"/>
      <c r="E238" s="101"/>
      <c r="F238" s="101" t="str">
        <f t="array" ref="F238">IF(E238="","",IFERROR(_xlfn.XLOOKUP(E238,SyncCodex!N:N,SyncCodex!O:O),""))</f>
        <v/>
      </c>
      <c r="G238" s="102"/>
      <c r="H238" s="102" t="str">
        <f t="shared" si="1"/>
        <v/>
      </c>
      <c r="I238" s="38" t="b">
        <v>0</v>
      </c>
      <c r="J238" s="103"/>
      <c r="K238" s="103"/>
    </row>
    <row r="239">
      <c r="A239" s="104"/>
      <c r="B239" s="38"/>
      <c r="E239" s="101"/>
      <c r="F239" s="101" t="str">
        <f t="array" ref="F239">IF(E239="","",IFERROR(_xlfn.XLOOKUP(E239,SyncCodex!N:N,SyncCodex!O:O),""))</f>
        <v/>
      </c>
      <c r="G239" s="102"/>
      <c r="H239" s="102" t="str">
        <f t="shared" si="1"/>
        <v/>
      </c>
      <c r="I239" s="38" t="b">
        <v>0</v>
      </c>
      <c r="J239" s="103"/>
      <c r="K239" s="103"/>
    </row>
    <row r="240">
      <c r="A240" s="104"/>
      <c r="B240" s="38"/>
      <c r="E240" s="101"/>
      <c r="F240" s="101" t="str">
        <f t="array" ref="F240">IF(E240="","",IFERROR(_xlfn.XLOOKUP(E240,SyncCodex!N:N,SyncCodex!O:O),""))</f>
        <v/>
      </c>
      <c r="G240" s="102"/>
      <c r="H240" s="102" t="str">
        <f t="shared" si="1"/>
        <v/>
      </c>
      <c r="I240" s="38" t="b">
        <v>0</v>
      </c>
      <c r="J240" s="103"/>
      <c r="K240" s="103"/>
    </row>
    <row r="241">
      <c r="A241" s="104"/>
      <c r="B241" s="38"/>
      <c r="E241" s="101"/>
      <c r="F241" s="101" t="str">
        <f t="array" ref="F241">IF(E241="","",IFERROR(_xlfn.XLOOKUP(E241,SyncCodex!N:N,SyncCodex!O:O),""))</f>
        <v/>
      </c>
      <c r="G241" s="102"/>
      <c r="H241" s="102" t="str">
        <f t="shared" si="1"/>
        <v/>
      </c>
      <c r="I241" s="38" t="b">
        <v>0</v>
      </c>
      <c r="J241" s="103"/>
      <c r="K241" s="103"/>
    </row>
    <row r="242">
      <c r="A242" s="104"/>
      <c r="B242" s="38"/>
      <c r="E242" s="101"/>
      <c r="F242" s="101" t="str">
        <f t="array" ref="F242">IF(E242="","",IFERROR(_xlfn.XLOOKUP(E242,SyncCodex!N:N,SyncCodex!O:O),""))</f>
        <v/>
      </c>
      <c r="G242" s="102"/>
      <c r="H242" s="102" t="str">
        <f t="shared" si="1"/>
        <v/>
      </c>
      <c r="I242" s="38" t="b">
        <v>0</v>
      </c>
      <c r="J242" s="103"/>
      <c r="K242" s="103"/>
    </row>
    <row r="243">
      <c r="A243" s="104"/>
      <c r="B243" s="38"/>
      <c r="E243" s="101"/>
      <c r="F243" s="101" t="str">
        <f t="array" ref="F243">IF(E243="","",IFERROR(_xlfn.XLOOKUP(E243,SyncCodex!N:N,SyncCodex!O:O),""))</f>
        <v/>
      </c>
      <c r="G243" s="102"/>
      <c r="H243" s="102" t="str">
        <f t="shared" si="1"/>
        <v/>
      </c>
      <c r="I243" s="38" t="b">
        <v>0</v>
      </c>
      <c r="J243" s="103"/>
      <c r="K243" s="103"/>
    </row>
    <row r="244">
      <c r="A244" s="104"/>
      <c r="B244" s="38"/>
      <c r="E244" s="101"/>
      <c r="F244" s="101" t="str">
        <f t="array" ref="F244">IF(E244="","",IFERROR(_xlfn.XLOOKUP(E244,SyncCodex!N:N,SyncCodex!O:O),""))</f>
        <v/>
      </c>
      <c r="G244" s="102"/>
      <c r="H244" s="102" t="str">
        <f t="shared" si="1"/>
        <v/>
      </c>
      <c r="I244" s="38" t="b">
        <v>0</v>
      </c>
      <c r="J244" s="103"/>
      <c r="K244" s="103"/>
    </row>
    <row r="245">
      <c r="A245" s="104"/>
      <c r="B245" s="38"/>
      <c r="E245" s="101"/>
      <c r="F245" s="101" t="str">
        <f t="array" ref="F245">IF(E245="","",IFERROR(_xlfn.XLOOKUP(E245,SyncCodex!N:N,SyncCodex!O:O),""))</f>
        <v/>
      </c>
      <c r="G245" s="102"/>
      <c r="H245" s="102" t="str">
        <f t="shared" si="1"/>
        <v/>
      </c>
      <c r="I245" s="38" t="b">
        <v>0</v>
      </c>
      <c r="J245" s="103"/>
      <c r="K245" s="103"/>
    </row>
    <row r="246">
      <c r="A246" s="104"/>
      <c r="B246" s="38"/>
      <c r="E246" s="101"/>
      <c r="F246" s="101" t="str">
        <f t="array" ref="F246">IF(E246="","",IFERROR(_xlfn.XLOOKUP(E246,SyncCodex!N:N,SyncCodex!O:O),""))</f>
        <v/>
      </c>
      <c r="G246" s="102"/>
      <c r="H246" s="102" t="str">
        <f t="shared" si="1"/>
        <v/>
      </c>
      <c r="I246" s="38" t="b">
        <v>0</v>
      </c>
      <c r="J246" s="103"/>
      <c r="K246" s="103"/>
    </row>
    <row r="247">
      <c r="A247" s="104"/>
      <c r="B247" s="38"/>
      <c r="E247" s="101"/>
      <c r="F247" s="101" t="str">
        <f t="array" ref="F247">IF(E247="","",IFERROR(_xlfn.XLOOKUP(E247,SyncCodex!N:N,SyncCodex!O:O),""))</f>
        <v/>
      </c>
      <c r="G247" s="102"/>
      <c r="H247" s="102" t="str">
        <f t="shared" si="1"/>
        <v/>
      </c>
      <c r="I247" s="38" t="b">
        <v>0</v>
      </c>
      <c r="J247" s="103"/>
      <c r="K247" s="103"/>
    </row>
    <row r="248">
      <c r="A248" s="104"/>
      <c r="B248" s="38"/>
      <c r="E248" s="101"/>
      <c r="F248" s="101" t="str">
        <f t="array" ref="F248">IF(E248="","",IFERROR(_xlfn.XLOOKUP(E248,SyncCodex!N:N,SyncCodex!O:O),""))</f>
        <v/>
      </c>
      <c r="G248" s="102"/>
      <c r="H248" s="102" t="str">
        <f t="shared" si="1"/>
        <v/>
      </c>
      <c r="I248" s="38" t="b">
        <v>0</v>
      </c>
      <c r="J248" s="103"/>
      <c r="K248" s="103"/>
    </row>
    <row r="249">
      <c r="A249" s="104"/>
      <c r="B249" s="38"/>
      <c r="E249" s="101"/>
      <c r="F249" s="101" t="str">
        <f t="array" ref="F249">IF(E249="","",IFERROR(_xlfn.XLOOKUP(E249,SyncCodex!N:N,SyncCodex!O:O),""))</f>
        <v/>
      </c>
      <c r="G249" s="102"/>
      <c r="H249" s="102" t="str">
        <f t="shared" si="1"/>
        <v/>
      </c>
      <c r="I249" s="38" t="b">
        <v>0</v>
      </c>
      <c r="J249" s="103"/>
      <c r="K249" s="103"/>
    </row>
    <row r="250">
      <c r="A250" s="104"/>
      <c r="B250" s="38"/>
      <c r="E250" s="101"/>
      <c r="F250" s="101" t="str">
        <f t="array" ref="F250">IF(E250="","",IFERROR(_xlfn.XLOOKUP(E250,SyncCodex!N:N,SyncCodex!O:O),""))</f>
        <v/>
      </c>
      <c r="G250" s="102"/>
      <c r="H250" s="102" t="str">
        <f t="shared" si="1"/>
        <v/>
      </c>
      <c r="I250" s="38" t="b">
        <v>0</v>
      </c>
      <c r="J250" s="103"/>
      <c r="K250" s="103"/>
    </row>
    <row r="251">
      <c r="A251" s="104"/>
      <c r="B251" s="38"/>
      <c r="E251" s="101"/>
      <c r="F251" s="101" t="str">
        <f t="array" ref="F251">IF(E251="","",IFERROR(_xlfn.XLOOKUP(E251,SyncCodex!N:N,SyncCodex!O:O),""))</f>
        <v/>
      </c>
      <c r="G251" s="102"/>
      <c r="H251" s="102" t="str">
        <f t="shared" si="1"/>
        <v/>
      </c>
      <c r="I251" s="38" t="b">
        <v>0</v>
      </c>
      <c r="J251" s="103"/>
      <c r="K251" s="103"/>
    </row>
    <row r="252">
      <c r="A252" s="104"/>
      <c r="B252" s="38"/>
      <c r="E252" s="101"/>
      <c r="F252" s="101" t="str">
        <f t="array" ref="F252">IF(E252="","",IFERROR(_xlfn.XLOOKUP(E252,SyncCodex!N:N,SyncCodex!O:O),""))</f>
        <v/>
      </c>
      <c r="G252" s="102"/>
      <c r="H252" s="102" t="str">
        <f t="shared" si="1"/>
        <v/>
      </c>
      <c r="I252" s="38" t="b">
        <v>0</v>
      </c>
      <c r="J252" s="103"/>
      <c r="K252" s="103"/>
    </row>
    <row r="253">
      <c r="A253" s="104"/>
      <c r="B253" s="38"/>
      <c r="E253" s="101"/>
      <c r="F253" s="101" t="str">
        <f t="array" ref="F253">IF(E253="","",IFERROR(_xlfn.XLOOKUP(E253,SyncCodex!N:N,SyncCodex!O:O),""))</f>
        <v/>
      </c>
      <c r="G253" s="102"/>
      <c r="H253" s="102" t="str">
        <f t="shared" si="1"/>
        <v/>
      </c>
      <c r="I253" s="38" t="b">
        <v>0</v>
      </c>
      <c r="J253" s="103"/>
      <c r="K253" s="103"/>
    </row>
    <row r="254">
      <c r="A254" s="104"/>
      <c r="B254" s="38"/>
      <c r="E254" s="101"/>
      <c r="F254" s="101" t="str">
        <f t="array" ref="F254">IF(E254="","",IFERROR(_xlfn.XLOOKUP(E254,SyncCodex!N:N,SyncCodex!O:O),""))</f>
        <v/>
      </c>
      <c r="G254" s="102"/>
      <c r="H254" s="102" t="str">
        <f t="shared" si="1"/>
        <v/>
      </c>
      <c r="I254" s="38" t="b">
        <v>0</v>
      </c>
      <c r="J254" s="103"/>
      <c r="K254" s="103"/>
    </row>
    <row r="255">
      <c r="A255" s="104"/>
      <c r="B255" s="38"/>
      <c r="E255" s="101"/>
      <c r="F255" s="101" t="str">
        <f t="array" ref="F255">IF(E255="","",IFERROR(_xlfn.XLOOKUP(E255,SyncCodex!N:N,SyncCodex!O:O),""))</f>
        <v/>
      </c>
      <c r="G255" s="102"/>
      <c r="H255" s="102" t="str">
        <f t="shared" si="1"/>
        <v/>
      </c>
      <c r="I255" s="38" t="b">
        <v>0</v>
      </c>
      <c r="J255" s="103"/>
      <c r="K255" s="103"/>
    </row>
    <row r="256">
      <c r="A256" s="104"/>
      <c r="B256" s="38"/>
      <c r="E256" s="101"/>
      <c r="F256" s="101" t="str">
        <f t="array" ref="F256">IF(E256="","",IFERROR(_xlfn.XLOOKUP(E256,SyncCodex!N:N,SyncCodex!O:O),""))</f>
        <v/>
      </c>
      <c r="G256" s="102"/>
      <c r="H256" s="102" t="str">
        <f t="shared" si="1"/>
        <v/>
      </c>
      <c r="I256" s="38" t="b">
        <v>0</v>
      </c>
      <c r="J256" s="103"/>
      <c r="K256" s="103"/>
    </row>
    <row r="257">
      <c r="A257" s="104"/>
      <c r="B257" s="38"/>
      <c r="E257" s="101"/>
      <c r="F257" s="101" t="str">
        <f t="array" ref="F257">IF(E257="","",IFERROR(_xlfn.XLOOKUP(E257,SyncCodex!N:N,SyncCodex!O:O),""))</f>
        <v/>
      </c>
      <c r="G257" s="102"/>
      <c r="H257" s="102" t="str">
        <f t="shared" si="1"/>
        <v/>
      </c>
      <c r="I257" s="38" t="b">
        <v>0</v>
      </c>
      <c r="J257" s="103"/>
      <c r="K257" s="103"/>
    </row>
    <row r="258">
      <c r="A258" s="104"/>
      <c r="B258" s="38"/>
      <c r="E258" s="101"/>
      <c r="F258" s="101" t="str">
        <f t="array" ref="F258">IF(E258="","",IFERROR(_xlfn.XLOOKUP(E258,SyncCodex!N:N,SyncCodex!O:O),""))</f>
        <v/>
      </c>
      <c r="G258" s="102"/>
      <c r="H258" s="102" t="str">
        <f t="shared" si="1"/>
        <v/>
      </c>
      <c r="I258" s="38" t="b">
        <v>0</v>
      </c>
      <c r="J258" s="103"/>
      <c r="K258" s="103"/>
    </row>
    <row r="259">
      <c r="A259" s="104"/>
      <c r="B259" s="38"/>
      <c r="E259" s="101"/>
      <c r="F259" s="101" t="str">
        <f t="array" ref="F259">IF(E259="","",IFERROR(_xlfn.XLOOKUP(E259,SyncCodex!N:N,SyncCodex!O:O),""))</f>
        <v/>
      </c>
      <c r="G259" s="102"/>
      <c r="H259" s="102" t="str">
        <f t="shared" si="1"/>
        <v/>
      </c>
      <c r="I259" s="38" t="b">
        <v>0</v>
      </c>
      <c r="J259" s="103"/>
      <c r="K259" s="103"/>
    </row>
    <row r="260">
      <c r="A260" s="104"/>
      <c r="B260" s="38"/>
      <c r="E260" s="101"/>
      <c r="F260" s="101" t="str">
        <f t="array" ref="F260">IF(E260="","",IFERROR(_xlfn.XLOOKUP(E260,SyncCodex!N:N,SyncCodex!O:O),""))</f>
        <v/>
      </c>
      <c r="G260" s="102"/>
      <c r="H260" s="102" t="str">
        <f t="shared" si="1"/>
        <v/>
      </c>
      <c r="I260" s="38" t="b">
        <v>0</v>
      </c>
      <c r="J260" s="103"/>
      <c r="K260" s="103"/>
    </row>
    <row r="261">
      <c r="A261" s="104"/>
      <c r="B261" s="38"/>
      <c r="E261" s="101"/>
      <c r="F261" s="101" t="str">
        <f t="array" ref="F261">IF(E261="","",IFERROR(_xlfn.XLOOKUP(E261,SyncCodex!N:N,SyncCodex!O:O),""))</f>
        <v/>
      </c>
      <c r="G261" s="102"/>
      <c r="H261" s="102" t="str">
        <f t="shared" si="1"/>
        <v/>
      </c>
      <c r="I261" s="38" t="b">
        <v>0</v>
      </c>
      <c r="J261" s="103"/>
      <c r="K261" s="103"/>
    </row>
    <row r="262">
      <c r="A262" s="104"/>
      <c r="B262" s="38"/>
      <c r="E262" s="101"/>
      <c r="F262" s="101" t="str">
        <f t="array" ref="F262">IF(E262="","",IFERROR(_xlfn.XLOOKUP(E262,SyncCodex!N:N,SyncCodex!O:O),""))</f>
        <v/>
      </c>
      <c r="G262" s="102"/>
      <c r="H262" s="102" t="str">
        <f t="shared" si="1"/>
        <v/>
      </c>
      <c r="I262" s="38" t="b">
        <v>0</v>
      </c>
      <c r="J262" s="103"/>
      <c r="K262" s="103"/>
    </row>
    <row r="263">
      <c r="A263" s="104"/>
      <c r="B263" s="38"/>
      <c r="E263" s="101"/>
      <c r="F263" s="101" t="str">
        <f t="array" ref="F263">IF(E263="","",IFERROR(_xlfn.XLOOKUP(E263,SyncCodex!N:N,SyncCodex!O:O),""))</f>
        <v/>
      </c>
      <c r="G263" s="102"/>
      <c r="H263" s="102" t="str">
        <f t="shared" si="1"/>
        <v/>
      </c>
      <c r="I263" s="38" t="b">
        <v>0</v>
      </c>
      <c r="J263" s="103"/>
      <c r="K263" s="103"/>
    </row>
    <row r="264">
      <c r="A264" s="104"/>
      <c r="B264" s="38"/>
      <c r="E264" s="101"/>
      <c r="F264" s="101" t="str">
        <f t="array" ref="F264">IF(E264="","",IFERROR(_xlfn.XLOOKUP(E264,SyncCodex!N:N,SyncCodex!O:O),""))</f>
        <v/>
      </c>
      <c r="G264" s="102"/>
      <c r="H264" s="102" t="str">
        <f t="shared" si="1"/>
        <v/>
      </c>
      <c r="I264" s="38" t="b">
        <v>0</v>
      </c>
      <c r="J264" s="103"/>
      <c r="K264" s="103"/>
    </row>
    <row r="265">
      <c r="A265" s="104"/>
      <c r="B265" s="38"/>
      <c r="E265" s="101"/>
      <c r="F265" s="101" t="str">
        <f t="array" ref="F265">IF(E265="","",IFERROR(_xlfn.XLOOKUP(E265,SyncCodex!N:N,SyncCodex!O:O),""))</f>
        <v/>
      </c>
      <c r="G265" s="102"/>
      <c r="H265" s="102" t="str">
        <f t="shared" si="1"/>
        <v/>
      </c>
      <c r="I265" s="38" t="b">
        <v>0</v>
      </c>
      <c r="J265" s="103"/>
      <c r="K265" s="103"/>
    </row>
    <row r="266">
      <c r="A266" s="104"/>
      <c r="B266" s="38"/>
      <c r="E266" s="101"/>
      <c r="F266" s="101" t="str">
        <f t="array" ref="F266">IF(E266="","",IFERROR(_xlfn.XLOOKUP(E266,SyncCodex!N:N,SyncCodex!O:O),""))</f>
        <v/>
      </c>
      <c r="G266" s="102"/>
      <c r="H266" s="102" t="str">
        <f t="shared" si="1"/>
        <v/>
      </c>
      <c r="I266" s="38" t="b">
        <v>0</v>
      </c>
      <c r="J266" s="103"/>
      <c r="K266" s="103"/>
    </row>
    <row r="267">
      <c r="A267" s="104"/>
      <c r="B267" s="38"/>
      <c r="E267" s="101"/>
      <c r="F267" s="101" t="str">
        <f t="array" ref="F267">IF(E267="","",IFERROR(_xlfn.XLOOKUP(E267,SyncCodex!N:N,SyncCodex!O:O),""))</f>
        <v/>
      </c>
      <c r="G267" s="102"/>
      <c r="H267" s="102" t="str">
        <f t="shared" si="1"/>
        <v/>
      </c>
      <c r="I267" s="38" t="b">
        <v>0</v>
      </c>
      <c r="J267" s="103"/>
      <c r="K267" s="103"/>
    </row>
    <row r="268">
      <c r="A268" s="104"/>
      <c r="B268" s="38"/>
      <c r="E268" s="101"/>
      <c r="F268" s="101" t="str">
        <f t="array" ref="F268">IF(E268="","",IFERROR(_xlfn.XLOOKUP(E268,SyncCodex!N:N,SyncCodex!O:O),""))</f>
        <v/>
      </c>
      <c r="G268" s="102"/>
      <c r="H268" s="102" t="str">
        <f t="shared" si="1"/>
        <v/>
      </c>
      <c r="I268" s="38" t="b">
        <v>0</v>
      </c>
      <c r="J268" s="103"/>
      <c r="K268" s="103"/>
    </row>
    <row r="269">
      <c r="A269" s="104"/>
      <c r="B269" s="38"/>
      <c r="E269" s="101"/>
      <c r="F269" s="101" t="str">
        <f t="array" ref="F269">IF(E269="","",IFERROR(_xlfn.XLOOKUP(E269,SyncCodex!N:N,SyncCodex!O:O),""))</f>
        <v/>
      </c>
      <c r="G269" s="102"/>
      <c r="H269" s="102" t="str">
        <f t="shared" si="1"/>
        <v/>
      </c>
      <c r="I269" s="38" t="b">
        <v>0</v>
      </c>
      <c r="J269" s="103"/>
      <c r="K269" s="103"/>
    </row>
    <row r="270">
      <c r="A270" s="104"/>
      <c r="B270" s="38"/>
      <c r="E270" s="101"/>
      <c r="F270" s="101" t="str">
        <f t="array" ref="F270">IF(E270="","",IFERROR(_xlfn.XLOOKUP(E270,SyncCodex!N:N,SyncCodex!O:O),""))</f>
        <v/>
      </c>
      <c r="G270" s="102"/>
      <c r="H270" s="102" t="str">
        <f t="shared" si="1"/>
        <v/>
      </c>
      <c r="I270" s="38" t="b">
        <v>0</v>
      </c>
      <c r="J270" s="103"/>
      <c r="K270" s="103"/>
    </row>
    <row r="271">
      <c r="A271" s="104"/>
      <c r="B271" s="38"/>
      <c r="E271" s="101"/>
      <c r="F271" s="101" t="str">
        <f t="array" ref="F271">IF(E271="","",IFERROR(_xlfn.XLOOKUP(E271,SyncCodex!N:N,SyncCodex!O:O),""))</f>
        <v/>
      </c>
      <c r="G271" s="102"/>
      <c r="H271" s="102" t="str">
        <f t="shared" si="1"/>
        <v/>
      </c>
      <c r="I271" s="38" t="b">
        <v>0</v>
      </c>
      <c r="J271" s="103"/>
      <c r="K271" s="103"/>
    </row>
    <row r="272">
      <c r="A272" s="104"/>
      <c r="B272" s="38"/>
      <c r="E272" s="101"/>
      <c r="F272" s="101" t="str">
        <f t="array" ref="F272">IF(E272="","",IFERROR(_xlfn.XLOOKUP(E272,SyncCodex!N:N,SyncCodex!O:O),""))</f>
        <v/>
      </c>
      <c r="G272" s="102"/>
      <c r="H272" s="102" t="str">
        <f t="shared" si="1"/>
        <v/>
      </c>
      <c r="I272" s="38" t="b">
        <v>0</v>
      </c>
      <c r="J272" s="103"/>
      <c r="K272" s="103"/>
    </row>
    <row r="273">
      <c r="A273" s="104"/>
      <c r="B273" s="38"/>
      <c r="E273" s="101"/>
      <c r="F273" s="101" t="str">
        <f t="array" ref="F273">IF(E273="","",IFERROR(_xlfn.XLOOKUP(E273,SyncCodex!N:N,SyncCodex!O:O),""))</f>
        <v/>
      </c>
      <c r="G273" s="102"/>
      <c r="H273" s="102" t="str">
        <f t="shared" si="1"/>
        <v/>
      </c>
      <c r="I273" s="38" t="b">
        <v>0</v>
      </c>
      <c r="J273" s="103"/>
      <c r="K273" s="103"/>
    </row>
    <row r="274">
      <c r="A274" s="104"/>
      <c r="B274" s="38"/>
      <c r="E274" s="101"/>
      <c r="F274" s="101" t="str">
        <f t="array" ref="F274">IF(E274="","",IFERROR(_xlfn.XLOOKUP(E274,SyncCodex!N:N,SyncCodex!O:O),""))</f>
        <v/>
      </c>
      <c r="G274" s="102"/>
      <c r="H274" s="102" t="str">
        <f t="shared" si="1"/>
        <v/>
      </c>
      <c r="I274" s="38" t="b">
        <v>0</v>
      </c>
      <c r="J274" s="103"/>
      <c r="K274" s="103"/>
    </row>
    <row r="275">
      <c r="A275" s="104"/>
      <c r="B275" s="38"/>
      <c r="E275" s="101"/>
      <c r="F275" s="101" t="str">
        <f t="array" ref="F275">IF(E275="","",IFERROR(_xlfn.XLOOKUP(E275,SyncCodex!N:N,SyncCodex!O:O),""))</f>
        <v/>
      </c>
      <c r="G275" s="102"/>
      <c r="H275" s="102" t="str">
        <f t="shared" si="1"/>
        <v/>
      </c>
      <c r="I275" s="38" t="b">
        <v>0</v>
      </c>
      <c r="J275" s="103"/>
      <c r="K275" s="103"/>
    </row>
    <row r="276">
      <c r="A276" s="104"/>
      <c r="B276" s="38"/>
      <c r="E276" s="101"/>
      <c r="F276" s="101" t="str">
        <f t="array" ref="F276">IF(E276="","",IFERROR(_xlfn.XLOOKUP(E276,SyncCodex!N:N,SyncCodex!O:O),""))</f>
        <v/>
      </c>
      <c r="G276" s="102"/>
      <c r="H276" s="102" t="str">
        <f t="shared" si="1"/>
        <v/>
      </c>
      <c r="I276" s="38" t="b">
        <v>0</v>
      </c>
      <c r="J276" s="103"/>
      <c r="K276" s="103"/>
    </row>
    <row r="277">
      <c r="A277" s="104"/>
      <c r="B277" s="38"/>
      <c r="E277" s="101"/>
      <c r="F277" s="101" t="str">
        <f t="array" ref="F277">IF(E277="","",IFERROR(_xlfn.XLOOKUP(E277,SyncCodex!N:N,SyncCodex!O:O),""))</f>
        <v/>
      </c>
      <c r="G277" s="102"/>
      <c r="H277" s="102" t="str">
        <f t="shared" si="1"/>
        <v/>
      </c>
      <c r="I277" s="38" t="b">
        <v>0</v>
      </c>
      <c r="J277" s="103"/>
      <c r="K277" s="103"/>
    </row>
    <row r="278">
      <c r="A278" s="104"/>
      <c r="B278" s="38"/>
      <c r="E278" s="101"/>
      <c r="F278" s="101" t="str">
        <f t="array" ref="F278">IF(E278="","",IFERROR(_xlfn.XLOOKUP(E278,SyncCodex!N:N,SyncCodex!O:O),""))</f>
        <v/>
      </c>
      <c r="G278" s="102"/>
      <c r="H278" s="102" t="str">
        <f t="shared" si="1"/>
        <v/>
      </c>
      <c r="I278" s="38" t="b">
        <v>0</v>
      </c>
      <c r="J278" s="103"/>
      <c r="K278" s="103"/>
    </row>
    <row r="279">
      <c r="A279" s="104"/>
      <c r="B279" s="38"/>
      <c r="E279" s="101"/>
      <c r="F279" s="101" t="str">
        <f t="array" ref="F279">IF(E279="","",IFERROR(_xlfn.XLOOKUP(E279,SyncCodex!N:N,SyncCodex!O:O),""))</f>
        <v/>
      </c>
      <c r="G279" s="102"/>
      <c r="H279" s="102" t="str">
        <f t="shared" si="1"/>
        <v/>
      </c>
      <c r="I279" s="38" t="b">
        <v>0</v>
      </c>
      <c r="J279" s="103"/>
      <c r="K279" s="103"/>
    </row>
    <row r="280">
      <c r="A280" s="104"/>
      <c r="B280" s="38"/>
      <c r="E280" s="101"/>
      <c r="F280" s="101" t="str">
        <f t="array" ref="F280">IF(E280="","",IFERROR(_xlfn.XLOOKUP(E280,SyncCodex!N:N,SyncCodex!O:O),""))</f>
        <v/>
      </c>
      <c r="G280" s="102"/>
      <c r="H280" s="102" t="str">
        <f t="shared" si="1"/>
        <v/>
      </c>
      <c r="I280" s="38" t="b">
        <v>0</v>
      </c>
      <c r="J280" s="103"/>
      <c r="K280" s="103"/>
    </row>
    <row r="281">
      <c r="A281" s="104"/>
      <c r="B281" s="38"/>
      <c r="E281" s="101"/>
      <c r="F281" s="101" t="str">
        <f t="array" ref="F281">IF(E281="","",IFERROR(_xlfn.XLOOKUP(E281,SyncCodex!N:N,SyncCodex!O:O),""))</f>
        <v/>
      </c>
      <c r="G281" s="102"/>
      <c r="H281" s="102" t="str">
        <f t="shared" si="1"/>
        <v/>
      </c>
      <c r="I281" s="38" t="b">
        <v>0</v>
      </c>
      <c r="J281" s="103"/>
      <c r="K281" s="103"/>
    </row>
    <row r="282">
      <c r="A282" s="104"/>
      <c r="B282" s="38"/>
      <c r="E282" s="101"/>
      <c r="F282" s="101" t="str">
        <f t="array" ref="F282">IF(E282="","",IFERROR(_xlfn.XLOOKUP(E282,SyncCodex!N:N,SyncCodex!O:O),""))</f>
        <v/>
      </c>
      <c r="G282" s="102"/>
      <c r="H282" s="102" t="str">
        <f t="shared" si="1"/>
        <v/>
      </c>
      <c r="I282" s="38" t="b">
        <v>0</v>
      </c>
      <c r="J282" s="103"/>
      <c r="K282" s="103"/>
    </row>
    <row r="283">
      <c r="A283" s="104"/>
      <c r="B283" s="38"/>
      <c r="E283" s="101"/>
      <c r="F283" s="101" t="str">
        <f t="array" ref="F283">IF(E283="","",IFERROR(_xlfn.XLOOKUP(E283,SyncCodex!N:N,SyncCodex!O:O),""))</f>
        <v/>
      </c>
      <c r="G283" s="102"/>
      <c r="H283" s="102" t="str">
        <f t="shared" si="1"/>
        <v/>
      </c>
      <c r="I283" s="38" t="b">
        <v>0</v>
      </c>
      <c r="J283" s="103"/>
      <c r="K283" s="103"/>
    </row>
    <row r="284">
      <c r="A284" s="104"/>
      <c r="B284" s="38"/>
      <c r="E284" s="101"/>
      <c r="F284" s="101" t="str">
        <f t="array" ref="F284">IF(E284="","",IFERROR(_xlfn.XLOOKUP(E284,SyncCodex!N:N,SyncCodex!O:O),""))</f>
        <v/>
      </c>
      <c r="G284" s="102"/>
      <c r="H284" s="102" t="str">
        <f t="shared" si="1"/>
        <v/>
      </c>
      <c r="I284" s="38" t="b">
        <v>0</v>
      </c>
      <c r="J284" s="103"/>
      <c r="K284" s="103"/>
    </row>
    <row r="285">
      <c r="A285" s="104"/>
      <c r="B285" s="38"/>
      <c r="E285" s="101"/>
      <c r="F285" s="101" t="str">
        <f t="array" ref="F285">IF(E285="","",IFERROR(_xlfn.XLOOKUP(E285,SyncCodex!N:N,SyncCodex!O:O),""))</f>
        <v/>
      </c>
      <c r="G285" s="102"/>
      <c r="H285" s="102" t="str">
        <f t="shared" si="1"/>
        <v/>
      </c>
      <c r="I285" s="38" t="b">
        <v>0</v>
      </c>
      <c r="J285" s="103"/>
      <c r="K285" s="103"/>
    </row>
    <row r="286">
      <c r="A286" s="104"/>
      <c r="B286" s="38"/>
      <c r="E286" s="101"/>
      <c r="F286" s="101" t="str">
        <f t="array" ref="F286">IF(E286="","",IFERROR(_xlfn.XLOOKUP(E286,SyncCodex!N:N,SyncCodex!O:O),""))</f>
        <v/>
      </c>
      <c r="G286" s="102"/>
      <c r="H286" s="102" t="str">
        <f t="shared" si="1"/>
        <v/>
      </c>
      <c r="I286" s="38" t="b">
        <v>0</v>
      </c>
      <c r="J286" s="103"/>
      <c r="K286" s="103"/>
    </row>
    <row r="287">
      <c r="A287" s="104"/>
      <c r="B287" s="38"/>
      <c r="E287" s="101"/>
      <c r="F287" s="101" t="str">
        <f t="array" ref="F287">IF(E287="","",IFERROR(_xlfn.XLOOKUP(E287,SyncCodex!N:N,SyncCodex!O:O),""))</f>
        <v/>
      </c>
      <c r="G287" s="102"/>
      <c r="H287" s="102" t="str">
        <f t="shared" si="1"/>
        <v/>
      </c>
      <c r="I287" s="38" t="b">
        <v>0</v>
      </c>
      <c r="J287" s="103"/>
      <c r="K287" s="103"/>
    </row>
    <row r="288">
      <c r="A288" s="104"/>
      <c r="B288" s="38"/>
      <c r="E288" s="101"/>
      <c r="F288" s="101" t="str">
        <f t="array" ref="F288">IF(E288="","",IFERROR(_xlfn.XLOOKUP(E288,SyncCodex!N:N,SyncCodex!O:O),""))</f>
        <v/>
      </c>
      <c r="G288" s="102"/>
      <c r="H288" s="102" t="str">
        <f t="shared" si="1"/>
        <v/>
      </c>
      <c r="I288" s="38" t="b">
        <v>0</v>
      </c>
      <c r="J288" s="103"/>
      <c r="K288" s="103"/>
    </row>
    <row r="289">
      <c r="A289" s="104"/>
      <c r="B289" s="38"/>
      <c r="E289" s="101"/>
      <c r="F289" s="101" t="str">
        <f t="array" ref="F289">IF(E289="","",IFERROR(_xlfn.XLOOKUP(E289,SyncCodex!N:N,SyncCodex!O:O),""))</f>
        <v/>
      </c>
      <c r="G289" s="102"/>
      <c r="H289" s="102" t="str">
        <f t="shared" si="1"/>
        <v/>
      </c>
      <c r="I289" s="38" t="b">
        <v>0</v>
      </c>
      <c r="J289" s="103"/>
      <c r="K289" s="103"/>
    </row>
    <row r="290">
      <c r="A290" s="104"/>
      <c r="B290" s="38"/>
      <c r="E290" s="101"/>
      <c r="F290" s="101" t="str">
        <f t="array" ref="F290">IF(E290="","",IFERROR(_xlfn.XLOOKUP(E290,SyncCodex!N:N,SyncCodex!O:O),""))</f>
        <v/>
      </c>
      <c r="G290" s="102"/>
      <c r="H290" s="102" t="str">
        <f t="shared" si="1"/>
        <v/>
      </c>
      <c r="I290" s="38" t="b">
        <v>0</v>
      </c>
      <c r="J290" s="103"/>
      <c r="K290" s="103"/>
    </row>
    <row r="291">
      <c r="A291" s="104"/>
      <c r="B291" s="38"/>
      <c r="E291" s="101"/>
      <c r="F291" s="101" t="str">
        <f t="array" ref="F291">IF(E291="","",IFERROR(_xlfn.XLOOKUP(E291,SyncCodex!N:N,SyncCodex!O:O),""))</f>
        <v/>
      </c>
      <c r="G291" s="102"/>
      <c r="H291" s="102" t="str">
        <f t="shared" si="1"/>
        <v/>
      </c>
      <c r="I291" s="38" t="b">
        <v>0</v>
      </c>
      <c r="J291" s="103"/>
      <c r="K291" s="103"/>
    </row>
    <row r="292">
      <c r="A292" s="104"/>
      <c r="B292" s="38"/>
      <c r="E292" s="101"/>
      <c r="F292" s="101" t="str">
        <f t="array" ref="F292">IF(E292="","",IFERROR(_xlfn.XLOOKUP(E292,SyncCodex!N:N,SyncCodex!O:O),""))</f>
        <v/>
      </c>
      <c r="G292" s="102"/>
      <c r="H292" s="102" t="str">
        <f t="shared" si="1"/>
        <v/>
      </c>
      <c r="I292" s="38" t="b">
        <v>0</v>
      </c>
      <c r="J292" s="103"/>
      <c r="K292" s="103"/>
    </row>
    <row r="293">
      <c r="A293" s="104"/>
      <c r="B293" s="38"/>
      <c r="E293" s="101"/>
      <c r="F293" s="101" t="str">
        <f t="array" ref="F293">IF(E293="","",IFERROR(_xlfn.XLOOKUP(E293,SyncCodex!N:N,SyncCodex!O:O),""))</f>
        <v/>
      </c>
      <c r="G293" s="102"/>
      <c r="H293" s="102" t="str">
        <f t="shared" si="1"/>
        <v/>
      </c>
      <c r="I293" s="38" t="b">
        <v>0</v>
      </c>
      <c r="J293" s="103"/>
      <c r="K293" s="103"/>
    </row>
    <row r="294">
      <c r="A294" s="104"/>
      <c r="B294" s="38"/>
      <c r="E294" s="101"/>
      <c r="F294" s="101" t="str">
        <f t="array" ref="F294">IF(E294="","",IFERROR(_xlfn.XLOOKUP(E294,SyncCodex!N:N,SyncCodex!O:O),""))</f>
        <v/>
      </c>
      <c r="G294" s="102"/>
      <c r="H294" s="102" t="str">
        <f t="shared" si="1"/>
        <v/>
      </c>
      <c r="I294" s="38" t="b">
        <v>0</v>
      </c>
      <c r="J294" s="103"/>
      <c r="K294" s="103"/>
    </row>
    <row r="295">
      <c r="A295" s="104"/>
      <c r="B295" s="38"/>
      <c r="E295" s="101"/>
      <c r="F295" s="101" t="str">
        <f t="array" ref="F295">IF(E295="","",IFERROR(_xlfn.XLOOKUP(E295,SyncCodex!N:N,SyncCodex!O:O),""))</f>
        <v/>
      </c>
      <c r="G295" s="102"/>
      <c r="H295" s="102" t="str">
        <f t="shared" si="1"/>
        <v/>
      </c>
      <c r="I295" s="38" t="b">
        <v>0</v>
      </c>
      <c r="J295" s="103"/>
      <c r="K295" s="103"/>
    </row>
    <row r="296">
      <c r="A296" s="104"/>
      <c r="B296" s="38"/>
      <c r="E296" s="101"/>
      <c r="F296" s="101" t="str">
        <f t="array" ref="F296">IF(E296="","",IFERROR(_xlfn.XLOOKUP(E296,SyncCodex!N:N,SyncCodex!O:O),""))</f>
        <v/>
      </c>
      <c r="G296" s="102"/>
      <c r="H296" s="102" t="str">
        <f t="shared" si="1"/>
        <v/>
      </c>
      <c r="I296" s="38" t="b">
        <v>0</v>
      </c>
      <c r="J296" s="103"/>
      <c r="K296" s="103"/>
    </row>
    <row r="297">
      <c r="A297" s="104"/>
      <c r="B297" s="38"/>
      <c r="E297" s="101"/>
      <c r="F297" s="101" t="str">
        <f t="array" ref="F297">IF(E297="","",IFERROR(_xlfn.XLOOKUP(E297,SyncCodex!N:N,SyncCodex!O:O),""))</f>
        <v/>
      </c>
      <c r="G297" s="102"/>
      <c r="H297" s="102" t="str">
        <f t="shared" si="1"/>
        <v/>
      </c>
      <c r="I297" s="38" t="b">
        <v>0</v>
      </c>
      <c r="J297" s="103"/>
      <c r="K297" s="103"/>
    </row>
    <row r="298">
      <c r="A298" s="104"/>
      <c r="B298" s="38"/>
      <c r="E298" s="101"/>
      <c r="F298" s="101" t="str">
        <f t="array" ref="F298">IF(E298="","",IFERROR(_xlfn.XLOOKUP(E298,SyncCodex!N:N,SyncCodex!O:O),""))</f>
        <v/>
      </c>
      <c r="G298" s="102"/>
      <c r="H298" s="102" t="str">
        <f t="shared" si="1"/>
        <v/>
      </c>
      <c r="I298" s="38" t="b">
        <v>0</v>
      </c>
      <c r="J298" s="103"/>
      <c r="K298" s="103"/>
    </row>
    <row r="299">
      <c r="A299" s="104"/>
      <c r="B299" s="38"/>
      <c r="E299" s="101"/>
      <c r="F299" s="101" t="str">
        <f t="array" ref="F299">IF(E299="","",IFERROR(_xlfn.XLOOKUP(E299,SyncCodex!N:N,SyncCodex!O:O),""))</f>
        <v/>
      </c>
      <c r="G299" s="102"/>
      <c r="H299" s="102" t="str">
        <f t="shared" si="1"/>
        <v/>
      </c>
      <c r="I299" s="38" t="b">
        <v>0</v>
      </c>
      <c r="J299" s="103"/>
      <c r="K299" s="103"/>
    </row>
    <row r="300">
      <c r="A300" s="104"/>
      <c r="B300" s="38"/>
      <c r="E300" s="101"/>
      <c r="F300" s="101" t="str">
        <f t="array" ref="F300">IF(E300="","",IFERROR(_xlfn.XLOOKUP(E300,SyncCodex!N:N,SyncCodex!O:O),""))</f>
        <v/>
      </c>
      <c r="G300" s="102"/>
      <c r="H300" s="102" t="str">
        <f t="shared" si="1"/>
        <v/>
      </c>
      <c r="I300" s="38" t="b">
        <v>0</v>
      </c>
      <c r="J300" s="103"/>
      <c r="K300" s="103"/>
    </row>
    <row r="301">
      <c r="A301" s="104"/>
      <c r="B301" s="38"/>
      <c r="E301" s="101"/>
      <c r="F301" s="101" t="str">
        <f t="array" ref="F301">IF(E301="","",IFERROR(_xlfn.XLOOKUP(E301,SyncCodex!N:N,SyncCodex!O:O),""))</f>
        <v/>
      </c>
      <c r="G301" s="102"/>
      <c r="H301" s="102" t="str">
        <f t="shared" si="1"/>
        <v/>
      </c>
      <c r="I301" s="38" t="b">
        <v>0</v>
      </c>
      <c r="J301" s="103"/>
      <c r="K301" s="103"/>
    </row>
    <row r="302">
      <c r="A302" s="104"/>
      <c r="B302" s="38"/>
      <c r="E302" s="101"/>
      <c r="F302" s="101" t="str">
        <f t="array" ref="F302">IF(E302="","",IFERROR(_xlfn.XLOOKUP(E302,SyncCodex!N:N,SyncCodex!O:O),""))</f>
        <v/>
      </c>
      <c r="G302" s="102"/>
      <c r="H302" s="102" t="str">
        <f t="shared" si="1"/>
        <v/>
      </c>
      <c r="I302" s="38" t="b">
        <v>0</v>
      </c>
      <c r="J302" s="103"/>
      <c r="K302" s="103"/>
    </row>
    <row r="303">
      <c r="A303" s="104"/>
      <c r="B303" s="38"/>
      <c r="E303" s="101"/>
      <c r="F303" s="101" t="str">
        <f t="array" ref="F303">IF(E303="","",IFERROR(_xlfn.XLOOKUP(E303,SyncCodex!N:N,SyncCodex!O:O),""))</f>
        <v/>
      </c>
      <c r="G303" s="102"/>
      <c r="H303" s="102" t="str">
        <f t="shared" si="1"/>
        <v/>
      </c>
      <c r="I303" s="38" t="b">
        <v>0</v>
      </c>
      <c r="J303" s="103"/>
      <c r="K303" s="103"/>
    </row>
    <row r="304">
      <c r="A304" s="104"/>
      <c r="B304" s="38"/>
      <c r="E304" s="101"/>
      <c r="F304" s="101" t="str">
        <f t="array" ref="F304">IF(E304="","",IFERROR(_xlfn.XLOOKUP(E304,SyncCodex!N:N,SyncCodex!O:O),""))</f>
        <v/>
      </c>
      <c r="G304" s="102"/>
      <c r="H304" s="102" t="str">
        <f t="shared" si="1"/>
        <v/>
      </c>
      <c r="I304" s="38" t="b">
        <v>0</v>
      </c>
      <c r="J304" s="103"/>
      <c r="K304" s="103"/>
    </row>
    <row r="305">
      <c r="A305" s="104"/>
      <c r="B305" s="38"/>
      <c r="E305" s="101"/>
      <c r="F305" s="101" t="str">
        <f t="array" ref="F305">IF(E305="","",IFERROR(_xlfn.XLOOKUP(E305,SyncCodex!N:N,SyncCodex!O:O),""))</f>
        <v/>
      </c>
      <c r="G305" s="102"/>
      <c r="H305" s="102" t="str">
        <f t="shared" si="1"/>
        <v/>
      </c>
      <c r="I305" s="38" t="b">
        <v>0</v>
      </c>
      <c r="J305" s="103"/>
      <c r="K305" s="103"/>
    </row>
    <row r="306">
      <c r="A306" s="104"/>
      <c r="B306" s="38"/>
      <c r="E306" s="101"/>
      <c r="F306" s="101" t="str">
        <f t="array" ref="F306">IF(E306="","",IFERROR(_xlfn.XLOOKUP(E306,SyncCodex!N:N,SyncCodex!O:O),""))</f>
        <v/>
      </c>
      <c r="G306" s="102"/>
      <c r="H306" s="102" t="str">
        <f t="shared" si="1"/>
        <v/>
      </c>
      <c r="I306" s="38" t="b">
        <v>0</v>
      </c>
      <c r="J306" s="103"/>
      <c r="K306" s="103"/>
    </row>
    <row r="307">
      <c r="A307" s="104"/>
      <c r="B307" s="38"/>
      <c r="E307" s="101"/>
      <c r="F307" s="101" t="str">
        <f t="array" ref="F307">IF(E307="","",IFERROR(_xlfn.XLOOKUP(E307,SyncCodex!N:N,SyncCodex!O:O),""))</f>
        <v/>
      </c>
      <c r="G307" s="102"/>
      <c r="H307" s="102" t="str">
        <f t="shared" si="1"/>
        <v/>
      </c>
      <c r="I307" s="38" t="b">
        <v>0</v>
      </c>
      <c r="J307" s="103"/>
      <c r="K307" s="103"/>
    </row>
    <row r="308">
      <c r="A308" s="104"/>
      <c r="B308" s="38"/>
      <c r="E308" s="101"/>
      <c r="F308" s="101" t="str">
        <f t="array" ref="F308">IF(E308="","",IFERROR(_xlfn.XLOOKUP(E308,SyncCodex!N:N,SyncCodex!O:O),""))</f>
        <v/>
      </c>
      <c r="G308" s="102"/>
      <c r="H308" s="102" t="str">
        <f t="shared" si="1"/>
        <v/>
      </c>
      <c r="I308" s="38" t="b">
        <v>0</v>
      </c>
      <c r="J308" s="103"/>
      <c r="K308" s="103"/>
    </row>
    <row r="309">
      <c r="A309" s="104"/>
      <c r="B309" s="38"/>
      <c r="E309" s="101"/>
      <c r="F309" s="101" t="str">
        <f t="array" ref="F309">IF(E309="","",IFERROR(_xlfn.XLOOKUP(E309,SyncCodex!N:N,SyncCodex!O:O),""))</f>
        <v/>
      </c>
      <c r="G309" s="102"/>
      <c r="H309" s="102" t="str">
        <f t="shared" si="1"/>
        <v/>
      </c>
      <c r="I309" s="38" t="b">
        <v>0</v>
      </c>
      <c r="J309" s="103"/>
      <c r="K309" s="103"/>
    </row>
    <row r="310">
      <c r="A310" s="104"/>
      <c r="B310" s="38"/>
      <c r="E310" s="101"/>
      <c r="F310" s="101" t="str">
        <f t="array" ref="F310">IF(E310="","",IFERROR(_xlfn.XLOOKUP(E310,SyncCodex!N:N,SyncCodex!O:O),""))</f>
        <v/>
      </c>
      <c r="G310" s="102"/>
      <c r="H310" s="102" t="str">
        <f t="shared" si="1"/>
        <v/>
      </c>
      <c r="I310" s="38" t="b">
        <v>0</v>
      </c>
      <c r="J310" s="103"/>
      <c r="K310" s="103"/>
    </row>
    <row r="311">
      <c r="A311" s="104"/>
      <c r="B311" s="38"/>
      <c r="E311" s="101"/>
      <c r="F311" s="101" t="str">
        <f t="array" ref="F311">IF(E311="","",IFERROR(_xlfn.XLOOKUP(E311,SyncCodex!N:N,SyncCodex!O:O),""))</f>
        <v/>
      </c>
      <c r="G311" s="102"/>
      <c r="H311" s="102" t="str">
        <f t="shared" si="1"/>
        <v/>
      </c>
      <c r="I311" s="38" t="b">
        <v>0</v>
      </c>
      <c r="J311" s="103"/>
      <c r="K311" s="103"/>
    </row>
    <row r="312">
      <c r="A312" s="104"/>
      <c r="B312" s="38"/>
      <c r="E312" s="101"/>
      <c r="F312" s="101" t="str">
        <f t="array" ref="F312">IF(E312="","",IFERROR(_xlfn.XLOOKUP(E312,SyncCodex!N:N,SyncCodex!O:O),""))</f>
        <v/>
      </c>
      <c r="G312" s="102"/>
      <c r="H312" s="102" t="str">
        <f t="shared" si="1"/>
        <v/>
      </c>
      <c r="I312" s="38" t="b">
        <v>0</v>
      </c>
      <c r="J312" s="103"/>
      <c r="K312" s="103"/>
    </row>
    <row r="313">
      <c r="A313" s="104"/>
      <c r="B313" s="38"/>
      <c r="E313" s="101"/>
      <c r="F313" s="101" t="str">
        <f t="array" ref="F313">IF(E313="","",IFERROR(_xlfn.XLOOKUP(E313,SyncCodex!N:N,SyncCodex!O:O),""))</f>
        <v/>
      </c>
      <c r="G313" s="102"/>
      <c r="H313" s="102" t="str">
        <f t="shared" si="1"/>
        <v/>
      </c>
      <c r="I313" s="38" t="b">
        <v>0</v>
      </c>
      <c r="J313" s="103"/>
      <c r="K313" s="103"/>
    </row>
    <row r="314">
      <c r="A314" s="104"/>
      <c r="B314" s="38"/>
      <c r="E314" s="101"/>
      <c r="F314" s="101" t="str">
        <f t="array" ref="F314">IF(E314="","",IFERROR(_xlfn.XLOOKUP(E314,SyncCodex!N:N,SyncCodex!O:O),""))</f>
        <v/>
      </c>
      <c r="G314" s="102"/>
      <c r="H314" s="102" t="str">
        <f t="shared" si="1"/>
        <v/>
      </c>
      <c r="I314" s="38" t="b">
        <v>0</v>
      </c>
      <c r="J314" s="103"/>
      <c r="K314" s="103"/>
    </row>
    <row r="315">
      <c r="A315" s="104"/>
      <c r="B315" s="38"/>
      <c r="E315" s="101"/>
      <c r="F315" s="101" t="str">
        <f t="array" ref="F315">IF(E315="","",IFERROR(_xlfn.XLOOKUP(E315,SyncCodex!N:N,SyncCodex!O:O),""))</f>
        <v/>
      </c>
      <c r="G315" s="102"/>
      <c r="H315" s="102" t="str">
        <f t="shared" si="1"/>
        <v/>
      </c>
      <c r="I315" s="38" t="b">
        <v>0</v>
      </c>
      <c r="J315" s="103"/>
      <c r="K315" s="103"/>
    </row>
    <row r="316">
      <c r="A316" s="104"/>
      <c r="B316" s="38"/>
      <c r="E316" s="101"/>
      <c r="F316" s="101" t="str">
        <f t="array" ref="F316">IF(E316="","",IFERROR(_xlfn.XLOOKUP(E316,SyncCodex!N:N,SyncCodex!O:O),""))</f>
        <v/>
      </c>
      <c r="G316" s="102"/>
      <c r="H316" s="102" t="str">
        <f t="shared" si="1"/>
        <v/>
      </c>
      <c r="I316" s="38" t="b">
        <v>0</v>
      </c>
      <c r="J316" s="103"/>
      <c r="K316" s="103"/>
    </row>
    <row r="317">
      <c r="A317" s="104"/>
      <c r="B317" s="38"/>
      <c r="E317" s="101"/>
      <c r="F317" s="101" t="str">
        <f t="array" ref="F317">IF(E317="","",IFERROR(_xlfn.XLOOKUP(E317,SyncCodex!N:N,SyncCodex!O:O),""))</f>
        <v/>
      </c>
      <c r="G317" s="102"/>
      <c r="H317" s="102" t="str">
        <f t="shared" si="1"/>
        <v/>
      </c>
      <c r="I317" s="38" t="b">
        <v>0</v>
      </c>
      <c r="J317" s="103"/>
      <c r="K317" s="103"/>
    </row>
    <row r="318">
      <c r="A318" s="104"/>
      <c r="B318" s="38"/>
      <c r="E318" s="101"/>
      <c r="F318" s="101" t="str">
        <f t="array" ref="F318">IF(E318="","",IFERROR(_xlfn.XLOOKUP(E318,SyncCodex!N:N,SyncCodex!O:O),""))</f>
        <v/>
      </c>
      <c r="G318" s="102"/>
      <c r="H318" s="102" t="str">
        <f t="shared" si="1"/>
        <v/>
      </c>
      <c r="I318" s="38" t="b">
        <v>0</v>
      </c>
      <c r="J318" s="103"/>
      <c r="K318" s="103"/>
    </row>
    <row r="319">
      <c r="A319" s="104"/>
      <c r="B319" s="38"/>
      <c r="E319" s="101"/>
      <c r="F319" s="101" t="str">
        <f t="array" ref="F319">IF(E319="","",IFERROR(_xlfn.XLOOKUP(E319,SyncCodex!N:N,SyncCodex!O:O),""))</f>
        <v/>
      </c>
      <c r="G319" s="102"/>
      <c r="H319" s="102" t="str">
        <f t="shared" si="1"/>
        <v/>
      </c>
      <c r="I319" s="38" t="b">
        <v>0</v>
      </c>
      <c r="J319" s="103"/>
      <c r="K319" s="103"/>
    </row>
    <row r="320">
      <c r="A320" s="104"/>
      <c r="B320" s="38"/>
      <c r="E320" s="101"/>
      <c r="F320" s="101" t="str">
        <f t="array" ref="F320">IF(E320="","",IFERROR(_xlfn.XLOOKUP(E320,SyncCodex!N:N,SyncCodex!O:O),""))</f>
        <v/>
      </c>
      <c r="G320" s="102"/>
      <c r="H320" s="102" t="str">
        <f t="shared" si="1"/>
        <v/>
      </c>
      <c r="I320" s="38" t="b">
        <v>0</v>
      </c>
      <c r="J320" s="103"/>
      <c r="K320" s="103"/>
    </row>
    <row r="321">
      <c r="A321" s="104"/>
      <c r="B321" s="38"/>
      <c r="E321" s="101"/>
      <c r="F321" s="101" t="str">
        <f t="array" ref="F321">IF(E321="","",IFERROR(_xlfn.XLOOKUP(E321,SyncCodex!N:N,SyncCodex!O:O),""))</f>
        <v/>
      </c>
      <c r="G321" s="102"/>
      <c r="H321" s="102" t="str">
        <f t="shared" si="1"/>
        <v/>
      </c>
      <c r="I321" s="38" t="b">
        <v>0</v>
      </c>
      <c r="J321" s="103"/>
      <c r="K321" s="103"/>
    </row>
    <row r="322">
      <c r="A322" s="104"/>
      <c r="B322" s="38"/>
      <c r="E322" s="101"/>
      <c r="F322" s="101" t="str">
        <f t="array" ref="F322">IF(E322="","",IFERROR(_xlfn.XLOOKUP(E322,SyncCodex!N:N,SyncCodex!O:O),""))</f>
        <v/>
      </c>
      <c r="G322" s="102"/>
      <c r="H322" s="102" t="str">
        <f t="shared" si="1"/>
        <v/>
      </c>
      <c r="I322" s="38" t="b">
        <v>0</v>
      </c>
      <c r="J322" s="103"/>
      <c r="K322" s="103"/>
    </row>
    <row r="323">
      <c r="A323" s="104"/>
      <c r="B323" s="38"/>
      <c r="E323" s="101"/>
      <c r="F323" s="101" t="str">
        <f t="array" ref="F323">IF(E323="","",IFERROR(_xlfn.XLOOKUP(E323,SyncCodex!N:N,SyncCodex!O:O),""))</f>
        <v/>
      </c>
      <c r="G323" s="102"/>
      <c r="H323" s="102" t="str">
        <f t="shared" si="1"/>
        <v/>
      </c>
      <c r="I323" s="38" t="b">
        <v>0</v>
      </c>
      <c r="J323" s="103"/>
      <c r="K323" s="103"/>
    </row>
    <row r="324">
      <c r="A324" s="104"/>
      <c r="B324" s="38"/>
      <c r="E324" s="101"/>
      <c r="F324" s="101" t="str">
        <f t="array" ref="F324">IF(E324="","",IFERROR(_xlfn.XLOOKUP(E324,SyncCodex!N:N,SyncCodex!O:O),""))</f>
        <v/>
      </c>
      <c r="G324" s="102"/>
      <c r="H324" s="102" t="str">
        <f t="shared" si="1"/>
        <v/>
      </c>
      <c r="I324" s="38" t="b">
        <v>0</v>
      </c>
      <c r="J324" s="103"/>
      <c r="K324" s="103"/>
    </row>
    <row r="325">
      <c r="A325" s="104"/>
      <c r="B325" s="38"/>
      <c r="E325" s="101"/>
      <c r="F325" s="101" t="str">
        <f t="array" ref="F325">IF(E325="","",IFERROR(_xlfn.XLOOKUP(E325,SyncCodex!N:N,SyncCodex!O:O),""))</f>
        <v/>
      </c>
      <c r="G325" s="102"/>
      <c r="H325" s="102" t="str">
        <f t="shared" si="1"/>
        <v/>
      </c>
      <c r="I325" s="38" t="b">
        <v>0</v>
      </c>
      <c r="J325" s="103"/>
      <c r="K325" s="103"/>
    </row>
    <row r="326">
      <c r="A326" s="104"/>
      <c r="B326" s="38"/>
      <c r="E326" s="101"/>
      <c r="F326" s="101" t="str">
        <f t="array" ref="F326">IF(E326="","",IFERROR(_xlfn.XLOOKUP(E326,SyncCodex!N:N,SyncCodex!O:O),""))</f>
        <v/>
      </c>
      <c r="G326" s="102"/>
      <c r="H326" s="102" t="str">
        <f t="shared" si="1"/>
        <v/>
      </c>
      <c r="I326" s="38" t="b">
        <v>0</v>
      </c>
      <c r="J326" s="103"/>
      <c r="K326" s="103"/>
    </row>
    <row r="327">
      <c r="A327" s="104"/>
      <c r="B327" s="38"/>
      <c r="E327" s="101"/>
      <c r="F327" s="101" t="str">
        <f t="array" ref="F327">IF(E327="","",IFERROR(_xlfn.XLOOKUP(E327,SyncCodex!N:N,SyncCodex!O:O),""))</f>
        <v/>
      </c>
      <c r="G327" s="102"/>
      <c r="H327" s="102" t="str">
        <f t="shared" si="1"/>
        <v/>
      </c>
      <c r="I327" s="38" t="b">
        <v>0</v>
      </c>
      <c r="J327" s="103"/>
      <c r="K327" s="103"/>
    </row>
    <row r="328">
      <c r="A328" s="104"/>
      <c r="B328" s="38"/>
      <c r="E328" s="101"/>
      <c r="F328" s="101" t="str">
        <f t="array" ref="F328">IF(E328="","",IFERROR(_xlfn.XLOOKUP(E328,SyncCodex!N:N,SyncCodex!O:O),""))</f>
        <v/>
      </c>
      <c r="G328" s="102"/>
      <c r="H328" s="102" t="str">
        <f t="shared" si="1"/>
        <v/>
      </c>
      <c r="I328" s="38" t="b">
        <v>0</v>
      </c>
      <c r="J328" s="103"/>
      <c r="K328" s="103"/>
    </row>
    <row r="329">
      <c r="A329" s="104"/>
      <c r="B329" s="38"/>
      <c r="E329" s="101"/>
      <c r="F329" s="101" t="str">
        <f t="array" ref="F329">IF(E329="","",IFERROR(_xlfn.XLOOKUP(E329,SyncCodex!N:N,SyncCodex!O:O),""))</f>
        <v/>
      </c>
      <c r="G329" s="102"/>
      <c r="H329" s="102" t="str">
        <f t="shared" si="1"/>
        <v/>
      </c>
      <c r="I329" s="38" t="b">
        <v>0</v>
      </c>
      <c r="J329" s="103"/>
      <c r="K329" s="103"/>
    </row>
    <row r="330">
      <c r="A330" s="104"/>
      <c r="B330" s="38"/>
      <c r="E330" s="101"/>
      <c r="F330" s="101" t="str">
        <f t="array" ref="F330">IF(E330="","",IFERROR(_xlfn.XLOOKUP(E330,SyncCodex!N:N,SyncCodex!O:O),""))</f>
        <v/>
      </c>
      <c r="G330" s="102"/>
      <c r="H330" s="102" t="str">
        <f t="shared" si="1"/>
        <v/>
      </c>
      <c r="I330" s="38" t="b">
        <v>0</v>
      </c>
      <c r="J330" s="103"/>
      <c r="K330" s="103"/>
    </row>
    <row r="331">
      <c r="A331" s="104"/>
      <c r="B331" s="38"/>
      <c r="E331" s="101"/>
      <c r="F331" s="101" t="str">
        <f t="array" ref="F331">IF(E331="","",IFERROR(_xlfn.XLOOKUP(E331,SyncCodex!N:N,SyncCodex!O:O),""))</f>
        <v/>
      </c>
      <c r="G331" s="102"/>
      <c r="H331" s="102" t="str">
        <f t="shared" si="1"/>
        <v/>
      </c>
      <c r="I331" s="38" t="b">
        <v>0</v>
      </c>
      <c r="J331" s="103"/>
      <c r="K331" s="103"/>
    </row>
    <row r="332">
      <c r="A332" s="104"/>
      <c r="B332" s="38"/>
      <c r="E332" s="101"/>
      <c r="F332" s="101" t="str">
        <f t="array" ref="F332">IF(E332="","",IFERROR(_xlfn.XLOOKUP(E332,SyncCodex!N:N,SyncCodex!O:O),""))</f>
        <v/>
      </c>
      <c r="G332" s="102"/>
      <c r="H332" s="102" t="str">
        <f t="shared" si="1"/>
        <v/>
      </c>
      <c r="I332" s="38" t="b">
        <v>0</v>
      </c>
      <c r="J332" s="103"/>
      <c r="K332" s="103"/>
    </row>
    <row r="333">
      <c r="A333" s="104"/>
      <c r="B333" s="38"/>
      <c r="E333" s="101"/>
      <c r="F333" s="101" t="str">
        <f t="array" ref="F333">IF(E333="","",IFERROR(_xlfn.XLOOKUP(E333,SyncCodex!N:N,SyncCodex!O:O),""))</f>
        <v/>
      </c>
      <c r="G333" s="102"/>
      <c r="H333" s="102" t="str">
        <f t="shared" si="1"/>
        <v/>
      </c>
      <c r="I333" s="38" t="b">
        <v>0</v>
      </c>
      <c r="J333" s="103"/>
      <c r="K333" s="103"/>
    </row>
    <row r="334">
      <c r="A334" s="104"/>
      <c r="B334" s="38"/>
      <c r="E334" s="101"/>
      <c r="F334" s="101" t="str">
        <f t="array" ref="F334">IF(E334="","",IFERROR(_xlfn.XLOOKUP(E334,SyncCodex!N:N,SyncCodex!O:O),""))</f>
        <v/>
      </c>
      <c r="G334" s="102"/>
      <c r="H334" s="102" t="str">
        <f t="shared" si="1"/>
        <v/>
      </c>
      <c r="I334" s="38" t="b">
        <v>0</v>
      </c>
      <c r="J334" s="103"/>
      <c r="K334" s="103"/>
    </row>
    <row r="335">
      <c r="A335" s="104"/>
      <c r="B335" s="38"/>
      <c r="E335" s="101"/>
      <c r="F335" s="101" t="str">
        <f t="array" ref="F335">IF(E335="","",IFERROR(_xlfn.XLOOKUP(E335,SyncCodex!N:N,SyncCodex!O:O),""))</f>
        <v/>
      </c>
      <c r="G335" s="102"/>
      <c r="H335" s="102" t="str">
        <f t="shared" si="1"/>
        <v/>
      </c>
      <c r="I335" s="38" t="b">
        <v>0</v>
      </c>
      <c r="J335" s="103"/>
      <c r="K335" s="103"/>
    </row>
    <row r="336">
      <c r="A336" s="104"/>
      <c r="B336" s="38"/>
      <c r="E336" s="101"/>
      <c r="F336" s="101" t="str">
        <f t="array" ref="F336">IF(E336="","",IFERROR(_xlfn.XLOOKUP(E336,SyncCodex!N:N,SyncCodex!O:O),""))</f>
        <v/>
      </c>
      <c r="G336" s="102"/>
      <c r="H336" s="102" t="str">
        <f t="shared" si="1"/>
        <v/>
      </c>
      <c r="I336" s="38" t="b">
        <v>0</v>
      </c>
      <c r="J336" s="103"/>
      <c r="K336" s="103"/>
    </row>
    <row r="337">
      <c r="A337" s="104"/>
      <c r="B337" s="38"/>
      <c r="E337" s="101"/>
      <c r="F337" s="101" t="str">
        <f t="array" ref="F337">IF(E337="","",IFERROR(_xlfn.XLOOKUP(E337,SyncCodex!N:N,SyncCodex!O:O),""))</f>
        <v/>
      </c>
      <c r="G337" s="102"/>
      <c r="H337" s="102" t="str">
        <f t="shared" si="1"/>
        <v/>
      </c>
      <c r="I337" s="38" t="b">
        <v>0</v>
      </c>
      <c r="J337" s="103"/>
      <c r="K337" s="103"/>
    </row>
    <row r="338">
      <c r="A338" s="104"/>
      <c r="B338" s="38"/>
      <c r="E338" s="101"/>
      <c r="F338" s="101" t="str">
        <f t="array" ref="F338">IF(E338="","",IFERROR(_xlfn.XLOOKUP(E338,SyncCodex!N:N,SyncCodex!O:O),""))</f>
        <v/>
      </c>
      <c r="G338" s="102"/>
      <c r="H338" s="102" t="str">
        <f t="shared" si="1"/>
        <v/>
      </c>
      <c r="I338" s="38" t="b">
        <v>0</v>
      </c>
      <c r="J338" s="103"/>
      <c r="K338" s="103"/>
    </row>
    <row r="339">
      <c r="A339" s="104"/>
      <c r="B339" s="38"/>
      <c r="E339" s="101"/>
      <c r="F339" s="101" t="str">
        <f t="array" ref="F339">IF(E339="","",IFERROR(_xlfn.XLOOKUP(E339,SyncCodex!N:N,SyncCodex!O:O),""))</f>
        <v/>
      </c>
      <c r="G339" s="102"/>
      <c r="H339" s="102" t="str">
        <f t="shared" si="1"/>
        <v/>
      </c>
      <c r="I339" s="38" t="b">
        <v>0</v>
      </c>
      <c r="J339" s="103"/>
      <c r="K339" s="103"/>
    </row>
    <row r="340">
      <c r="A340" s="104"/>
      <c r="B340" s="38"/>
      <c r="E340" s="101"/>
      <c r="F340" s="101" t="str">
        <f t="array" ref="F340">IF(E340="","",IFERROR(_xlfn.XLOOKUP(E340,SyncCodex!N:N,SyncCodex!O:O),""))</f>
        <v/>
      </c>
      <c r="G340" s="102"/>
      <c r="H340" s="102" t="str">
        <f t="shared" si="1"/>
        <v/>
      </c>
      <c r="I340" s="38" t="b">
        <v>0</v>
      </c>
      <c r="J340" s="103"/>
      <c r="K340" s="103"/>
    </row>
    <row r="341">
      <c r="A341" s="104"/>
      <c r="B341" s="38"/>
      <c r="E341" s="101"/>
      <c r="F341" s="101" t="str">
        <f t="array" ref="F341">IF(E341="","",IFERROR(_xlfn.XLOOKUP(E341,SyncCodex!N:N,SyncCodex!O:O),""))</f>
        <v/>
      </c>
      <c r="G341" s="102"/>
      <c r="H341" s="102" t="str">
        <f t="shared" si="1"/>
        <v/>
      </c>
      <c r="I341" s="38" t="b">
        <v>0</v>
      </c>
      <c r="J341" s="103"/>
      <c r="K341" s="103"/>
    </row>
    <row r="342">
      <c r="A342" s="104"/>
      <c r="B342" s="38"/>
      <c r="E342" s="101"/>
      <c r="F342" s="101" t="str">
        <f t="array" ref="F342">IF(E342="","",IFERROR(_xlfn.XLOOKUP(E342,SyncCodex!N:N,SyncCodex!O:O),""))</f>
        <v/>
      </c>
      <c r="G342" s="102"/>
      <c r="H342" s="102" t="str">
        <f t="shared" si="1"/>
        <v/>
      </c>
      <c r="I342" s="38" t="b">
        <v>0</v>
      </c>
      <c r="J342" s="103"/>
      <c r="K342" s="103"/>
    </row>
    <row r="343">
      <c r="A343" s="104"/>
      <c r="B343" s="38"/>
      <c r="E343" s="101"/>
      <c r="F343" s="101" t="str">
        <f t="array" ref="F343">IF(E343="","",IFERROR(_xlfn.XLOOKUP(E343,SyncCodex!N:N,SyncCodex!O:O),""))</f>
        <v/>
      </c>
      <c r="G343" s="102"/>
      <c r="H343" s="102" t="str">
        <f t="shared" si="1"/>
        <v/>
      </c>
      <c r="I343" s="38" t="b">
        <v>0</v>
      </c>
      <c r="J343" s="103"/>
      <c r="K343" s="103"/>
    </row>
    <row r="344">
      <c r="A344" s="104"/>
      <c r="B344" s="38"/>
      <c r="E344" s="101"/>
      <c r="F344" s="101" t="str">
        <f t="array" ref="F344">IF(E344="","",IFERROR(_xlfn.XLOOKUP(E344,SyncCodex!N:N,SyncCodex!O:O),""))</f>
        <v/>
      </c>
      <c r="G344" s="102"/>
      <c r="H344" s="102" t="str">
        <f t="shared" si="1"/>
        <v/>
      </c>
      <c r="I344" s="38" t="b">
        <v>0</v>
      </c>
      <c r="J344" s="103"/>
      <c r="K344" s="103"/>
    </row>
    <row r="345">
      <c r="A345" s="104"/>
      <c r="B345" s="38"/>
      <c r="E345" s="101"/>
      <c r="F345" s="101" t="str">
        <f t="array" ref="F345">IF(E345="","",IFERROR(_xlfn.XLOOKUP(E345,SyncCodex!N:N,SyncCodex!O:O),""))</f>
        <v/>
      </c>
      <c r="G345" s="102"/>
      <c r="H345" s="102" t="str">
        <f t="shared" si="1"/>
        <v/>
      </c>
      <c r="I345" s="38" t="b">
        <v>0</v>
      </c>
      <c r="J345" s="103"/>
      <c r="K345" s="103"/>
    </row>
    <row r="346">
      <c r="A346" s="104"/>
      <c r="B346" s="38"/>
      <c r="E346" s="101"/>
      <c r="F346" s="101" t="str">
        <f t="array" ref="F346">IF(E346="","",IFERROR(_xlfn.XLOOKUP(E346,SyncCodex!N:N,SyncCodex!O:O),""))</f>
        <v/>
      </c>
      <c r="G346" s="102"/>
      <c r="H346" s="102" t="str">
        <f t="shared" si="1"/>
        <v/>
      </c>
      <c r="I346" s="38" t="b">
        <v>0</v>
      </c>
      <c r="J346" s="103"/>
      <c r="K346" s="103"/>
    </row>
    <row r="347">
      <c r="A347" s="104"/>
      <c r="B347" s="38"/>
      <c r="E347" s="101"/>
      <c r="F347" s="101" t="str">
        <f t="array" ref="F347">IF(E347="","",IFERROR(_xlfn.XLOOKUP(E347,SyncCodex!N:N,SyncCodex!O:O),""))</f>
        <v/>
      </c>
      <c r="G347" s="102"/>
      <c r="H347" s="102" t="str">
        <f t="shared" si="1"/>
        <v/>
      </c>
      <c r="I347" s="38" t="b">
        <v>0</v>
      </c>
      <c r="J347" s="103"/>
      <c r="K347" s="103"/>
    </row>
    <row r="348">
      <c r="A348" s="104"/>
      <c r="B348" s="38"/>
      <c r="E348" s="101"/>
      <c r="F348" s="101" t="str">
        <f t="array" ref="F348">IF(E348="","",IFERROR(_xlfn.XLOOKUP(E348,SyncCodex!N:N,SyncCodex!O:O),""))</f>
        <v/>
      </c>
      <c r="G348" s="102"/>
      <c r="H348" s="102" t="str">
        <f t="shared" si="1"/>
        <v/>
      </c>
      <c r="I348" s="38" t="b">
        <v>0</v>
      </c>
      <c r="J348" s="103"/>
      <c r="K348" s="103"/>
    </row>
    <row r="349">
      <c r="A349" s="104"/>
      <c r="B349" s="38"/>
      <c r="E349" s="101"/>
      <c r="F349" s="101" t="str">
        <f t="array" ref="F349">IF(E349="","",IFERROR(_xlfn.XLOOKUP(E349,SyncCodex!N:N,SyncCodex!O:O),""))</f>
        <v/>
      </c>
      <c r="G349" s="102"/>
      <c r="H349" s="102" t="str">
        <f t="shared" si="1"/>
        <v/>
      </c>
      <c r="I349" s="38" t="b">
        <v>0</v>
      </c>
      <c r="J349" s="103"/>
      <c r="K349" s="103"/>
    </row>
    <row r="350">
      <c r="A350" s="104"/>
      <c r="B350" s="38"/>
      <c r="E350" s="101"/>
      <c r="F350" s="101" t="str">
        <f t="array" ref="F350">IF(E350="","",IFERROR(_xlfn.XLOOKUP(E350,SyncCodex!N:N,SyncCodex!O:O),""))</f>
        <v/>
      </c>
      <c r="G350" s="102"/>
      <c r="H350" s="102" t="str">
        <f t="shared" si="1"/>
        <v/>
      </c>
      <c r="I350" s="38" t="b">
        <v>0</v>
      </c>
      <c r="J350" s="103"/>
      <c r="K350" s="103"/>
    </row>
    <row r="351">
      <c r="A351" s="104"/>
      <c r="B351" s="38"/>
      <c r="E351" s="101"/>
      <c r="F351" s="101" t="str">
        <f t="array" ref="F351">IF(E351="","",IFERROR(_xlfn.XLOOKUP(E351,SyncCodex!N:N,SyncCodex!O:O),""))</f>
        <v/>
      </c>
      <c r="G351" s="102"/>
      <c r="H351" s="102" t="str">
        <f t="shared" si="1"/>
        <v/>
      </c>
      <c r="I351" s="38" t="b">
        <v>0</v>
      </c>
      <c r="J351" s="103"/>
      <c r="K351" s="103"/>
    </row>
    <row r="352">
      <c r="A352" s="104"/>
      <c r="B352" s="38"/>
      <c r="E352" s="101"/>
      <c r="F352" s="101" t="str">
        <f t="array" ref="F352">IF(E352="","",IFERROR(_xlfn.XLOOKUP(E352,SyncCodex!N:N,SyncCodex!O:O),""))</f>
        <v/>
      </c>
      <c r="G352" s="102"/>
      <c r="H352" s="102" t="str">
        <f t="shared" si="1"/>
        <v/>
      </c>
      <c r="I352" s="38" t="b">
        <v>0</v>
      </c>
      <c r="J352" s="103"/>
      <c r="K352" s="103"/>
    </row>
    <row r="353">
      <c r="A353" s="104"/>
      <c r="B353" s="38"/>
      <c r="E353" s="101"/>
      <c r="F353" s="101" t="str">
        <f t="array" ref="F353">IF(E353="","",IFERROR(_xlfn.XLOOKUP(E353,SyncCodex!N:N,SyncCodex!O:O),""))</f>
        <v/>
      </c>
      <c r="G353" s="102"/>
      <c r="H353" s="102" t="str">
        <f t="shared" si="1"/>
        <v/>
      </c>
      <c r="I353" s="38" t="b">
        <v>0</v>
      </c>
      <c r="J353" s="103"/>
      <c r="K353" s="103"/>
    </row>
    <row r="354">
      <c r="A354" s="104"/>
      <c r="B354" s="38"/>
      <c r="E354" s="101"/>
      <c r="F354" s="101" t="str">
        <f t="array" ref="F354">IF(E354="","",IFERROR(_xlfn.XLOOKUP(E354,SyncCodex!N:N,SyncCodex!O:O),""))</f>
        <v/>
      </c>
      <c r="G354" s="102"/>
      <c r="H354" s="102" t="str">
        <f t="shared" si="1"/>
        <v/>
      </c>
      <c r="I354" s="38" t="b">
        <v>0</v>
      </c>
      <c r="J354" s="103"/>
      <c r="K354" s="103"/>
    </row>
    <row r="355">
      <c r="A355" s="104"/>
      <c r="B355" s="38"/>
      <c r="E355" s="101"/>
      <c r="F355" s="101" t="str">
        <f t="array" ref="F355">IF(E355="","",IFERROR(_xlfn.XLOOKUP(E355,SyncCodex!N:N,SyncCodex!O:O),""))</f>
        <v/>
      </c>
      <c r="G355" s="102"/>
      <c r="H355" s="102" t="str">
        <f t="shared" si="1"/>
        <v/>
      </c>
      <c r="I355" s="38" t="b">
        <v>0</v>
      </c>
      <c r="J355" s="103"/>
      <c r="K355" s="103"/>
    </row>
    <row r="356">
      <c r="A356" s="104"/>
      <c r="B356" s="38"/>
      <c r="E356" s="101"/>
      <c r="F356" s="101" t="str">
        <f t="array" ref="F356">IF(E356="","",IFERROR(_xlfn.XLOOKUP(E356,SyncCodex!N:N,SyncCodex!O:O),""))</f>
        <v/>
      </c>
      <c r="G356" s="102"/>
      <c r="H356" s="102" t="str">
        <f t="shared" si="1"/>
        <v/>
      </c>
      <c r="I356" s="38" t="b">
        <v>0</v>
      </c>
      <c r="J356" s="103"/>
      <c r="K356" s="103"/>
    </row>
    <row r="357">
      <c r="A357" s="104"/>
      <c r="B357" s="38"/>
      <c r="E357" s="101"/>
      <c r="F357" s="101" t="str">
        <f t="array" ref="F357">IF(E357="","",IFERROR(_xlfn.XLOOKUP(E357,SyncCodex!N:N,SyncCodex!O:O),""))</f>
        <v/>
      </c>
      <c r="G357" s="102"/>
      <c r="H357" s="102" t="str">
        <f t="shared" si="1"/>
        <v/>
      </c>
      <c r="I357" s="38" t="b">
        <v>0</v>
      </c>
      <c r="J357" s="103"/>
      <c r="K357" s="103"/>
    </row>
    <row r="358">
      <c r="A358" s="104"/>
      <c r="B358" s="38"/>
      <c r="E358" s="101"/>
      <c r="F358" s="101" t="str">
        <f t="array" ref="F358">IF(E358="","",IFERROR(_xlfn.XLOOKUP(E358,SyncCodex!N:N,SyncCodex!O:O),""))</f>
        <v/>
      </c>
      <c r="G358" s="102"/>
      <c r="H358" s="102" t="str">
        <f t="shared" si="1"/>
        <v/>
      </c>
      <c r="I358" s="38" t="b">
        <v>0</v>
      </c>
      <c r="J358" s="103"/>
      <c r="K358" s="103"/>
    </row>
    <row r="359">
      <c r="A359" s="104"/>
      <c r="B359" s="38"/>
      <c r="E359" s="101"/>
      <c r="F359" s="101" t="str">
        <f t="array" ref="F359">IF(E359="","",IFERROR(_xlfn.XLOOKUP(E359,SyncCodex!N:N,SyncCodex!O:O),""))</f>
        <v/>
      </c>
      <c r="G359" s="102"/>
      <c r="H359" s="102" t="str">
        <f t="shared" si="1"/>
        <v/>
      </c>
      <c r="I359" s="38" t="b">
        <v>0</v>
      </c>
      <c r="J359" s="103"/>
      <c r="K359" s="103"/>
    </row>
    <row r="360">
      <c r="A360" s="104"/>
      <c r="B360" s="38"/>
      <c r="E360" s="101"/>
      <c r="F360" s="101" t="str">
        <f t="array" ref="F360">IF(E360="","",IFERROR(_xlfn.XLOOKUP(E360,SyncCodex!N:N,SyncCodex!O:O),""))</f>
        <v/>
      </c>
      <c r="G360" s="102"/>
      <c r="H360" s="102" t="str">
        <f t="shared" si="1"/>
        <v/>
      </c>
      <c r="I360" s="38" t="b">
        <v>0</v>
      </c>
      <c r="J360" s="103"/>
      <c r="K360" s="103"/>
    </row>
    <row r="361">
      <c r="A361" s="104"/>
      <c r="B361" s="38"/>
      <c r="E361" s="101"/>
      <c r="F361" s="101" t="str">
        <f t="array" ref="F361">IF(E361="","",IFERROR(_xlfn.XLOOKUP(E361,SyncCodex!N:N,SyncCodex!O:O),""))</f>
        <v/>
      </c>
      <c r="G361" s="102"/>
      <c r="H361" s="102" t="str">
        <f t="shared" si="1"/>
        <v/>
      </c>
      <c r="I361" s="38" t="b">
        <v>0</v>
      </c>
      <c r="J361" s="103"/>
      <c r="K361" s="103"/>
    </row>
    <row r="362">
      <c r="A362" s="104"/>
      <c r="B362" s="38"/>
      <c r="E362" s="101"/>
      <c r="F362" s="101" t="str">
        <f t="array" ref="F362">IF(E362="","",IFERROR(_xlfn.XLOOKUP(E362,SyncCodex!N:N,SyncCodex!O:O),""))</f>
        <v/>
      </c>
      <c r="G362" s="102"/>
      <c r="H362" s="102" t="str">
        <f t="shared" si="1"/>
        <v/>
      </c>
      <c r="I362" s="38" t="b">
        <v>0</v>
      </c>
      <c r="J362" s="103"/>
      <c r="K362" s="103"/>
    </row>
    <row r="363">
      <c r="A363" s="104"/>
      <c r="B363" s="38"/>
      <c r="E363" s="101"/>
      <c r="F363" s="101" t="str">
        <f t="array" ref="F363">IF(E363="","",IFERROR(_xlfn.XLOOKUP(E363,SyncCodex!N:N,SyncCodex!O:O),""))</f>
        <v/>
      </c>
      <c r="G363" s="102"/>
      <c r="H363" s="102" t="str">
        <f t="shared" si="1"/>
        <v/>
      </c>
      <c r="I363" s="38" t="b">
        <v>0</v>
      </c>
      <c r="J363" s="103"/>
      <c r="K363" s="103"/>
    </row>
    <row r="364">
      <c r="A364" s="104"/>
      <c r="B364" s="38"/>
      <c r="E364" s="101"/>
      <c r="F364" s="101" t="str">
        <f t="array" ref="F364">IF(E364="","",IFERROR(_xlfn.XLOOKUP(E364,SyncCodex!N:N,SyncCodex!O:O),""))</f>
        <v/>
      </c>
      <c r="G364" s="102"/>
      <c r="H364" s="102" t="str">
        <f t="shared" si="1"/>
        <v/>
      </c>
      <c r="I364" s="38" t="b">
        <v>0</v>
      </c>
      <c r="J364" s="103"/>
      <c r="K364" s="103"/>
    </row>
    <row r="365">
      <c r="A365" s="104"/>
      <c r="B365" s="38"/>
      <c r="E365" s="101"/>
      <c r="F365" s="101" t="str">
        <f t="array" ref="F365">IF(E365="","",IFERROR(_xlfn.XLOOKUP(E365,SyncCodex!N:N,SyncCodex!O:O),""))</f>
        <v/>
      </c>
      <c r="G365" s="102"/>
      <c r="H365" s="102" t="str">
        <f t="shared" si="1"/>
        <v/>
      </c>
      <c r="I365" s="38" t="b">
        <v>0</v>
      </c>
      <c r="J365" s="103"/>
      <c r="K365" s="103"/>
    </row>
    <row r="366">
      <c r="A366" s="104"/>
      <c r="B366" s="38"/>
      <c r="E366" s="101"/>
      <c r="F366" s="101" t="str">
        <f t="array" ref="F366">IF(E366="","",IFERROR(_xlfn.XLOOKUP(E366,SyncCodex!N:N,SyncCodex!O:O),""))</f>
        <v/>
      </c>
      <c r="G366" s="102"/>
      <c r="H366" s="102" t="str">
        <f t="shared" si="1"/>
        <v/>
      </c>
      <c r="I366" s="38" t="b">
        <v>0</v>
      </c>
      <c r="J366" s="103"/>
      <c r="K366" s="103"/>
    </row>
    <row r="367">
      <c r="A367" s="104"/>
      <c r="B367" s="38"/>
      <c r="E367" s="101"/>
      <c r="F367" s="101" t="str">
        <f t="array" ref="F367">IF(E367="","",IFERROR(_xlfn.XLOOKUP(E367,SyncCodex!N:N,SyncCodex!O:O),""))</f>
        <v/>
      </c>
      <c r="G367" s="102"/>
      <c r="H367" s="102" t="str">
        <f t="shared" si="1"/>
        <v/>
      </c>
      <c r="I367" s="38" t="b">
        <v>0</v>
      </c>
      <c r="J367" s="103"/>
      <c r="K367" s="103"/>
    </row>
    <row r="368">
      <c r="A368" s="104"/>
      <c r="B368" s="38"/>
      <c r="E368" s="101"/>
      <c r="F368" s="101" t="str">
        <f t="array" ref="F368">IF(E368="","",IFERROR(_xlfn.XLOOKUP(E368,SyncCodex!N:N,SyncCodex!O:O),""))</f>
        <v/>
      </c>
      <c r="G368" s="102"/>
      <c r="H368" s="102" t="str">
        <f t="shared" si="1"/>
        <v/>
      </c>
      <c r="I368" s="38" t="b">
        <v>0</v>
      </c>
      <c r="J368" s="103"/>
      <c r="K368" s="103"/>
    </row>
    <row r="369">
      <c r="A369" s="104"/>
      <c r="B369" s="38"/>
      <c r="E369" s="101"/>
      <c r="F369" s="101" t="str">
        <f t="array" ref="F369">IF(E369="","",IFERROR(_xlfn.XLOOKUP(E369,SyncCodex!N:N,SyncCodex!O:O),""))</f>
        <v/>
      </c>
      <c r="G369" s="102"/>
      <c r="H369" s="102" t="str">
        <f t="shared" si="1"/>
        <v/>
      </c>
      <c r="I369" s="38" t="b">
        <v>0</v>
      </c>
      <c r="J369" s="103"/>
      <c r="K369" s="103"/>
    </row>
    <row r="370">
      <c r="A370" s="104"/>
      <c r="B370" s="38"/>
      <c r="E370" s="101"/>
      <c r="F370" s="101" t="str">
        <f t="array" ref="F370">IF(E370="","",IFERROR(_xlfn.XLOOKUP(E370,SyncCodex!N:N,SyncCodex!O:O),""))</f>
        <v/>
      </c>
      <c r="G370" s="102"/>
      <c r="H370" s="102" t="str">
        <f t="shared" si="1"/>
        <v/>
      </c>
      <c r="I370" s="38" t="b">
        <v>0</v>
      </c>
      <c r="J370" s="103"/>
      <c r="K370" s="103"/>
    </row>
    <row r="371">
      <c r="A371" s="104"/>
      <c r="B371" s="38"/>
      <c r="E371" s="101"/>
      <c r="F371" s="101" t="str">
        <f t="array" ref="F371">IF(E371="","",IFERROR(_xlfn.XLOOKUP(E371,SyncCodex!N:N,SyncCodex!O:O),""))</f>
        <v/>
      </c>
      <c r="G371" s="102"/>
      <c r="H371" s="102" t="str">
        <f t="shared" si="1"/>
        <v/>
      </c>
      <c r="I371" s="38" t="b">
        <v>0</v>
      </c>
      <c r="J371" s="103"/>
      <c r="K371" s="103"/>
    </row>
    <row r="372">
      <c r="A372" s="104"/>
      <c r="B372" s="38"/>
      <c r="E372" s="101"/>
      <c r="F372" s="101" t="str">
        <f t="array" ref="F372">IF(E372="","",IFERROR(_xlfn.XLOOKUP(E372,SyncCodex!N:N,SyncCodex!O:O),""))</f>
        <v/>
      </c>
      <c r="G372" s="102"/>
      <c r="H372" s="102" t="str">
        <f t="shared" si="1"/>
        <v/>
      </c>
      <c r="I372" s="38" t="b">
        <v>0</v>
      </c>
      <c r="J372" s="103"/>
      <c r="K372" s="103"/>
    </row>
    <row r="373">
      <c r="A373" s="104"/>
      <c r="B373" s="38"/>
      <c r="E373" s="101"/>
      <c r="F373" s="101" t="str">
        <f t="array" ref="F373">IF(E373="","",IFERROR(_xlfn.XLOOKUP(E373,SyncCodex!N:N,SyncCodex!O:O),""))</f>
        <v/>
      </c>
      <c r="G373" s="102"/>
      <c r="H373" s="102" t="str">
        <f t="shared" si="1"/>
        <v/>
      </c>
      <c r="I373" s="38" t="b">
        <v>0</v>
      </c>
      <c r="J373" s="103"/>
      <c r="K373" s="103"/>
    </row>
    <row r="374">
      <c r="A374" s="104"/>
      <c r="B374" s="38"/>
      <c r="E374" s="101"/>
      <c r="F374" s="101" t="str">
        <f t="array" ref="F374">IF(E374="","",IFERROR(_xlfn.XLOOKUP(E374,SyncCodex!N:N,SyncCodex!O:O),""))</f>
        <v/>
      </c>
      <c r="G374" s="102"/>
      <c r="H374" s="102" t="str">
        <f t="shared" si="1"/>
        <v/>
      </c>
      <c r="I374" s="38" t="b">
        <v>0</v>
      </c>
      <c r="J374" s="103"/>
      <c r="K374" s="103"/>
    </row>
    <row r="375">
      <c r="A375" s="104"/>
      <c r="B375" s="38"/>
      <c r="E375" s="101"/>
      <c r="F375" s="101" t="str">
        <f t="array" ref="F375">IF(E375="","",IFERROR(_xlfn.XLOOKUP(E375,SyncCodex!N:N,SyncCodex!O:O),""))</f>
        <v/>
      </c>
      <c r="G375" s="102"/>
      <c r="H375" s="102" t="str">
        <f t="shared" si="1"/>
        <v/>
      </c>
      <c r="I375" s="38" t="b">
        <v>0</v>
      </c>
      <c r="J375" s="103"/>
      <c r="K375" s="103"/>
    </row>
    <row r="376">
      <c r="A376" s="104"/>
      <c r="B376" s="38"/>
      <c r="E376" s="101"/>
      <c r="F376" s="101" t="str">
        <f t="array" ref="F376">IF(E376="","",IFERROR(_xlfn.XLOOKUP(E376,SyncCodex!N:N,SyncCodex!O:O),""))</f>
        <v/>
      </c>
      <c r="G376" s="102"/>
      <c r="H376" s="102" t="str">
        <f t="shared" si="1"/>
        <v/>
      </c>
      <c r="I376" s="38" t="b">
        <v>0</v>
      </c>
      <c r="J376" s="103"/>
      <c r="K376" s="103"/>
    </row>
    <row r="377">
      <c r="A377" s="104"/>
      <c r="B377" s="38"/>
      <c r="E377" s="101"/>
      <c r="F377" s="101" t="str">
        <f t="array" ref="F377">IF(E377="","",IFERROR(_xlfn.XLOOKUP(E377,SyncCodex!N:N,SyncCodex!O:O),""))</f>
        <v/>
      </c>
      <c r="G377" s="102"/>
      <c r="H377" s="102" t="str">
        <f t="shared" si="1"/>
        <v/>
      </c>
      <c r="I377" s="38" t="b">
        <v>0</v>
      </c>
      <c r="J377" s="103"/>
      <c r="K377" s="103"/>
    </row>
    <row r="378">
      <c r="A378" s="104"/>
      <c r="B378" s="38"/>
      <c r="E378" s="101"/>
      <c r="F378" s="101" t="str">
        <f t="array" ref="F378">IF(E378="","",IFERROR(_xlfn.XLOOKUP(E378,SyncCodex!N:N,SyncCodex!O:O),""))</f>
        <v/>
      </c>
      <c r="G378" s="102"/>
      <c r="H378" s="102" t="str">
        <f t="shared" si="1"/>
        <v/>
      </c>
      <c r="I378" s="38" t="b">
        <v>0</v>
      </c>
      <c r="J378" s="103"/>
      <c r="K378" s="103"/>
    </row>
    <row r="379">
      <c r="A379" s="104"/>
      <c r="B379" s="38"/>
      <c r="E379" s="101"/>
      <c r="F379" s="101" t="str">
        <f t="array" ref="F379">IF(E379="","",IFERROR(_xlfn.XLOOKUP(E379,SyncCodex!N:N,SyncCodex!O:O),""))</f>
        <v/>
      </c>
      <c r="G379" s="102"/>
      <c r="H379" s="102" t="str">
        <f t="shared" si="1"/>
        <v/>
      </c>
      <c r="I379" s="38" t="b">
        <v>0</v>
      </c>
      <c r="J379" s="103"/>
      <c r="K379" s="103"/>
    </row>
    <row r="380">
      <c r="A380" s="104"/>
      <c r="B380" s="38"/>
      <c r="E380" s="101"/>
      <c r="F380" s="101" t="str">
        <f t="array" ref="F380">IF(E380="","",IFERROR(_xlfn.XLOOKUP(E380,SyncCodex!N:N,SyncCodex!O:O),""))</f>
        <v/>
      </c>
      <c r="G380" s="102"/>
      <c r="H380" s="102" t="str">
        <f t="shared" si="1"/>
        <v/>
      </c>
      <c r="I380" s="38" t="b">
        <v>0</v>
      </c>
      <c r="J380" s="103"/>
      <c r="K380" s="103"/>
    </row>
    <row r="381">
      <c r="A381" s="104"/>
      <c r="B381" s="38"/>
      <c r="E381" s="101"/>
      <c r="F381" s="101" t="str">
        <f t="array" ref="F381">IF(E381="","",IFERROR(_xlfn.XLOOKUP(E381,SyncCodex!N:N,SyncCodex!O:O),""))</f>
        <v/>
      </c>
      <c r="G381" s="102"/>
      <c r="H381" s="102" t="str">
        <f t="shared" si="1"/>
        <v/>
      </c>
      <c r="I381" s="38" t="b">
        <v>0</v>
      </c>
      <c r="J381" s="103"/>
      <c r="K381" s="103"/>
    </row>
    <row r="382">
      <c r="A382" s="104"/>
      <c r="B382" s="38"/>
      <c r="E382" s="101"/>
      <c r="F382" s="101" t="str">
        <f t="array" ref="F382">IF(E382="","",IFERROR(_xlfn.XLOOKUP(E382,SyncCodex!N:N,SyncCodex!O:O),""))</f>
        <v/>
      </c>
      <c r="G382" s="102"/>
      <c r="H382" s="102" t="str">
        <f t="shared" si="1"/>
        <v/>
      </c>
      <c r="I382" s="38" t="b">
        <v>0</v>
      </c>
      <c r="J382" s="103"/>
      <c r="K382" s="103"/>
    </row>
    <row r="383">
      <c r="A383" s="104"/>
      <c r="B383" s="38"/>
      <c r="E383" s="101"/>
      <c r="F383" s="101" t="str">
        <f t="array" ref="F383">IF(E383="","",IFERROR(_xlfn.XLOOKUP(E383,SyncCodex!N:N,SyncCodex!O:O),""))</f>
        <v/>
      </c>
      <c r="G383" s="102"/>
      <c r="H383" s="102" t="str">
        <f t="shared" si="1"/>
        <v/>
      </c>
      <c r="I383" s="38" t="b">
        <v>0</v>
      </c>
      <c r="J383" s="103"/>
      <c r="K383" s="103"/>
    </row>
    <row r="384">
      <c r="A384" s="104"/>
      <c r="B384" s="38"/>
      <c r="E384" s="101"/>
      <c r="F384" s="101" t="str">
        <f t="array" ref="F384">IF(E384="","",IFERROR(_xlfn.XLOOKUP(E384,SyncCodex!N:N,SyncCodex!O:O),""))</f>
        <v/>
      </c>
      <c r="G384" s="102"/>
      <c r="H384" s="102" t="str">
        <f t="shared" si="1"/>
        <v/>
      </c>
      <c r="I384" s="38" t="b">
        <v>0</v>
      </c>
      <c r="J384" s="103"/>
      <c r="K384" s="103"/>
    </row>
    <row r="385">
      <c r="A385" s="104"/>
      <c r="B385" s="38"/>
      <c r="E385" s="101"/>
      <c r="F385" s="101" t="str">
        <f t="array" ref="F385">IF(E385="","",IFERROR(_xlfn.XLOOKUP(E385,SyncCodex!N:N,SyncCodex!O:O),""))</f>
        <v/>
      </c>
      <c r="G385" s="102"/>
      <c r="H385" s="102" t="str">
        <f t="shared" si="1"/>
        <v/>
      </c>
      <c r="I385" s="38" t="b">
        <v>0</v>
      </c>
      <c r="J385" s="103"/>
      <c r="K385" s="103"/>
    </row>
    <row r="386">
      <c r="A386" s="104"/>
      <c r="B386" s="38"/>
      <c r="E386" s="101"/>
      <c r="F386" s="101" t="str">
        <f t="array" ref="F386">IF(E386="","",IFERROR(_xlfn.XLOOKUP(E386,SyncCodex!N:N,SyncCodex!O:O),""))</f>
        <v/>
      </c>
      <c r="G386" s="102"/>
      <c r="H386" s="102" t="str">
        <f t="shared" si="1"/>
        <v/>
      </c>
      <c r="I386" s="38" t="b">
        <v>0</v>
      </c>
      <c r="J386" s="103"/>
      <c r="K386" s="103"/>
    </row>
    <row r="387">
      <c r="A387" s="104"/>
      <c r="B387" s="38"/>
      <c r="E387" s="101"/>
      <c r="F387" s="101" t="str">
        <f t="array" ref="F387">IF(E387="","",IFERROR(_xlfn.XLOOKUP(E387,SyncCodex!N:N,SyncCodex!O:O),""))</f>
        <v/>
      </c>
      <c r="G387" s="102"/>
      <c r="H387" s="102" t="str">
        <f t="shared" si="1"/>
        <v/>
      </c>
      <c r="I387" s="38" t="b">
        <v>0</v>
      </c>
      <c r="J387" s="103"/>
      <c r="K387" s="103"/>
    </row>
    <row r="388">
      <c r="A388" s="104"/>
      <c r="B388" s="38"/>
      <c r="E388" s="101"/>
      <c r="F388" s="101" t="str">
        <f t="array" ref="F388">IF(E388="","",IFERROR(_xlfn.XLOOKUP(E388,SyncCodex!N:N,SyncCodex!O:O),""))</f>
        <v/>
      </c>
      <c r="G388" s="102"/>
      <c r="H388" s="102" t="str">
        <f t="shared" si="1"/>
        <v/>
      </c>
      <c r="I388" s="38" t="b">
        <v>0</v>
      </c>
      <c r="J388" s="103"/>
      <c r="K388" s="103"/>
    </row>
    <row r="389">
      <c r="A389" s="104"/>
      <c r="B389" s="38"/>
      <c r="E389" s="101"/>
      <c r="F389" s="101" t="str">
        <f t="array" ref="F389">IF(E389="","",IFERROR(_xlfn.XLOOKUP(E389,SyncCodex!N:N,SyncCodex!O:O),""))</f>
        <v/>
      </c>
      <c r="G389" s="102"/>
      <c r="H389" s="102" t="str">
        <f t="shared" si="1"/>
        <v/>
      </c>
      <c r="I389" s="38" t="b">
        <v>0</v>
      </c>
      <c r="J389" s="103"/>
      <c r="K389" s="103"/>
    </row>
    <row r="390">
      <c r="A390" s="104"/>
      <c r="B390" s="38"/>
      <c r="E390" s="101"/>
      <c r="F390" s="101" t="str">
        <f t="array" ref="F390">IF(E390="","",IFERROR(_xlfn.XLOOKUP(E390,SyncCodex!N:N,SyncCodex!O:O),""))</f>
        <v/>
      </c>
      <c r="G390" s="102"/>
      <c r="H390" s="102" t="str">
        <f t="shared" si="1"/>
        <v/>
      </c>
      <c r="I390" s="38" t="b">
        <v>0</v>
      </c>
      <c r="J390" s="103"/>
      <c r="K390" s="103"/>
    </row>
    <row r="391">
      <c r="A391" s="104"/>
      <c r="B391" s="38"/>
      <c r="E391" s="101"/>
      <c r="F391" s="101" t="str">
        <f t="array" ref="F391">IF(E391="","",IFERROR(_xlfn.XLOOKUP(E391,SyncCodex!N:N,SyncCodex!O:O),""))</f>
        <v/>
      </c>
      <c r="G391" s="102"/>
      <c r="H391" s="102" t="str">
        <f t="shared" si="1"/>
        <v/>
      </c>
      <c r="I391" s="38" t="b">
        <v>0</v>
      </c>
      <c r="J391" s="103"/>
      <c r="K391" s="103"/>
    </row>
    <row r="392">
      <c r="A392" s="104"/>
      <c r="B392" s="38"/>
      <c r="E392" s="101"/>
      <c r="F392" s="101" t="str">
        <f t="array" ref="F392">IF(E392="","",IFERROR(_xlfn.XLOOKUP(E392,SyncCodex!N:N,SyncCodex!O:O),""))</f>
        <v/>
      </c>
      <c r="G392" s="102"/>
      <c r="H392" s="102" t="str">
        <f t="shared" si="1"/>
        <v/>
      </c>
      <c r="I392" s="38" t="b">
        <v>0</v>
      </c>
      <c r="J392" s="103"/>
      <c r="K392" s="103"/>
    </row>
    <row r="393">
      <c r="A393" s="104"/>
      <c r="B393" s="38"/>
      <c r="E393" s="101"/>
      <c r="F393" s="101" t="str">
        <f t="array" ref="F393">IF(E393="","",IFERROR(_xlfn.XLOOKUP(E393,SyncCodex!N:N,SyncCodex!O:O),""))</f>
        <v/>
      </c>
      <c r="G393" s="102"/>
      <c r="H393" s="102" t="str">
        <f t="shared" si="1"/>
        <v/>
      </c>
      <c r="I393" s="38" t="b">
        <v>0</v>
      </c>
      <c r="J393" s="103"/>
      <c r="K393" s="103"/>
    </row>
    <row r="394">
      <c r="A394" s="104"/>
      <c r="B394" s="38"/>
      <c r="E394" s="101"/>
      <c r="F394" s="101" t="str">
        <f t="array" ref="F394">IF(E394="","",IFERROR(_xlfn.XLOOKUP(E394,SyncCodex!N:N,SyncCodex!O:O),""))</f>
        <v/>
      </c>
      <c r="G394" s="102"/>
      <c r="H394" s="102" t="str">
        <f t="shared" si="1"/>
        <v/>
      </c>
      <c r="I394" s="38" t="b">
        <v>0</v>
      </c>
      <c r="J394" s="103"/>
      <c r="K394" s="103"/>
    </row>
    <row r="395">
      <c r="A395" s="104"/>
      <c r="B395" s="38"/>
      <c r="E395" s="101"/>
      <c r="F395" s="101" t="str">
        <f t="array" ref="F395">IF(E395="","",IFERROR(_xlfn.XLOOKUP(E395,SyncCodex!N:N,SyncCodex!O:O),""))</f>
        <v/>
      </c>
      <c r="G395" s="102"/>
      <c r="H395" s="102" t="str">
        <f t="shared" si="1"/>
        <v/>
      </c>
      <c r="I395" s="38" t="b">
        <v>0</v>
      </c>
      <c r="J395" s="103"/>
      <c r="K395" s="103"/>
    </row>
    <row r="396">
      <c r="A396" s="104"/>
      <c r="B396" s="38"/>
      <c r="E396" s="101"/>
      <c r="F396" s="101" t="str">
        <f t="array" ref="F396">IF(E396="","",IFERROR(_xlfn.XLOOKUP(E396,SyncCodex!N:N,SyncCodex!O:O),""))</f>
        <v/>
      </c>
      <c r="G396" s="102"/>
      <c r="H396" s="102" t="str">
        <f t="shared" si="1"/>
        <v/>
      </c>
      <c r="I396" s="38" t="b">
        <v>0</v>
      </c>
      <c r="J396" s="103"/>
      <c r="K396" s="103"/>
    </row>
    <row r="397">
      <c r="A397" s="104"/>
      <c r="B397" s="38"/>
      <c r="E397" s="101"/>
      <c r="F397" s="101" t="str">
        <f t="array" ref="F397">IF(E397="","",IFERROR(_xlfn.XLOOKUP(E397,SyncCodex!N:N,SyncCodex!O:O),""))</f>
        <v/>
      </c>
      <c r="G397" s="102"/>
      <c r="H397" s="102" t="str">
        <f t="shared" si="1"/>
        <v/>
      </c>
      <c r="I397" s="38" t="b">
        <v>0</v>
      </c>
      <c r="J397" s="103"/>
      <c r="K397" s="103"/>
    </row>
    <row r="398">
      <c r="A398" s="104"/>
      <c r="B398" s="38"/>
      <c r="E398" s="101"/>
      <c r="F398" s="101" t="str">
        <f t="array" ref="F398">IF(E398="","",IFERROR(_xlfn.XLOOKUP(E398,SyncCodex!N:N,SyncCodex!O:O),""))</f>
        <v/>
      </c>
      <c r="G398" s="102"/>
      <c r="H398" s="102" t="str">
        <f t="shared" si="1"/>
        <v/>
      </c>
      <c r="I398" s="38" t="b">
        <v>0</v>
      </c>
      <c r="J398" s="103"/>
      <c r="K398" s="103"/>
    </row>
    <row r="399">
      <c r="A399" s="104"/>
      <c r="B399" s="38"/>
      <c r="E399" s="101"/>
      <c r="F399" s="101" t="str">
        <f t="array" ref="F399">IF(E399="","",IFERROR(_xlfn.XLOOKUP(E399,SyncCodex!N:N,SyncCodex!O:O),""))</f>
        <v/>
      </c>
      <c r="G399" s="102"/>
      <c r="H399" s="102" t="str">
        <f t="shared" si="1"/>
        <v/>
      </c>
      <c r="I399" s="38" t="b">
        <v>0</v>
      </c>
      <c r="J399" s="103"/>
      <c r="K399" s="103"/>
    </row>
    <row r="400">
      <c r="A400" s="104"/>
      <c r="B400" s="38"/>
      <c r="E400" s="101"/>
      <c r="F400" s="101" t="str">
        <f t="array" ref="F400">IF(E400="","",IFERROR(_xlfn.XLOOKUP(E400,SyncCodex!N:N,SyncCodex!O:O),""))</f>
        <v/>
      </c>
      <c r="G400" s="102"/>
      <c r="H400" s="102" t="str">
        <f t="shared" si="1"/>
        <v/>
      </c>
      <c r="I400" s="38" t="b">
        <v>0</v>
      </c>
      <c r="J400" s="103"/>
      <c r="K400" s="103"/>
    </row>
    <row r="401">
      <c r="A401" s="104"/>
      <c r="B401" s="38"/>
      <c r="E401" s="101"/>
      <c r="F401" s="101" t="str">
        <f t="array" ref="F401">IF(E401="","",IFERROR(_xlfn.XLOOKUP(E401,SyncCodex!N:N,SyncCodex!O:O),""))</f>
        <v/>
      </c>
      <c r="G401" s="102"/>
      <c r="H401" s="102" t="str">
        <f t="shared" si="1"/>
        <v/>
      </c>
      <c r="I401" s="38" t="b">
        <v>0</v>
      </c>
      <c r="J401" s="103"/>
      <c r="K401" s="103"/>
    </row>
    <row r="402">
      <c r="A402" s="104"/>
      <c r="B402" s="38"/>
      <c r="E402" s="101"/>
      <c r="F402" s="101" t="str">
        <f t="array" ref="F402">IF(E402="","",IFERROR(_xlfn.XLOOKUP(E402,SyncCodex!N:N,SyncCodex!O:O),""))</f>
        <v/>
      </c>
      <c r="G402" s="102"/>
      <c r="H402" s="102" t="str">
        <f t="shared" si="1"/>
        <v/>
      </c>
      <c r="I402" s="38" t="b">
        <v>0</v>
      </c>
      <c r="J402" s="103"/>
      <c r="K402" s="103"/>
    </row>
    <row r="403">
      <c r="A403" s="104"/>
      <c r="B403" s="38"/>
      <c r="E403" s="101"/>
      <c r="F403" s="101" t="str">
        <f t="array" ref="F403">IF(E403="","",IFERROR(_xlfn.XLOOKUP(E403,SyncCodex!N:N,SyncCodex!O:O),""))</f>
        <v/>
      </c>
      <c r="G403" s="102"/>
      <c r="H403" s="102" t="str">
        <f t="shared" si="1"/>
        <v/>
      </c>
      <c r="I403" s="38" t="b">
        <v>0</v>
      </c>
      <c r="J403" s="103"/>
      <c r="K403" s="103"/>
    </row>
    <row r="404">
      <c r="A404" s="104"/>
      <c r="B404" s="38"/>
      <c r="E404" s="101"/>
      <c r="F404" s="101" t="str">
        <f t="array" ref="F404">IF(E404="","",IFERROR(_xlfn.XLOOKUP(E404,SyncCodex!N:N,SyncCodex!O:O),""))</f>
        <v/>
      </c>
      <c r="G404" s="102"/>
      <c r="H404" s="102" t="str">
        <f t="shared" si="1"/>
        <v/>
      </c>
      <c r="I404" s="38" t="b">
        <v>0</v>
      </c>
      <c r="J404" s="103"/>
      <c r="K404" s="103"/>
    </row>
    <row r="405">
      <c r="A405" s="104"/>
      <c r="B405" s="38"/>
      <c r="E405" s="101"/>
      <c r="F405" s="101" t="str">
        <f t="array" ref="F405">IF(E405="","",IFERROR(_xlfn.XLOOKUP(E405,SyncCodex!N:N,SyncCodex!O:O),""))</f>
        <v/>
      </c>
      <c r="G405" s="102"/>
      <c r="H405" s="102" t="str">
        <f t="shared" si="1"/>
        <v/>
      </c>
      <c r="I405" s="38" t="b">
        <v>0</v>
      </c>
      <c r="J405" s="103"/>
      <c r="K405" s="103"/>
    </row>
    <row r="406">
      <c r="A406" s="104"/>
      <c r="B406" s="38"/>
      <c r="E406" s="101"/>
      <c r="F406" s="101" t="str">
        <f t="array" ref="F406">IF(E406="","",IFERROR(_xlfn.XLOOKUP(E406,SyncCodex!N:N,SyncCodex!O:O),""))</f>
        <v/>
      </c>
      <c r="G406" s="102"/>
      <c r="H406" s="102" t="str">
        <f t="shared" si="1"/>
        <v/>
      </c>
      <c r="I406" s="38" t="b">
        <v>0</v>
      </c>
      <c r="J406" s="103"/>
      <c r="K406" s="103"/>
    </row>
    <row r="407">
      <c r="A407" s="104"/>
      <c r="B407" s="38"/>
      <c r="E407" s="101"/>
      <c r="F407" s="101" t="str">
        <f t="array" ref="F407">IF(E407="","",IFERROR(_xlfn.XLOOKUP(E407,SyncCodex!N:N,SyncCodex!O:O),""))</f>
        <v/>
      </c>
      <c r="G407" s="102"/>
      <c r="H407" s="102" t="str">
        <f t="shared" si="1"/>
        <v/>
      </c>
      <c r="I407" s="38" t="b">
        <v>0</v>
      </c>
      <c r="J407" s="103"/>
      <c r="K407" s="103"/>
    </row>
    <row r="408">
      <c r="A408" s="104"/>
      <c r="B408" s="38"/>
      <c r="E408" s="101"/>
      <c r="F408" s="101" t="str">
        <f t="array" ref="F408">IF(E408="","",IFERROR(_xlfn.XLOOKUP(E408,SyncCodex!N:N,SyncCodex!O:O),""))</f>
        <v/>
      </c>
      <c r="G408" s="102"/>
      <c r="H408" s="102" t="str">
        <f t="shared" si="1"/>
        <v/>
      </c>
      <c r="I408" s="38" t="b">
        <v>0</v>
      </c>
      <c r="J408" s="103"/>
      <c r="K408" s="103"/>
    </row>
    <row r="409">
      <c r="A409" s="104"/>
      <c r="B409" s="38"/>
      <c r="E409" s="101"/>
      <c r="F409" s="101" t="str">
        <f t="array" ref="F409">IF(E409="","",IFERROR(_xlfn.XLOOKUP(E409,SyncCodex!N:N,SyncCodex!O:O),""))</f>
        <v/>
      </c>
      <c r="G409" s="102"/>
      <c r="H409" s="102" t="str">
        <f t="shared" si="1"/>
        <v/>
      </c>
      <c r="I409" s="38" t="b">
        <v>0</v>
      </c>
      <c r="J409" s="103"/>
      <c r="K409" s="103"/>
    </row>
    <row r="410">
      <c r="A410" s="104"/>
      <c r="B410" s="38"/>
      <c r="E410" s="101"/>
      <c r="F410" s="101" t="str">
        <f t="array" ref="F410">IF(E410="","",IFERROR(_xlfn.XLOOKUP(E410,SyncCodex!N:N,SyncCodex!O:O),""))</f>
        <v/>
      </c>
      <c r="G410" s="102"/>
      <c r="H410" s="102" t="str">
        <f t="shared" si="1"/>
        <v/>
      </c>
      <c r="I410" s="38" t="b">
        <v>0</v>
      </c>
      <c r="J410" s="103"/>
      <c r="K410" s="103"/>
    </row>
    <row r="411">
      <c r="A411" s="104"/>
      <c r="B411" s="38"/>
      <c r="E411" s="101"/>
      <c r="F411" s="101" t="str">
        <f t="array" ref="F411">IF(E411="","",IFERROR(_xlfn.XLOOKUP(E411,SyncCodex!N:N,SyncCodex!O:O),""))</f>
        <v/>
      </c>
      <c r="G411" s="102"/>
      <c r="H411" s="102" t="str">
        <f t="shared" si="1"/>
        <v/>
      </c>
      <c r="I411" s="38" t="b">
        <v>0</v>
      </c>
      <c r="J411" s="103"/>
      <c r="K411" s="103"/>
    </row>
    <row r="412">
      <c r="A412" s="104"/>
      <c r="B412" s="38"/>
      <c r="E412" s="101"/>
      <c r="F412" s="101" t="str">
        <f t="array" ref="F412">IF(E412="","",IFERROR(_xlfn.XLOOKUP(E412,SyncCodex!N:N,SyncCodex!O:O),""))</f>
        <v/>
      </c>
      <c r="G412" s="102"/>
      <c r="H412" s="102" t="str">
        <f t="shared" si="1"/>
        <v/>
      </c>
      <c r="I412" s="38" t="b">
        <v>0</v>
      </c>
      <c r="J412" s="103"/>
      <c r="K412" s="103"/>
    </row>
    <row r="413">
      <c r="A413" s="104"/>
      <c r="B413" s="38"/>
      <c r="E413" s="101"/>
      <c r="F413" s="101" t="str">
        <f t="array" ref="F413">IF(E413="","",IFERROR(_xlfn.XLOOKUP(E413,SyncCodex!N:N,SyncCodex!O:O),""))</f>
        <v/>
      </c>
      <c r="G413" s="102"/>
      <c r="H413" s="102" t="str">
        <f t="shared" si="1"/>
        <v/>
      </c>
      <c r="I413" s="38" t="b">
        <v>0</v>
      </c>
      <c r="J413" s="103"/>
      <c r="K413" s="103"/>
    </row>
    <row r="414">
      <c r="A414" s="104"/>
      <c r="B414" s="38"/>
      <c r="E414" s="101"/>
      <c r="F414" s="101" t="str">
        <f t="array" ref="F414">IF(E414="","",IFERROR(_xlfn.XLOOKUP(E414,SyncCodex!N:N,SyncCodex!O:O),""))</f>
        <v/>
      </c>
      <c r="G414" s="102"/>
      <c r="H414" s="102" t="str">
        <f t="shared" si="1"/>
        <v/>
      </c>
      <c r="I414" s="38" t="b">
        <v>0</v>
      </c>
      <c r="J414" s="103"/>
      <c r="K414" s="103"/>
    </row>
    <row r="415">
      <c r="A415" s="104"/>
      <c r="B415" s="38"/>
      <c r="E415" s="101"/>
      <c r="F415" s="101" t="str">
        <f t="array" ref="F415">IF(E415="","",IFERROR(_xlfn.XLOOKUP(E415,SyncCodex!N:N,SyncCodex!O:O),""))</f>
        <v/>
      </c>
      <c r="G415" s="102"/>
      <c r="H415" s="102" t="str">
        <f t="shared" si="1"/>
        <v/>
      </c>
      <c r="I415" s="38" t="b">
        <v>0</v>
      </c>
      <c r="J415" s="103"/>
      <c r="K415" s="103"/>
    </row>
    <row r="416">
      <c r="A416" s="104"/>
      <c r="B416" s="38"/>
      <c r="E416" s="101"/>
      <c r="F416" s="101" t="str">
        <f t="array" ref="F416">IF(E416="","",IFERROR(_xlfn.XLOOKUP(E416,SyncCodex!N:N,SyncCodex!O:O),""))</f>
        <v/>
      </c>
      <c r="G416" s="102"/>
      <c r="H416" s="102" t="str">
        <f t="shared" si="1"/>
        <v/>
      </c>
      <c r="I416" s="38" t="b">
        <v>0</v>
      </c>
      <c r="J416" s="103"/>
      <c r="K416" s="103"/>
    </row>
    <row r="417">
      <c r="A417" s="104"/>
      <c r="B417" s="38"/>
      <c r="E417" s="101"/>
      <c r="F417" s="101" t="str">
        <f t="array" ref="F417">IF(E417="","",IFERROR(_xlfn.XLOOKUP(E417,SyncCodex!N:N,SyncCodex!O:O),""))</f>
        <v/>
      </c>
      <c r="G417" s="102"/>
      <c r="H417" s="102" t="str">
        <f t="shared" si="1"/>
        <v/>
      </c>
      <c r="I417" s="38" t="b">
        <v>0</v>
      </c>
      <c r="J417" s="103"/>
      <c r="K417" s="103"/>
    </row>
    <row r="418">
      <c r="A418" s="104"/>
      <c r="B418" s="38"/>
      <c r="E418" s="101"/>
      <c r="F418" s="101" t="str">
        <f t="array" ref="F418">IF(E418="","",IFERROR(_xlfn.XLOOKUP(E418,SyncCodex!N:N,SyncCodex!O:O),""))</f>
        <v/>
      </c>
      <c r="G418" s="102"/>
      <c r="H418" s="102" t="str">
        <f t="shared" si="1"/>
        <v/>
      </c>
      <c r="I418" s="38" t="b">
        <v>0</v>
      </c>
      <c r="J418" s="103"/>
      <c r="K418" s="103"/>
    </row>
    <row r="419">
      <c r="A419" s="104"/>
      <c r="B419" s="38"/>
      <c r="E419" s="101"/>
      <c r="F419" s="101" t="str">
        <f t="array" ref="F419">IF(E419="","",IFERROR(_xlfn.XLOOKUP(E419,SyncCodex!N:N,SyncCodex!O:O),""))</f>
        <v/>
      </c>
      <c r="G419" s="102"/>
      <c r="H419" s="102" t="str">
        <f t="shared" si="1"/>
        <v/>
      </c>
      <c r="I419" s="38" t="b">
        <v>0</v>
      </c>
      <c r="J419" s="103"/>
      <c r="K419" s="103"/>
    </row>
    <row r="420">
      <c r="A420" s="104"/>
      <c r="B420" s="38"/>
      <c r="E420" s="101"/>
      <c r="F420" s="101" t="str">
        <f t="array" ref="F420">IF(E420="","",IFERROR(_xlfn.XLOOKUP(E420,SyncCodex!N:N,SyncCodex!O:O),""))</f>
        <v/>
      </c>
      <c r="G420" s="102"/>
      <c r="H420" s="102" t="str">
        <f t="shared" si="1"/>
        <v/>
      </c>
      <c r="I420" s="38" t="b">
        <v>0</v>
      </c>
      <c r="J420" s="103"/>
      <c r="K420" s="103"/>
    </row>
    <row r="421">
      <c r="A421" s="104"/>
      <c r="B421" s="38"/>
      <c r="E421" s="101"/>
      <c r="F421" s="101" t="str">
        <f t="array" ref="F421">IF(E421="","",IFERROR(_xlfn.XLOOKUP(E421,SyncCodex!N:N,SyncCodex!O:O),""))</f>
        <v/>
      </c>
      <c r="G421" s="102"/>
      <c r="H421" s="102" t="str">
        <f t="shared" si="1"/>
        <v/>
      </c>
      <c r="I421" s="38" t="b">
        <v>0</v>
      </c>
      <c r="J421" s="103"/>
      <c r="K421" s="103"/>
    </row>
    <row r="422">
      <c r="A422" s="104"/>
      <c r="B422" s="38"/>
      <c r="E422" s="101"/>
      <c r="F422" s="101" t="str">
        <f t="array" ref="F422">IF(E422="","",IFERROR(_xlfn.XLOOKUP(E422,SyncCodex!N:N,SyncCodex!O:O),""))</f>
        <v/>
      </c>
      <c r="G422" s="102"/>
      <c r="H422" s="102" t="str">
        <f t="shared" si="1"/>
        <v/>
      </c>
      <c r="I422" s="38" t="b">
        <v>0</v>
      </c>
      <c r="J422" s="103"/>
      <c r="K422" s="103"/>
    </row>
    <row r="423">
      <c r="A423" s="104"/>
      <c r="B423" s="38"/>
      <c r="E423" s="101"/>
      <c r="F423" s="101" t="str">
        <f t="array" ref="F423">IF(E423="","",IFERROR(_xlfn.XLOOKUP(E423,SyncCodex!N:N,SyncCodex!O:O),""))</f>
        <v/>
      </c>
      <c r="G423" s="102"/>
      <c r="H423" s="102" t="str">
        <f t="shared" si="1"/>
        <v/>
      </c>
      <c r="I423" s="38" t="b">
        <v>0</v>
      </c>
      <c r="J423" s="103"/>
      <c r="K423" s="103"/>
    </row>
    <row r="424">
      <c r="A424" s="104"/>
      <c r="B424" s="38"/>
      <c r="E424" s="101"/>
      <c r="F424" s="101" t="str">
        <f t="array" ref="F424">IF(E424="","",IFERROR(_xlfn.XLOOKUP(E424,SyncCodex!N:N,SyncCodex!O:O),""))</f>
        <v/>
      </c>
      <c r="G424" s="102"/>
      <c r="H424" s="102" t="str">
        <f t="shared" si="1"/>
        <v/>
      </c>
      <c r="I424" s="38" t="b">
        <v>0</v>
      </c>
      <c r="J424" s="103"/>
      <c r="K424" s="103"/>
    </row>
    <row r="425">
      <c r="A425" s="104"/>
      <c r="B425" s="38"/>
      <c r="E425" s="101"/>
      <c r="F425" s="101" t="str">
        <f t="array" ref="F425">IF(E425="","",IFERROR(_xlfn.XLOOKUP(E425,SyncCodex!N:N,SyncCodex!O:O),""))</f>
        <v/>
      </c>
      <c r="G425" s="102"/>
      <c r="H425" s="102" t="str">
        <f t="shared" si="1"/>
        <v/>
      </c>
      <c r="I425" s="38" t="b">
        <v>0</v>
      </c>
      <c r="J425" s="103"/>
      <c r="K425" s="103"/>
    </row>
    <row r="426">
      <c r="A426" s="104"/>
      <c r="B426" s="38"/>
      <c r="E426" s="101"/>
      <c r="F426" s="101" t="str">
        <f t="array" ref="F426">IF(E426="","",IFERROR(_xlfn.XLOOKUP(E426,SyncCodex!N:N,SyncCodex!O:O),""))</f>
        <v/>
      </c>
      <c r="G426" s="102"/>
      <c r="H426" s="102" t="str">
        <f t="shared" si="1"/>
        <v/>
      </c>
      <c r="I426" s="38" t="b">
        <v>0</v>
      </c>
      <c r="J426" s="103"/>
      <c r="K426" s="103"/>
    </row>
    <row r="427">
      <c r="A427" s="104"/>
      <c r="B427" s="38"/>
      <c r="E427" s="101"/>
      <c r="F427" s="101" t="str">
        <f t="array" ref="F427">IF(E427="","",IFERROR(_xlfn.XLOOKUP(E427,SyncCodex!N:N,SyncCodex!O:O),""))</f>
        <v/>
      </c>
      <c r="G427" s="102"/>
      <c r="H427" s="102" t="str">
        <f t="shared" si="1"/>
        <v/>
      </c>
      <c r="I427" s="38" t="b">
        <v>0</v>
      </c>
      <c r="J427" s="103"/>
      <c r="K427" s="103"/>
    </row>
    <row r="428">
      <c r="A428" s="104"/>
      <c r="B428" s="38"/>
      <c r="E428" s="101"/>
      <c r="F428" s="101" t="str">
        <f t="array" ref="F428">IF(E428="","",IFERROR(_xlfn.XLOOKUP(E428,SyncCodex!N:N,SyncCodex!O:O),""))</f>
        <v/>
      </c>
      <c r="G428" s="102"/>
      <c r="H428" s="102" t="str">
        <f t="shared" si="1"/>
        <v/>
      </c>
      <c r="I428" s="38" t="b">
        <v>0</v>
      </c>
      <c r="J428" s="103"/>
      <c r="K428" s="103"/>
    </row>
    <row r="429">
      <c r="A429" s="104"/>
      <c r="B429" s="38"/>
      <c r="E429" s="101"/>
      <c r="F429" s="101" t="str">
        <f t="array" ref="F429">IF(E429="","",IFERROR(_xlfn.XLOOKUP(E429,SyncCodex!N:N,SyncCodex!O:O),""))</f>
        <v/>
      </c>
      <c r="G429" s="102"/>
      <c r="H429" s="102" t="str">
        <f t="shared" si="1"/>
        <v/>
      </c>
      <c r="I429" s="38" t="b">
        <v>0</v>
      </c>
      <c r="J429" s="103"/>
      <c r="K429" s="103"/>
    </row>
    <row r="430">
      <c r="A430" s="104"/>
      <c r="B430" s="38"/>
      <c r="E430" s="101"/>
      <c r="F430" s="101" t="str">
        <f t="array" ref="F430">IF(E430="","",IFERROR(_xlfn.XLOOKUP(E430,SyncCodex!N:N,SyncCodex!O:O),""))</f>
        <v/>
      </c>
      <c r="G430" s="102"/>
      <c r="H430" s="102" t="str">
        <f t="shared" si="1"/>
        <v/>
      </c>
      <c r="I430" s="38" t="b">
        <v>0</v>
      </c>
      <c r="J430" s="103"/>
      <c r="K430" s="103"/>
    </row>
    <row r="431">
      <c r="A431" s="104"/>
      <c r="B431" s="38"/>
      <c r="E431" s="101"/>
      <c r="F431" s="101" t="str">
        <f t="array" ref="F431">IF(E431="","",IFERROR(_xlfn.XLOOKUP(E431,SyncCodex!N:N,SyncCodex!O:O),""))</f>
        <v/>
      </c>
      <c r="G431" s="102"/>
      <c r="H431" s="102" t="str">
        <f t="shared" si="1"/>
        <v/>
      </c>
      <c r="I431" s="38" t="b">
        <v>0</v>
      </c>
      <c r="J431" s="103"/>
      <c r="K431" s="103"/>
    </row>
    <row r="432">
      <c r="A432" s="104"/>
      <c r="B432" s="38"/>
      <c r="E432" s="101"/>
      <c r="F432" s="101" t="str">
        <f t="array" ref="F432">IF(E432="","",IFERROR(_xlfn.XLOOKUP(E432,SyncCodex!N:N,SyncCodex!O:O),""))</f>
        <v/>
      </c>
      <c r="G432" s="102"/>
      <c r="H432" s="102" t="str">
        <f t="shared" si="1"/>
        <v/>
      </c>
      <c r="I432" s="38" t="b">
        <v>0</v>
      </c>
      <c r="J432" s="103"/>
      <c r="K432" s="103"/>
    </row>
    <row r="433">
      <c r="A433" s="104"/>
      <c r="B433" s="38"/>
      <c r="E433" s="101"/>
      <c r="F433" s="101" t="str">
        <f t="array" ref="F433">IF(E433="","",IFERROR(_xlfn.XLOOKUP(E433,SyncCodex!N:N,SyncCodex!O:O),""))</f>
        <v/>
      </c>
      <c r="G433" s="102"/>
      <c r="H433" s="102" t="str">
        <f t="shared" si="1"/>
        <v/>
      </c>
      <c r="I433" s="38" t="b">
        <v>0</v>
      </c>
      <c r="J433" s="103"/>
      <c r="K433" s="103"/>
    </row>
    <row r="434">
      <c r="A434" s="104"/>
      <c r="B434" s="38"/>
      <c r="E434" s="101"/>
      <c r="F434" s="101" t="str">
        <f t="array" ref="F434">IF(E434="","",IFERROR(_xlfn.XLOOKUP(E434,SyncCodex!N:N,SyncCodex!O:O),""))</f>
        <v/>
      </c>
      <c r="G434" s="102"/>
      <c r="H434" s="102" t="str">
        <f t="shared" si="1"/>
        <v/>
      </c>
      <c r="I434" s="38" t="b">
        <v>0</v>
      </c>
      <c r="J434" s="103"/>
      <c r="K434" s="103"/>
    </row>
    <row r="435">
      <c r="A435" s="104"/>
      <c r="B435" s="38"/>
      <c r="E435" s="101"/>
      <c r="F435" s="101" t="str">
        <f t="array" ref="F435">IF(E435="","",IFERROR(_xlfn.XLOOKUP(E435,SyncCodex!N:N,SyncCodex!O:O),""))</f>
        <v/>
      </c>
      <c r="G435" s="102"/>
      <c r="H435" s="102" t="str">
        <f t="shared" si="1"/>
        <v/>
      </c>
      <c r="I435" s="38" t="b">
        <v>0</v>
      </c>
      <c r="J435" s="103"/>
      <c r="K435" s="103"/>
    </row>
    <row r="436">
      <c r="A436" s="104"/>
      <c r="B436" s="38"/>
      <c r="E436" s="101"/>
      <c r="F436" s="101" t="str">
        <f t="array" ref="F436">IF(E436="","",IFERROR(_xlfn.XLOOKUP(E436,SyncCodex!N:N,SyncCodex!O:O),""))</f>
        <v/>
      </c>
      <c r="G436" s="102"/>
      <c r="H436" s="102" t="str">
        <f t="shared" si="1"/>
        <v/>
      </c>
      <c r="I436" s="38" t="b">
        <v>0</v>
      </c>
      <c r="J436" s="103"/>
      <c r="K436" s="103"/>
    </row>
    <row r="437">
      <c r="A437" s="104"/>
      <c r="B437" s="38"/>
      <c r="E437" s="101"/>
      <c r="F437" s="101" t="str">
        <f t="array" ref="F437">IF(E437="","",IFERROR(_xlfn.XLOOKUP(E437,SyncCodex!N:N,SyncCodex!O:O),""))</f>
        <v/>
      </c>
      <c r="G437" s="102"/>
      <c r="H437" s="102" t="str">
        <f t="shared" si="1"/>
        <v/>
      </c>
      <c r="I437" s="38" t="b">
        <v>0</v>
      </c>
      <c r="J437" s="103"/>
      <c r="K437" s="103"/>
    </row>
    <row r="438">
      <c r="A438" s="104"/>
      <c r="B438" s="38"/>
      <c r="E438" s="101"/>
      <c r="F438" s="101" t="str">
        <f t="array" ref="F438">IF(E438="","",IFERROR(_xlfn.XLOOKUP(E438,SyncCodex!N:N,SyncCodex!O:O),""))</f>
        <v/>
      </c>
      <c r="G438" s="102"/>
      <c r="H438" s="102" t="str">
        <f t="shared" si="1"/>
        <v/>
      </c>
      <c r="I438" s="38" t="b">
        <v>0</v>
      </c>
      <c r="J438" s="103"/>
      <c r="K438" s="103"/>
    </row>
    <row r="439">
      <c r="A439" s="104"/>
      <c r="B439" s="38"/>
      <c r="E439" s="101"/>
      <c r="F439" s="101" t="str">
        <f t="array" ref="F439">IF(E439="","",IFERROR(_xlfn.XLOOKUP(E439,SyncCodex!N:N,SyncCodex!O:O),""))</f>
        <v/>
      </c>
      <c r="G439" s="102"/>
      <c r="H439" s="102" t="str">
        <f t="shared" si="1"/>
        <v/>
      </c>
      <c r="I439" s="38" t="b">
        <v>0</v>
      </c>
      <c r="J439" s="103"/>
      <c r="K439" s="103"/>
    </row>
    <row r="440">
      <c r="A440" s="104"/>
      <c r="B440" s="38"/>
      <c r="E440" s="101"/>
      <c r="F440" s="101" t="str">
        <f t="array" ref="F440">IF(E440="","",IFERROR(_xlfn.XLOOKUP(E440,SyncCodex!N:N,SyncCodex!O:O),""))</f>
        <v/>
      </c>
      <c r="G440" s="102"/>
      <c r="H440" s="102" t="str">
        <f t="shared" si="1"/>
        <v/>
      </c>
      <c r="I440" s="38" t="b">
        <v>0</v>
      </c>
      <c r="J440" s="103"/>
      <c r="K440" s="103"/>
    </row>
    <row r="441">
      <c r="A441" s="104"/>
      <c r="B441" s="38"/>
      <c r="E441" s="101"/>
      <c r="F441" s="101" t="str">
        <f t="array" ref="F441">IF(E441="","",IFERROR(_xlfn.XLOOKUP(E441,SyncCodex!N:N,SyncCodex!O:O),""))</f>
        <v/>
      </c>
      <c r="G441" s="102"/>
      <c r="H441" s="102" t="str">
        <f t="shared" si="1"/>
        <v/>
      </c>
      <c r="I441" s="38" t="b">
        <v>0</v>
      </c>
      <c r="J441" s="103"/>
      <c r="K441" s="103"/>
    </row>
    <row r="442">
      <c r="A442" s="104"/>
      <c r="B442" s="38"/>
      <c r="E442" s="101"/>
      <c r="F442" s="101" t="str">
        <f t="array" ref="F442">IF(E442="","",IFERROR(_xlfn.XLOOKUP(E442,SyncCodex!N:N,SyncCodex!O:O),""))</f>
        <v/>
      </c>
      <c r="G442" s="102"/>
      <c r="H442" s="102" t="str">
        <f t="shared" si="1"/>
        <v/>
      </c>
      <c r="I442" s="38" t="b">
        <v>0</v>
      </c>
      <c r="J442" s="103"/>
      <c r="K442" s="103"/>
    </row>
    <row r="443">
      <c r="A443" s="104"/>
      <c r="B443" s="38"/>
      <c r="E443" s="101"/>
      <c r="F443" s="101" t="str">
        <f t="array" ref="F443">IF(E443="","",IFERROR(_xlfn.XLOOKUP(E443,SyncCodex!N:N,SyncCodex!O:O),""))</f>
        <v/>
      </c>
      <c r="G443" s="102"/>
      <c r="H443" s="102" t="str">
        <f t="shared" si="1"/>
        <v/>
      </c>
      <c r="I443" s="38" t="b">
        <v>0</v>
      </c>
      <c r="J443" s="103"/>
      <c r="K443" s="103"/>
    </row>
    <row r="444">
      <c r="A444" s="104"/>
      <c r="B444" s="38"/>
      <c r="E444" s="101"/>
      <c r="F444" s="101" t="str">
        <f t="array" ref="F444">IF(E444="","",IFERROR(_xlfn.XLOOKUP(E444,SyncCodex!N:N,SyncCodex!O:O),""))</f>
        <v/>
      </c>
      <c r="G444" s="102"/>
      <c r="H444" s="102" t="str">
        <f t="shared" si="1"/>
        <v/>
      </c>
      <c r="I444" s="38" t="b">
        <v>0</v>
      </c>
      <c r="J444" s="103"/>
      <c r="K444" s="103"/>
    </row>
    <row r="445">
      <c r="A445" s="104"/>
      <c r="B445" s="38"/>
      <c r="E445" s="101"/>
      <c r="F445" s="101" t="str">
        <f t="array" ref="F445">IF(E445="","",IFERROR(_xlfn.XLOOKUP(E445,SyncCodex!N:N,SyncCodex!O:O),""))</f>
        <v/>
      </c>
      <c r="G445" s="102"/>
      <c r="H445" s="102" t="str">
        <f t="shared" si="1"/>
        <v/>
      </c>
      <c r="I445" s="38" t="b">
        <v>0</v>
      </c>
      <c r="J445" s="103"/>
      <c r="K445" s="103"/>
    </row>
    <row r="446">
      <c r="A446" s="104"/>
      <c r="B446" s="38"/>
      <c r="E446" s="101"/>
      <c r="F446" s="101" t="str">
        <f t="array" ref="F446">IF(E446="","",IFERROR(_xlfn.XLOOKUP(E446,SyncCodex!N:N,SyncCodex!O:O),""))</f>
        <v/>
      </c>
      <c r="G446" s="102"/>
      <c r="H446" s="102" t="str">
        <f t="shared" si="1"/>
        <v/>
      </c>
      <c r="I446" s="38" t="b">
        <v>0</v>
      </c>
      <c r="J446" s="103"/>
      <c r="K446" s="103"/>
    </row>
    <row r="447">
      <c r="A447" s="104"/>
      <c r="B447" s="38"/>
      <c r="E447" s="101"/>
      <c r="F447" s="101" t="str">
        <f t="array" ref="F447">IF(E447="","",IFERROR(_xlfn.XLOOKUP(E447,SyncCodex!N:N,SyncCodex!O:O),""))</f>
        <v/>
      </c>
      <c r="G447" s="102"/>
      <c r="H447" s="102" t="str">
        <f t="shared" si="1"/>
        <v/>
      </c>
      <c r="I447" s="38" t="b">
        <v>0</v>
      </c>
      <c r="J447" s="103"/>
      <c r="K447" s="103"/>
    </row>
    <row r="448">
      <c r="A448" s="104"/>
      <c r="B448" s="38"/>
      <c r="E448" s="101"/>
      <c r="F448" s="101" t="str">
        <f t="array" ref="F448">IF(E448="","",IFERROR(_xlfn.XLOOKUP(E448,SyncCodex!N:N,SyncCodex!O:O),""))</f>
        <v/>
      </c>
      <c r="G448" s="102"/>
      <c r="H448" s="102" t="str">
        <f t="shared" si="1"/>
        <v/>
      </c>
      <c r="I448" s="38" t="b">
        <v>0</v>
      </c>
      <c r="J448" s="103"/>
      <c r="K448" s="103"/>
    </row>
    <row r="449">
      <c r="A449" s="104"/>
      <c r="B449" s="38"/>
      <c r="E449" s="101"/>
      <c r="F449" s="101" t="str">
        <f t="array" ref="F449">IF(E449="","",IFERROR(_xlfn.XLOOKUP(E449,SyncCodex!N:N,SyncCodex!O:O),""))</f>
        <v/>
      </c>
      <c r="G449" s="102"/>
      <c r="H449" s="102" t="str">
        <f t="shared" si="1"/>
        <v/>
      </c>
      <c r="I449" s="38" t="b">
        <v>0</v>
      </c>
      <c r="J449" s="103"/>
      <c r="K449" s="103"/>
    </row>
    <row r="450">
      <c r="A450" s="104"/>
      <c r="B450" s="38"/>
      <c r="E450" s="101"/>
      <c r="F450" s="101" t="str">
        <f t="array" ref="F450">IF(E450="","",IFERROR(_xlfn.XLOOKUP(E450,SyncCodex!N:N,SyncCodex!O:O),""))</f>
        <v/>
      </c>
      <c r="G450" s="102"/>
      <c r="H450" s="102" t="str">
        <f t="shared" si="1"/>
        <v/>
      </c>
      <c r="I450" s="38" t="b">
        <v>0</v>
      </c>
      <c r="J450" s="103"/>
      <c r="K450" s="103"/>
    </row>
    <row r="451">
      <c r="A451" s="104"/>
      <c r="B451" s="38"/>
      <c r="E451" s="101"/>
      <c r="F451" s="101" t="str">
        <f t="array" ref="F451">IF(E451="","",IFERROR(_xlfn.XLOOKUP(E451,SyncCodex!N:N,SyncCodex!O:O),""))</f>
        <v/>
      </c>
      <c r="G451" s="102"/>
      <c r="H451" s="102" t="str">
        <f t="shared" si="1"/>
        <v/>
      </c>
      <c r="I451" s="38" t="b">
        <v>0</v>
      </c>
      <c r="J451" s="103"/>
      <c r="K451" s="103"/>
    </row>
    <row r="452">
      <c r="A452" s="104"/>
      <c r="B452" s="38"/>
      <c r="E452" s="101"/>
      <c r="F452" s="101" t="str">
        <f t="array" ref="F452">IF(E452="","",IFERROR(_xlfn.XLOOKUP(E452,SyncCodex!N:N,SyncCodex!O:O),""))</f>
        <v/>
      </c>
      <c r="G452" s="102"/>
      <c r="H452" s="102" t="str">
        <f t="shared" si="1"/>
        <v/>
      </c>
      <c r="I452" s="38" t="b">
        <v>0</v>
      </c>
      <c r="J452" s="103"/>
      <c r="K452" s="103"/>
    </row>
    <row r="453">
      <c r="A453" s="104"/>
      <c r="B453" s="38"/>
      <c r="E453" s="101"/>
      <c r="F453" s="101" t="str">
        <f t="array" ref="F453">IF(E453="","",IFERROR(_xlfn.XLOOKUP(E453,SyncCodex!N:N,SyncCodex!O:O),""))</f>
        <v/>
      </c>
      <c r="G453" s="102"/>
      <c r="H453" s="102" t="str">
        <f t="shared" si="1"/>
        <v/>
      </c>
      <c r="I453" s="38" t="b">
        <v>0</v>
      </c>
      <c r="J453" s="103"/>
      <c r="K453" s="103"/>
    </row>
    <row r="454">
      <c r="A454" s="104"/>
      <c r="B454" s="38"/>
      <c r="E454" s="101"/>
      <c r="F454" s="101" t="str">
        <f t="array" ref="F454">IF(E454="","",IFERROR(_xlfn.XLOOKUP(E454,SyncCodex!N:N,SyncCodex!O:O),""))</f>
        <v/>
      </c>
      <c r="G454" s="102"/>
      <c r="H454" s="102" t="str">
        <f t="shared" si="1"/>
        <v/>
      </c>
      <c r="I454" s="38" t="b">
        <v>0</v>
      </c>
      <c r="J454" s="103"/>
      <c r="K454" s="103"/>
    </row>
    <row r="455">
      <c r="A455" s="104"/>
      <c r="B455" s="38"/>
      <c r="E455" s="101"/>
      <c r="F455" s="101" t="str">
        <f t="array" ref="F455">IF(E455="","",IFERROR(_xlfn.XLOOKUP(E455,SyncCodex!N:N,SyncCodex!O:O),""))</f>
        <v/>
      </c>
      <c r="G455" s="102"/>
      <c r="H455" s="102" t="str">
        <f t="shared" si="1"/>
        <v/>
      </c>
      <c r="I455" s="38" t="b">
        <v>0</v>
      </c>
      <c r="J455" s="103"/>
      <c r="K455" s="103"/>
    </row>
    <row r="456">
      <c r="A456" s="104"/>
      <c r="B456" s="38"/>
      <c r="E456" s="101"/>
      <c r="F456" s="101" t="str">
        <f t="array" ref="F456">IF(E456="","",IFERROR(_xlfn.XLOOKUP(E456,SyncCodex!N:N,SyncCodex!O:O),""))</f>
        <v/>
      </c>
      <c r="G456" s="102"/>
      <c r="H456" s="102" t="str">
        <f t="shared" si="1"/>
        <v/>
      </c>
      <c r="I456" s="38" t="b">
        <v>0</v>
      </c>
      <c r="J456" s="103"/>
      <c r="K456" s="103"/>
    </row>
    <row r="457">
      <c r="A457" s="104"/>
      <c r="B457" s="38"/>
      <c r="E457" s="101"/>
      <c r="F457" s="101" t="str">
        <f t="array" ref="F457">IF(E457="","",IFERROR(_xlfn.XLOOKUP(E457,SyncCodex!N:N,SyncCodex!O:O),""))</f>
        <v/>
      </c>
      <c r="G457" s="102"/>
      <c r="H457" s="102" t="str">
        <f t="shared" si="1"/>
        <v/>
      </c>
      <c r="I457" s="38" t="b">
        <v>0</v>
      </c>
      <c r="J457" s="103"/>
      <c r="K457" s="103"/>
    </row>
    <row r="458">
      <c r="A458" s="104"/>
      <c r="B458" s="38"/>
      <c r="E458" s="101"/>
      <c r="F458" s="101" t="str">
        <f t="array" ref="F458">IF(E458="","",IFERROR(_xlfn.XLOOKUP(E458,SyncCodex!N:N,SyncCodex!O:O),""))</f>
        <v/>
      </c>
      <c r="G458" s="102"/>
      <c r="H458" s="102" t="str">
        <f t="shared" si="1"/>
        <v/>
      </c>
      <c r="I458" s="38" t="b">
        <v>0</v>
      </c>
      <c r="J458" s="103"/>
      <c r="K458" s="103"/>
    </row>
    <row r="459">
      <c r="A459" s="104"/>
      <c r="B459" s="38"/>
      <c r="E459" s="101"/>
      <c r="F459" s="101" t="str">
        <f t="array" ref="F459">IF(E459="","",IFERROR(_xlfn.XLOOKUP(E459,SyncCodex!N:N,SyncCodex!O:O),""))</f>
        <v/>
      </c>
      <c r="G459" s="102"/>
      <c r="H459" s="102" t="str">
        <f t="shared" si="1"/>
        <v/>
      </c>
      <c r="I459" s="38" t="b">
        <v>0</v>
      </c>
      <c r="J459" s="103"/>
      <c r="K459" s="103"/>
    </row>
    <row r="460">
      <c r="A460" s="104"/>
      <c r="B460" s="38"/>
      <c r="E460" s="101"/>
      <c r="F460" s="101" t="str">
        <f t="array" ref="F460">IF(E460="","",IFERROR(_xlfn.XLOOKUP(E460,SyncCodex!N:N,SyncCodex!O:O),""))</f>
        <v/>
      </c>
      <c r="G460" s="102"/>
      <c r="H460" s="102" t="str">
        <f t="shared" si="1"/>
        <v/>
      </c>
      <c r="I460" s="38" t="b">
        <v>0</v>
      </c>
      <c r="J460" s="103"/>
      <c r="K460" s="103"/>
    </row>
    <row r="461">
      <c r="A461" s="104"/>
      <c r="B461" s="38"/>
      <c r="E461" s="101"/>
      <c r="F461" s="101" t="str">
        <f t="array" ref="F461">IF(E461="","",IFERROR(_xlfn.XLOOKUP(E461,SyncCodex!N:N,SyncCodex!O:O),""))</f>
        <v/>
      </c>
      <c r="G461" s="102"/>
      <c r="H461" s="102" t="str">
        <f t="shared" si="1"/>
        <v/>
      </c>
      <c r="I461" s="38" t="b">
        <v>0</v>
      </c>
      <c r="J461" s="103"/>
      <c r="K461" s="103"/>
    </row>
    <row r="462">
      <c r="A462" s="104"/>
      <c r="B462" s="38"/>
      <c r="E462" s="101"/>
      <c r="F462" s="101" t="str">
        <f t="array" ref="F462">IF(E462="","",IFERROR(_xlfn.XLOOKUP(E462,SyncCodex!N:N,SyncCodex!O:O),""))</f>
        <v/>
      </c>
      <c r="G462" s="102"/>
      <c r="H462" s="102" t="str">
        <f t="shared" si="1"/>
        <v/>
      </c>
      <c r="I462" s="38" t="b">
        <v>0</v>
      </c>
      <c r="J462" s="103"/>
      <c r="K462" s="103"/>
    </row>
    <row r="463">
      <c r="A463" s="104"/>
      <c r="B463" s="38"/>
      <c r="E463" s="101"/>
      <c r="F463" s="101" t="str">
        <f t="array" ref="F463">IF(E463="","",IFERROR(_xlfn.XLOOKUP(E463,SyncCodex!N:N,SyncCodex!O:O),""))</f>
        <v/>
      </c>
      <c r="G463" s="102"/>
      <c r="H463" s="102" t="str">
        <f t="shared" si="1"/>
        <v/>
      </c>
      <c r="I463" s="38" t="b">
        <v>0</v>
      </c>
      <c r="J463" s="103"/>
      <c r="K463" s="103"/>
    </row>
    <row r="464">
      <c r="A464" s="104"/>
      <c r="B464" s="38"/>
      <c r="E464" s="101"/>
      <c r="F464" s="101" t="str">
        <f t="array" ref="F464">IF(E464="","",IFERROR(_xlfn.XLOOKUP(E464,SyncCodex!N:N,SyncCodex!O:O),""))</f>
        <v/>
      </c>
      <c r="G464" s="102"/>
      <c r="H464" s="102" t="str">
        <f t="shared" si="1"/>
        <v/>
      </c>
      <c r="I464" s="38" t="b">
        <v>0</v>
      </c>
      <c r="J464" s="103"/>
      <c r="K464" s="103"/>
    </row>
    <row r="465">
      <c r="A465" s="104"/>
      <c r="B465" s="38"/>
      <c r="E465" s="101"/>
      <c r="F465" s="101" t="str">
        <f t="array" ref="F465">IF(E465="","",IFERROR(_xlfn.XLOOKUP(E465,SyncCodex!N:N,SyncCodex!O:O),""))</f>
        <v/>
      </c>
      <c r="G465" s="102"/>
      <c r="H465" s="102" t="str">
        <f t="shared" si="1"/>
        <v/>
      </c>
      <c r="I465" s="38" t="b">
        <v>0</v>
      </c>
      <c r="J465" s="103"/>
      <c r="K465" s="103"/>
    </row>
    <row r="466">
      <c r="A466" s="104"/>
      <c r="B466" s="38"/>
      <c r="E466" s="101"/>
      <c r="F466" s="101" t="str">
        <f t="array" ref="F466">IF(E466="","",IFERROR(_xlfn.XLOOKUP(E466,SyncCodex!N:N,SyncCodex!O:O),""))</f>
        <v/>
      </c>
      <c r="G466" s="102"/>
      <c r="H466" s="102" t="str">
        <f t="shared" si="1"/>
        <v/>
      </c>
      <c r="I466" s="38" t="b">
        <v>0</v>
      </c>
      <c r="J466" s="103"/>
      <c r="K466" s="103"/>
    </row>
    <row r="467">
      <c r="A467" s="104"/>
      <c r="B467" s="38"/>
      <c r="E467" s="101"/>
      <c r="F467" s="101" t="str">
        <f t="array" ref="F467">IF(E467="","",IFERROR(_xlfn.XLOOKUP(E467,SyncCodex!N:N,SyncCodex!O:O),""))</f>
        <v/>
      </c>
      <c r="G467" s="102"/>
      <c r="H467" s="102" t="str">
        <f t="shared" si="1"/>
        <v/>
      </c>
      <c r="I467" s="38" t="b">
        <v>0</v>
      </c>
      <c r="J467" s="103"/>
      <c r="K467" s="103"/>
    </row>
    <row r="468">
      <c r="A468" s="104"/>
      <c r="B468" s="38"/>
      <c r="E468" s="101"/>
      <c r="F468" s="101" t="str">
        <f t="array" ref="F468">IF(E468="","",IFERROR(_xlfn.XLOOKUP(E468,SyncCodex!N:N,SyncCodex!O:O),""))</f>
        <v/>
      </c>
      <c r="G468" s="102"/>
      <c r="H468" s="102" t="str">
        <f t="shared" si="1"/>
        <v/>
      </c>
      <c r="I468" s="38" t="b">
        <v>0</v>
      </c>
      <c r="J468" s="103"/>
      <c r="K468" s="103"/>
    </row>
    <row r="469">
      <c r="A469" s="104"/>
      <c r="B469" s="38"/>
      <c r="E469" s="101"/>
      <c r="F469" s="101" t="str">
        <f t="array" ref="F469">IF(E469="","",IFERROR(_xlfn.XLOOKUP(E469,SyncCodex!N:N,SyncCodex!O:O),""))</f>
        <v/>
      </c>
      <c r="G469" s="102"/>
      <c r="H469" s="102" t="str">
        <f t="shared" si="1"/>
        <v/>
      </c>
      <c r="I469" s="38" t="b">
        <v>0</v>
      </c>
      <c r="J469" s="103"/>
      <c r="K469" s="103"/>
    </row>
    <row r="470">
      <c r="A470" s="104"/>
      <c r="B470" s="38"/>
      <c r="E470" s="101"/>
      <c r="F470" s="101" t="str">
        <f t="array" ref="F470">IF(E470="","",IFERROR(_xlfn.XLOOKUP(E470,SyncCodex!N:N,SyncCodex!O:O),""))</f>
        <v/>
      </c>
      <c r="G470" s="102"/>
      <c r="H470" s="102" t="str">
        <f t="shared" si="1"/>
        <v/>
      </c>
      <c r="I470" s="38" t="b">
        <v>0</v>
      </c>
      <c r="J470" s="103"/>
      <c r="K470" s="103"/>
    </row>
    <row r="471">
      <c r="A471" s="104"/>
      <c r="B471" s="38"/>
      <c r="E471" s="101"/>
      <c r="F471" s="101" t="str">
        <f t="array" ref="F471">IF(E471="","",IFERROR(_xlfn.XLOOKUP(E471,SyncCodex!N:N,SyncCodex!O:O),""))</f>
        <v/>
      </c>
      <c r="G471" s="102"/>
      <c r="H471" s="102" t="str">
        <f t="shared" si="1"/>
        <v/>
      </c>
      <c r="I471" s="38" t="b">
        <v>0</v>
      </c>
      <c r="J471" s="103"/>
      <c r="K471" s="103"/>
    </row>
    <row r="472">
      <c r="A472" s="104"/>
      <c r="B472" s="38"/>
      <c r="E472" s="101"/>
      <c r="F472" s="101" t="str">
        <f t="array" ref="F472">IF(E472="","",IFERROR(_xlfn.XLOOKUP(E472,SyncCodex!N:N,SyncCodex!O:O),""))</f>
        <v/>
      </c>
      <c r="G472" s="102"/>
      <c r="H472" s="102" t="str">
        <f t="shared" si="1"/>
        <v/>
      </c>
      <c r="I472" s="38" t="b">
        <v>0</v>
      </c>
      <c r="J472" s="103"/>
      <c r="K472" s="103"/>
    </row>
    <row r="473">
      <c r="A473" s="104"/>
      <c r="B473" s="38"/>
      <c r="E473" s="101"/>
      <c r="F473" s="101" t="str">
        <f t="array" ref="F473">IF(E473="","",IFERROR(_xlfn.XLOOKUP(E473,SyncCodex!N:N,SyncCodex!O:O),""))</f>
        <v/>
      </c>
      <c r="G473" s="102"/>
      <c r="H473" s="102" t="str">
        <f t="shared" si="1"/>
        <v/>
      </c>
      <c r="I473" s="38" t="b">
        <v>0</v>
      </c>
      <c r="J473" s="103"/>
      <c r="K473" s="103"/>
    </row>
    <row r="474">
      <c r="A474" s="104"/>
      <c r="B474" s="38"/>
      <c r="E474" s="101"/>
      <c r="F474" s="101" t="str">
        <f t="array" ref="F474">IF(E474="","",IFERROR(_xlfn.XLOOKUP(E474,SyncCodex!N:N,SyncCodex!O:O),""))</f>
        <v/>
      </c>
      <c r="G474" s="102"/>
      <c r="H474" s="102" t="str">
        <f t="shared" si="1"/>
        <v/>
      </c>
      <c r="I474" s="38" t="b">
        <v>0</v>
      </c>
      <c r="J474" s="103"/>
      <c r="K474" s="103"/>
    </row>
    <row r="475">
      <c r="A475" s="104"/>
      <c r="B475" s="38"/>
      <c r="E475" s="101"/>
      <c r="F475" s="101" t="str">
        <f t="array" ref="F475">IF(E475="","",IFERROR(_xlfn.XLOOKUP(E475,SyncCodex!N:N,SyncCodex!O:O),""))</f>
        <v/>
      </c>
      <c r="G475" s="102"/>
      <c r="H475" s="102" t="str">
        <f t="shared" si="1"/>
        <v/>
      </c>
      <c r="I475" s="38" t="b">
        <v>0</v>
      </c>
      <c r="J475" s="103"/>
      <c r="K475" s="103"/>
    </row>
    <row r="476">
      <c r="A476" s="104"/>
      <c r="B476" s="38"/>
      <c r="E476" s="101"/>
      <c r="F476" s="101" t="str">
        <f t="array" ref="F476">IF(E476="","",IFERROR(_xlfn.XLOOKUP(E476,SyncCodex!N:N,SyncCodex!O:O),""))</f>
        <v/>
      </c>
      <c r="G476" s="102"/>
      <c r="H476" s="102" t="str">
        <f t="shared" si="1"/>
        <v/>
      </c>
      <c r="I476" s="38" t="b">
        <v>0</v>
      </c>
      <c r="J476" s="103"/>
      <c r="K476" s="103"/>
    </row>
    <row r="477">
      <c r="A477" s="104"/>
      <c r="B477" s="38"/>
      <c r="E477" s="101"/>
      <c r="F477" s="101" t="str">
        <f t="array" ref="F477">IF(E477="","",IFERROR(_xlfn.XLOOKUP(E477,SyncCodex!N:N,SyncCodex!O:O),""))</f>
        <v/>
      </c>
      <c r="G477" s="102"/>
      <c r="H477" s="102" t="str">
        <f t="shared" si="1"/>
        <v/>
      </c>
      <c r="I477" s="38" t="b">
        <v>0</v>
      </c>
      <c r="J477" s="103"/>
      <c r="K477" s="103"/>
    </row>
    <row r="478">
      <c r="A478" s="104"/>
      <c r="B478" s="38"/>
      <c r="E478" s="101"/>
      <c r="F478" s="101" t="str">
        <f t="array" ref="F478">IF(E478="","",IFERROR(_xlfn.XLOOKUP(E478,SyncCodex!N:N,SyncCodex!O:O),""))</f>
        <v/>
      </c>
      <c r="G478" s="102"/>
      <c r="H478" s="102" t="str">
        <f t="shared" si="1"/>
        <v/>
      </c>
      <c r="I478" s="38" t="b">
        <v>0</v>
      </c>
      <c r="J478" s="103"/>
      <c r="K478" s="103"/>
    </row>
    <row r="479">
      <c r="A479" s="104"/>
      <c r="B479" s="38"/>
      <c r="E479" s="101"/>
      <c r="F479" s="101" t="str">
        <f t="array" ref="F479">IF(E479="","",IFERROR(_xlfn.XLOOKUP(E479,SyncCodex!N:N,SyncCodex!O:O),""))</f>
        <v/>
      </c>
      <c r="G479" s="102"/>
      <c r="H479" s="102" t="str">
        <f t="shared" si="1"/>
        <v/>
      </c>
      <c r="I479" s="38" t="b">
        <v>0</v>
      </c>
      <c r="J479" s="103"/>
      <c r="K479" s="103"/>
    </row>
    <row r="480">
      <c r="A480" s="104"/>
      <c r="B480" s="38"/>
      <c r="E480" s="101"/>
      <c r="F480" s="101" t="str">
        <f t="array" ref="F480">IF(E480="","",IFERROR(_xlfn.XLOOKUP(E480,SyncCodex!N:N,SyncCodex!O:O),""))</f>
        <v/>
      </c>
      <c r="G480" s="102"/>
      <c r="H480" s="102" t="str">
        <f t="shared" si="1"/>
        <v/>
      </c>
      <c r="I480" s="38" t="b">
        <v>0</v>
      </c>
      <c r="J480" s="103"/>
      <c r="K480" s="103"/>
    </row>
    <row r="481">
      <c r="A481" s="104"/>
      <c r="B481" s="38"/>
      <c r="E481" s="101"/>
      <c r="F481" s="101" t="str">
        <f t="array" ref="F481">IF(E481="","",IFERROR(_xlfn.XLOOKUP(E481,SyncCodex!N:N,SyncCodex!O:O),""))</f>
        <v/>
      </c>
      <c r="G481" s="102"/>
      <c r="H481" s="102" t="str">
        <f t="shared" si="1"/>
        <v/>
      </c>
      <c r="I481" s="38" t="b">
        <v>0</v>
      </c>
      <c r="J481" s="103"/>
      <c r="K481" s="103"/>
    </row>
    <row r="482">
      <c r="A482" s="104"/>
      <c r="B482" s="38"/>
      <c r="E482" s="101"/>
      <c r="F482" s="101" t="str">
        <f t="array" ref="F482">IF(E482="","",IFERROR(_xlfn.XLOOKUP(E482,SyncCodex!N:N,SyncCodex!O:O),""))</f>
        <v/>
      </c>
      <c r="G482" s="102"/>
      <c r="H482" s="102" t="str">
        <f t="shared" si="1"/>
        <v/>
      </c>
      <c r="I482" s="38" t="b">
        <v>0</v>
      </c>
      <c r="J482" s="103"/>
      <c r="K482" s="103"/>
    </row>
    <row r="483">
      <c r="A483" s="104"/>
      <c r="B483" s="38"/>
      <c r="E483" s="101"/>
      <c r="F483" s="101" t="str">
        <f t="array" ref="F483">IF(E483="","",IFERROR(_xlfn.XLOOKUP(E483,SyncCodex!N:N,SyncCodex!O:O),""))</f>
        <v/>
      </c>
      <c r="G483" s="102"/>
      <c r="H483" s="102" t="str">
        <f t="shared" si="1"/>
        <v/>
      </c>
      <c r="I483" s="38" t="b">
        <v>0</v>
      </c>
      <c r="J483" s="103"/>
      <c r="K483" s="103"/>
    </row>
    <row r="484">
      <c r="A484" s="104"/>
      <c r="B484" s="38"/>
      <c r="E484" s="101"/>
      <c r="F484" s="101" t="str">
        <f t="array" ref="F484">IF(E484="","",IFERROR(_xlfn.XLOOKUP(E484,SyncCodex!N:N,SyncCodex!O:O),""))</f>
        <v/>
      </c>
      <c r="G484" s="102"/>
      <c r="H484" s="102" t="str">
        <f t="shared" si="1"/>
        <v/>
      </c>
      <c r="I484" s="38" t="b">
        <v>0</v>
      </c>
      <c r="J484" s="103"/>
      <c r="K484" s="103"/>
    </row>
    <row r="485">
      <c r="A485" s="104"/>
      <c r="B485" s="38"/>
      <c r="E485" s="101"/>
      <c r="F485" s="101" t="str">
        <f t="array" ref="F485">IF(E485="","",IFERROR(_xlfn.XLOOKUP(E485,SyncCodex!N:N,SyncCodex!O:O),""))</f>
        <v/>
      </c>
      <c r="G485" s="102"/>
      <c r="H485" s="102" t="str">
        <f t="shared" si="1"/>
        <v/>
      </c>
      <c r="I485" s="38" t="b">
        <v>0</v>
      </c>
      <c r="J485" s="103"/>
      <c r="K485" s="103"/>
    </row>
    <row r="486">
      <c r="A486" s="104"/>
      <c r="B486" s="38"/>
      <c r="E486" s="101"/>
      <c r="F486" s="101" t="str">
        <f t="array" ref="F486">IF(E486="","",IFERROR(_xlfn.XLOOKUP(E486,SyncCodex!N:N,SyncCodex!O:O),""))</f>
        <v/>
      </c>
      <c r="G486" s="102"/>
      <c r="H486" s="102" t="str">
        <f t="shared" si="1"/>
        <v/>
      </c>
      <c r="I486" s="38" t="b">
        <v>0</v>
      </c>
      <c r="J486" s="103"/>
      <c r="K486" s="103"/>
    </row>
    <row r="487">
      <c r="A487" s="104"/>
      <c r="B487" s="38"/>
      <c r="E487" s="101"/>
      <c r="F487" s="101" t="str">
        <f t="array" ref="F487">IF(E487="","",IFERROR(_xlfn.XLOOKUP(E487,SyncCodex!N:N,SyncCodex!O:O),""))</f>
        <v/>
      </c>
      <c r="G487" s="102"/>
      <c r="H487" s="102" t="str">
        <f t="shared" si="1"/>
        <v/>
      </c>
      <c r="I487" s="38" t="b">
        <v>0</v>
      </c>
      <c r="J487" s="103"/>
      <c r="K487" s="103"/>
    </row>
    <row r="488">
      <c r="A488" s="104"/>
      <c r="B488" s="38"/>
      <c r="E488" s="101"/>
      <c r="F488" s="101" t="str">
        <f t="array" ref="F488">IF(E488="","",IFERROR(_xlfn.XLOOKUP(E488,SyncCodex!N:N,SyncCodex!O:O),""))</f>
        <v/>
      </c>
      <c r="G488" s="102"/>
      <c r="H488" s="102" t="str">
        <f t="shared" si="1"/>
        <v/>
      </c>
      <c r="I488" s="38" t="b">
        <v>0</v>
      </c>
      <c r="J488" s="103"/>
      <c r="K488" s="103"/>
    </row>
    <row r="489">
      <c r="A489" s="104"/>
      <c r="B489" s="38"/>
      <c r="E489" s="101"/>
      <c r="F489" s="101" t="str">
        <f t="array" ref="F489">IF(E489="","",IFERROR(_xlfn.XLOOKUP(E489,SyncCodex!N:N,SyncCodex!O:O),""))</f>
        <v/>
      </c>
      <c r="G489" s="102"/>
      <c r="H489" s="102" t="str">
        <f t="shared" si="1"/>
        <v/>
      </c>
      <c r="I489" s="38" t="b">
        <v>0</v>
      </c>
      <c r="J489" s="103"/>
      <c r="K489" s="103"/>
    </row>
    <row r="490">
      <c r="A490" s="104"/>
      <c r="B490" s="38"/>
      <c r="E490" s="101"/>
      <c r="F490" s="101" t="str">
        <f t="array" ref="F490">IF(E490="","",IFERROR(_xlfn.XLOOKUP(E490,SyncCodex!N:N,SyncCodex!O:O),""))</f>
        <v/>
      </c>
      <c r="G490" s="102"/>
      <c r="H490" s="102" t="str">
        <f t="shared" si="1"/>
        <v/>
      </c>
      <c r="I490" s="38" t="b">
        <v>0</v>
      </c>
      <c r="J490" s="103"/>
      <c r="K490" s="103"/>
    </row>
    <row r="491">
      <c r="A491" s="104"/>
      <c r="B491" s="38"/>
      <c r="E491" s="101"/>
      <c r="F491" s="101" t="str">
        <f t="array" ref="F491">IF(E491="","",IFERROR(_xlfn.XLOOKUP(E491,SyncCodex!N:N,SyncCodex!O:O),""))</f>
        <v/>
      </c>
      <c r="G491" s="102"/>
      <c r="H491" s="102" t="str">
        <f t="shared" si="1"/>
        <v/>
      </c>
      <c r="I491" s="38" t="b">
        <v>0</v>
      </c>
      <c r="J491" s="103"/>
      <c r="K491" s="103"/>
    </row>
    <row r="492">
      <c r="A492" s="104"/>
      <c r="B492" s="38"/>
      <c r="E492" s="101"/>
      <c r="F492" s="101" t="str">
        <f t="array" ref="F492">IF(E492="","",IFERROR(_xlfn.XLOOKUP(E492,SyncCodex!N:N,SyncCodex!O:O),""))</f>
        <v/>
      </c>
      <c r="G492" s="102"/>
      <c r="H492" s="102" t="str">
        <f t="shared" si="1"/>
        <v/>
      </c>
      <c r="I492" s="38" t="b">
        <v>0</v>
      </c>
      <c r="J492" s="103"/>
      <c r="K492" s="103"/>
    </row>
    <row r="493">
      <c r="A493" s="104"/>
      <c r="B493" s="38"/>
      <c r="E493" s="101"/>
      <c r="F493" s="101" t="str">
        <f t="array" ref="F493">IF(E493="","",IFERROR(_xlfn.XLOOKUP(E493,SyncCodex!N:N,SyncCodex!O:O),""))</f>
        <v/>
      </c>
      <c r="G493" s="102"/>
      <c r="H493" s="102" t="str">
        <f t="shared" si="1"/>
        <v/>
      </c>
      <c r="I493" s="38" t="b">
        <v>0</v>
      </c>
      <c r="J493" s="103"/>
      <c r="K493" s="103"/>
    </row>
    <row r="494">
      <c r="A494" s="104"/>
      <c r="B494" s="38"/>
      <c r="E494" s="101"/>
      <c r="F494" s="101" t="str">
        <f t="array" ref="F494">IF(E494="","",IFERROR(_xlfn.XLOOKUP(E494,SyncCodex!N:N,SyncCodex!O:O),""))</f>
        <v/>
      </c>
      <c r="G494" s="102"/>
      <c r="H494" s="102" t="str">
        <f t="shared" si="1"/>
        <v/>
      </c>
      <c r="I494" s="38" t="b">
        <v>0</v>
      </c>
      <c r="J494" s="103"/>
      <c r="K494" s="103"/>
    </row>
    <row r="495">
      <c r="A495" s="104"/>
      <c r="B495" s="38"/>
      <c r="E495" s="101"/>
      <c r="F495" s="101" t="str">
        <f t="array" ref="F495">IF(E495="","",IFERROR(_xlfn.XLOOKUP(E495,SyncCodex!N:N,SyncCodex!O:O),""))</f>
        <v/>
      </c>
      <c r="G495" s="102"/>
      <c r="H495" s="102" t="str">
        <f t="shared" si="1"/>
        <v/>
      </c>
      <c r="I495" s="38" t="b">
        <v>0</v>
      </c>
      <c r="J495" s="103"/>
      <c r="K495" s="103"/>
    </row>
    <row r="496">
      <c r="A496" s="104"/>
      <c r="B496" s="38"/>
      <c r="E496" s="101"/>
      <c r="F496" s="101" t="str">
        <f t="array" ref="F496">IF(E496="","",IFERROR(_xlfn.XLOOKUP(E496,SyncCodex!N:N,SyncCodex!O:O),""))</f>
        <v/>
      </c>
      <c r="G496" s="102"/>
      <c r="H496" s="102" t="str">
        <f t="shared" si="1"/>
        <v/>
      </c>
      <c r="I496" s="38" t="b">
        <v>0</v>
      </c>
      <c r="J496" s="103"/>
      <c r="K496" s="103"/>
    </row>
    <row r="497">
      <c r="A497" s="104"/>
      <c r="B497" s="38"/>
      <c r="E497" s="101"/>
      <c r="F497" s="101" t="str">
        <f t="array" ref="F497">IF(E497="","",IFERROR(_xlfn.XLOOKUP(E497,SyncCodex!N:N,SyncCodex!O:O),""))</f>
        <v/>
      </c>
      <c r="G497" s="102"/>
      <c r="H497" s="102" t="str">
        <f t="shared" si="1"/>
        <v/>
      </c>
      <c r="I497" s="38" t="b">
        <v>0</v>
      </c>
      <c r="J497" s="103"/>
      <c r="K497" s="103"/>
    </row>
    <row r="498">
      <c r="A498" s="104"/>
      <c r="B498" s="38"/>
      <c r="E498" s="101"/>
      <c r="F498" s="101" t="str">
        <f t="array" ref="F498">IF(E498="","",IFERROR(_xlfn.XLOOKUP(E498,SyncCodex!N:N,SyncCodex!O:O),""))</f>
        <v/>
      </c>
      <c r="G498" s="102"/>
      <c r="H498" s="102" t="str">
        <f t="shared" si="1"/>
        <v/>
      </c>
      <c r="I498" s="38" t="b">
        <v>0</v>
      </c>
      <c r="J498" s="103"/>
      <c r="K498" s="103"/>
    </row>
    <row r="499">
      <c r="A499" s="104"/>
      <c r="B499" s="38"/>
      <c r="E499" s="101"/>
      <c r="F499" s="101" t="str">
        <f t="array" ref="F499">IF(E499="","",IFERROR(_xlfn.XLOOKUP(E499,SyncCodex!N:N,SyncCodex!O:O),""))</f>
        <v/>
      </c>
      <c r="G499" s="102"/>
      <c r="H499" s="102" t="str">
        <f t="shared" si="1"/>
        <v/>
      </c>
      <c r="I499" s="38" t="b">
        <v>0</v>
      </c>
      <c r="J499" s="103"/>
      <c r="K499" s="103"/>
    </row>
    <row r="500">
      <c r="A500" s="104"/>
      <c r="B500" s="38"/>
      <c r="E500" s="101"/>
      <c r="F500" s="101" t="str">
        <f t="array" ref="F500">IF(E500="","",IFERROR(_xlfn.XLOOKUP(E500,SyncCodex!N:N,SyncCodex!O:O),""))</f>
        <v/>
      </c>
      <c r="G500" s="102"/>
      <c r="H500" s="102" t="str">
        <f t="shared" si="1"/>
        <v/>
      </c>
      <c r="I500" s="38" t="b">
        <v>0</v>
      </c>
      <c r="J500" s="103"/>
      <c r="K500" s="103"/>
    </row>
    <row r="501">
      <c r="A501" s="104"/>
      <c r="B501" s="38"/>
      <c r="E501" s="101"/>
      <c r="F501" s="101" t="str">
        <f t="array" ref="F501">IF(E501="","",IFERROR(_xlfn.XLOOKUP(E501,SyncCodex!N:N,SyncCodex!O:O),""))</f>
        <v/>
      </c>
      <c r="G501" s="102"/>
      <c r="H501" s="102" t="str">
        <f t="shared" si="1"/>
        <v/>
      </c>
      <c r="I501" s="38" t="b">
        <v>0</v>
      </c>
      <c r="J501" s="103"/>
      <c r="K501" s="103"/>
    </row>
    <row r="502">
      <c r="A502" s="104"/>
      <c r="B502" s="38"/>
      <c r="E502" s="101"/>
      <c r="F502" s="101" t="str">
        <f t="array" ref="F502">IF(E502="","",IFERROR(_xlfn.XLOOKUP(E502,SyncCodex!N:N,SyncCodex!O:O),""))</f>
        <v/>
      </c>
      <c r="G502" s="102"/>
      <c r="H502" s="102" t="str">
        <f t="shared" si="1"/>
        <v/>
      </c>
      <c r="I502" s="38" t="b">
        <v>0</v>
      </c>
      <c r="J502" s="103"/>
      <c r="K502" s="103"/>
    </row>
    <row r="503">
      <c r="A503" s="104"/>
      <c r="B503" s="38"/>
      <c r="E503" s="101"/>
      <c r="F503" s="101" t="str">
        <f t="array" ref="F503">IF(E503="","",IFERROR(_xlfn.XLOOKUP(E503,SyncCodex!N:N,SyncCodex!O:O),""))</f>
        <v/>
      </c>
      <c r="G503" s="102"/>
      <c r="H503" s="102" t="str">
        <f t="shared" si="1"/>
        <v/>
      </c>
      <c r="I503" s="38" t="b">
        <v>0</v>
      </c>
      <c r="J503" s="103"/>
      <c r="K503" s="103"/>
    </row>
    <row r="504">
      <c r="A504" s="104"/>
      <c r="B504" s="38"/>
      <c r="E504" s="101"/>
      <c r="F504" s="101" t="str">
        <f t="array" ref="F504">IF(E504="","",IFERROR(_xlfn.XLOOKUP(E504,SyncCodex!N:N,SyncCodex!O:O),""))</f>
        <v/>
      </c>
      <c r="G504" s="102"/>
      <c r="H504" s="102" t="str">
        <f t="shared" si="1"/>
        <v/>
      </c>
      <c r="I504" s="38" t="b">
        <v>0</v>
      </c>
      <c r="J504" s="103"/>
      <c r="K504" s="103"/>
    </row>
    <row r="505">
      <c r="A505" s="104"/>
      <c r="B505" s="38"/>
      <c r="E505" s="101"/>
      <c r="F505" s="101" t="str">
        <f t="array" ref="F505">IF(E505="","",IFERROR(_xlfn.XLOOKUP(E505,SyncCodex!N:N,SyncCodex!O:O),""))</f>
        <v/>
      </c>
      <c r="G505" s="102"/>
      <c r="H505" s="102" t="str">
        <f t="shared" si="1"/>
        <v/>
      </c>
      <c r="I505" s="38" t="b">
        <v>0</v>
      </c>
      <c r="J505" s="103"/>
      <c r="K505" s="103"/>
    </row>
    <row r="506">
      <c r="A506" s="104"/>
      <c r="B506" s="38"/>
      <c r="E506" s="101"/>
      <c r="F506" s="101" t="str">
        <f t="array" ref="F506">IF(E506="","",IFERROR(_xlfn.XLOOKUP(E506,SyncCodex!N:N,SyncCodex!O:O),""))</f>
        <v/>
      </c>
      <c r="G506" s="102"/>
      <c r="H506" s="102" t="str">
        <f t="shared" si="1"/>
        <v/>
      </c>
      <c r="I506" s="38" t="b">
        <v>0</v>
      </c>
      <c r="J506" s="103"/>
      <c r="K506" s="103"/>
    </row>
    <row r="507">
      <c r="A507" s="104"/>
      <c r="B507" s="38"/>
      <c r="E507" s="101"/>
      <c r="F507" s="101" t="str">
        <f t="array" ref="F507">IF(E507="","",IFERROR(_xlfn.XLOOKUP(E507,SyncCodex!N:N,SyncCodex!O:O),""))</f>
        <v/>
      </c>
      <c r="G507" s="102"/>
      <c r="H507" s="102" t="str">
        <f t="shared" si="1"/>
        <v/>
      </c>
      <c r="I507" s="38" t="b">
        <v>0</v>
      </c>
      <c r="J507" s="103"/>
      <c r="K507" s="103"/>
    </row>
    <row r="508">
      <c r="A508" s="104"/>
      <c r="B508" s="38"/>
      <c r="E508" s="101"/>
      <c r="F508" s="101" t="str">
        <f t="array" ref="F508">IF(E508="","",IFERROR(_xlfn.XLOOKUP(E508,SyncCodex!N:N,SyncCodex!O:O),""))</f>
        <v/>
      </c>
      <c r="G508" s="102"/>
      <c r="H508" s="102" t="str">
        <f t="shared" si="1"/>
        <v/>
      </c>
      <c r="I508" s="38" t="b">
        <v>0</v>
      </c>
      <c r="J508" s="103"/>
      <c r="K508" s="103"/>
    </row>
    <row r="509">
      <c r="A509" s="104"/>
      <c r="B509" s="38"/>
      <c r="E509" s="101"/>
      <c r="F509" s="101" t="str">
        <f t="array" ref="F509">IF(E509="","",IFERROR(_xlfn.XLOOKUP(E509,SyncCodex!N:N,SyncCodex!O:O),""))</f>
        <v/>
      </c>
      <c r="G509" s="102"/>
      <c r="H509" s="102" t="str">
        <f t="shared" si="1"/>
        <v/>
      </c>
      <c r="I509" s="38" t="b">
        <v>0</v>
      </c>
      <c r="J509" s="103"/>
      <c r="K509" s="103"/>
    </row>
    <row r="510">
      <c r="A510" s="104"/>
      <c r="B510" s="38"/>
      <c r="E510" s="101"/>
      <c r="F510" s="101" t="str">
        <f t="array" ref="F510">IF(E510="","",IFERROR(_xlfn.XLOOKUP(E510,SyncCodex!N:N,SyncCodex!O:O),""))</f>
        <v/>
      </c>
      <c r="G510" s="102"/>
      <c r="H510" s="102" t="str">
        <f t="shared" si="1"/>
        <v/>
      </c>
      <c r="I510" s="38" t="b">
        <v>0</v>
      </c>
      <c r="J510" s="103"/>
      <c r="K510" s="103"/>
    </row>
    <row r="511">
      <c r="A511" s="104"/>
      <c r="B511" s="38"/>
      <c r="E511" s="101"/>
      <c r="F511" s="101" t="str">
        <f t="array" ref="F511">IF(E511="","",IFERROR(_xlfn.XLOOKUP(E511,SyncCodex!N:N,SyncCodex!O:O),""))</f>
        <v/>
      </c>
      <c r="G511" s="102"/>
      <c r="H511" s="102" t="str">
        <f t="shared" si="1"/>
        <v/>
      </c>
      <c r="I511" s="38" t="b">
        <v>0</v>
      </c>
      <c r="J511" s="103"/>
      <c r="K511" s="103"/>
    </row>
    <row r="512">
      <c r="A512" s="104"/>
      <c r="B512" s="38"/>
      <c r="E512" s="101"/>
      <c r="F512" s="101" t="str">
        <f t="array" ref="F512">IF(E512="","",IFERROR(_xlfn.XLOOKUP(E512,SyncCodex!N:N,SyncCodex!O:O),""))</f>
        <v/>
      </c>
      <c r="G512" s="102"/>
      <c r="H512" s="102" t="str">
        <f t="shared" si="1"/>
        <v/>
      </c>
      <c r="I512" s="38" t="b">
        <v>0</v>
      </c>
      <c r="J512" s="103"/>
      <c r="K512" s="103"/>
    </row>
    <row r="513">
      <c r="A513" s="104"/>
      <c r="B513" s="38"/>
      <c r="E513" s="101"/>
      <c r="F513" s="101" t="str">
        <f t="array" ref="F513">IF(E513="","",IFERROR(_xlfn.XLOOKUP(E513,SyncCodex!N:N,SyncCodex!O:O),""))</f>
        <v/>
      </c>
      <c r="G513" s="102"/>
      <c r="H513" s="102" t="str">
        <f t="shared" si="1"/>
        <v/>
      </c>
      <c r="I513" s="38" t="b">
        <v>0</v>
      </c>
      <c r="J513" s="103"/>
      <c r="K513" s="103"/>
    </row>
    <row r="514">
      <c r="A514" s="104"/>
      <c r="B514" s="38"/>
      <c r="E514" s="101"/>
      <c r="F514" s="101" t="str">
        <f t="array" ref="F514">IF(E514="","",IFERROR(_xlfn.XLOOKUP(E514,SyncCodex!N:N,SyncCodex!O:O),""))</f>
        <v/>
      </c>
      <c r="G514" s="102"/>
      <c r="H514" s="102" t="str">
        <f t="shared" si="1"/>
        <v/>
      </c>
      <c r="I514" s="38" t="b">
        <v>0</v>
      </c>
      <c r="J514" s="103"/>
      <c r="K514" s="103"/>
    </row>
    <row r="515">
      <c r="A515" s="104"/>
      <c r="B515" s="38"/>
      <c r="E515" s="101"/>
      <c r="F515" s="101" t="str">
        <f t="array" ref="F515">IF(E515="","",IFERROR(_xlfn.XLOOKUP(E515,SyncCodex!N:N,SyncCodex!O:O),""))</f>
        <v/>
      </c>
      <c r="G515" s="102"/>
      <c r="H515" s="102" t="str">
        <f t="shared" si="1"/>
        <v/>
      </c>
      <c r="I515" s="38" t="b">
        <v>0</v>
      </c>
      <c r="J515" s="103"/>
      <c r="K515" s="103"/>
    </row>
    <row r="516">
      <c r="A516" s="104"/>
      <c r="B516" s="38"/>
      <c r="E516" s="101"/>
      <c r="F516" s="101" t="str">
        <f t="array" ref="F516">IF(E516="","",IFERROR(_xlfn.XLOOKUP(E516,SyncCodex!N:N,SyncCodex!O:O),""))</f>
        <v/>
      </c>
      <c r="G516" s="102"/>
      <c r="H516" s="102" t="str">
        <f t="shared" si="1"/>
        <v/>
      </c>
      <c r="I516" s="38" t="b">
        <v>0</v>
      </c>
      <c r="J516" s="103"/>
      <c r="K516" s="103"/>
    </row>
    <row r="517">
      <c r="A517" s="104"/>
      <c r="B517" s="38"/>
      <c r="E517" s="101"/>
      <c r="F517" s="101" t="str">
        <f t="array" ref="F517">IF(E517="","",IFERROR(_xlfn.XLOOKUP(E517,SyncCodex!N:N,SyncCodex!O:O),""))</f>
        <v/>
      </c>
      <c r="G517" s="102"/>
      <c r="H517" s="102" t="str">
        <f t="shared" si="1"/>
        <v/>
      </c>
      <c r="I517" s="38" t="b">
        <v>0</v>
      </c>
      <c r="J517" s="103"/>
      <c r="K517" s="103"/>
    </row>
    <row r="518">
      <c r="A518" s="104"/>
      <c r="B518" s="38"/>
      <c r="E518" s="101"/>
      <c r="F518" s="101" t="str">
        <f t="array" ref="F518">IF(E518="","",IFERROR(_xlfn.XLOOKUP(E518,SyncCodex!N:N,SyncCodex!O:O),""))</f>
        <v/>
      </c>
      <c r="G518" s="102"/>
      <c r="H518" s="102" t="str">
        <f t="shared" si="1"/>
        <v/>
      </c>
      <c r="I518" s="38" t="b">
        <v>0</v>
      </c>
      <c r="J518" s="103"/>
      <c r="K518" s="103"/>
    </row>
    <row r="519">
      <c r="A519" s="104"/>
      <c r="B519" s="38"/>
      <c r="E519" s="101"/>
      <c r="F519" s="101" t="str">
        <f t="array" ref="F519">IF(E519="","",IFERROR(_xlfn.XLOOKUP(E519,SyncCodex!N:N,SyncCodex!O:O),""))</f>
        <v/>
      </c>
      <c r="G519" s="102"/>
      <c r="H519" s="102" t="str">
        <f t="shared" si="1"/>
        <v/>
      </c>
      <c r="I519" s="38" t="b">
        <v>0</v>
      </c>
      <c r="J519" s="103"/>
      <c r="K519" s="103"/>
    </row>
    <row r="520">
      <c r="A520" s="104"/>
      <c r="B520" s="38"/>
      <c r="E520" s="101"/>
      <c r="F520" s="101" t="str">
        <f t="array" ref="F520">IF(E520="","",IFERROR(_xlfn.XLOOKUP(E520,SyncCodex!N:N,SyncCodex!O:O),""))</f>
        <v/>
      </c>
      <c r="G520" s="102"/>
      <c r="H520" s="102" t="str">
        <f t="shared" si="1"/>
        <v/>
      </c>
      <c r="I520" s="38" t="b">
        <v>0</v>
      </c>
      <c r="J520" s="103"/>
      <c r="K520" s="103"/>
    </row>
    <row r="521">
      <c r="A521" s="104"/>
      <c r="B521" s="38"/>
      <c r="E521" s="101"/>
      <c r="F521" s="101" t="str">
        <f t="array" ref="F521">IF(E521="","",IFERROR(_xlfn.XLOOKUP(E521,SyncCodex!N:N,SyncCodex!O:O),""))</f>
        <v/>
      </c>
      <c r="G521" s="102"/>
      <c r="H521" s="102" t="str">
        <f t="shared" si="1"/>
        <v/>
      </c>
      <c r="I521" s="38" t="b">
        <v>0</v>
      </c>
      <c r="J521" s="103"/>
      <c r="K521" s="103"/>
    </row>
    <row r="522">
      <c r="A522" s="104"/>
      <c r="B522" s="38"/>
      <c r="E522" s="101"/>
      <c r="F522" s="101" t="str">
        <f t="array" ref="F522">IF(E522="","",IFERROR(_xlfn.XLOOKUP(E522,SyncCodex!N:N,SyncCodex!O:O),""))</f>
        <v/>
      </c>
      <c r="G522" s="102"/>
      <c r="H522" s="102" t="str">
        <f t="shared" si="1"/>
        <v/>
      </c>
      <c r="I522" s="38" t="b">
        <v>0</v>
      </c>
      <c r="J522" s="103"/>
      <c r="K522" s="103"/>
    </row>
    <row r="523">
      <c r="A523" s="104"/>
      <c r="B523" s="38"/>
      <c r="E523" s="101"/>
      <c r="F523" s="101" t="str">
        <f t="array" ref="F523">IF(E523="","",IFERROR(_xlfn.XLOOKUP(E523,SyncCodex!N:N,SyncCodex!O:O),""))</f>
        <v/>
      </c>
      <c r="G523" s="102"/>
      <c r="H523" s="102" t="str">
        <f t="shared" si="1"/>
        <v/>
      </c>
      <c r="I523" s="38" t="b">
        <v>0</v>
      </c>
      <c r="J523" s="103"/>
      <c r="K523" s="103"/>
    </row>
    <row r="524">
      <c r="A524" s="104"/>
      <c r="B524" s="38"/>
      <c r="E524" s="101"/>
      <c r="F524" s="101" t="str">
        <f t="array" ref="F524">IF(E524="","",IFERROR(_xlfn.XLOOKUP(E524,SyncCodex!N:N,SyncCodex!O:O),""))</f>
        <v/>
      </c>
      <c r="G524" s="102"/>
      <c r="H524" s="102" t="str">
        <f t="shared" si="1"/>
        <v/>
      </c>
      <c r="I524" s="38" t="b">
        <v>0</v>
      </c>
      <c r="J524" s="103"/>
      <c r="K524" s="103"/>
    </row>
    <row r="525">
      <c r="A525" s="104"/>
      <c r="B525" s="38"/>
      <c r="E525" s="101"/>
      <c r="F525" s="101" t="str">
        <f t="array" ref="F525">IF(E525="","",IFERROR(_xlfn.XLOOKUP(E525,SyncCodex!N:N,SyncCodex!O:O),""))</f>
        <v/>
      </c>
      <c r="G525" s="102"/>
      <c r="H525" s="102" t="str">
        <f t="shared" si="1"/>
        <v/>
      </c>
      <c r="I525" s="38" t="b">
        <v>0</v>
      </c>
      <c r="J525" s="103"/>
      <c r="K525" s="103"/>
    </row>
    <row r="526">
      <c r="A526" s="104"/>
      <c r="B526" s="38"/>
      <c r="E526" s="101"/>
      <c r="F526" s="101" t="str">
        <f t="array" ref="F526">IF(E526="","",IFERROR(_xlfn.XLOOKUP(E526,SyncCodex!N:N,SyncCodex!O:O),""))</f>
        <v/>
      </c>
      <c r="G526" s="102"/>
      <c r="H526" s="102" t="str">
        <f t="shared" si="1"/>
        <v/>
      </c>
      <c r="I526" s="38" t="b">
        <v>0</v>
      </c>
      <c r="J526" s="103"/>
      <c r="K526" s="103"/>
    </row>
    <row r="527">
      <c r="A527" s="104"/>
      <c r="B527" s="38"/>
      <c r="E527" s="101"/>
      <c r="F527" s="101" t="str">
        <f t="array" ref="F527">IF(E527="","",IFERROR(_xlfn.XLOOKUP(E527,SyncCodex!N:N,SyncCodex!O:O),""))</f>
        <v/>
      </c>
      <c r="G527" s="102"/>
      <c r="H527" s="102" t="str">
        <f t="shared" si="1"/>
        <v/>
      </c>
      <c r="I527" s="38" t="b">
        <v>0</v>
      </c>
      <c r="J527" s="103"/>
      <c r="K527" s="103"/>
    </row>
    <row r="528">
      <c r="A528" s="104"/>
      <c r="B528" s="38"/>
      <c r="E528" s="101"/>
      <c r="F528" s="101" t="str">
        <f t="array" ref="F528">IF(E528="","",IFERROR(_xlfn.XLOOKUP(E528,SyncCodex!N:N,SyncCodex!O:O),""))</f>
        <v/>
      </c>
      <c r="G528" s="102"/>
      <c r="H528" s="102" t="str">
        <f t="shared" si="1"/>
        <v/>
      </c>
      <c r="I528" s="38" t="b">
        <v>0</v>
      </c>
      <c r="J528" s="103"/>
      <c r="K528" s="103"/>
    </row>
    <row r="529">
      <c r="A529" s="104"/>
      <c r="B529" s="38"/>
      <c r="E529" s="101"/>
      <c r="F529" s="101" t="str">
        <f t="array" ref="F529">IF(E529="","",IFERROR(_xlfn.XLOOKUP(E529,SyncCodex!N:N,SyncCodex!O:O),""))</f>
        <v/>
      </c>
      <c r="G529" s="102"/>
      <c r="H529" s="102" t="str">
        <f t="shared" si="1"/>
        <v/>
      </c>
      <c r="I529" s="38" t="b">
        <v>0</v>
      </c>
      <c r="J529" s="103"/>
      <c r="K529" s="103"/>
    </row>
    <row r="530">
      <c r="A530" s="104"/>
      <c r="B530" s="38"/>
      <c r="E530" s="101"/>
      <c r="F530" s="101" t="str">
        <f t="array" ref="F530">IF(E530="","",IFERROR(_xlfn.XLOOKUP(E530,SyncCodex!N:N,SyncCodex!O:O),""))</f>
        <v/>
      </c>
      <c r="G530" s="102"/>
      <c r="H530" s="102" t="str">
        <f t="shared" si="1"/>
        <v/>
      </c>
      <c r="I530" s="38" t="b">
        <v>0</v>
      </c>
      <c r="J530" s="103"/>
      <c r="K530" s="103"/>
    </row>
    <row r="531">
      <c r="A531" s="104"/>
      <c r="B531" s="38"/>
      <c r="E531" s="101"/>
      <c r="F531" s="101" t="str">
        <f t="array" ref="F531">IF(E531="","",IFERROR(_xlfn.XLOOKUP(E531,SyncCodex!N:N,SyncCodex!O:O),""))</f>
        <v/>
      </c>
      <c r="G531" s="102"/>
      <c r="H531" s="102" t="str">
        <f t="shared" si="1"/>
        <v/>
      </c>
      <c r="I531" s="38" t="b">
        <v>0</v>
      </c>
      <c r="J531" s="103"/>
      <c r="K531" s="103"/>
    </row>
    <row r="532">
      <c r="A532" s="104"/>
      <c r="B532" s="38"/>
      <c r="E532" s="101"/>
      <c r="F532" s="101" t="str">
        <f t="array" ref="F532">IF(E532="","",IFERROR(_xlfn.XLOOKUP(E532,SyncCodex!N:N,SyncCodex!O:O),""))</f>
        <v/>
      </c>
      <c r="G532" s="102"/>
      <c r="H532" s="102" t="str">
        <f t="shared" si="1"/>
        <v/>
      </c>
      <c r="I532" s="38" t="b">
        <v>0</v>
      </c>
      <c r="J532" s="103"/>
      <c r="K532" s="103"/>
    </row>
    <row r="533">
      <c r="A533" s="104"/>
      <c r="B533" s="38"/>
      <c r="E533" s="101"/>
      <c r="F533" s="101" t="str">
        <f t="array" ref="F533">IF(E533="","",IFERROR(_xlfn.XLOOKUP(E533,SyncCodex!N:N,SyncCodex!O:O),""))</f>
        <v/>
      </c>
      <c r="G533" s="102"/>
      <c r="H533" s="102" t="str">
        <f t="shared" si="1"/>
        <v/>
      </c>
      <c r="I533" s="38" t="b">
        <v>0</v>
      </c>
      <c r="J533" s="103"/>
      <c r="K533" s="103"/>
    </row>
    <row r="534">
      <c r="A534" s="104"/>
      <c r="B534" s="38"/>
      <c r="E534" s="101"/>
      <c r="F534" s="101" t="str">
        <f t="array" ref="F534">IF(E534="","",IFERROR(_xlfn.XLOOKUP(E534,SyncCodex!N:N,SyncCodex!O:O),""))</f>
        <v/>
      </c>
      <c r="G534" s="102"/>
      <c r="H534" s="102" t="str">
        <f t="shared" si="1"/>
        <v/>
      </c>
      <c r="I534" s="38" t="b">
        <v>0</v>
      </c>
      <c r="J534" s="103"/>
      <c r="K534" s="103"/>
    </row>
    <row r="535">
      <c r="A535" s="104"/>
      <c r="B535" s="38"/>
      <c r="E535" s="101"/>
      <c r="F535" s="101" t="str">
        <f t="array" ref="F535">IF(E535="","",IFERROR(_xlfn.XLOOKUP(E535,SyncCodex!N:N,SyncCodex!O:O),""))</f>
        <v/>
      </c>
      <c r="G535" s="102"/>
      <c r="H535" s="102" t="str">
        <f t="shared" si="1"/>
        <v/>
      </c>
      <c r="I535" s="38" t="b">
        <v>0</v>
      </c>
      <c r="J535" s="103"/>
      <c r="K535" s="103"/>
    </row>
    <row r="536">
      <c r="A536" s="104"/>
      <c r="B536" s="38"/>
      <c r="E536" s="101"/>
      <c r="F536" s="101" t="str">
        <f t="array" ref="F536">IF(E536="","",IFERROR(_xlfn.XLOOKUP(E536,SyncCodex!N:N,SyncCodex!O:O),""))</f>
        <v/>
      </c>
      <c r="G536" s="102"/>
      <c r="H536" s="102" t="str">
        <f t="shared" si="1"/>
        <v/>
      </c>
      <c r="I536" s="38" t="b">
        <v>0</v>
      </c>
      <c r="J536" s="103"/>
      <c r="K536" s="103"/>
    </row>
    <row r="537">
      <c r="A537" s="104"/>
      <c r="B537" s="38"/>
      <c r="E537" s="101"/>
      <c r="F537" s="101" t="str">
        <f t="array" ref="F537">IF(E537="","",IFERROR(_xlfn.XLOOKUP(E537,SyncCodex!N:N,SyncCodex!O:O),""))</f>
        <v/>
      </c>
      <c r="G537" s="102"/>
      <c r="H537" s="102" t="str">
        <f t="shared" si="1"/>
        <v/>
      </c>
      <c r="I537" s="38" t="b">
        <v>0</v>
      </c>
      <c r="J537" s="103"/>
      <c r="K537" s="103"/>
    </row>
    <row r="538">
      <c r="A538" s="104"/>
      <c r="B538" s="38"/>
      <c r="E538" s="101"/>
      <c r="F538" s="101" t="str">
        <f t="array" ref="F538">IF(E538="","",IFERROR(_xlfn.XLOOKUP(E538,SyncCodex!N:N,SyncCodex!O:O),""))</f>
        <v/>
      </c>
      <c r="G538" s="102"/>
      <c r="H538" s="102" t="str">
        <f t="shared" si="1"/>
        <v/>
      </c>
      <c r="I538" s="38" t="b">
        <v>0</v>
      </c>
      <c r="J538" s="103"/>
      <c r="K538" s="103"/>
    </row>
    <row r="539">
      <c r="A539" s="104"/>
      <c r="B539" s="38"/>
      <c r="E539" s="101"/>
      <c r="F539" s="101" t="str">
        <f t="array" ref="F539">IF(E539="","",IFERROR(_xlfn.XLOOKUP(E539,SyncCodex!N:N,SyncCodex!O:O),""))</f>
        <v/>
      </c>
      <c r="G539" s="102"/>
      <c r="H539" s="102" t="str">
        <f t="shared" si="1"/>
        <v/>
      </c>
      <c r="I539" s="38" t="b">
        <v>0</v>
      </c>
      <c r="J539" s="103"/>
      <c r="K539" s="103"/>
    </row>
    <row r="540">
      <c r="A540" s="104"/>
      <c r="B540" s="38"/>
      <c r="E540" s="101"/>
      <c r="F540" s="101" t="str">
        <f t="array" ref="F540">IF(E540="","",IFERROR(_xlfn.XLOOKUP(E540,SyncCodex!N:N,SyncCodex!O:O),""))</f>
        <v/>
      </c>
      <c r="G540" s="102"/>
      <c r="H540" s="102" t="str">
        <f t="shared" si="1"/>
        <v/>
      </c>
      <c r="I540" s="38" t="b">
        <v>0</v>
      </c>
      <c r="J540" s="103"/>
      <c r="K540" s="103"/>
    </row>
    <row r="541">
      <c r="A541" s="104"/>
      <c r="B541" s="38"/>
      <c r="E541" s="101"/>
      <c r="F541" s="101" t="str">
        <f t="array" ref="F541">IF(E541="","",IFERROR(_xlfn.XLOOKUP(E541,SyncCodex!N:N,SyncCodex!O:O),""))</f>
        <v/>
      </c>
      <c r="G541" s="102"/>
      <c r="H541" s="102" t="str">
        <f t="shared" si="1"/>
        <v/>
      </c>
      <c r="I541" s="38" t="b">
        <v>0</v>
      </c>
      <c r="J541" s="103"/>
      <c r="K541" s="103"/>
    </row>
    <row r="542">
      <c r="A542" s="104"/>
      <c r="B542" s="38"/>
      <c r="E542" s="101"/>
      <c r="F542" s="101" t="str">
        <f t="array" ref="F542">IF(E542="","",IFERROR(_xlfn.XLOOKUP(E542,SyncCodex!N:N,SyncCodex!O:O),""))</f>
        <v/>
      </c>
      <c r="G542" s="102"/>
      <c r="H542" s="102" t="str">
        <f t="shared" si="1"/>
        <v/>
      </c>
      <c r="I542" s="38" t="b">
        <v>0</v>
      </c>
      <c r="J542" s="103"/>
      <c r="K542" s="103"/>
    </row>
    <row r="543">
      <c r="A543" s="104"/>
      <c r="B543" s="38"/>
      <c r="E543" s="101"/>
      <c r="F543" s="101" t="str">
        <f t="array" ref="F543">IF(E543="","",IFERROR(_xlfn.XLOOKUP(E543,SyncCodex!N:N,SyncCodex!O:O),""))</f>
        <v/>
      </c>
      <c r="G543" s="102"/>
      <c r="H543" s="102" t="str">
        <f t="shared" si="1"/>
        <v/>
      </c>
      <c r="I543" s="38" t="b">
        <v>0</v>
      </c>
      <c r="J543" s="103"/>
      <c r="K543" s="103"/>
    </row>
    <row r="544">
      <c r="A544" s="104"/>
      <c r="B544" s="38"/>
      <c r="E544" s="101"/>
      <c r="F544" s="101" t="str">
        <f t="array" ref="F544">IF(E544="","",IFERROR(_xlfn.XLOOKUP(E544,SyncCodex!N:N,SyncCodex!O:O),""))</f>
        <v/>
      </c>
      <c r="G544" s="102"/>
      <c r="H544" s="102" t="str">
        <f t="shared" si="1"/>
        <v/>
      </c>
      <c r="I544" s="38" t="b">
        <v>0</v>
      </c>
      <c r="J544" s="103"/>
      <c r="K544" s="103"/>
    </row>
    <row r="545">
      <c r="A545" s="104"/>
      <c r="B545" s="38"/>
      <c r="E545" s="101"/>
      <c r="F545" s="101" t="str">
        <f t="array" ref="F545">IF(E545="","",IFERROR(_xlfn.XLOOKUP(E545,SyncCodex!N:N,SyncCodex!O:O),""))</f>
        <v/>
      </c>
      <c r="G545" s="102"/>
      <c r="H545" s="102" t="str">
        <f t="shared" si="1"/>
        <v/>
      </c>
      <c r="I545" s="38" t="b">
        <v>0</v>
      </c>
      <c r="J545" s="103"/>
      <c r="K545" s="103"/>
    </row>
    <row r="546">
      <c r="A546" s="104"/>
      <c r="B546" s="38"/>
      <c r="E546" s="101"/>
      <c r="F546" s="101" t="str">
        <f t="array" ref="F546">IF(E546="","",IFERROR(_xlfn.XLOOKUP(E546,SyncCodex!N:N,SyncCodex!O:O),""))</f>
        <v/>
      </c>
      <c r="G546" s="102"/>
      <c r="H546" s="102" t="str">
        <f t="shared" si="1"/>
        <v/>
      </c>
      <c r="I546" s="38" t="b">
        <v>0</v>
      </c>
      <c r="J546" s="103"/>
      <c r="K546" s="103"/>
    </row>
    <row r="547">
      <c r="A547" s="104"/>
      <c r="B547" s="38"/>
      <c r="E547" s="101"/>
      <c r="F547" s="101" t="str">
        <f t="array" ref="F547">IF(E547="","",IFERROR(_xlfn.XLOOKUP(E547,SyncCodex!N:N,SyncCodex!O:O),""))</f>
        <v/>
      </c>
      <c r="G547" s="102"/>
      <c r="H547" s="102" t="str">
        <f t="shared" si="1"/>
        <v/>
      </c>
      <c r="I547" s="38" t="b">
        <v>0</v>
      </c>
      <c r="J547" s="103"/>
      <c r="K547" s="103"/>
    </row>
    <row r="548">
      <c r="A548" s="104"/>
      <c r="B548" s="38"/>
      <c r="E548" s="101"/>
      <c r="F548" s="101" t="str">
        <f t="array" ref="F548">IF(E548="","",IFERROR(_xlfn.XLOOKUP(E548,SyncCodex!N:N,SyncCodex!O:O),""))</f>
        <v/>
      </c>
      <c r="G548" s="102"/>
      <c r="H548" s="102" t="str">
        <f t="shared" si="1"/>
        <v/>
      </c>
      <c r="I548" s="38" t="b">
        <v>0</v>
      </c>
      <c r="J548" s="103"/>
      <c r="K548" s="103"/>
    </row>
    <row r="549">
      <c r="A549" s="104"/>
      <c r="B549" s="38"/>
      <c r="E549" s="101"/>
      <c r="F549" s="101" t="str">
        <f t="array" ref="F549">IF(E549="","",IFERROR(_xlfn.XLOOKUP(E549,SyncCodex!N:N,SyncCodex!O:O),""))</f>
        <v/>
      </c>
      <c r="G549" s="102"/>
      <c r="H549" s="102" t="str">
        <f t="shared" si="1"/>
        <v/>
      </c>
      <c r="I549" s="38" t="b">
        <v>0</v>
      </c>
      <c r="J549" s="103"/>
      <c r="K549" s="103"/>
    </row>
    <row r="550">
      <c r="A550" s="104"/>
      <c r="B550" s="38"/>
      <c r="E550" s="101"/>
      <c r="F550" s="101" t="str">
        <f t="array" ref="F550">IF(E550="","",IFERROR(_xlfn.XLOOKUP(E550,SyncCodex!N:N,SyncCodex!O:O),""))</f>
        <v/>
      </c>
      <c r="G550" s="102"/>
      <c r="H550" s="102" t="str">
        <f t="shared" si="1"/>
        <v/>
      </c>
      <c r="I550" s="38" t="b">
        <v>0</v>
      </c>
      <c r="J550" s="103"/>
      <c r="K550" s="103"/>
    </row>
    <row r="551">
      <c r="A551" s="104"/>
      <c r="B551" s="38"/>
      <c r="E551" s="101"/>
      <c r="F551" s="101" t="str">
        <f t="array" ref="F551">IF(E551="","",IFERROR(_xlfn.XLOOKUP(E551,SyncCodex!N:N,SyncCodex!O:O),""))</f>
        <v/>
      </c>
      <c r="G551" s="102"/>
      <c r="H551" s="102" t="str">
        <f t="shared" si="1"/>
        <v/>
      </c>
      <c r="I551" s="38" t="b">
        <v>0</v>
      </c>
      <c r="J551" s="103"/>
      <c r="K551" s="103"/>
    </row>
    <row r="552">
      <c r="A552" s="104"/>
      <c r="B552" s="38"/>
      <c r="E552" s="101"/>
      <c r="F552" s="101" t="str">
        <f t="array" ref="F552">IF(E552="","",IFERROR(_xlfn.XLOOKUP(E552,SyncCodex!N:N,SyncCodex!O:O),""))</f>
        <v/>
      </c>
      <c r="G552" s="102"/>
      <c r="H552" s="102" t="str">
        <f t="shared" si="1"/>
        <v/>
      </c>
      <c r="I552" s="38" t="b">
        <v>0</v>
      </c>
      <c r="J552" s="103"/>
      <c r="K552" s="103"/>
    </row>
    <row r="553">
      <c r="A553" s="104"/>
      <c r="B553" s="38"/>
      <c r="E553" s="101"/>
      <c r="F553" s="101" t="str">
        <f t="array" ref="F553">IF(E553="","",IFERROR(_xlfn.XLOOKUP(E553,SyncCodex!N:N,SyncCodex!O:O),""))</f>
        <v/>
      </c>
      <c r="G553" s="102"/>
      <c r="H553" s="102" t="str">
        <f t="shared" si="1"/>
        <v/>
      </c>
      <c r="I553" s="38" t="b">
        <v>0</v>
      </c>
      <c r="J553" s="103"/>
      <c r="K553" s="103"/>
    </row>
    <row r="554">
      <c r="A554" s="104"/>
      <c r="B554" s="38"/>
      <c r="E554" s="101"/>
      <c r="F554" s="101" t="str">
        <f t="array" ref="F554">IF(E554="","",IFERROR(_xlfn.XLOOKUP(E554,SyncCodex!N:N,SyncCodex!O:O),""))</f>
        <v/>
      </c>
      <c r="G554" s="102"/>
      <c r="H554" s="102" t="str">
        <f t="shared" si="1"/>
        <v/>
      </c>
      <c r="I554" s="38" t="b">
        <v>0</v>
      </c>
      <c r="J554" s="103"/>
      <c r="K554" s="103"/>
    </row>
    <row r="555">
      <c r="A555" s="104"/>
      <c r="B555" s="38"/>
      <c r="E555" s="101"/>
      <c r="F555" s="101" t="str">
        <f t="array" ref="F555">IF(E555="","",IFERROR(_xlfn.XLOOKUP(E555,SyncCodex!N:N,SyncCodex!O:O),""))</f>
        <v/>
      </c>
      <c r="G555" s="102"/>
      <c r="H555" s="102" t="str">
        <f t="shared" si="1"/>
        <v/>
      </c>
      <c r="I555" s="38" t="b">
        <v>0</v>
      </c>
      <c r="J555" s="103"/>
      <c r="K555" s="103"/>
    </row>
    <row r="556">
      <c r="A556" s="104"/>
      <c r="B556" s="38"/>
      <c r="E556" s="101"/>
      <c r="F556" s="101" t="str">
        <f t="array" ref="F556">IF(E556="","",IFERROR(_xlfn.XLOOKUP(E556,SyncCodex!N:N,SyncCodex!O:O),""))</f>
        <v/>
      </c>
      <c r="G556" s="102"/>
      <c r="H556" s="102" t="str">
        <f t="shared" si="1"/>
        <v/>
      </c>
      <c r="I556" s="38" t="b">
        <v>0</v>
      </c>
      <c r="J556" s="103"/>
      <c r="K556" s="103"/>
    </row>
    <row r="557">
      <c r="A557" s="104"/>
      <c r="B557" s="38"/>
      <c r="E557" s="101"/>
      <c r="F557" s="101" t="str">
        <f t="array" ref="F557">IF(E557="","",IFERROR(_xlfn.XLOOKUP(E557,SyncCodex!N:N,SyncCodex!O:O),""))</f>
        <v/>
      </c>
      <c r="G557" s="102"/>
      <c r="H557" s="102" t="str">
        <f t="shared" si="1"/>
        <v/>
      </c>
      <c r="I557" s="38" t="b">
        <v>0</v>
      </c>
      <c r="J557" s="103"/>
      <c r="K557" s="103"/>
    </row>
    <row r="558">
      <c r="A558" s="104"/>
      <c r="B558" s="38"/>
      <c r="E558" s="101"/>
      <c r="F558" s="101" t="str">
        <f t="array" ref="F558">IF(E558="","",IFERROR(_xlfn.XLOOKUP(E558,SyncCodex!N:N,SyncCodex!O:O),""))</f>
        <v/>
      </c>
      <c r="G558" s="102"/>
      <c r="H558" s="102" t="str">
        <f t="shared" si="1"/>
        <v/>
      </c>
      <c r="I558" s="38" t="b">
        <v>0</v>
      </c>
      <c r="J558" s="103"/>
      <c r="K558" s="103"/>
    </row>
    <row r="559">
      <c r="A559" s="104"/>
      <c r="B559" s="38"/>
      <c r="E559" s="101"/>
      <c r="F559" s="101" t="str">
        <f t="array" ref="F559">IF(E559="","",IFERROR(_xlfn.XLOOKUP(E559,SyncCodex!N:N,SyncCodex!O:O),""))</f>
        <v/>
      </c>
      <c r="G559" s="102"/>
      <c r="H559" s="102" t="str">
        <f t="shared" si="1"/>
        <v/>
      </c>
      <c r="I559" s="38" t="b">
        <v>0</v>
      </c>
      <c r="J559" s="103"/>
      <c r="K559" s="103"/>
    </row>
    <row r="560">
      <c r="A560" s="104"/>
      <c r="B560" s="38"/>
      <c r="E560" s="101"/>
      <c r="F560" s="101" t="str">
        <f t="array" ref="F560">IF(E560="","",IFERROR(_xlfn.XLOOKUP(E560,SyncCodex!N:N,SyncCodex!O:O),""))</f>
        <v/>
      </c>
      <c r="G560" s="102"/>
      <c r="H560" s="102" t="str">
        <f t="shared" si="1"/>
        <v/>
      </c>
      <c r="I560" s="38" t="b">
        <v>0</v>
      </c>
      <c r="J560" s="103"/>
      <c r="K560" s="103"/>
    </row>
    <row r="561">
      <c r="A561" s="104"/>
      <c r="B561" s="38"/>
      <c r="E561" s="101"/>
      <c r="F561" s="101" t="str">
        <f t="array" ref="F561">IF(E561="","",IFERROR(_xlfn.XLOOKUP(E561,SyncCodex!N:N,SyncCodex!O:O),""))</f>
        <v/>
      </c>
      <c r="G561" s="102"/>
      <c r="H561" s="102" t="str">
        <f t="shared" si="1"/>
        <v/>
      </c>
      <c r="I561" s="38" t="b">
        <v>0</v>
      </c>
      <c r="J561" s="103"/>
      <c r="K561" s="103"/>
    </row>
    <row r="562">
      <c r="A562" s="104"/>
      <c r="B562" s="38"/>
      <c r="E562" s="101"/>
      <c r="F562" s="101" t="str">
        <f t="array" ref="F562">IF(E562="","",IFERROR(_xlfn.XLOOKUP(E562,SyncCodex!N:N,SyncCodex!O:O),""))</f>
        <v/>
      </c>
      <c r="G562" s="102"/>
      <c r="H562" s="102" t="str">
        <f t="shared" si="1"/>
        <v/>
      </c>
      <c r="I562" s="38" t="b">
        <v>0</v>
      </c>
      <c r="J562" s="103"/>
      <c r="K562" s="103"/>
    </row>
    <row r="563">
      <c r="A563" s="104"/>
      <c r="B563" s="38"/>
      <c r="E563" s="101"/>
      <c r="F563" s="101" t="str">
        <f t="array" ref="F563">IF(E563="","",IFERROR(_xlfn.XLOOKUP(E563,SyncCodex!N:N,SyncCodex!O:O),""))</f>
        <v/>
      </c>
      <c r="G563" s="102"/>
      <c r="H563" s="102" t="str">
        <f t="shared" si="1"/>
        <v/>
      </c>
      <c r="I563" s="38" t="b">
        <v>0</v>
      </c>
      <c r="J563" s="103"/>
      <c r="K563" s="103"/>
    </row>
    <row r="564">
      <c r="A564" s="104"/>
      <c r="B564" s="38"/>
      <c r="E564" s="101"/>
      <c r="F564" s="101" t="str">
        <f t="array" ref="F564">IF(E564="","",IFERROR(_xlfn.XLOOKUP(E564,SyncCodex!N:N,SyncCodex!O:O),""))</f>
        <v/>
      </c>
      <c r="G564" s="102"/>
      <c r="H564" s="102" t="str">
        <f t="shared" si="1"/>
        <v/>
      </c>
      <c r="I564" s="38" t="b">
        <v>0</v>
      </c>
      <c r="J564" s="103"/>
      <c r="K564" s="103"/>
    </row>
    <row r="565">
      <c r="A565" s="104"/>
      <c r="B565" s="38"/>
      <c r="E565" s="101"/>
      <c r="F565" s="101" t="str">
        <f t="array" ref="F565">IF(E565="","",IFERROR(_xlfn.XLOOKUP(E565,SyncCodex!N:N,SyncCodex!O:O),""))</f>
        <v/>
      </c>
      <c r="G565" s="102"/>
      <c r="H565" s="102" t="str">
        <f t="shared" si="1"/>
        <v/>
      </c>
      <c r="I565" s="38" t="b">
        <v>0</v>
      </c>
      <c r="J565" s="103"/>
      <c r="K565" s="103"/>
    </row>
    <row r="566">
      <c r="A566" s="104"/>
      <c r="B566" s="38"/>
      <c r="E566" s="101"/>
      <c r="F566" s="101" t="str">
        <f t="array" ref="F566">IF(E566="","",IFERROR(_xlfn.XLOOKUP(E566,SyncCodex!N:N,SyncCodex!O:O),""))</f>
        <v/>
      </c>
      <c r="G566" s="102"/>
      <c r="H566" s="102" t="str">
        <f t="shared" si="1"/>
        <v/>
      </c>
      <c r="I566" s="38" t="b">
        <v>0</v>
      </c>
      <c r="J566" s="103"/>
      <c r="K566" s="103"/>
    </row>
    <row r="567">
      <c r="A567" s="104"/>
      <c r="B567" s="38"/>
      <c r="E567" s="101"/>
      <c r="F567" s="101" t="str">
        <f t="array" ref="F567">IF(E567="","",IFERROR(_xlfn.XLOOKUP(E567,SyncCodex!N:N,SyncCodex!O:O),""))</f>
        <v/>
      </c>
      <c r="G567" s="102"/>
      <c r="H567" s="102" t="str">
        <f t="shared" si="1"/>
        <v/>
      </c>
      <c r="I567" s="38" t="b">
        <v>0</v>
      </c>
      <c r="J567" s="103"/>
      <c r="K567" s="103"/>
    </row>
    <row r="568">
      <c r="A568" s="104"/>
      <c r="B568" s="38"/>
      <c r="E568" s="101"/>
      <c r="F568" s="101" t="str">
        <f t="array" ref="F568">IF(E568="","",IFERROR(_xlfn.XLOOKUP(E568,SyncCodex!N:N,SyncCodex!O:O),""))</f>
        <v/>
      </c>
      <c r="G568" s="102"/>
      <c r="H568" s="102" t="str">
        <f t="shared" si="1"/>
        <v/>
      </c>
      <c r="I568" s="38" t="b">
        <v>0</v>
      </c>
      <c r="J568" s="103"/>
      <c r="K568" s="103"/>
    </row>
    <row r="569">
      <c r="A569" s="104"/>
      <c r="B569" s="38"/>
      <c r="E569" s="101"/>
      <c r="F569" s="101" t="str">
        <f t="array" ref="F569">IF(E569="","",IFERROR(_xlfn.XLOOKUP(E569,SyncCodex!N:N,SyncCodex!O:O),""))</f>
        <v/>
      </c>
      <c r="G569" s="102"/>
      <c r="H569" s="102" t="str">
        <f t="shared" si="1"/>
        <v/>
      </c>
      <c r="I569" s="38" t="b">
        <v>0</v>
      </c>
      <c r="J569" s="103"/>
      <c r="K569" s="103"/>
    </row>
    <row r="570">
      <c r="A570" s="104"/>
      <c r="B570" s="38"/>
      <c r="E570" s="101"/>
      <c r="F570" s="101" t="str">
        <f t="array" ref="F570">IF(E570="","",IFERROR(_xlfn.XLOOKUP(E570,SyncCodex!N:N,SyncCodex!O:O),""))</f>
        <v/>
      </c>
      <c r="G570" s="102"/>
      <c r="H570" s="102" t="str">
        <f t="shared" si="1"/>
        <v/>
      </c>
      <c r="I570" s="38" t="b">
        <v>0</v>
      </c>
      <c r="J570" s="103"/>
      <c r="K570" s="103"/>
    </row>
    <row r="571">
      <c r="A571" s="104"/>
      <c r="B571" s="38"/>
      <c r="E571" s="101"/>
      <c r="F571" s="101" t="str">
        <f t="array" ref="F571">IF(E571="","",IFERROR(_xlfn.XLOOKUP(E571,SyncCodex!N:N,SyncCodex!O:O),""))</f>
        <v/>
      </c>
      <c r="G571" s="102"/>
      <c r="H571" s="102" t="str">
        <f t="shared" si="1"/>
        <v/>
      </c>
      <c r="I571" s="38" t="b">
        <v>0</v>
      </c>
      <c r="J571" s="103"/>
      <c r="K571" s="103"/>
    </row>
    <row r="572">
      <c r="A572" s="104"/>
      <c r="B572" s="38"/>
      <c r="E572" s="101"/>
      <c r="F572" s="101" t="str">
        <f t="array" ref="F572">IF(E572="","",IFERROR(_xlfn.XLOOKUP(E572,SyncCodex!N:N,SyncCodex!O:O),""))</f>
        <v/>
      </c>
      <c r="G572" s="102"/>
      <c r="H572" s="102" t="str">
        <f t="shared" si="1"/>
        <v/>
      </c>
      <c r="I572" s="38" t="b">
        <v>0</v>
      </c>
      <c r="J572" s="103"/>
      <c r="K572" s="103"/>
    </row>
    <row r="573">
      <c r="A573" s="104"/>
      <c r="B573" s="38"/>
      <c r="E573" s="101"/>
      <c r="F573" s="101" t="str">
        <f t="array" ref="F573">IF(E573="","",IFERROR(_xlfn.XLOOKUP(E573,SyncCodex!N:N,SyncCodex!O:O),""))</f>
        <v/>
      </c>
      <c r="G573" s="102"/>
      <c r="H573" s="102" t="str">
        <f t="shared" si="1"/>
        <v/>
      </c>
      <c r="I573" s="38" t="b">
        <v>0</v>
      </c>
      <c r="J573" s="103"/>
      <c r="K573" s="103"/>
    </row>
    <row r="574">
      <c r="A574" s="104"/>
      <c r="B574" s="38"/>
      <c r="E574" s="101"/>
      <c r="F574" s="101" t="str">
        <f t="array" ref="F574">IF(E574="","",IFERROR(_xlfn.XLOOKUP(E574,SyncCodex!N:N,SyncCodex!O:O),""))</f>
        <v/>
      </c>
      <c r="G574" s="102"/>
      <c r="H574" s="102" t="str">
        <f t="shared" si="1"/>
        <v/>
      </c>
      <c r="I574" s="38" t="b">
        <v>0</v>
      </c>
      <c r="J574" s="103"/>
      <c r="K574" s="103"/>
    </row>
    <row r="575">
      <c r="A575" s="104"/>
      <c r="B575" s="38"/>
      <c r="E575" s="101"/>
      <c r="F575" s="101" t="str">
        <f t="array" ref="F575">IF(E575="","",IFERROR(_xlfn.XLOOKUP(E575,SyncCodex!N:N,SyncCodex!O:O),""))</f>
        <v/>
      </c>
      <c r="G575" s="102"/>
      <c r="H575" s="102" t="str">
        <f t="shared" si="1"/>
        <v/>
      </c>
      <c r="I575" s="38" t="b">
        <v>0</v>
      </c>
      <c r="J575" s="103"/>
      <c r="K575" s="103"/>
    </row>
    <row r="576">
      <c r="A576" s="104"/>
      <c r="B576" s="38"/>
      <c r="E576" s="101"/>
      <c r="F576" s="101" t="str">
        <f t="array" ref="F576">IF(E576="","",IFERROR(_xlfn.XLOOKUP(E576,SyncCodex!N:N,SyncCodex!O:O),""))</f>
        <v/>
      </c>
      <c r="G576" s="102"/>
      <c r="H576" s="102" t="str">
        <f t="shared" si="1"/>
        <v/>
      </c>
      <c r="I576" s="38" t="b">
        <v>0</v>
      </c>
      <c r="J576" s="103"/>
      <c r="K576" s="103"/>
    </row>
    <row r="577">
      <c r="A577" s="104"/>
      <c r="B577" s="38"/>
      <c r="E577" s="101"/>
      <c r="F577" s="101" t="str">
        <f t="array" ref="F577">IF(E577="","",IFERROR(_xlfn.XLOOKUP(E577,SyncCodex!N:N,SyncCodex!O:O),""))</f>
        <v/>
      </c>
      <c r="G577" s="102"/>
      <c r="H577" s="102" t="str">
        <f t="shared" si="1"/>
        <v/>
      </c>
      <c r="I577" s="38" t="b">
        <v>0</v>
      </c>
      <c r="J577" s="103"/>
      <c r="K577" s="103"/>
    </row>
    <row r="578">
      <c r="A578" s="104"/>
      <c r="B578" s="38"/>
      <c r="E578" s="101"/>
      <c r="F578" s="101" t="str">
        <f t="array" ref="F578">IF(E578="","",IFERROR(_xlfn.XLOOKUP(E578,SyncCodex!N:N,SyncCodex!O:O),""))</f>
        <v/>
      </c>
      <c r="G578" s="102"/>
      <c r="H578" s="102" t="str">
        <f t="shared" si="1"/>
        <v/>
      </c>
      <c r="I578" s="38" t="b">
        <v>0</v>
      </c>
      <c r="J578" s="103"/>
      <c r="K578" s="103"/>
    </row>
    <row r="579">
      <c r="A579" s="104"/>
      <c r="B579" s="38"/>
      <c r="E579" s="101"/>
      <c r="F579" s="101" t="str">
        <f t="array" ref="F579">IF(E579="","",IFERROR(_xlfn.XLOOKUP(E579,SyncCodex!N:N,SyncCodex!O:O),""))</f>
        <v/>
      </c>
      <c r="G579" s="102"/>
      <c r="H579" s="102" t="str">
        <f t="shared" si="1"/>
        <v/>
      </c>
      <c r="I579" s="38" t="b">
        <v>0</v>
      </c>
      <c r="J579" s="103"/>
      <c r="K579" s="103"/>
    </row>
    <row r="580">
      <c r="A580" s="104"/>
      <c r="B580" s="38"/>
      <c r="E580" s="101"/>
      <c r="F580" s="101" t="str">
        <f t="array" ref="F580">IF(E580="","",IFERROR(_xlfn.XLOOKUP(E580,SyncCodex!N:N,SyncCodex!O:O),""))</f>
        <v/>
      </c>
      <c r="G580" s="102"/>
      <c r="H580" s="102" t="str">
        <f t="shared" si="1"/>
        <v/>
      </c>
      <c r="I580" s="38" t="b">
        <v>0</v>
      </c>
      <c r="J580" s="103"/>
      <c r="K580" s="103"/>
    </row>
    <row r="581">
      <c r="A581" s="104"/>
      <c r="B581" s="38"/>
      <c r="E581" s="101"/>
      <c r="F581" s="101" t="str">
        <f t="array" ref="F581">IF(E581="","",IFERROR(_xlfn.XLOOKUP(E581,SyncCodex!N:N,SyncCodex!O:O),""))</f>
        <v/>
      </c>
      <c r="G581" s="102"/>
      <c r="H581" s="102" t="str">
        <f t="shared" si="1"/>
        <v/>
      </c>
      <c r="I581" s="38" t="b">
        <v>0</v>
      </c>
      <c r="J581" s="103"/>
      <c r="K581" s="103"/>
    </row>
    <row r="582">
      <c r="A582" s="104"/>
      <c r="B582" s="38"/>
      <c r="E582" s="101"/>
      <c r="F582" s="101" t="str">
        <f t="array" ref="F582">IF(E582="","",IFERROR(_xlfn.XLOOKUP(E582,SyncCodex!N:N,SyncCodex!O:O),""))</f>
        <v/>
      </c>
      <c r="G582" s="102"/>
      <c r="H582" s="102" t="str">
        <f t="shared" si="1"/>
        <v/>
      </c>
      <c r="I582" s="38" t="b">
        <v>0</v>
      </c>
      <c r="J582" s="103"/>
      <c r="K582" s="103"/>
    </row>
    <row r="583">
      <c r="A583" s="104"/>
      <c r="B583" s="38"/>
      <c r="E583" s="101"/>
      <c r="F583" s="101" t="str">
        <f t="array" ref="F583">IF(E583="","",IFERROR(_xlfn.XLOOKUP(E583,SyncCodex!N:N,SyncCodex!O:O),""))</f>
        <v/>
      </c>
      <c r="G583" s="102"/>
      <c r="H583" s="102" t="str">
        <f t="shared" si="1"/>
        <v/>
      </c>
      <c r="I583" s="38" t="b">
        <v>0</v>
      </c>
      <c r="J583" s="103"/>
      <c r="K583" s="103"/>
    </row>
    <row r="584">
      <c r="A584" s="104"/>
      <c r="B584" s="38"/>
      <c r="E584" s="101"/>
      <c r="F584" s="101" t="str">
        <f t="array" ref="F584">IF(E584="","",IFERROR(_xlfn.XLOOKUP(E584,SyncCodex!N:N,SyncCodex!O:O),""))</f>
        <v/>
      </c>
      <c r="G584" s="102"/>
      <c r="H584" s="102" t="str">
        <f t="shared" si="1"/>
        <v/>
      </c>
      <c r="I584" s="38" t="b">
        <v>0</v>
      </c>
      <c r="J584" s="103"/>
      <c r="K584" s="103"/>
    </row>
    <row r="585">
      <c r="A585" s="104"/>
      <c r="B585" s="38"/>
      <c r="E585" s="101"/>
      <c r="F585" s="101" t="str">
        <f t="array" ref="F585">IF(E585="","",IFERROR(_xlfn.XLOOKUP(E585,SyncCodex!N:N,SyncCodex!O:O),""))</f>
        <v/>
      </c>
      <c r="G585" s="102"/>
      <c r="H585" s="102" t="str">
        <f t="shared" si="1"/>
        <v/>
      </c>
      <c r="I585" s="38" t="b">
        <v>0</v>
      </c>
      <c r="J585" s="103"/>
      <c r="K585" s="103"/>
    </row>
    <row r="586">
      <c r="A586" s="104"/>
      <c r="B586" s="38"/>
      <c r="E586" s="101"/>
      <c r="F586" s="101" t="str">
        <f t="array" ref="F586">IF(E586="","",IFERROR(_xlfn.XLOOKUP(E586,SyncCodex!N:N,SyncCodex!O:O),""))</f>
        <v/>
      </c>
      <c r="G586" s="102"/>
      <c r="H586" s="102" t="str">
        <f t="shared" si="1"/>
        <v/>
      </c>
      <c r="I586" s="38" t="b">
        <v>0</v>
      </c>
      <c r="J586" s="103"/>
      <c r="K586" s="103"/>
    </row>
    <row r="587">
      <c r="A587" s="104"/>
      <c r="B587" s="38"/>
      <c r="E587" s="101"/>
      <c r="F587" s="101" t="str">
        <f t="array" ref="F587">IF(E587="","",IFERROR(_xlfn.XLOOKUP(E587,SyncCodex!N:N,SyncCodex!O:O),""))</f>
        <v/>
      </c>
      <c r="G587" s="102"/>
      <c r="H587" s="102" t="str">
        <f t="shared" si="1"/>
        <v/>
      </c>
      <c r="I587" s="38" t="b">
        <v>0</v>
      </c>
      <c r="J587" s="103"/>
      <c r="K587" s="103"/>
    </row>
    <row r="588">
      <c r="A588" s="104"/>
      <c r="B588" s="38"/>
      <c r="E588" s="101"/>
      <c r="F588" s="101" t="str">
        <f t="array" ref="F588">IF(E588="","",IFERROR(_xlfn.XLOOKUP(E588,SyncCodex!N:N,SyncCodex!O:O),""))</f>
        <v/>
      </c>
      <c r="G588" s="102"/>
      <c r="H588" s="102" t="str">
        <f t="shared" si="1"/>
        <v/>
      </c>
      <c r="I588" s="38" t="b">
        <v>0</v>
      </c>
      <c r="J588" s="103"/>
      <c r="K588" s="103"/>
    </row>
    <row r="589">
      <c r="A589" s="104"/>
      <c r="B589" s="38"/>
      <c r="E589" s="101"/>
      <c r="F589" s="101" t="str">
        <f t="array" ref="F589">IF(E589="","",IFERROR(_xlfn.XLOOKUP(E589,SyncCodex!N:N,SyncCodex!O:O),""))</f>
        <v/>
      </c>
      <c r="G589" s="102"/>
      <c r="H589" s="102" t="str">
        <f t="shared" si="1"/>
        <v/>
      </c>
      <c r="I589" s="38" t="b">
        <v>0</v>
      </c>
      <c r="J589" s="103"/>
      <c r="K589" s="103"/>
    </row>
    <row r="590">
      <c r="A590" s="104"/>
      <c r="B590" s="38"/>
      <c r="E590" s="101"/>
      <c r="F590" s="101" t="str">
        <f t="array" ref="F590">IF(E590="","",IFERROR(_xlfn.XLOOKUP(E590,SyncCodex!N:N,SyncCodex!O:O),""))</f>
        <v/>
      </c>
      <c r="G590" s="102"/>
      <c r="H590" s="102" t="str">
        <f t="shared" si="1"/>
        <v/>
      </c>
      <c r="I590" s="38" t="b">
        <v>0</v>
      </c>
      <c r="J590" s="103"/>
      <c r="K590" s="103"/>
    </row>
    <row r="591">
      <c r="A591" s="104"/>
      <c r="B591" s="38"/>
      <c r="E591" s="101"/>
      <c r="F591" s="101" t="str">
        <f t="array" ref="F591">IF(E591="","",IFERROR(_xlfn.XLOOKUP(E591,SyncCodex!N:N,SyncCodex!O:O),""))</f>
        <v/>
      </c>
      <c r="G591" s="102"/>
      <c r="H591" s="102" t="str">
        <f t="shared" si="1"/>
        <v/>
      </c>
      <c r="I591" s="38" t="b">
        <v>0</v>
      </c>
      <c r="J591" s="103"/>
      <c r="K591" s="103"/>
    </row>
    <row r="592">
      <c r="A592" s="104"/>
      <c r="B592" s="38"/>
      <c r="E592" s="101"/>
      <c r="F592" s="101" t="str">
        <f t="array" ref="F592">IF(E592="","",IFERROR(_xlfn.XLOOKUP(E592,SyncCodex!N:N,SyncCodex!O:O),""))</f>
        <v/>
      </c>
      <c r="G592" s="102"/>
      <c r="H592" s="102" t="str">
        <f t="shared" si="1"/>
        <v/>
      </c>
      <c r="I592" s="38" t="b">
        <v>0</v>
      </c>
      <c r="J592" s="103"/>
      <c r="K592" s="103"/>
    </row>
    <row r="593">
      <c r="A593" s="104"/>
      <c r="B593" s="38"/>
      <c r="E593" s="101"/>
      <c r="F593" s="101" t="str">
        <f t="array" ref="F593">IF(E593="","",IFERROR(_xlfn.XLOOKUP(E593,SyncCodex!N:N,SyncCodex!O:O),""))</f>
        <v/>
      </c>
      <c r="G593" s="102"/>
      <c r="H593" s="102" t="str">
        <f t="shared" si="1"/>
        <v/>
      </c>
      <c r="I593" s="38" t="b">
        <v>0</v>
      </c>
      <c r="J593" s="103"/>
      <c r="K593" s="103"/>
    </row>
    <row r="594">
      <c r="A594" s="104"/>
      <c r="B594" s="38"/>
      <c r="E594" s="101"/>
      <c r="F594" s="101" t="str">
        <f t="array" ref="F594">IF(E594="","",IFERROR(_xlfn.XLOOKUP(E594,SyncCodex!N:N,SyncCodex!O:O),""))</f>
        <v/>
      </c>
      <c r="G594" s="102"/>
      <c r="H594" s="102" t="str">
        <f t="shared" si="1"/>
        <v/>
      </c>
      <c r="I594" s="38" t="b">
        <v>0</v>
      </c>
      <c r="J594" s="103"/>
      <c r="K594" s="103"/>
    </row>
    <row r="595">
      <c r="A595" s="104"/>
      <c r="B595" s="38"/>
      <c r="E595" s="101"/>
      <c r="F595" s="101" t="str">
        <f t="array" ref="F595">IF(E595="","",IFERROR(_xlfn.XLOOKUP(E595,SyncCodex!N:N,SyncCodex!O:O),""))</f>
        <v/>
      </c>
      <c r="G595" s="102"/>
      <c r="H595" s="102" t="str">
        <f t="shared" si="1"/>
        <v/>
      </c>
      <c r="I595" s="38" t="b">
        <v>0</v>
      </c>
      <c r="J595" s="103"/>
      <c r="K595" s="103"/>
    </row>
    <row r="596">
      <c r="A596" s="104"/>
      <c r="B596" s="38"/>
      <c r="E596" s="101"/>
      <c r="F596" s="101" t="str">
        <f t="array" ref="F596">IF(E596="","",IFERROR(_xlfn.XLOOKUP(E596,SyncCodex!N:N,SyncCodex!O:O),""))</f>
        <v/>
      </c>
      <c r="G596" s="102"/>
      <c r="H596" s="102" t="str">
        <f t="shared" si="1"/>
        <v/>
      </c>
      <c r="I596" s="38" t="b">
        <v>0</v>
      </c>
      <c r="J596" s="103"/>
      <c r="K596" s="103"/>
    </row>
    <row r="597">
      <c r="A597" s="104"/>
      <c r="B597" s="38"/>
      <c r="E597" s="101"/>
      <c r="F597" s="101" t="str">
        <f t="array" ref="F597">IF(E597="","",IFERROR(_xlfn.XLOOKUP(E597,SyncCodex!N:N,SyncCodex!O:O),""))</f>
        <v/>
      </c>
      <c r="G597" s="102"/>
      <c r="H597" s="102" t="str">
        <f t="shared" si="1"/>
        <v/>
      </c>
      <c r="I597" s="38" t="b">
        <v>0</v>
      </c>
      <c r="J597" s="103"/>
      <c r="K597" s="103"/>
    </row>
    <row r="598">
      <c r="A598" s="104"/>
      <c r="B598" s="38"/>
      <c r="E598" s="101"/>
      <c r="F598" s="101" t="str">
        <f t="array" ref="F598">IF(E598="","",IFERROR(_xlfn.XLOOKUP(E598,SyncCodex!N:N,SyncCodex!O:O),""))</f>
        <v/>
      </c>
      <c r="G598" s="102"/>
      <c r="H598" s="102" t="str">
        <f t="shared" si="1"/>
        <v/>
      </c>
      <c r="I598" s="38" t="b">
        <v>0</v>
      </c>
      <c r="J598" s="103"/>
      <c r="K598" s="103"/>
    </row>
    <row r="599">
      <c r="A599" s="104"/>
      <c r="B599" s="38"/>
      <c r="E599" s="101"/>
      <c r="F599" s="101" t="str">
        <f t="array" ref="F599">IF(E599="","",IFERROR(_xlfn.XLOOKUP(E599,SyncCodex!N:N,SyncCodex!O:O),""))</f>
        <v/>
      </c>
      <c r="G599" s="102"/>
      <c r="H599" s="102" t="str">
        <f t="shared" si="1"/>
        <v/>
      </c>
      <c r="I599" s="38" t="b">
        <v>0</v>
      </c>
      <c r="J599" s="103"/>
      <c r="K599" s="103"/>
    </row>
    <row r="600">
      <c r="A600" s="104"/>
      <c r="B600" s="38"/>
      <c r="E600" s="101"/>
      <c r="F600" s="101" t="str">
        <f t="array" ref="F600">IF(E600="","",IFERROR(_xlfn.XLOOKUP(E600,SyncCodex!N:N,SyncCodex!O:O),""))</f>
        <v/>
      </c>
      <c r="G600" s="102"/>
      <c r="H600" s="102" t="str">
        <f t="shared" si="1"/>
        <v/>
      </c>
      <c r="I600" s="38" t="b">
        <v>0</v>
      </c>
      <c r="J600" s="103"/>
      <c r="K600" s="103"/>
    </row>
    <row r="601">
      <c r="A601" s="104"/>
      <c r="B601" s="38"/>
      <c r="E601" s="101"/>
      <c r="F601" s="101" t="str">
        <f t="array" ref="F601">IF(E601="","",IFERROR(_xlfn.XLOOKUP(E601,SyncCodex!N:N,SyncCodex!O:O),""))</f>
        <v/>
      </c>
      <c r="G601" s="102"/>
      <c r="H601" s="102" t="str">
        <f t="shared" si="1"/>
        <v/>
      </c>
      <c r="I601" s="38" t="b">
        <v>0</v>
      </c>
      <c r="J601" s="103"/>
      <c r="K601" s="103"/>
    </row>
    <row r="602">
      <c r="A602" s="104"/>
      <c r="B602" s="38"/>
      <c r="E602" s="101"/>
      <c r="F602" s="101" t="str">
        <f t="array" ref="F602">IF(E602="","",IFERROR(_xlfn.XLOOKUP(E602,SyncCodex!N:N,SyncCodex!O:O),""))</f>
        <v/>
      </c>
      <c r="G602" s="102"/>
      <c r="H602" s="102" t="str">
        <f t="shared" si="1"/>
        <v/>
      </c>
      <c r="I602" s="38" t="b">
        <v>0</v>
      </c>
      <c r="J602" s="103"/>
      <c r="K602" s="103"/>
    </row>
    <row r="603">
      <c r="A603" s="104"/>
      <c r="B603" s="38"/>
      <c r="E603" s="101"/>
      <c r="F603" s="101" t="str">
        <f t="array" ref="F603">IF(E603="","",IFERROR(_xlfn.XLOOKUP(E603,SyncCodex!N:N,SyncCodex!O:O),""))</f>
        <v/>
      </c>
      <c r="G603" s="102"/>
      <c r="H603" s="102" t="str">
        <f t="shared" si="1"/>
        <v/>
      </c>
      <c r="I603" s="38" t="b">
        <v>0</v>
      </c>
      <c r="J603" s="103"/>
      <c r="K603" s="103"/>
    </row>
    <row r="604">
      <c r="A604" s="104"/>
      <c r="B604" s="38"/>
      <c r="E604" s="101"/>
      <c r="F604" s="101" t="str">
        <f t="array" ref="F604">IF(E604="","",IFERROR(_xlfn.XLOOKUP(E604,SyncCodex!N:N,SyncCodex!O:O),""))</f>
        <v/>
      </c>
      <c r="G604" s="102"/>
      <c r="H604" s="102" t="str">
        <f t="shared" si="1"/>
        <v/>
      </c>
      <c r="I604" s="38" t="b">
        <v>0</v>
      </c>
      <c r="J604" s="103"/>
      <c r="K604" s="103"/>
    </row>
    <row r="605">
      <c r="A605" s="104"/>
      <c r="B605" s="38"/>
      <c r="E605" s="101"/>
      <c r="F605" s="101" t="str">
        <f t="array" ref="F605">IF(E605="","",IFERROR(_xlfn.XLOOKUP(E605,SyncCodex!N:N,SyncCodex!O:O),""))</f>
        <v/>
      </c>
      <c r="G605" s="102"/>
      <c r="H605" s="102" t="str">
        <f t="shared" si="1"/>
        <v/>
      </c>
      <c r="I605" s="38" t="b">
        <v>0</v>
      </c>
      <c r="J605" s="103"/>
      <c r="K605" s="103"/>
    </row>
    <row r="606">
      <c r="A606" s="104"/>
      <c r="B606" s="38"/>
      <c r="E606" s="101"/>
      <c r="F606" s="101" t="str">
        <f t="array" ref="F606">IF(E606="","",IFERROR(_xlfn.XLOOKUP(E606,SyncCodex!N:N,SyncCodex!O:O),""))</f>
        <v/>
      </c>
      <c r="G606" s="102"/>
      <c r="H606" s="102" t="str">
        <f t="shared" si="1"/>
        <v/>
      </c>
      <c r="I606" s="38" t="b">
        <v>0</v>
      </c>
      <c r="J606" s="103"/>
      <c r="K606" s="103"/>
    </row>
    <row r="607">
      <c r="A607" s="104"/>
      <c r="B607" s="38"/>
      <c r="E607" s="101"/>
      <c r="F607" s="101" t="str">
        <f t="array" ref="F607">IF(E607="","",IFERROR(_xlfn.XLOOKUP(E607,SyncCodex!N:N,SyncCodex!O:O),""))</f>
        <v/>
      </c>
      <c r="G607" s="102"/>
      <c r="H607" s="102" t="str">
        <f t="shared" si="1"/>
        <v/>
      </c>
      <c r="I607" s="38" t="b">
        <v>0</v>
      </c>
      <c r="J607" s="103"/>
      <c r="K607" s="103"/>
    </row>
    <row r="608">
      <c r="A608" s="104"/>
      <c r="B608" s="38"/>
      <c r="E608" s="101"/>
      <c r="F608" s="101" t="str">
        <f t="array" ref="F608">IF(E608="","",IFERROR(_xlfn.XLOOKUP(E608,SyncCodex!N:N,SyncCodex!O:O),""))</f>
        <v/>
      </c>
      <c r="G608" s="102"/>
      <c r="H608" s="102" t="str">
        <f t="shared" si="1"/>
        <v/>
      </c>
      <c r="I608" s="38" t="b">
        <v>0</v>
      </c>
      <c r="J608" s="103"/>
      <c r="K608" s="103"/>
    </row>
    <row r="609">
      <c r="A609" s="104"/>
      <c r="B609" s="38"/>
      <c r="E609" s="101"/>
      <c r="F609" s="101" t="str">
        <f t="array" ref="F609">IF(E609="","",IFERROR(_xlfn.XLOOKUP(E609,SyncCodex!N:N,SyncCodex!O:O),""))</f>
        <v/>
      </c>
      <c r="G609" s="102"/>
      <c r="H609" s="102" t="str">
        <f t="shared" si="1"/>
        <v/>
      </c>
      <c r="I609" s="38" t="b">
        <v>0</v>
      </c>
      <c r="J609" s="103"/>
      <c r="K609" s="103"/>
    </row>
    <row r="610">
      <c r="A610" s="104"/>
      <c r="B610" s="38"/>
      <c r="E610" s="101"/>
      <c r="F610" s="101" t="str">
        <f t="array" ref="F610">IF(E610="","",IFERROR(_xlfn.XLOOKUP(E610,SyncCodex!N:N,SyncCodex!O:O),""))</f>
        <v/>
      </c>
      <c r="G610" s="102"/>
      <c r="H610" s="102" t="str">
        <f t="shared" si="1"/>
        <v/>
      </c>
      <c r="I610" s="38" t="b">
        <v>0</v>
      </c>
      <c r="J610" s="103"/>
      <c r="K610" s="103"/>
    </row>
    <row r="611">
      <c r="A611" s="104"/>
      <c r="B611" s="38"/>
      <c r="E611" s="101"/>
      <c r="F611" s="101" t="str">
        <f t="array" ref="F611">IF(E611="","",IFERROR(_xlfn.XLOOKUP(E611,SyncCodex!N:N,SyncCodex!O:O),""))</f>
        <v/>
      </c>
      <c r="G611" s="102"/>
      <c r="H611" s="102" t="str">
        <f t="shared" si="1"/>
        <v/>
      </c>
      <c r="I611" s="38" t="b">
        <v>0</v>
      </c>
      <c r="J611" s="103"/>
      <c r="K611" s="103"/>
    </row>
    <row r="612">
      <c r="A612" s="104"/>
      <c r="B612" s="38"/>
      <c r="E612" s="101"/>
      <c r="F612" s="101" t="str">
        <f t="array" ref="F612">IF(E612="","",IFERROR(_xlfn.XLOOKUP(E612,SyncCodex!N:N,SyncCodex!O:O),""))</f>
        <v/>
      </c>
      <c r="G612" s="102"/>
      <c r="H612" s="102" t="str">
        <f t="shared" si="1"/>
        <v/>
      </c>
      <c r="I612" s="38" t="b">
        <v>0</v>
      </c>
      <c r="J612" s="103"/>
      <c r="K612" s="103"/>
    </row>
    <row r="613">
      <c r="A613" s="104"/>
      <c r="B613" s="38"/>
      <c r="E613" s="101"/>
      <c r="F613" s="101" t="str">
        <f t="array" ref="F613">IF(E613="","",IFERROR(_xlfn.XLOOKUP(E613,SyncCodex!N:N,SyncCodex!O:O),""))</f>
        <v/>
      </c>
      <c r="G613" s="102"/>
      <c r="H613" s="102" t="str">
        <f t="shared" si="1"/>
        <v/>
      </c>
      <c r="I613" s="38" t="b">
        <v>0</v>
      </c>
      <c r="J613" s="103"/>
      <c r="K613" s="103"/>
    </row>
    <row r="614">
      <c r="A614" s="104"/>
      <c r="B614" s="38"/>
      <c r="E614" s="101"/>
      <c r="F614" s="101" t="str">
        <f t="array" ref="F614">IF(E614="","",IFERROR(_xlfn.XLOOKUP(E614,SyncCodex!N:N,SyncCodex!O:O),""))</f>
        <v/>
      </c>
      <c r="G614" s="102"/>
      <c r="H614" s="102" t="str">
        <f t="shared" si="1"/>
        <v/>
      </c>
      <c r="I614" s="38" t="b">
        <v>0</v>
      </c>
      <c r="J614" s="103"/>
      <c r="K614" s="103"/>
    </row>
    <row r="615">
      <c r="A615" s="104"/>
      <c r="B615" s="38"/>
      <c r="E615" s="101"/>
      <c r="F615" s="101" t="str">
        <f t="array" ref="F615">IF(E615="","",IFERROR(_xlfn.XLOOKUP(E615,SyncCodex!N:N,SyncCodex!O:O),""))</f>
        <v/>
      </c>
      <c r="G615" s="102"/>
      <c r="H615" s="102" t="str">
        <f t="shared" si="1"/>
        <v/>
      </c>
      <c r="I615" s="38" t="b">
        <v>0</v>
      </c>
      <c r="J615" s="103"/>
      <c r="K615" s="103"/>
    </row>
    <row r="616">
      <c r="A616" s="104"/>
      <c r="B616" s="38"/>
      <c r="E616" s="101"/>
      <c r="F616" s="101" t="str">
        <f t="array" ref="F616">IF(E616="","",IFERROR(_xlfn.XLOOKUP(E616,SyncCodex!N:N,SyncCodex!O:O),""))</f>
        <v/>
      </c>
      <c r="G616" s="102"/>
      <c r="H616" s="102" t="str">
        <f t="shared" si="1"/>
        <v/>
      </c>
      <c r="I616" s="38" t="b">
        <v>0</v>
      </c>
      <c r="J616" s="103"/>
      <c r="K616" s="103"/>
    </row>
    <row r="617">
      <c r="A617" s="104"/>
      <c r="B617" s="38"/>
      <c r="E617" s="101"/>
      <c r="F617" s="101" t="str">
        <f t="array" ref="F617">IF(E617="","",IFERROR(_xlfn.XLOOKUP(E617,SyncCodex!N:N,SyncCodex!O:O),""))</f>
        <v/>
      </c>
      <c r="G617" s="102"/>
      <c r="H617" s="102" t="str">
        <f t="shared" si="1"/>
        <v/>
      </c>
      <c r="I617" s="38" t="b">
        <v>0</v>
      </c>
      <c r="J617" s="103"/>
      <c r="K617" s="103"/>
    </row>
    <row r="618">
      <c r="A618" s="104"/>
      <c r="B618" s="38"/>
      <c r="E618" s="101"/>
      <c r="F618" s="101" t="str">
        <f t="array" ref="F618">IF(E618="","",IFERROR(_xlfn.XLOOKUP(E618,SyncCodex!N:N,SyncCodex!O:O),""))</f>
        <v/>
      </c>
      <c r="G618" s="102"/>
      <c r="H618" s="102" t="str">
        <f t="shared" si="1"/>
        <v/>
      </c>
      <c r="I618" s="38" t="b">
        <v>0</v>
      </c>
      <c r="J618" s="103"/>
      <c r="K618" s="103"/>
    </row>
    <row r="619">
      <c r="A619" s="104"/>
      <c r="B619" s="38"/>
      <c r="E619" s="101"/>
      <c r="F619" s="101" t="str">
        <f t="array" ref="F619">IF(E619="","",IFERROR(_xlfn.XLOOKUP(E619,SyncCodex!N:N,SyncCodex!O:O),""))</f>
        <v/>
      </c>
      <c r="G619" s="102"/>
      <c r="H619" s="102" t="str">
        <f t="shared" si="1"/>
        <v/>
      </c>
      <c r="I619" s="38" t="b">
        <v>0</v>
      </c>
      <c r="J619" s="103"/>
      <c r="K619" s="103"/>
    </row>
    <row r="620">
      <c r="A620" s="104"/>
      <c r="B620" s="38"/>
      <c r="E620" s="101"/>
      <c r="F620" s="101" t="str">
        <f t="array" ref="F620">IF(E620="","",IFERROR(_xlfn.XLOOKUP(E620,SyncCodex!N:N,SyncCodex!O:O),""))</f>
        <v/>
      </c>
      <c r="G620" s="102"/>
      <c r="H620" s="102" t="str">
        <f t="shared" si="1"/>
        <v/>
      </c>
      <c r="I620" s="38" t="b">
        <v>0</v>
      </c>
      <c r="J620" s="103"/>
      <c r="K620" s="103"/>
    </row>
    <row r="621">
      <c r="A621" s="104"/>
      <c r="B621" s="38"/>
      <c r="E621" s="101"/>
      <c r="F621" s="101" t="str">
        <f t="array" ref="F621">IF(E621="","",IFERROR(_xlfn.XLOOKUP(E621,SyncCodex!N:N,SyncCodex!O:O),""))</f>
        <v/>
      </c>
      <c r="G621" s="102"/>
      <c r="H621" s="102" t="str">
        <f t="shared" si="1"/>
        <v/>
      </c>
      <c r="I621" s="38" t="b">
        <v>0</v>
      </c>
      <c r="J621" s="103"/>
      <c r="K621" s="103"/>
    </row>
    <row r="622">
      <c r="A622" s="104"/>
      <c r="B622" s="38"/>
      <c r="E622" s="101"/>
      <c r="F622" s="101" t="str">
        <f t="array" ref="F622">IF(E622="","",IFERROR(_xlfn.XLOOKUP(E622,SyncCodex!N:N,SyncCodex!O:O),""))</f>
        <v/>
      </c>
      <c r="G622" s="102"/>
      <c r="H622" s="102" t="str">
        <f t="shared" si="1"/>
        <v/>
      </c>
      <c r="I622" s="38" t="b">
        <v>0</v>
      </c>
      <c r="J622" s="103"/>
      <c r="K622" s="103"/>
    </row>
    <row r="623">
      <c r="A623" s="104"/>
      <c r="B623" s="38"/>
      <c r="E623" s="101"/>
      <c r="F623" s="101" t="str">
        <f t="array" ref="F623">IF(E623="","",IFERROR(_xlfn.XLOOKUP(E623,SyncCodex!N:N,SyncCodex!O:O),""))</f>
        <v/>
      </c>
      <c r="G623" s="102"/>
      <c r="H623" s="102" t="str">
        <f t="shared" si="1"/>
        <v/>
      </c>
      <c r="I623" s="38" t="b">
        <v>0</v>
      </c>
      <c r="J623" s="103"/>
      <c r="K623" s="103"/>
    </row>
    <row r="624">
      <c r="A624" s="104"/>
      <c r="B624" s="38"/>
      <c r="E624" s="101"/>
      <c r="F624" s="101" t="str">
        <f t="array" ref="F624">IF(E624="","",IFERROR(_xlfn.XLOOKUP(E624,SyncCodex!N:N,SyncCodex!O:O),""))</f>
        <v/>
      </c>
      <c r="G624" s="102"/>
      <c r="H624" s="102" t="str">
        <f t="shared" si="1"/>
        <v/>
      </c>
      <c r="I624" s="38" t="b">
        <v>0</v>
      </c>
      <c r="J624" s="103"/>
      <c r="K624" s="103"/>
    </row>
    <row r="625">
      <c r="A625" s="104"/>
      <c r="B625" s="38"/>
      <c r="E625" s="101"/>
      <c r="F625" s="101" t="str">
        <f t="array" ref="F625">IF(E625="","",IFERROR(_xlfn.XLOOKUP(E625,SyncCodex!N:N,SyncCodex!O:O),""))</f>
        <v/>
      </c>
      <c r="G625" s="102"/>
      <c r="H625" s="102" t="str">
        <f t="shared" si="1"/>
        <v/>
      </c>
      <c r="I625" s="38" t="b">
        <v>0</v>
      </c>
      <c r="J625" s="103"/>
      <c r="K625" s="103"/>
    </row>
    <row r="626">
      <c r="A626" s="104"/>
      <c r="B626" s="38"/>
      <c r="E626" s="101"/>
      <c r="F626" s="101" t="str">
        <f t="array" ref="F626">IF(E626="","",IFERROR(_xlfn.XLOOKUP(E626,SyncCodex!N:N,SyncCodex!O:O),""))</f>
        <v/>
      </c>
      <c r="G626" s="102"/>
      <c r="H626" s="102" t="str">
        <f t="shared" si="1"/>
        <v/>
      </c>
      <c r="I626" s="38" t="b">
        <v>0</v>
      </c>
      <c r="J626" s="103"/>
      <c r="K626" s="103"/>
    </row>
    <row r="627">
      <c r="A627" s="104"/>
      <c r="B627" s="38"/>
      <c r="E627" s="101"/>
      <c r="F627" s="101" t="str">
        <f t="array" ref="F627">IF(E627="","",IFERROR(_xlfn.XLOOKUP(E627,SyncCodex!N:N,SyncCodex!O:O),""))</f>
        <v/>
      </c>
      <c r="G627" s="102"/>
      <c r="H627" s="102" t="str">
        <f t="shared" si="1"/>
        <v/>
      </c>
      <c r="I627" s="38" t="b">
        <v>0</v>
      </c>
      <c r="J627" s="103"/>
      <c r="K627" s="103"/>
    </row>
    <row r="628">
      <c r="A628" s="104"/>
      <c r="B628" s="38"/>
      <c r="E628" s="101"/>
      <c r="F628" s="101" t="str">
        <f t="array" ref="F628">IF(E628="","",IFERROR(_xlfn.XLOOKUP(E628,SyncCodex!N:N,SyncCodex!O:O),""))</f>
        <v/>
      </c>
      <c r="G628" s="102"/>
      <c r="H628" s="102" t="str">
        <f t="shared" si="1"/>
        <v/>
      </c>
      <c r="I628" s="38" t="b">
        <v>0</v>
      </c>
      <c r="J628" s="103"/>
      <c r="K628" s="103"/>
    </row>
    <row r="629">
      <c r="A629" s="104"/>
      <c r="B629" s="38"/>
      <c r="E629" s="101"/>
      <c r="F629" s="101" t="str">
        <f t="array" ref="F629">IF(E629="","",IFERROR(_xlfn.XLOOKUP(E629,SyncCodex!N:N,SyncCodex!O:O),""))</f>
        <v/>
      </c>
      <c r="G629" s="102"/>
      <c r="H629" s="102" t="str">
        <f t="shared" si="1"/>
        <v/>
      </c>
      <c r="I629" s="38" t="b">
        <v>0</v>
      </c>
      <c r="J629" s="103"/>
      <c r="K629" s="103"/>
    </row>
    <row r="630">
      <c r="A630" s="104"/>
      <c r="B630" s="38"/>
      <c r="E630" s="101"/>
      <c r="F630" s="101" t="str">
        <f t="array" ref="F630">IF(E630="","",IFERROR(_xlfn.XLOOKUP(E630,SyncCodex!N:N,SyncCodex!O:O),""))</f>
        <v/>
      </c>
      <c r="G630" s="102"/>
      <c r="H630" s="102" t="str">
        <f t="shared" si="1"/>
        <v/>
      </c>
      <c r="I630" s="38" t="b">
        <v>0</v>
      </c>
      <c r="J630" s="103"/>
      <c r="K630" s="103"/>
    </row>
    <row r="631">
      <c r="A631" s="104"/>
      <c r="B631" s="38"/>
      <c r="E631" s="101"/>
      <c r="F631" s="101" t="str">
        <f t="array" ref="F631">IF(E631="","",IFERROR(_xlfn.XLOOKUP(E631,SyncCodex!N:N,SyncCodex!O:O),""))</f>
        <v/>
      </c>
      <c r="G631" s="102"/>
      <c r="H631" s="102" t="str">
        <f t="shared" si="1"/>
        <v/>
      </c>
      <c r="I631" s="38" t="b">
        <v>0</v>
      </c>
      <c r="J631" s="103"/>
      <c r="K631" s="103"/>
    </row>
    <row r="632">
      <c r="A632" s="104"/>
      <c r="B632" s="38"/>
      <c r="E632" s="101"/>
      <c r="F632" s="101" t="str">
        <f t="array" ref="F632">IF(E632="","",IFERROR(_xlfn.XLOOKUP(E632,SyncCodex!N:N,SyncCodex!O:O),""))</f>
        <v/>
      </c>
      <c r="G632" s="102"/>
      <c r="H632" s="102" t="str">
        <f t="shared" si="1"/>
        <v/>
      </c>
      <c r="I632" s="38" t="b">
        <v>0</v>
      </c>
      <c r="J632" s="103"/>
      <c r="K632" s="103"/>
    </row>
    <row r="633">
      <c r="A633" s="104"/>
      <c r="B633" s="38"/>
      <c r="E633" s="101"/>
      <c r="F633" s="101" t="str">
        <f t="array" ref="F633">IF(E633="","",IFERROR(_xlfn.XLOOKUP(E633,SyncCodex!N:N,SyncCodex!O:O),""))</f>
        <v/>
      </c>
      <c r="G633" s="102"/>
      <c r="H633" s="102" t="str">
        <f t="shared" si="1"/>
        <v/>
      </c>
      <c r="I633" s="38" t="b">
        <v>0</v>
      </c>
      <c r="J633" s="103"/>
      <c r="K633" s="103"/>
    </row>
    <row r="634">
      <c r="A634" s="104"/>
      <c r="B634" s="38"/>
      <c r="E634" s="101"/>
      <c r="F634" s="101" t="str">
        <f t="array" ref="F634">IF(E634="","",IFERROR(_xlfn.XLOOKUP(E634,SyncCodex!N:N,SyncCodex!O:O),""))</f>
        <v/>
      </c>
      <c r="G634" s="102"/>
      <c r="H634" s="102" t="str">
        <f t="shared" si="1"/>
        <v/>
      </c>
      <c r="I634" s="38" t="b">
        <v>0</v>
      </c>
      <c r="J634" s="103"/>
      <c r="K634" s="103"/>
    </row>
    <row r="635">
      <c r="A635" s="104"/>
      <c r="B635" s="38"/>
      <c r="E635" s="101"/>
      <c r="F635" s="101" t="str">
        <f t="array" ref="F635">IF(E635="","",IFERROR(_xlfn.XLOOKUP(E635,SyncCodex!N:N,SyncCodex!O:O),""))</f>
        <v/>
      </c>
      <c r="G635" s="102"/>
      <c r="H635" s="102" t="str">
        <f t="shared" si="1"/>
        <v/>
      </c>
      <c r="I635" s="38" t="b">
        <v>0</v>
      </c>
      <c r="J635" s="103"/>
      <c r="K635" s="103"/>
    </row>
    <row r="636">
      <c r="A636" s="104"/>
      <c r="B636" s="38"/>
      <c r="E636" s="101"/>
      <c r="F636" s="101" t="str">
        <f t="array" ref="F636">IF(E636="","",IFERROR(_xlfn.XLOOKUP(E636,SyncCodex!N:N,SyncCodex!O:O),""))</f>
        <v/>
      </c>
      <c r="G636" s="102"/>
      <c r="H636" s="102" t="str">
        <f t="shared" si="1"/>
        <v/>
      </c>
      <c r="I636" s="38" t="b">
        <v>0</v>
      </c>
      <c r="J636" s="103"/>
      <c r="K636" s="103"/>
    </row>
    <row r="637">
      <c r="A637" s="104"/>
      <c r="B637" s="38"/>
      <c r="E637" s="101"/>
      <c r="F637" s="101" t="str">
        <f t="array" ref="F637">IF(E637="","",IFERROR(_xlfn.XLOOKUP(E637,SyncCodex!N:N,SyncCodex!O:O),""))</f>
        <v/>
      </c>
      <c r="G637" s="102"/>
      <c r="H637" s="102" t="str">
        <f t="shared" si="1"/>
        <v/>
      </c>
      <c r="I637" s="38" t="b">
        <v>0</v>
      </c>
      <c r="J637" s="103"/>
      <c r="K637" s="103"/>
    </row>
    <row r="638">
      <c r="A638" s="104"/>
      <c r="B638" s="38"/>
      <c r="E638" s="101"/>
      <c r="F638" s="101" t="str">
        <f t="array" ref="F638">IF(E638="","",IFERROR(_xlfn.XLOOKUP(E638,SyncCodex!N:N,SyncCodex!O:O),""))</f>
        <v/>
      </c>
      <c r="G638" s="102"/>
      <c r="H638" s="102" t="str">
        <f t="shared" si="1"/>
        <v/>
      </c>
      <c r="I638" s="38" t="b">
        <v>0</v>
      </c>
      <c r="J638" s="103"/>
      <c r="K638" s="103"/>
    </row>
    <row r="639">
      <c r="A639" s="104"/>
      <c r="B639" s="38"/>
      <c r="E639" s="101"/>
      <c r="F639" s="101" t="str">
        <f t="array" ref="F639">IF(E639="","",IFERROR(_xlfn.XLOOKUP(E639,SyncCodex!N:N,SyncCodex!O:O),""))</f>
        <v/>
      </c>
      <c r="G639" s="102"/>
      <c r="H639" s="102" t="str">
        <f t="shared" si="1"/>
        <v/>
      </c>
      <c r="I639" s="38" t="b">
        <v>0</v>
      </c>
      <c r="J639" s="103"/>
      <c r="K639" s="103"/>
    </row>
    <row r="640">
      <c r="A640" s="104"/>
      <c r="B640" s="38"/>
      <c r="E640" s="101"/>
      <c r="F640" s="101" t="str">
        <f t="array" ref="F640">IF(E640="","",IFERROR(_xlfn.XLOOKUP(E640,SyncCodex!N:N,SyncCodex!O:O),""))</f>
        <v/>
      </c>
      <c r="G640" s="102"/>
      <c r="H640" s="102" t="str">
        <f t="shared" si="1"/>
        <v/>
      </c>
      <c r="I640" s="38" t="b">
        <v>0</v>
      </c>
      <c r="J640" s="103"/>
      <c r="K640" s="103"/>
    </row>
    <row r="641">
      <c r="A641" s="104"/>
      <c r="B641" s="38"/>
      <c r="E641" s="101"/>
      <c r="F641" s="101" t="str">
        <f t="array" ref="F641">IF(E641="","",IFERROR(_xlfn.XLOOKUP(E641,SyncCodex!N:N,SyncCodex!O:O),""))</f>
        <v/>
      </c>
      <c r="G641" s="102"/>
      <c r="H641" s="102" t="str">
        <f t="shared" si="1"/>
        <v/>
      </c>
      <c r="I641" s="38" t="b">
        <v>0</v>
      </c>
      <c r="J641" s="103"/>
      <c r="K641" s="103"/>
    </row>
    <row r="642">
      <c r="A642" s="104"/>
      <c r="B642" s="38"/>
      <c r="E642" s="101"/>
      <c r="F642" s="101" t="str">
        <f t="array" ref="F642">IF(E642="","",IFERROR(_xlfn.XLOOKUP(E642,SyncCodex!N:N,SyncCodex!O:O),""))</f>
        <v/>
      </c>
      <c r="G642" s="102"/>
      <c r="H642" s="102" t="str">
        <f t="shared" si="1"/>
        <v/>
      </c>
      <c r="I642" s="38" t="b">
        <v>0</v>
      </c>
      <c r="J642" s="103"/>
      <c r="K642" s="103"/>
    </row>
    <row r="643">
      <c r="A643" s="104"/>
      <c r="B643" s="38"/>
      <c r="E643" s="101"/>
      <c r="F643" s="101" t="str">
        <f t="array" ref="F643">IF(E643="","",IFERROR(_xlfn.XLOOKUP(E643,SyncCodex!N:N,SyncCodex!O:O),""))</f>
        <v/>
      </c>
      <c r="G643" s="102"/>
      <c r="H643" s="102" t="str">
        <f t="shared" si="1"/>
        <v/>
      </c>
      <c r="I643" s="38" t="b">
        <v>0</v>
      </c>
      <c r="J643" s="103"/>
      <c r="K643" s="103"/>
    </row>
    <row r="644">
      <c r="A644" s="104"/>
      <c r="B644" s="38"/>
      <c r="E644" s="101"/>
      <c r="F644" s="101" t="str">
        <f t="array" ref="F644">IF(E644="","",IFERROR(_xlfn.XLOOKUP(E644,SyncCodex!N:N,SyncCodex!O:O),""))</f>
        <v/>
      </c>
      <c r="G644" s="102"/>
      <c r="H644" s="102" t="str">
        <f t="shared" si="1"/>
        <v/>
      </c>
      <c r="I644" s="38" t="b">
        <v>0</v>
      </c>
      <c r="J644" s="103"/>
      <c r="K644" s="103"/>
    </row>
    <row r="645">
      <c r="A645" s="104"/>
      <c r="B645" s="38"/>
      <c r="E645" s="101"/>
      <c r="F645" s="101" t="str">
        <f t="array" ref="F645">IF(E645="","",IFERROR(_xlfn.XLOOKUP(E645,SyncCodex!N:N,SyncCodex!O:O),""))</f>
        <v/>
      </c>
      <c r="G645" s="102"/>
      <c r="H645" s="102" t="str">
        <f t="shared" si="1"/>
        <v/>
      </c>
      <c r="I645" s="38" t="b">
        <v>0</v>
      </c>
      <c r="J645" s="103"/>
      <c r="K645" s="103"/>
    </row>
    <row r="646">
      <c r="A646" s="104"/>
      <c r="B646" s="38"/>
      <c r="E646" s="101"/>
      <c r="F646" s="101" t="str">
        <f t="array" ref="F646">IF(E646="","",IFERROR(_xlfn.XLOOKUP(E646,SyncCodex!N:N,SyncCodex!O:O),""))</f>
        <v/>
      </c>
      <c r="G646" s="102"/>
      <c r="H646" s="102" t="str">
        <f t="shared" si="1"/>
        <v/>
      </c>
      <c r="I646" s="38" t="b">
        <v>0</v>
      </c>
      <c r="J646" s="103"/>
      <c r="K646" s="103"/>
    </row>
    <row r="647">
      <c r="A647" s="104"/>
      <c r="B647" s="38"/>
      <c r="E647" s="101"/>
      <c r="F647" s="101" t="str">
        <f t="array" ref="F647">IF(E647="","",IFERROR(_xlfn.XLOOKUP(E647,SyncCodex!N:N,SyncCodex!O:O),""))</f>
        <v/>
      </c>
      <c r="G647" s="102"/>
      <c r="H647" s="102" t="str">
        <f t="shared" si="1"/>
        <v/>
      </c>
      <c r="I647" s="38" t="b">
        <v>0</v>
      </c>
      <c r="J647" s="103"/>
      <c r="K647" s="103"/>
    </row>
    <row r="648">
      <c r="A648" s="104"/>
      <c r="B648" s="38"/>
      <c r="E648" s="101"/>
      <c r="F648" s="101" t="str">
        <f t="array" ref="F648">IF(E648="","",IFERROR(_xlfn.XLOOKUP(E648,SyncCodex!N:N,SyncCodex!O:O),""))</f>
        <v/>
      </c>
      <c r="G648" s="102"/>
      <c r="H648" s="102" t="str">
        <f t="shared" si="1"/>
        <v/>
      </c>
      <c r="I648" s="38" t="b">
        <v>0</v>
      </c>
      <c r="J648" s="103"/>
      <c r="K648" s="103"/>
    </row>
    <row r="649">
      <c r="A649" s="104"/>
      <c r="B649" s="38"/>
      <c r="E649" s="101"/>
      <c r="F649" s="101" t="str">
        <f t="array" ref="F649">IF(E649="","",IFERROR(_xlfn.XLOOKUP(E649,SyncCodex!N:N,SyncCodex!O:O),""))</f>
        <v/>
      </c>
      <c r="G649" s="102"/>
      <c r="H649" s="102" t="str">
        <f t="shared" si="1"/>
        <v/>
      </c>
      <c r="I649" s="38" t="b">
        <v>0</v>
      </c>
      <c r="J649" s="103"/>
      <c r="K649" s="103"/>
    </row>
    <row r="650">
      <c r="A650" s="104"/>
      <c r="B650" s="38"/>
      <c r="E650" s="101"/>
      <c r="F650" s="101" t="str">
        <f t="array" ref="F650">IF(E650="","",IFERROR(_xlfn.XLOOKUP(E650,SyncCodex!N:N,SyncCodex!O:O),""))</f>
        <v/>
      </c>
      <c r="G650" s="102"/>
      <c r="H650" s="102" t="str">
        <f t="shared" si="1"/>
        <v/>
      </c>
      <c r="I650" s="38" t="b">
        <v>0</v>
      </c>
      <c r="J650" s="103"/>
      <c r="K650" s="103"/>
    </row>
    <row r="651">
      <c r="A651" s="104"/>
      <c r="B651" s="38"/>
      <c r="E651" s="101"/>
      <c r="F651" s="101" t="str">
        <f t="array" ref="F651">IF(E651="","",IFERROR(_xlfn.XLOOKUP(E651,SyncCodex!N:N,SyncCodex!O:O),""))</f>
        <v/>
      </c>
      <c r="G651" s="102"/>
      <c r="H651" s="102" t="str">
        <f t="shared" si="1"/>
        <v/>
      </c>
      <c r="I651" s="38" t="b">
        <v>0</v>
      </c>
      <c r="J651" s="103"/>
      <c r="K651" s="103"/>
    </row>
    <row r="652">
      <c r="A652" s="104"/>
      <c r="B652" s="38"/>
      <c r="E652" s="101"/>
      <c r="F652" s="101" t="str">
        <f t="array" ref="F652">IF(E652="","",IFERROR(_xlfn.XLOOKUP(E652,SyncCodex!N:N,SyncCodex!O:O),""))</f>
        <v/>
      </c>
      <c r="G652" s="102"/>
      <c r="H652" s="102" t="str">
        <f t="shared" si="1"/>
        <v/>
      </c>
      <c r="I652" s="38" t="b">
        <v>0</v>
      </c>
      <c r="J652" s="103"/>
      <c r="K652" s="103"/>
    </row>
    <row r="653">
      <c r="A653" s="104"/>
      <c r="B653" s="38"/>
      <c r="E653" s="101"/>
      <c r="F653" s="101" t="str">
        <f t="array" ref="F653">IF(E653="","",IFERROR(_xlfn.XLOOKUP(E653,SyncCodex!N:N,SyncCodex!O:O),""))</f>
        <v/>
      </c>
      <c r="G653" s="102"/>
      <c r="H653" s="102" t="str">
        <f t="shared" si="1"/>
        <v/>
      </c>
      <c r="I653" s="38" t="b">
        <v>0</v>
      </c>
      <c r="J653" s="103"/>
      <c r="K653" s="103"/>
    </row>
    <row r="654">
      <c r="A654" s="104"/>
      <c r="B654" s="38"/>
      <c r="E654" s="101"/>
      <c r="F654" s="101" t="str">
        <f t="array" ref="F654">IF(E654="","",IFERROR(_xlfn.XLOOKUP(E654,SyncCodex!N:N,SyncCodex!O:O),""))</f>
        <v/>
      </c>
      <c r="G654" s="102"/>
      <c r="H654" s="102" t="str">
        <f t="shared" si="1"/>
        <v/>
      </c>
      <c r="I654" s="38" t="b">
        <v>0</v>
      </c>
      <c r="J654" s="103"/>
      <c r="K654" s="103"/>
    </row>
    <row r="655">
      <c r="A655" s="104"/>
      <c r="B655" s="38"/>
      <c r="E655" s="101"/>
      <c r="F655" s="101" t="str">
        <f t="array" ref="F655">IF(E655="","",IFERROR(_xlfn.XLOOKUP(E655,SyncCodex!N:N,SyncCodex!O:O),""))</f>
        <v/>
      </c>
      <c r="G655" s="102"/>
      <c r="H655" s="102" t="str">
        <f t="shared" si="1"/>
        <v/>
      </c>
      <c r="I655" s="38" t="b">
        <v>0</v>
      </c>
      <c r="J655" s="103"/>
      <c r="K655" s="103"/>
    </row>
    <row r="656">
      <c r="A656" s="104"/>
      <c r="B656" s="38"/>
      <c r="E656" s="101"/>
      <c r="F656" s="101" t="str">
        <f t="array" ref="F656">IF(E656="","",IFERROR(_xlfn.XLOOKUP(E656,SyncCodex!N:N,SyncCodex!O:O),""))</f>
        <v/>
      </c>
      <c r="G656" s="102"/>
      <c r="H656" s="102" t="str">
        <f t="shared" si="1"/>
        <v/>
      </c>
      <c r="I656" s="38" t="b">
        <v>0</v>
      </c>
      <c r="J656" s="103"/>
      <c r="K656" s="103"/>
    </row>
    <row r="657">
      <c r="A657" s="104"/>
      <c r="B657" s="38"/>
      <c r="E657" s="101"/>
      <c r="F657" s="101" t="str">
        <f t="array" ref="F657">IF(E657="","",IFERROR(_xlfn.XLOOKUP(E657,SyncCodex!N:N,SyncCodex!O:O),""))</f>
        <v/>
      </c>
      <c r="G657" s="102"/>
      <c r="H657" s="102" t="str">
        <f t="shared" si="1"/>
        <v/>
      </c>
      <c r="I657" s="38" t="b">
        <v>0</v>
      </c>
      <c r="J657" s="103"/>
      <c r="K657" s="103"/>
    </row>
    <row r="658">
      <c r="A658" s="104"/>
      <c r="B658" s="38"/>
      <c r="E658" s="101"/>
      <c r="F658" s="101" t="str">
        <f t="array" ref="F658">IF(E658="","",IFERROR(_xlfn.XLOOKUP(E658,SyncCodex!N:N,SyncCodex!O:O),""))</f>
        <v/>
      </c>
      <c r="G658" s="102"/>
      <c r="H658" s="102" t="str">
        <f t="shared" si="1"/>
        <v/>
      </c>
      <c r="I658" s="38" t="b">
        <v>0</v>
      </c>
      <c r="J658" s="103"/>
      <c r="K658" s="103"/>
    </row>
    <row r="659">
      <c r="A659" s="104"/>
      <c r="B659" s="38"/>
      <c r="E659" s="101"/>
      <c r="F659" s="101" t="str">
        <f t="array" ref="F659">IF(E659="","",IFERROR(_xlfn.XLOOKUP(E659,SyncCodex!N:N,SyncCodex!O:O),""))</f>
        <v/>
      </c>
      <c r="G659" s="102"/>
      <c r="H659" s="102" t="str">
        <f t="shared" si="1"/>
        <v/>
      </c>
      <c r="I659" s="38" t="b">
        <v>0</v>
      </c>
      <c r="J659" s="103"/>
      <c r="K659" s="103"/>
    </row>
    <row r="660">
      <c r="A660" s="104"/>
      <c r="B660" s="38"/>
      <c r="E660" s="101"/>
      <c r="F660" s="101" t="str">
        <f t="array" ref="F660">IF(E660="","",IFERROR(_xlfn.XLOOKUP(E660,SyncCodex!N:N,SyncCodex!O:O),""))</f>
        <v/>
      </c>
      <c r="G660" s="102"/>
      <c r="H660" s="102" t="str">
        <f t="shared" si="1"/>
        <v/>
      </c>
      <c r="I660" s="38" t="b">
        <v>0</v>
      </c>
      <c r="J660" s="103"/>
      <c r="K660" s="103"/>
    </row>
    <row r="661">
      <c r="A661" s="104"/>
      <c r="B661" s="38"/>
      <c r="E661" s="101"/>
      <c r="F661" s="101" t="str">
        <f t="array" ref="F661">IF(E661="","",IFERROR(_xlfn.XLOOKUP(E661,SyncCodex!N:N,SyncCodex!O:O),""))</f>
        <v/>
      </c>
      <c r="G661" s="102"/>
      <c r="H661" s="102" t="str">
        <f t="shared" si="1"/>
        <v/>
      </c>
      <c r="I661" s="38" t="b">
        <v>0</v>
      </c>
      <c r="J661" s="103"/>
      <c r="K661" s="103"/>
    </row>
    <row r="662">
      <c r="A662" s="104"/>
      <c r="B662" s="38"/>
      <c r="E662" s="101"/>
      <c r="F662" s="101" t="str">
        <f t="array" ref="F662">IF(E662="","",IFERROR(_xlfn.XLOOKUP(E662,SyncCodex!N:N,SyncCodex!O:O),""))</f>
        <v/>
      </c>
      <c r="G662" s="102"/>
      <c r="H662" s="102" t="str">
        <f t="shared" si="1"/>
        <v/>
      </c>
      <c r="I662" s="38" t="b">
        <v>0</v>
      </c>
      <c r="J662" s="103"/>
      <c r="K662" s="103"/>
    </row>
    <row r="663">
      <c r="A663" s="104"/>
      <c r="B663" s="38"/>
      <c r="E663" s="101"/>
      <c r="F663" s="101" t="str">
        <f t="array" ref="F663">IF(E663="","",IFERROR(_xlfn.XLOOKUP(E663,SyncCodex!N:N,SyncCodex!O:O),""))</f>
        <v/>
      </c>
      <c r="G663" s="102"/>
      <c r="H663" s="102" t="str">
        <f t="shared" si="1"/>
        <v/>
      </c>
      <c r="I663" s="38" t="b">
        <v>0</v>
      </c>
      <c r="J663" s="103"/>
      <c r="K663" s="103"/>
    </row>
    <row r="664">
      <c r="A664" s="104"/>
      <c r="B664" s="38"/>
      <c r="E664" s="101"/>
      <c r="F664" s="101" t="str">
        <f t="array" ref="F664">IF(E664="","",IFERROR(_xlfn.XLOOKUP(E664,SyncCodex!N:N,SyncCodex!O:O),""))</f>
        <v/>
      </c>
      <c r="G664" s="102"/>
      <c r="H664" s="102" t="str">
        <f t="shared" si="1"/>
        <v/>
      </c>
      <c r="I664" s="38" t="b">
        <v>0</v>
      </c>
      <c r="J664" s="103"/>
      <c r="K664" s="103"/>
    </row>
    <row r="665">
      <c r="A665" s="104"/>
      <c r="B665" s="38"/>
      <c r="E665" s="101"/>
      <c r="F665" s="101" t="str">
        <f t="array" ref="F665">IF(E665="","",IFERROR(_xlfn.XLOOKUP(E665,SyncCodex!N:N,SyncCodex!O:O),""))</f>
        <v/>
      </c>
      <c r="G665" s="102"/>
      <c r="H665" s="102" t="str">
        <f t="shared" si="1"/>
        <v/>
      </c>
      <c r="I665" s="38" t="b">
        <v>0</v>
      </c>
      <c r="J665" s="103"/>
      <c r="K665" s="103"/>
    </row>
    <row r="666">
      <c r="A666" s="104"/>
      <c r="B666" s="38"/>
      <c r="E666" s="101"/>
      <c r="F666" s="101" t="str">
        <f t="array" ref="F666">IF(E666="","",IFERROR(_xlfn.XLOOKUP(E666,SyncCodex!N:N,SyncCodex!O:O),""))</f>
        <v/>
      </c>
      <c r="G666" s="102"/>
      <c r="H666" s="102" t="str">
        <f t="shared" si="1"/>
        <v/>
      </c>
      <c r="I666" s="38" t="b">
        <v>0</v>
      </c>
      <c r="J666" s="103"/>
      <c r="K666" s="103"/>
    </row>
    <row r="667">
      <c r="A667" s="104"/>
      <c r="B667" s="38"/>
      <c r="E667" s="101"/>
      <c r="F667" s="101" t="str">
        <f t="array" ref="F667">IF(E667="","",IFERROR(_xlfn.XLOOKUP(E667,SyncCodex!N:N,SyncCodex!O:O),""))</f>
        <v/>
      </c>
      <c r="G667" s="102"/>
      <c r="H667" s="102" t="str">
        <f t="shared" si="1"/>
        <v/>
      </c>
      <c r="I667" s="38" t="b">
        <v>0</v>
      </c>
      <c r="J667" s="103"/>
      <c r="K667" s="103"/>
    </row>
    <row r="668">
      <c r="A668" s="104"/>
      <c r="B668" s="38"/>
      <c r="E668" s="101"/>
      <c r="F668" s="101" t="str">
        <f t="array" ref="F668">IF(E668="","",IFERROR(_xlfn.XLOOKUP(E668,SyncCodex!N:N,SyncCodex!O:O),""))</f>
        <v/>
      </c>
      <c r="G668" s="102"/>
      <c r="H668" s="102" t="str">
        <f t="shared" si="1"/>
        <v/>
      </c>
      <c r="I668" s="38" t="b">
        <v>0</v>
      </c>
      <c r="J668" s="103"/>
      <c r="K668" s="103"/>
    </row>
    <row r="669">
      <c r="A669" s="104"/>
      <c r="B669" s="38"/>
      <c r="E669" s="101"/>
      <c r="F669" s="101" t="str">
        <f t="array" ref="F669">IF(E669="","",IFERROR(_xlfn.XLOOKUP(E669,SyncCodex!N:N,SyncCodex!O:O),""))</f>
        <v/>
      </c>
      <c r="G669" s="102"/>
      <c r="H669" s="102" t="str">
        <f t="shared" si="1"/>
        <v/>
      </c>
      <c r="I669" s="38" t="b">
        <v>0</v>
      </c>
      <c r="J669" s="103"/>
      <c r="K669" s="103"/>
    </row>
    <row r="670">
      <c r="A670" s="104"/>
      <c r="B670" s="38"/>
      <c r="E670" s="101"/>
      <c r="F670" s="101" t="str">
        <f t="array" ref="F670">IF(E670="","",IFERROR(_xlfn.XLOOKUP(E670,SyncCodex!N:N,SyncCodex!O:O),""))</f>
        <v/>
      </c>
      <c r="G670" s="102"/>
      <c r="H670" s="102" t="str">
        <f t="shared" si="1"/>
        <v/>
      </c>
      <c r="I670" s="38" t="b">
        <v>0</v>
      </c>
      <c r="J670" s="103"/>
      <c r="K670" s="103"/>
    </row>
    <row r="671">
      <c r="A671" s="104"/>
      <c r="B671" s="38"/>
      <c r="E671" s="101"/>
      <c r="F671" s="101" t="str">
        <f t="array" ref="F671">IF(E671="","",IFERROR(_xlfn.XLOOKUP(E671,SyncCodex!N:N,SyncCodex!O:O),""))</f>
        <v/>
      </c>
      <c r="G671" s="102"/>
      <c r="H671" s="102" t="str">
        <f t="shared" si="1"/>
        <v/>
      </c>
      <c r="I671" s="38" t="b">
        <v>0</v>
      </c>
      <c r="J671" s="103"/>
      <c r="K671" s="103"/>
    </row>
    <row r="672">
      <c r="A672" s="104"/>
      <c r="B672" s="38"/>
      <c r="E672" s="101"/>
      <c r="F672" s="101" t="str">
        <f t="array" ref="F672">IF(E672="","",IFERROR(_xlfn.XLOOKUP(E672,SyncCodex!N:N,SyncCodex!O:O),""))</f>
        <v/>
      </c>
      <c r="G672" s="102"/>
      <c r="H672" s="102" t="str">
        <f t="shared" si="1"/>
        <v/>
      </c>
      <c r="I672" s="38" t="b">
        <v>0</v>
      </c>
      <c r="J672" s="103"/>
      <c r="K672" s="103"/>
    </row>
    <row r="673">
      <c r="A673" s="104"/>
      <c r="B673" s="38"/>
      <c r="E673" s="101"/>
      <c r="F673" s="101" t="str">
        <f t="array" ref="F673">IF(E673="","",IFERROR(_xlfn.XLOOKUP(E673,SyncCodex!N:N,SyncCodex!O:O),""))</f>
        <v/>
      </c>
      <c r="G673" s="102"/>
      <c r="H673" s="102" t="str">
        <f t="shared" si="1"/>
        <v/>
      </c>
      <c r="I673" s="38" t="b">
        <v>0</v>
      </c>
      <c r="J673" s="103"/>
      <c r="K673" s="103"/>
    </row>
    <row r="674">
      <c r="A674" s="104"/>
      <c r="B674" s="38"/>
      <c r="E674" s="101"/>
      <c r="F674" s="101" t="str">
        <f t="array" ref="F674">IF(E674="","",IFERROR(_xlfn.XLOOKUP(E674,SyncCodex!N:N,SyncCodex!O:O),""))</f>
        <v/>
      </c>
      <c r="G674" s="102"/>
      <c r="H674" s="102" t="str">
        <f t="shared" si="1"/>
        <v/>
      </c>
      <c r="I674" s="38" t="b">
        <v>0</v>
      </c>
      <c r="J674" s="103"/>
      <c r="K674" s="103"/>
    </row>
    <row r="675">
      <c r="A675" s="104"/>
      <c r="B675" s="38"/>
      <c r="E675" s="101"/>
      <c r="F675" s="101" t="str">
        <f t="array" ref="F675">IF(E675="","",IFERROR(_xlfn.XLOOKUP(E675,SyncCodex!N:N,SyncCodex!O:O),""))</f>
        <v/>
      </c>
      <c r="G675" s="102"/>
      <c r="H675" s="102" t="str">
        <f t="shared" si="1"/>
        <v/>
      </c>
      <c r="I675" s="38" t="b">
        <v>0</v>
      </c>
      <c r="J675" s="103"/>
      <c r="K675" s="103"/>
    </row>
    <row r="676">
      <c r="A676" s="104"/>
      <c r="B676" s="38"/>
      <c r="E676" s="101"/>
      <c r="F676" s="101" t="str">
        <f t="array" ref="F676">IF(E676="","",IFERROR(_xlfn.XLOOKUP(E676,SyncCodex!N:N,SyncCodex!O:O),""))</f>
        <v/>
      </c>
      <c r="G676" s="102"/>
      <c r="H676" s="102" t="str">
        <f t="shared" si="1"/>
        <v/>
      </c>
      <c r="I676" s="38" t="b">
        <v>0</v>
      </c>
      <c r="J676" s="103"/>
      <c r="K676" s="103"/>
    </row>
    <row r="677">
      <c r="A677" s="104"/>
      <c r="B677" s="38"/>
      <c r="E677" s="101"/>
      <c r="F677" s="101" t="str">
        <f t="array" ref="F677">IF(E677="","",IFERROR(_xlfn.XLOOKUP(E677,SyncCodex!N:N,SyncCodex!O:O),""))</f>
        <v/>
      </c>
      <c r="G677" s="102"/>
      <c r="H677" s="102" t="str">
        <f t="shared" si="1"/>
        <v/>
      </c>
      <c r="I677" s="38" t="b">
        <v>0</v>
      </c>
      <c r="J677" s="103"/>
      <c r="K677" s="103"/>
    </row>
    <row r="678">
      <c r="A678" s="104"/>
      <c r="B678" s="38"/>
      <c r="E678" s="101"/>
      <c r="F678" s="101" t="str">
        <f t="array" ref="F678">IF(E678="","",IFERROR(_xlfn.XLOOKUP(E678,SyncCodex!N:N,SyncCodex!O:O),""))</f>
        <v/>
      </c>
      <c r="G678" s="102"/>
      <c r="H678" s="102" t="str">
        <f t="shared" si="1"/>
        <v/>
      </c>
      <c r="I678" s="38" t="b">
        <v>0</v>
      </c>
      <c r="J678" s="103"/>
      <c r="K678" s="103"/>
    </row>
    <row r="679">
      <c r="A679" s="104"/>
      <c r="B679" s="38"/>
      <c r="E679" s="101"/>
      <c r="F679" s="101" t="str">
        <f t="array" ref="F679">IF(E679="","",IFERROR(_xlfn.XLOOKUP(E679,SyncCodex!N:N,SyncCodex!O:O),""))</f>
        <v/>
      </c>
      <c r="G679" s="102"/>
      <c r="H679" s="102" t="str">
        <f t="shared" si="1"/>
        <v/>
      </c>
      <c r="I679" s="38" t="b">
        <v>0</v>
      </c>
      <c r="J679" s="103"/>
      <c r="K679" s="103"/>
    </row>
    <row r="680">
      <c r="A680" s="104"/>
      <c r="B680" s="38"/>
      <c r="E680" s="101"/>
      <c r="F680" s="101" t="str">
        <f t="array" ref="F680">IF(E680="","",IFERROR(_xlfn.XLOOKUP(E680,SyncCodex!N:N,SyncCodex!O:O),""))</f>
        <v/>
      </c>
      <c r="G680" s="102"/>
      <c r="H680" s="102" t="str">
        <f t="shared" si="1"/>
        <v/>
      </c>
      <c r="I680" s="38" t="b">
        <v>0</v>
      </c>
      <c r="J680" s="103"/>
      <c r="K680" s="103"/>
    </row>
    <row r="681">
      <c r="A681" s="104"/>
      <c r="B681" s="38"/>
      <c r="E681" s="101"/>
      <c r="F681" s="101" t="str">
        <f t="array" ref="F681">IF(E681="","",IFERROR(_xlfn.XLOOKUP(E681,SyncCodex!N:N,SyncCodex!O:O),""))</f>
        <v/>
      </c>
      <c r="G681" s="102"/>
      <c r="H681" s="102" t="str">
        <f t="shared" si="1"/>
        <v/>
      </c>
      <c r="I681" s="38" t="b">
        <v>0</v>
      </c>
      <c r="J681" s="103"/>
      <c r="K681" s="103"/>
    </row>
    <row r="682">
      <c r="A682" s="104"/>
      <c r="B682" s="38"/>
      <c r="E682" s="101"/>
      <c r="F682" s="101" t="str">
        <f t="array" ref="F682">IF(E682="","",IFERROR(_xlfn.XLOOKUP(E682,SyncCodex!N:N,SyncCodex!O:O),""))</f>
        <v/>
      </c>
      <c r="G682" s="102"/>
      <c r="H682" s="102" t="str">
        <f t="shared" si="1"/>
        <v/>
      </c>
      <c r="I682" s="38" t="b">
        <v>0</v>
      </c>
      <c r="J682" s="103"/>
      <c r="K682" s="103"/>
    </row>
    <row r="683">
      <c r="A683" s="104"/>
      <c r="B683" s="38"/>
      <c r="E683" s="101"/>
      <c r="F683" s="101" t="str">
        <f t="array" ref="F683">IF(E683="","",IFERROR(_xlfn.XLOOKUP(E683,SyncCodex!N:N,SyncCodex!O:O),""))</f>
        <v/>
      </c>
      <c r="G683" s="102"/>
      <c r="H683" s="102" t="str">
        <f t="shared" si="1"/>
        <v/>
      </c>
      <c r="I683" s="38" t="b">
        <v>0</v>
      </c>
      <c r="J683" s="103"/>
      <c r="K683" s="103"/>
    </row>
    <row r="684">
      <c r="A684" s="104"/>
      <c r="B684" s="38"/>
      <c r="E684" s="101"/>
      <c r="F684" s="101" t="str">
        <f t="array" ref="F684">IF(E684="","",IFERROR(_xlfn.XLOOKUP(E684,SyncCodex!N:N,SyncCodex!O:O),""))</f>
        <v/>
      </c>
      <c r="G684" s="102"/>
      <c r="H684" s="102" t="str">
        <f t="shared" si="1"/>
        <v/>
      </c>
      <c r="I684" s="38" t="b">
        <v>0</v>
      </c>
      <c r="J684" s="103"/>
      <c r="K684" s="103"/>
    </row>
    <row r="685">
      <c r="A685" s="104"/>
      <c r="B685" s="38"/>
      <c r="E685" s="101"/>
      <c r="F685" s="101" t="str">
        <f t="array" ref="F685">IF(E685="","",IFERROR(_xlfn.XLOOKUP(E685,SyncCodex!N:N,SyncCodex!O:O),""))</f>
        <v/>
      </c>
      <c r="G685" s="102"/>
      <c r="H685" s="102" t="str">
        <f t="shared" si="1"/>
        <v/>
      </c>
      <c r="I685" s="38" t="b">
        <v>0</v>
      </c>
      <c r="J685" s="103"/>
      <c r="K685" s="103"/>
    </row>
    <row r="686">
      <c r="A686" s="104"/>
      <c r="B686" s="38"/>
      <c r="E686" s="101"/>
      <c r="F686" s="101" t="str">
        <f t="array" ref="F686">IF(E686="","",IFERROR(_xlfn.XLOOKUP(E686,SyncCodex!N:N,SyncCodex!O:O),""))</f>
        <v/>
      </c>
      <c r="G686" s="102"/>
      <c r="H686" s="102" t="str">
        <f t="shared" si="1"/>
        <v/>
      </c>
      <c r="I686" s="38" t="b">
        <v>0</v>
      </c>
      <c r="J686" s="103"/>
      <c r="K686" s="103"/>
    </row>
    <row r="687">
      <c r="A687" s="104"/>
      <c r="B687" s="38"/>
      <c r="E687" s="101"/>
      <c r="F687" s="101" t="str">
        <f t="array" ref="F687">IF(E687="","",IFERROR(_xlfn.XLOOKUP(E687,SyncCodex!N:N,SyncCodex!O:O),""))</f>
        <v/>
      </c>
      <c r="G687" s="102"/>
      <c r="H687" s="102" t="str">
        <f t="shared" si="1"/>
        <v/>
      </c>
      <c r="I687" s="38" t="b">
        <v>0</v>
      </c>
      <c r="J687" s="103"/>
      <c r="K687" s="103"/>
    </row>
    <row r="688">
      <c r="A688" s="104"/>
      <c r="B688" s="38"/>
      <c r="E688" s="101"/>
      <c r="F688" s="101" t="str">
        <f t="array" ref="F688">IF(E688="","",IFERROR(_xlfn.XLOOKUP(E688,SyncCodex!N:N,SyncCodex!O:O),""))</f>
        <v/>
      </c>
      <c r="G688" s="102"/>
      <c r="H688" s="102" t="str">
        <f t="shared" si="1"/>
        <v/>
      </c>
      <c r="I688" s="38" t="b">
        <v>0</v>
      </c>
      <c r="J688" s="103"/>
      <c r="K688" s="103"/>
    </row>
    <row r="689">
      <c r="A689" s="104"/>
      <c r="B689" s="38"/>
      <c r="E689" s="101"/>
      <c r="F689" s="101" t="str">
        <f t="array" ref="F689">IF(E689="","",IFERROR(_xlfn.XLOOKUP(E689,SyncCodex!N:N,SyncCodex!O:O),""))</f>
        <v/>
      </c>
      <c r="G689" s="102"/>
      <c r="H689" s="102" t="str">
        <f t="shared" si="1"/>
        <v/>
      </c>
      <c r="I689" s="38" t="b">
        <v>0</v>
      </c>
      <c r="J689" s="103"/>
      <c r="K689" s="103"/>
    </row>
    <row r="690">
      <c r="A690" s="104"/>
      <c r="B690" s="38"/>
      <c r="E690" s="101"/>
      <c r="F690" s="101" t="str">
        <f t="array" ref="F690">IF(E690="","",IFERROR(_xlfn.XLOOKUP(E690,SyncCodex!N:N,SyncCodex!O:O),""))</f>
        <v/>
      </c>
      <c r="G690" s="102"/>
      <c r="H690" s="102" t="str">
        <f t="shared" si="1"/>
        <v/>
      </c>
      <c r="I690" s="38" t="b">
        <v>0</v>
      </c>
      <c r="J690" s="103"/>
      <c r="K690" s="103"/>
    </row>
    <row r="691">
      <c r="A691" s="104"/>
      <c r="B691" s="38"/>
      <c r="E691" s="101"/>
      <c r="F691" s="101" t="str">
        <f t="array" ref="F691">IF(E691="","",IFERROR(_xlfn.XLOOKUP(E691,SyncCodex!N:N,SyncCodex!O:O),""))</f>
        <v/>
      </c>
      <c r="G691" s="102"/>
      <c r="H691" s="102" t="str">
        <f t="shared" si="1"/>
        <v/>
      </c>
      <c r="I691" s="38" t="b">
        <v>0</v>
      </c>
      <c r="J691" s="103"/>
      <c r="K691" s="103"/>
    </row>
    <row r="692">
      <c r="A692" s="104"/>
      <c r="B692" s="38"/>
      <c r="E692" s="101"/>
      <c r="F692" s="101" t="str">
        <f t="array" ref="F692">IF(E692="","",IFERROR(_xlfn.XLOOKUP(E692,SyncCodex!N:N,SyncCodex!O:O),""))</f>
        <v/>
      </c>
      <c r="G692" s="102"/>
      <c r="H692" s="102" t="str">
        <f t="shared" si="1"/>
        <v/>
      </c>
      <c r="I692" s="38" t="b">
        <v>0</v>
      </c>
      <c r="J692" s="103"/>
      <c r="K692" s="103"/>
    </row>
    <row r="693">
      <c r="A693" s="104"/>
      <c r="B693" s="38"/>
      <c r="E693" s="101"/>
      <c r="F693" s="101" t="str">
        <f t="array" ref="F693">IF(E693="","",IFERROR(_xlfn.XLOOKUP(E693,SyncCodex!N:N,SyncCodex!O:O),""))</f>
        <v/>
      </c>
      <c r="G693" s="102"/>
      <c r="H693" s="102" t="str">
        <f t="shared" si="1"/>
        <v/>
      </c>
      <c r="I693" s="38" t="b">
        <v>0</v>
      </c>
      <c r="J693" s="103"/>
      <c r="K693" s="103"/>
    </row>
    <row r="694">
      <c r="A694" s="104"/>
      <c r="B694" s="38"/>
      <c r="E694" s="101"/>
      <c r="F694" s="101" t="str">
        <f t="array" ref="F694">IF(E694="","",IFERROR(_xlfn.XLOOKUP(E694,SyncCodex!N:N,SyncCodex!O:O),""))</f>
        <v/>
      </c>
      <c r="G694" s="102"/>
      <c r="H694" s="102" t="str">
        <f t="shared" si="1"/>
        <v/>
      </c>
      <c r="I694" s="38" t="b">
        <v>0</v>
      </c>
      <c r="J694" s="103"/>
      <c r="K694" s="103"/>
    </row>
    <row r="695">
      <c r="A695" s="104"/>
      <c r="B695" s="38"/>
      <c r="E695" s="101"/>
      <c r="F695" s="101" t="str">
        <f t="array" ref="F695">IF(E695="","",IFERROR(_xlfn.XLOOKUP(E695,SyncCodex!N:N,SyncCodex!O:O),""))</f>
        <v/>
      </c>
      <c r="G695" s="102"/>
      <c r="H695" s="102" t="str">
        <f t="shared" si="1"/>
        <v/>
      </c>
      <c r="I695" s="38" t="b">
        <v>0</v>
      </c>
      <c r="J695" s="103"/>
      <c r="K695" s="103"/>
    </row>
    <row r="696">
      <c r="A696" s="104"/>
      <c r="B696" s="38"/>
      <c r="E696" s="101"/>
      <c r="F696" s="101" t="str">
        <f t="array" ref="F696">IF(E696="","",IFERROR(_xlfn.XLOOKUP(E696,SyncCodex!N:N,SyncCodex!O:O),""))</f>
        <v/>
      </c>
      <c r="G696" s="102"/>
      <c r="H696" s="102" t="str">
        <f t="shared" si="1"/>
        <v/>
      </c>
      <c r="I696" s="38" t="b">
        <v>0</v>
      </c>
      <c r="J696" s="103"/>
      <c r="K696" s="103"/>
    </row>
    <row r="697">
      <c r="A697" s="104"/>
      <c r="B697" s="38"/>
      <c r="E697" s="101"/>
      <c r="F697" s="101" t="str">
        <f t="array" ref="F697">IF(E697="","",IFERROR(_xlfn.XLOOKUP(E697,SyncCodex!N:N,SyncCodex!O:O),""))</f>
        <v/>
      </c>
      <c r="G697" s="102"/>
      <c r="H697" s="102" t="str">
        <f t="shared" si="1"/>
        <v/>
      </c>
      <c r="I697" s="38" t="b">
        <v>0</v>
      </c>
      <c r="J697" s="103"/>
      <c r="K697" s="103"/>
    </row>
    <row r="698">
      <c r="A698" s="104"/>
      <c r="B698" s="38"/>
      <c r="E698" s="101"/>
      <c r="F698" s="101" t="str">
        <f t="array" ref="F698">IF(E698="","",IFERROR(_xlfn.XLOOKUP(E698,SyncCodex!N:N,SyncCodex!O:O),""))</f>
        <v/>
      </c>
      <c r="G698" s="102"/>
      <c r="H698" s="102" t="str">
        <f t="shared" si="1"/>
        <v/>
      </c>
      <c r="I698" s="38" t="b">
        <v>0</v>
      </c>
      <c r="J698" s="103"/>
      <c r="K698" s="103"/>
    </row>
    <row r="699">
      <c r="A699" s="104"/>
      <c r="B699" s="38"/>
      <c r="E699" s="101"/>
      <c r="F699" s="101" t="str">
        <f t="array" ref="F699">IF(E699="","",IFERROR(_xlfn.XLOOKUP(E699,SyncCodex!N:N,SyncCodex!O:O),""))</f>
        <v/>
      </c>
      <c r="G699" s="102"/>
      <c r="H699" s="102" t="str">
        <f t="shared" si="1"/>
        <v/>
      </c>
      <c r="I699" s="38" t="b">
        <v>0</v>
      </c>
      <c r="J699" s="103"/>
      <c r="K699" s="103"/>
    </row>
    <row r="700">
      <c r="A700" s="104"/>
      <c r="B700" s="38"/>
      <c r="E700" s="101"/>
      <c r="F700" s="101" t="str">
        <f t="array" ref="F700">IF(E700="","",IFERROR(_xlfn.XLOOKUP(E700,SyncCodex!N:N,SyncCodex!O:O),""))</f>
        <v/>
      </c>
      <c r="G700" s="102"/>
      <c r="H700" s="102" t="str">
        <f t="shared" si="1"/>
        <v/>
      </c>
      <c r="I700" s="38" t="b">
        <v>0</v>
      </c>
      <c r="J700" s="103"/>
      <c r="K700" s="103"/>
    </row>
    <row r="701">
      <c r="A701" s="104"/>
      <c r="B701" s="38"/>
      <c r="E701" s="101"/>
      <c r="F701" s="101" t="str">
        <f t="array" ref="F701">IF(E701="","",IFERROR(_xlfn.XLOOKUP(E701,SyncCodex!N:N,SyncCodex!O:O),""))</f>
        <v/>
      </c>
      <c r="G701" s="102"/>
      <c r="H701" s="102" t="str">
        <f t="shared" si="1"/>
        <v/>
      </c>
      <c r="I701" s="38" t="b">
        <v>0</v>
      </c>
      <c r="J701" s="103"/>
      <c r="K701" s="103"/>
    </row>
    <row r="702">
      <c r="A702" s="104"/>
      <c r="B702" s="38"/>
      <c r="E702" s="101"/>
      <c r="F702" s="101" t="str">
        <f t="array" ref="F702">IF(E702="","",IFERROR(_xlfn.XLOOKUP(E702,SyncCodex!N:N,SyncCodex!O:O),""))</f>
        <v/>
      </c>
      <c r="G702" s="102"/>
      <c r="H702" s="102" t="str">
        <f t="shared" si="1"/>
        <v/>
      </c>
      <c r="I702" s="38" t="b">
        <v>0</v>
      </c>
      <c r="J702" s="103"/>
      <c r="K702" s="103"/>
    </row>
    <row r="703">
      <c r="A703" s="104"/>
      <c r="B703" s="38"/>
      <c r="E703" s="101"/>
      <c r="F703" s="101" t="str">
        <f t="array" ref="F703">IF(E703="","",IFERROR(_xlfn.XLOOKUP(E703,SyncCodex!N:N,SyncCodex!O:O),""))</f>
        <v/>
      </c>
      <c r="G703" s="102"/>
      <c r="H703" s="102" t="str">
        <f t="shared" si="1"/>
        <v/>
      </c>
      <c r="I703" s="38" t="b">
        <v>0</v>
      </c>
      <c r="J703" s="103"/>
      <c r="K703" s="103"/>
    </row>
    <row r="704">
      <c r="A704" s="104"/>
      <c r="B704" s="38"/>
      <c r="E704" s="101"/>
      <c r="F704" s="101" t="str">
        <f t="array" ref="F704">IF(E704="","",IFERROR(_xlfn.XLOOKUP(E704,SyncCodex!N:N,SyncCodex!O:O),""))</f>
        <v/>
      </c>
      <c r="G704" s="102"/>
      <c r="H704" s="102" t="str">
        <f t="shared" si="1"/>
        <v/>
      </c>
      <c r="I704" s="38" t="b">
        <v>0</v>
      </c>
      <c r="J704" s="103"/>
      <c r="K704" s="103"/>
    </row>
    <row r="705">
      <c r="A705" s="104"/>
      <c r="B705" s="38"/>
      <c r="E705" s="101"/>
      <c r="F705" s="101" t="str">
        <f t="array" ref="F705">IF(E705="","",IFERROR(_xlfn.XLOOKUP(E705,SyncCodex!N:N,SyncCodex!O:O),""))</f>
        <v/>
      </c>
      <c r="G705" s="102"/>
      <c r="H705" s="102" t="str">
        <f t="shared" si="1"/>
        <v/>
      </c>
      <c r="I705" s="38" t="b">
        <v>0</v>
      </c>
      <c r="J705" s="103"/>
      <c r="K705" s="103"/>
    </row>
    <row r="706">
      <c r="A706" s="104"/>
      <c r="B706" s="38"/>
      <c r="E706" s="101"/>
      <c r="F706" s="101" t="str">
        <f t="array" ref="F706">IF(E706="","",IFERROR(_xlfn.XLOOKUP(E706,SyncCodex!N:N,SyncCodex!O:O),""))</f>
        <v/>
      </c>
      <c r="G706" s="102"/>
      <c r="H706" s="102" t="str">
        <f t="shared" si="1"/>
        <v/>
      </c>
      <c r="I706" s="38" t="b">
        <v>0</v>
      </c>
      <c r="J706" s="103"/>
      <c r="K706" s="103"/>
    </row>
    <row r="707">
      <c r="A707" s="104"/>
      <c r="B707" s="38"/>
      <c r="E707" s="101"/>
      <c r="F707" s="101" t="str">
        <f t="array" ref="F707">IF(E707="","",IFERROR(_xlfn.XLOOKUP(E707,SyncCodex!N:N,SyncCodex!O:O),""))</f>
        <v/>
      </c>
      <c r="G707" s="102"/>
      <c r="H707" s="102" t="str">
        <f t="shared" si="1"/>
        <v/>
      </c>
      <c r="I707" s="38" t="b">
        <v>0</v>
      </c>
      <c r="J707" s="103"/>
      <c r="K707" s="103"/>
    </row>
    <row r="708">
      <c r="A708" s="104"/>
      <c r="B708" s="38"/>
      <c r="E708" s="101"/>
      <c r="F708" s="101" t="str">
        <f t="array" ref="F708">IF(E708="","",IFERROR(_xlfn.XLOOKUP(E708,SyncCodex!N:N,SyncCodex!O:O),""))</f>
        <v/>
      </c>
      <c r="G708" s="102"/>
      <c r="H708" s="102" t="str">
        <f t="shared" si="1"/>
        <v/>
      </c>
      <c r="I708" s="38" t="b">
        <v>0</v>
      </c>
      <c r="J708" s="103"/>
      <c r="K708" s="103"/>
    </row>
    <row r="709">
      <c r="A709" s="104"/>
      <c r="B709" s="38"/>
      <c r="E709" s="101"/>
      <c r="F709" s="101" t="str">
        <f t="array" ref="F709">IF(E709="","",IFERROR(_xlfn.XLOOKUP(E709,SyncCodex!N:N,SyncCodex!O:O),""))</f>
        <v/>
      </c>
      <c r="G709" s="102"/>
      <c r="H709" s="102" t="str">
        <f t="shared" si="1"/>
        <v/>
      </c>
      <c r="I709" s="38" t="b">
        <v>0</v>
      </c>
      <c r="J709" s="103"/>
      <c r="K709" s="103"/>
    </row>
    <row r="710">
      <c r="A710" s="104"/>
      <c r="B710" s="38"/>
      <c r="E710" s="101"/>
      <c r="F710" s="101" t="str">
        <f t="array" ref="F710">IF(E710="","",IFERROR(_xlfn.XLOOKUP(E710,SyncCodex!N:N,SyncCodex!O:O),""))</f>
        <v/>
      </c>
      <c r="G710" s="102"/>
      <c r="H710" s="102" t="str">
        <f t="shared" si="1"/>
        <v/>
      </c>
      <c r="I710" s="38" t="b">
        <v>0</v>
      </c>
      <c r="J710" s="103"/>
      <c r="K710" s="103"/>
    </row>
    <row r="711">
      <c r="A711" s="104"/>
      <c r="B711" s="38"/>
      <c r="E711" s="101"/>
      <c r="F711" s="101" t="str">
        <f t="array" ref="F711">IF(E711="","",IFERROR(_xlfn.XLOOKUP(E711,SyncCodex!N:N,SyncCodex!O:O),""))</f>
        <v/>
      </c>
      <c r="G711" s="102"/>
      <c r="H711" s="102" t="str">
        <f t="shared" si="1"/>
        <v/>
      </c>
      <c r="I711" s="38" t="b">
        <v>0</v>
      </c>
      <c r="J711" s="103"/>
      <c r="K711" s="103"/>
    </row>
    <row r="712">
      <c r="A712" s="104"/>
      <c r="B712" s="38"/>
      <c r="E712" s="101"/>
      <c r="F712" s="101" t="str">
        <f t="array" ref="F712">IF(E712="","",IFERROR(_xlfn.XLOOKUP(E712,SyncCodex!N:N,SyncCodex!O:O),""))</f>
        <v/>
      </c>
      <c r="G712" s="102"/>
      <c r="H712" s="102" t="str">
        <f t="shared" si="1"/>
        <v/>
      </c>
      <c r="I712" s="38" t="b">
        <v>0</v>
      </c>
      <c r="J712" s="103"/>
      <c r="K712" s="103"/>
    </row>
    <row r="713">
      <c r="A713" s="104"/>
      <c r="B713" s="38"/>
      <c r="E713" s="101"/>
      <c r="F713" s="101" t="str">
        <f t="array" ref="F713">IF(E713="","",IFERROR(_xlfn.XLOOKUP(E713,SyncCodex!N:N,SyncCodex!O:O),""))</f>
        <v/>
      </c>
      <c r="G713" s="102"/>
      <c r="H713" s="102" t="str">
        <f t="shared" si="1"/>
        <v/>
      </c>
      <c r="I713" s="38" t="b">
        <v>0</v>
      </c>
      <c r="J713" s="103"/>
      <c r="K713" s="103"/>
    </row>
    <row r="714">
      <c r="A714" s="104"/>
      <c r="B714" s="38"/>
      <c r="E714" s="101"/>
      <c r="F714" s="101" t="str">
        <f t="array" ref="F714">IF(E714="","",IFERROR(_xlfn.XLOOKUP(E714,SyncCodex!N:N,SyncCodex!O:O),""))</f>
        <v/>
      </c>
      <c r="G714" s="102"/>
      <c r="H714" s="102" t="str">
        <f t="shared" si="1"/>
        <v/>
      </c>
      <c r="I714" s="38" t="b">
        <v>0</v>
      </c>
      <c r="J714" s="103"/>
      <c r="K714" s="103"/>
    </row>
    <row r="715">
      <c r="A715" s="104"/>
      <c r="B715" s="38"/>
      <c r="E715" s="101"/>
      <c r="F715" s="101" t="str">
        <f t="array" ref="F715">IF(E715="","",IFERROR(_xlfn.XLOOKUP(E715,SyncCodex!N:N,SyncCodex!O:O),""))</f>
        <v/>
      </c>
      <c r="G715" s="102"/>
      <c r="H715" s="102" t="str">
        <f t="shared" si="1"/>
        <v/>
      </c>
      <c r="I715" s="38" t="b">
        <v>0</v>
      </c>
      <c r="J715" s="103"/>
      <c r="K715" s="103"/>
    </row>
    <row r="716">
      <c r="A716" s="104"/>
      <c r="B716" s="38"/>
      <c r="E716" s="101"/>
      <c r="F716" s="101" t="str">
        <f t="array" ref="F716">IF(E716="","",IFERROR(_xlfn.XLOOKUP(E716,SyncCodex!N:N,SyncCodex!O:O),""))</f>
        <v/>
      </c>
      <c r="G716" s="102"/>
      <c r="H716" s="102" t="str">
        <f t="shared" si="1"/>
        <v/>
      </c>
      <c r="I716" s="38" t="b">
        <v>0</v>
      </c>
      <c r="J716" s="103"/>
      <c r="K716" s="103"/>
    </row>
    <row r="717">
      <c r="A717" s="104"/>
      <c r="B717" s="38"/>
      <c r="E717" s="101"/>
      <c r="F717" s="101" t="str">
        <f t="array" ref="F717">IF(E717="","",IFERROR(_xlfn.XLOOKUP(E717,SyncCodex!N:N,SyncCodex!O:O),""))</f>
        <v/>
      </c>
      <c r="G717" s="102"/>
      <c r="H717" s="102" t="str">
        <f t="shared" si="1"/>
        <v/>
      </c>
      <c r="I717" s="38" t="b">
        <v>0</v>
      </c>
      <c r="J717" s="103"/>
      <c r="K717" s="103"/>
    </row>
    <row r="718">
      <c r="A718" s="104"/>
      <c r="B718" s="38"/>
      <c r="E718" s="101"/>
      <c r="F718" s="101" t="str">
        <f t="array" ref="F718">IF(E718="","",IFERROR(_xlfn.XLOOKUP(E718,SyncCodex!N:N,SyncCodex!O:O),""))</f>
        <v/>
      </c>
      <c r="G718" s="102"/>
      <c r="H718" s="102" t="str">
        <f t="shared" si="1"/>
        <v/>
      </c>
      <c r="I718" s="38" t="b">
        <v>0</v>
      </c>
      <c r="J718" s="103"/>
      <c r="K718" s="103"/>
    </row>
    <row r="719">
      <c r="A719" s="104"/>
      <c r="B719" s="38"/>
      <c r="E719" s="101"/>
      <c r="F719" s="101" t="str">
        <f t="array" ref="F719">IF(E719="","",IFERROR(_xlfn.XLOOKUP(E719,SyncCodex!N:N,SyncCodex!O:O),""))</f>
        <v/>
      </c>
      <c r="G719" s="102"/>
      <c r="H719" s="102" t="str">
        <f t="shared" si="1"/>
        <v/>
      </c>
      <c r="I719" s="38" t="b">
        <v>0</v>
      </c>
      <c r="J719" s="103"/>
      <c r="K719" s="103"/>
    </row>
    <row r="720">
      <c r="A720" s="104"/>
      <c r="B720" s="38"/>
      <c r="E720" s="101"/>
      <c r="F720" s="101" t="str">
        <f t="array" ref="F720">IF(E720="","",IFERROR(_xlfn.XLOOKUP(E720,SyncCodex!N:N,SyncCodex!O:O),""))</f>
        <v/>
      </c>
      <c r="G720" s="102"/>
      <c r="H720" s="102" t="str">
        <f t="shared" si="1"/>
        <v/>
      </c>
      <c r="I720" s="38" t="b">
        <v>0</v>
      </c>
      <c r="J720" s="103"/>
      <c r="K720" s="103"/>
    </row>
    <row r="721">
      <c r="A721" s="104"/>
      <c r="B721" s="38"/>
      <c r="E721" s="101"/>
      <c r="F721" s="101" t="str">
        <f t="array" ref="F721">IF(E721="","",IFERROR(_xlfn.XLOOKUP(E721,SyncCodex!N:N,SyncCodex!O:O),""))</f>
        <v/>
      </c>
      <c r="G721" s="102"/>
      <c r="H721" s="102" t="str">
        <f t="shared" si="1"/>
        <v/>
      </c>
      <c r="I721" s="38" t="b">
        <v>0</v>
      </c>
      <c r="J721" s="103"/>
      <c r="K721" s="103"/>
    </row>
    <row r="722">
      <c r="A722" s="104"/>
      <c r="B722" s="38"/>
      <c r="E722" s="101"/>
      <c r="F722" s="101" t="str">
        <f t="array" ref="F722">IF(E722="","",IFERROR(_xlfn.XLOOKUP(E722,SyncCodex!N:N,SyncCodex!O:O),""))</f>
        <v/>
      </c>
      <c r="G722" s="102"/>
      <c r="H722" s="102" t="str">
        <f t="shared" si="1"/>
        <v/>
      </c>
      <c r="I722" s="38" t="b">
        <v>0</v>
      </c>
      <c r="J722" s="103"/>
      <c r="K722" s="103"/>
    </row>
    <row r="723">
      <c r="A723" s="104"/>
      <c r="B723" s="38"/>
      <c r="E723" s="101"/>
      <c r="F723" s="101" t="str">
        <f t="array" ref="F723">IF(E723="","",IFERROR(_xlfn.XLOOKUP(E723,SyncCodex!N:N,SyncCodex!O:O),""))</f>
        <v/>
      </c>
      <c r="G723" s="102"/>
      <c r="H723" s="102" t="str">
        <f t="shared" si="1"/>
        <v/>
      </c>
      <c r="I723" s="38" t="b">
        <v>0</v>
      </c>
      <c r="J723" s="103"/>
      <c r="K723" s="103"/>
    </row>
    <row r="724">
      <c r="A724" s="104"/>
      <c r="B724" s="38"/>
      <c r="E724" s="101"/>
      <c r="F724" s="101" t="str">
        <f t="array" ref="F724">IF(E724="","",IFERROR(_xlfn.XLOOKUP(E724,SyncCodex!N:N,SyncCodex!O:O),""))</f>
        <v/>
      </c>
      <c r="G724" s="102"/>
      <c r="H724" s="102" t="str">
        <f t="shared" si="1"/>
        <v/>
      </c>
      <c r="I724" s="38" t="b">
        <v>0</v>
      </c>
      <c r="J724" s="103"/>
      <c r="K724" s="103"/>
    </row>
    <row r="725">
      <c r="A725" s="104"/>
      <c r="B725" s="38"/>
      <c r="E725" s="101"/>
      <c r="F725" s="101" t="str">
        <f t="array" ref="F725">IF(E725="","",IFERROR(_xlfn.XLOOKUP(E725,SyncCodex!N:N,SyncCodex!O:O),""))</f>
        <v/>
      </c>
      <c r="G725" s="102"/>
      <c r="H725" s="102" t="str">
        <f t="shared" si="1"/>
        <v/>
      </c>
      <c r="I725" s="38" t="b">
        <v>0</v>
      </c>
      <c r="J725" s="103"/>
      <c r="K725" s="103"/>
    </row>
    <row r="726">
      <c r="A726" s="104"/>
      <c r="B726" s="38"/>
      <c r="E726" s="101"/>
      <c r="F726" s="101" t="str">
        <f t="array" ref="F726">IF(E726="","",IFERROR(_xlfn.XLOOKUP(E726,SyncCodex!N:N,SyncCodex!O:O),""))</f>
        <v/>
      </c>
      <c r="G726" s="102"/>
      <c r="H726" s="102" t="str">
        <f t="shared" si="1"/>
        <v/>
      </c>
      <c r="I726" s="38" t="b">
        <v>0</v>
      </c>
      <c r="J726" s="103"/>
      <c r="K726" s="103"/>
    </row>
    <row r="727">
      <c r="A727" s="104"/>
      <c r="B727" s="38"/>
      <c r="E727" s="101"/>
      <c r="F727" s="101" t="str">
        <f t="array" ref="F727">IF(E727="","",IFERROR(_xlfn.XLOOKUP(E727,SyncCodex!N:N,SyncCodex!O:O),""))</f>
        <v/>
      </c>
      <c r="G727" s="102"/>
      <c r="H727" s="102" t="str">
        <f t="shared" si="1"/>
        <v/>
      </c>
      <c r="I727" s="38" t="b">
        <v>0</v>
      </c>
      <c r="J727" s="103"/>
      <c r="K727" s="103"/>
    </row>
    <row r="728">
      <c r="A728" s="104"/>
      <c r="B728" s="38"/>
      <c r="E728" s="101"/>
      <c r="F728" s="101" t="str">
        <f t="array" ref="F728">IF(E728="","",IFERROR(_xlfn.XLOOKUP(E728,SyncCodex!N:N,SyncCodex!O:O),""))</f>
        <v/>
      </c>
      <c r="G728" s="102"/>
      <c r="H728" s="102" t="str">
        <f t="shared" si="1"/>
        <v/>
      </c>
      <c r="I728" s="38" t="b">
        <v>0</v>
      </c>
      <c r="J728" s="103"/>
      <c r="K728" s="103"/>
    </row>
    <row r="729">
      <c r="A729" s="104"/>
      <c r="B729" s="38"/>
      <c r="E729" s="101"/>
      <c r="F729" s="101" t="str">
        <f t="array" ref="F729">IF(E729="","",IFERROR(_xlfn.XLOOKUP(E729,SyncCodex!N:N,SyncCodex!O:O),""))</f>
        <v/>
      </c>
      <c r="G729" s="102"/>
      <c r="H729" s="102" t="str">
        <f t="shared" si="1"/>
        <v/>
      </c>
      <c r="I729" s="38" t="b">
        <v>0</v>
      </c>
      <c r="J729" s="103"/>
      <c r="K729" s="103"/>
    </row>
    <row r="730">
      <c r="A730" s="104"/>
      <c r="B730" s="38"/>
      <c r="E730" s="101"/>
      <c r="F730" s="101" t="str">
        <f t="array" ref="F730">IF(E730="","",IFERROR(_xlfn.XLOOKUP(E730,SyncCodex!N:N,SyncCodex!O:O),""))</f>
        <v/>
      </c>
      <c r="G730" s="102"/>
      <c r="H730" s="102" t="str">
        <f t="shared" si="1"/>
        <v/>
      </c>
      <c r="I730" s="38" t="b">
        <v>0</v>
      </c>
      <c r="J730" s="103"/>
      <c r="K730" s="103"/>
    </row>
    <row r="731">
      <c r="A731" s="104"/>
      <c r="B731" s="38"/>
      <c r="E731" s="101"/>
      <c r="F731" s="101" t="str">
        <f t="array" ref="F731">IF(E731="","",IFERROR(_xlfn.XLOOKUP(E731,SyncCodex!N:N,SyncCodex!O:O),""))</f>
        <v/>
      </c>
      <c r="G731" s="102"/>
      <c r="H731" s="102" t="str">
        <f t="shared" si="1"/>
        <v/>
      </c>
      <c r="I731" s="38" t="b">
        <v>0</v>
      </c>
      <c r="J731" s="103"/>
      <c r="K731" s="103"/>
    </row>
    <row r="732">
      <c r="A732" s="104"/>
      <c r="B732" s="38"/>
      <c r="E732" s="101"/>
      <c r="F732" s="101" t="str">
        <f t="array" ref="F732">IF(E732="","",IFERROR(_xlfn.XLOOKUP(E732,SyncCodex!N:N,SyncCodex!O:O),""))</f>
        <v/>
      </c>
      <c r="G732" s="102"/>
      <c r="H732" s="102" t="str">
        <f t="shared" si="1"/>
        <v/>
      </c>
      <c r="I732" s="38" t="b">
        <v>0</v>
      </c>
      <c r="J732" s="103"/>
      <c r="K732" s="103"/>
    </row>
    <row r="733">
      <c r="A733" s="104"/>
      <c r="B733" s="38"/>
      <c r="E733" s="101"/>
      <c r="F733" s="101" t="str">
        <f t="array" ref="F733">IF(E733="","",IFERROR(_xlfn.XLOOKUP(E733,SyncCodex!N:N,SyncCodex!O:O),""))</f>
        <v/>
      </c>
      <c r="G733" s="102"/>
      <c r="H733" s="102" t="str">
        <f t="shared" si="1"/>
        <v/>
      </c>
      <c r="I733" s="38" t="b">
        <v>0</v>
      </c>
      <c r="J733" s="103"/>
      <c r="K733" s="103"/>
    </row>
    <row r="734">
      <c r="A734" s="104"/>
      <c r="B734" s="38"/>
      <c r="E734" s="101"/>
      <c r="F734" s="101" t="str">
        <f t="array" ref="F734">IF(E734="","",IFERROR(_xlfn.XLOOKUP(E734,SyncCodex!N:N,SyncCodex!O:O),""))</f>
        <v/>
      </c>
      <c r="G734" s="102"/>
      <c r="H734" s="102" t="str">
        <f t="shared" si="1"/>
        <v/>
      </c>
      <c r="I734" s="38" t="b">
        <v>0</v>
      </c>
      <c r="J734" s="103"/>
      <c r="K734" s="103"/>
    </row>
    <row r="735">
      <c r="A735" s="104"/>
      <c r="B735" s="38"/>
      <c r="E735" s="101"/>
      <c r="F735" s="101" t="str">
        <f t="array" ref="F735">IF(E735="","",IFERROR(_xlfn.XLOOKUP(E735,SyncCodex!N:N,SyncCodex!O:O),""))</f>
        <v/>
      </c>
      <c r="G735" s="102"/>
      <c r="H735" s="102" t="str">
        <f t="shared" si="1"/>
        <v/>
      </c>
      <c r="I735" s="38" t="b">
        <v>0</v>
      </c>
      <c r="J735" s="103"/>
      <c r="K735" s="103"/>
    </row>
    <row r="736">
      <c r="A736" s="104"/>
      <c r="B736" s="38"/>
      <c r="E736" s="101"/>
      <c r="F736" s="101" t="str">
        <f t="array" ref="F736">IF(E736="","",IFERROR(_xlfn.XLOOKUP(E736,SyncCodex!N:N,SyncCodex!O:O),""))</f>
        <v/>
      </c>
      <c r="G736" s="102"/>
      <c r="H736" s="102" t="str">
        <f t="shared" si="1"/>
        <v/>
      </c>
      <c r="I736" s="38" t="b">
        <v>0</v>
      </c>
      <c r="J736" s="103"/>
      <c r="K736" s="103"/>
    </row>
    <row r="737">
      <c r="A737" s="104"/>
      <c r="B737" s="38"/>
      <c r="E737" s="101"/>
      <c r="F737" s="101" t="str">
        <f t="array" ref="F737">IF(E737="","",IFERROR(_xlfn.XLOOKUP(E737,SyncCodex!N:N,SyncCodex!O:O),""))</f>
        <v/>
      </c>
      <c r="G737" s="102"/>
      <c r="H737" s="102" t="str">
        <f t="shared" si="1"/>
        <v/>
      </c>
      <c r="I737" s="38" t="b">
        <v>0</v>
      </c>
      <c r="J737" s="103"/>
      <c r="K737" s="103"/>
    </row>
    <row r="738">
      <c r="A738" s="104"/>
      <c r="B738" s="38"/>
      <c r="E738" s="101"/>
      <c r="F738" s="101" t="str">
        <f t="array" ref="F738">IF(E738="","",IFERROR(_xlfn.XLOOKUP(E738,SyncCodex!N:N,SyncCodex!O:O),""))</f>
        <v/>
      </c>
      <c r="G738" s="102"/>
      <c r="H738" s="102" t="str">
        <f t="shared" si="1"/>
        <v/>
      </c>
      <c r="I738" s="38" t="b">
        <v>0</v>
      </c>
      <c r="J738" s="103"/>
      <c r="K738" s="103"/>
    </row>
    <row r="739">
      <c r="A739" s="104"/>
      <c r="B739" s="38"/>
      <c r="E739" s="101"/>
      <c r="F739" s="101" t="str">
        <f t="array" ref="F739">IF(E739="","",IFERROR(_xlfn.XLOOKUP(E739,SyncCodex!N:N,SyncCodex!O:O),""))</f>
        <v/>
      </c>
      <c r="G739" s="102"/>
      <c r="H739" s="102" t="str">
        <f t="shared" si="1"/>
        <v/>
      </c>
      <c r="I739" s="38" t="b">
        <v>0</v>
      </c>
      <c r="J739" s="103"/>
      <c r="K739" s="103"/>
    </row>
    <row r="740">
      <c r="A740" s="104"/>
      <c r="B740" s="38"/>
      <c r="E740" s="101"/>
      <c r="F740" s="101" t="str">
        <f t="array" ref="F740">IF(E740="","",IFERROR(_xlfn.XLOOKUP(E740,SyncCodex!N:N,SyncCodex!O:O),""))</f>
        <v/>
      </c>
      <c r="G740" s="102"/>
      <c r="H740" s="102" t="str">
        <f t="shared" si="1"/>
        <v/>
      </c>
      <c r="I740" s="38" t="b">
        <v>0</v>
      </c>
      <c r="J740" s="103"/>
      <c r="K740" s="103"/>
    </row>
    <row r="741">
      <c r="A741" s="104"/>
      <c r="B741" s="38"/>
      <c r="E741" s="101"/>
      <c r="F741" s="101" t="str">
        <f t="array" ref="F741">IF(E741="","",IFERROR(_xlfn.XLOOKUP(E741,SyncCodex!N:N,SyncCodex!O:O),""))</f>
        <v/>
      </c>
      <c r="G741" s="102"/>
      <c r="H741" s="102" t="str">
        <f t="shared" si="1"/>
        <v/>
      </c>
      <c r="I741" s="38" t="b">
        <v>0</v>
      </c>
      <c r="J741" s="103"/>
      <c r="K741" s="103"/>
    </row>
    <row r="742">
      <c r="A742" s="104"/>
      <c r="B742" s="38"/>
      <c r="E742" s="101"/>
      <c r="F742" s="101" t="str">
        <f t="array" ref="F742">IF(E742="","",IFERROR(_xlfn.XLOOKUP(E742,SyncCodex!N:N,SyncCodex!O:O),""))</f>
        <v/>
      </c>
      <c r="G742" s="102"/>
      <c r="H742" s="102" t="str">
        <f t="shared" si="1"/>
        <v/>
      </c>
      <c r="I742" s="38" t="b">
        <v>0</v>
      </c>
      <c r="J742" s="103"/>
      <c r="K742" s="103"/>
    </row>
    <row r="743">
      <c r="A743" s="104"/>
      <c r="B743" s="38"/>
      <c r="E743" s="101"/>
      <c r="F743" s="101" t="str">
        <f t="array" ref="F743">IF(E743="","",IFERROR(_xlfn.XLOOKUP(E743,SyncCodex!N:N,SyncCodex!O:O),""))</f>
        <v/>
      </c>
      <c r="G743" s="102"/>
      <c r="H743" s="102" t="str">
        <f t="shared" si="1"/>
        <v/>
      </c>
      <c r="I743" s="38" t="b">
        <v>0</v>
      </c>
      <c r="J743" s="103"/>
      <c r="K743" s="103"/>
    </row>
    <row r="744">
      <c r="A744" s="104"/>
      <c r="B744" s="38"/>
      <c r="E744" s="101"/>
      <c r="F744" s="101" t="str">
        <f t="array" ref="F744">IF(E744="","",IFERROR(_xlfn.XLOOKUP(E744,SyncCodex!N:N,SyncCodex!O:O),""))</f>
        <v/>
      </c>
      <c r="G744" s="102"/>
      <c r="H744" s="102" t="str">
        <f t="shared" si="1"/>
        <v/>
      </c>
      <c r="I744" s="38" t="b">
        <v>0</v>
      </c>
      <c r="J744" s="103"/>
      <c r="K744" s="103"/>
    </row>
    <row r="745">
      <c r="A745" s="104"/>
      <c r="B745" s="38"/>
      <c r="E745" s="101"/>
      <c r="F745" s="101" t="str">
        <f t="array" ref="F745">IF(E745="","",IFERROR(_xlfn.XLOOKUP(E745,SyncCodex!N:N,SyncCodex!O:O),""))</f>
        <v/>
      </c>
      <c r="G745" s="102"/>
      <c r="H745" s="102" t="str">
        <f t="shared" si="1"/>
        <v/>
      </c>
      <c r="I745" s="38" t="b">
        <v>0</v>
      </c>
      <c r="J745" s="103"/>
      <c r="K745" s="103"/>
    </row>
    <row r="746">
      <c r="A746" s="104"/>
      <c r="B746" s="38"/>
      <c r="E746" s="101"/>
      <c r="F746" s="101" t="str">
        <f t="array" ref="F746">IF(E746="","",IFERROR(_xlfn.XLOOKUP(E746,SyncCodex!N:N,SyncCodex!O:O),""))</f>
        <v/>
      </c>
      <c r="G746" s="102"/>
      <c r="H746" s="102" t="str">
        <f t="shared" si="1"/>
        <v/>
      </c>
      <c r="I746" s="38" t="b">
        <v>0</v>
      </c>
      <c r="J746" s="103"/>
      <c r="K746" s="103"/>
    </row>
    <row r="747">
      <c r="A747" s="104"/>
      <c r="B747" s="38"/>
      <c r="E747" s="101"/>
      <c r="F747" s="101" t="str">
        <f t="array" ref="F747">IF(E747="","",IFERROR(_xlfn.XLOOKUP(E747,SyncCodex!N:N,SyncCodex!O:O),""))</f>
        <v/>
      </c>
      <c r="G747" s="102"/>
      <c r="H747" s="102" t="str">
        <f t="shared" si="1"/>
        <v/>
      </c>
      <c r="I747" s="38" t="b">
        <v>0</v>
      </c>
      <c r="J747" s="103"/>
      <c r="K747" s="103"/>
    </row>
    <row r="748">
      <c r="A748" s="104"/>
      <c r="B748" s="38"/>
      <c r="E748" s="101"/>
      <c r="F748" s="101" t="str">
        <f t="array" ref="F748">IF(E748="","",IFERROR(_xlfn.XLOOKUP(E748,SyncCodex!N:N,SyncCodex!O:O),""))</f>
        <v/>
      </c>
      <c r="G748" s="102"/>
      <c r="H748" s="102" t="str">
        <f t="shared" si="1"/>
        <v/>
      </c>
      <c r="I748" s="38" t="b">
        <v>0</v>
      </c>
      <c r="J748" s="103"/>
      <c r="K748" s="103"/>
    </row>
    <row r="749">
      <c r="A749" s="104"/>
      <c r="B749" s="38"/>
      <c r="E749" s="101"/>
      <c r="F749" s="101" t="str">
        <f t="array" ref="F749">IF(E749="","",IFERROR(_xlfn.XLOOKUP(E749,SyncCodex!N:N,SyncCodex!O:O),""))</f>
        <v/>
      </c>
      <c r="G749" s="102"/>
      <c r="H749" s="102" t="str">
        <f t="shared" si="1"/>
        <v/>
      </c>
      <c r="I749" s="38" t="b">
        <v>0</v>
      </c>
      <c r="J749" s="103"/>
      <c r="K749" s="103"/>
    </row>
    <row r="750">
      <c r="A750" s="104"/>
      <c r="B750" s="38"/>
      <c r="E750" s="101"/>
      <c r="F750" s="101" t="str">
        <f t="array" ref="F750">IF(E750="","",IFERROR(_xlfn.XLOOKUP(E750,SyncCodex!N:N,SyncCodex!O:O),""))</f>
        <v/>
      </c>
      <c r="G750" s="102"/>
      <c r="H750" s="102" t="str">
        <f t="shared" si="1"/>
        <v/>
      </c>
      <c r="I750" s="38" t="b">
        <v>0</v>
      </c>
      <c r="J750" s="103"/>
      <c r="K750" s="103"/>
    </row>
    <row r="751">
      <c r="A751" s="104"/>
      <c r="B751" s="38"/>
      <c r="E751" s="101"/>
      <c r="F751" s="101" t="str">
        <f t="array" ref="F751">IF(E751="","",IFERROR(_xlfn.XLOOKUP(E751,SyncCodex!N:N,SyncCodex!O:O),""))</f>
        <v/>
      </c>
      <c r="G751" s="102"/>
      <c r="H751" s="102" t="str">
        <f t="shared" si="1"/>
        <v/>
      </c>
      <c r="I751" s="38" t="b">
        <v>0</v>
      </c>
      <c r="J751" s="103"/>
      <c r="K751" s="103"/>
    </row>
    <row r="752">
      <c r="A752" s="104"/>
      <c r="B752" s="38"/>
      <c r="E752" s="101"/>
      <c r="F752" s="101" t="str">
        <f t="array" ref="F752">IF(E752="","",IFERROR(_xlfn.XLOOKUP(E752,SyncCodex!N:N,SyncCodex!O:O),""))</f>
        <v/>
      </c>
      <c r="G752" s="102"/>
      <c r="H752" s="102" t="str">
        <f t="shared" si="1"/>
        <v/>
      </c>
      <c r="I752" s="38" t="b">
        <v>0</v>
      </c>
      <c r="J752" s="103"/>
      <c r="K752" s="103"/>
    </row>
    <row r="753">
      <c r="A753" s="104"/>
      <c r="B753" s="38"/>
      <c r="E753" s="101"/>
      <c r="F753" s="101" t="str">
        <f t="array" ref="F753">IF(E753="","",IFERROR(_xlfn.XLOOKUP(E753,SyncCodex!N:N,SyncCodex!O:O),""))</f>
        <v/>
      </c>
      <c r="G753" s="102"/>
      <c r="H753" s="102" t="str">
        <f t="shared" si="1"/>
        <v/>
      </c>
      <c r="I753" s="38" t="b">
        <v>0</v>
      </c>
      <c r="J753" s="103"/>
      <c r="K753" s="103"/>
    </row>
    <row r="754">
      <c r="A754" s="104"/>
      <c r="B754" s="38"/>
      <c r="E754" s="101"/>
      <c r="F754" s="101" t="str">
        <f t="array" ref="F754">IF(E754="","",IFERROR(_xlfn.XLOOKUP(E754,SyncCodex!N:N,SyncCodex!O:O),""))</f>
        <v/>
      </c>
      <c r="G754" s="102"/>
      <c r="H754" s="102" t="str">
        <f t="shared" si="1"/>
        <v/>
      </c>
      <c r="I754" s="38" t="b">
        <v>0</v>
      </c>
      <c r="J754" s="103"/>
      <c r="K754" s="103"/>
    </row>
    <row r="755">
      <c r="A755" s="104"/>
      <c r="B755" s="38"/>
      <c r="E755" s="101"/>
      <c r="F755" s="101" t="str">
        <f t="array" ref="F755">IF(E755="","",IFERROR(_xlfn.XLOOKUP(E755,SyncCodex!N:N,SyncCodex!O:O),""))</f>
        <v/>
      </c>
      <c r="G755" s="102"/>
      <c r="H755" s="102" t="str">
        <f t="shared" si="1"/>
        <v/>
      </c>
      <c r="I755" s="38" t="b">
        <v>0</v>
      </c>
      <c r="J755" s="103"/>
      <c r="K755" s="103"/>
    </row>
    <row r="756">
      <c r="A756" s="104"/>
      <c r="B756" s="38"/>
      <c r="E756" s="101"/>
      <c r="F756" s="101" t="str">
        <f t="array" ref="F756">IF(E756="","",IFERROR(_xlfn.XLOOKUP(E756,SyncCodex!N:N,SyncCodex!O:O),""))</f>
        <v/>
      </c>
      <c r="G756" s="102"/>
      <c r="H756" s="102" t="str">
        <f t="shared" si="1"/>
        <v/>
      </c>
      <c r="I756" s="38" t="b">
        <v>0</v>
      </c>
      <c r="J756" s="103"/>
      <c r="K756" s="103"/>
    </row>
    <row r="757">
      <c r="A757" s="104"/>
      <c r="B757" s="38"/>
      <c r="E757" s="101"/>
      <c r="F757" s="101" t="str">
        <f t="array" ref="F757">IF(E757="","",IFERROR(_xlfn.XLOOKUP(E757,SyncCodex!N:N,SyncCodex!O:O),""))</f>
        <v/>
      </c>
      <c r="G757" s="102"/>
      <c r="H757" s="102" t="str">
        <f t="shared" si="1"/>
        <v/>
      </c>
      <c r="I757" s="38" t="b">
        <v>0</v>
      </c>
      <c r="J757" s="103"/>
      <c r="K757" s="103"/>
    </row>
    <row r="758">
      <c r="A758" s="104"/>
      <c r="B758" s="38"/>
      <c r="E758" s="101"/>
      <c r="F758" s="101" t="str">
        <f t="array" ref="F758">IF(E758="","",IFERROR(_xlfn.XLOOKUP(E758,SyncCodex!N:N,SyncCodex!O:O),""))</f>
        <v/>
      </c>
      <c r="G758" s="102"/>
      <c r="H758" s="102" t="str">
        <f t="shared" si="1"/>
        <v/>
      </c>
      <c r="I758" s="38" t="b">
        <v>0</v>
      </c>
      <c r="J758" s="103"/>
      <c r="K758" s="103"/>
    </row>
    <row r="759">
      <c r="A759" s="104"/>
      <c r="B759" s="38"/>
      <c r="E759" s="101"/>
      <c r="F759" s="101" t="str">
        <f t="array" ref="F759">IF(E759="","",IFERROR(_xlfn.XLOOKUP(E759,SyncCodex!N:N,SyncCodex!O:O),""))</f>
        <v/>
      </c>
      <c r="G759" s="102"/>
      <c r="H759" s="102" t="str">
        <f t="shared" si="1"/>
        <v/>
      </c>
      <c r="I759" s="38" t="b">
        <v>0</v>
      </c>
      <c r="J759" s="103"/>
      <c r="K759" s="103"/>
    </row>
    <row r="760">
      <c r="A760" s="104"/>
      <c r="B760" s="38"/>
      <c r="E760" s="101"/>
      <c r="F760" s="101" t="str">
        <f t="array" ref="F760">IF(E760="","",IFERROR(_xlfn.XLOOKUP(E760,SyncCodex!N:N,SyncCodex!O:O),""))</f>
        <v/>
      </c>
      <c r="G760" s="102"/>
      <c r="H760" s="102" t="str">
        <f t="shared" si="1"/>
        <v/>
      </c>
      <c r="I760" s="38" t="b">
        <v>0</v>
      </c>
      <c r="J760" s="103"/>
      <c r="K760" s="103"/>
    </row>
    <row r="761">
      <c r="A761" s="104"/>
      <c r="B761" s="38"/>
      <c r="E761" s="101"/>
      <c r="F761" s="101" t="str">
        <f t="array" ref="F761">IF(E761="","",IFERROR(_xlfn.XLOOKUP(E761,SyncCodex!N:N,SyncCodex!O:O),""))</f>
        <v/>
      </c>
      <c r="G761" s="102"/>
      <c r="H761" s="102" t="str">
        <f t="shared" si="1"/>
        <v/>
      </c>
      <c r="I761" s="38" t="b">
        <v>0</v>
      </c>
      <c r="J761" s="103"/>
      <c r="K761" s="103"/>
    </row>
    <row r="762">
      <c r="A762" s="104"/>
      <c r="B762" s="38"/>
      <c r="E762" s="101"/>
      <c r="F762" s="101" t="str">
        <f t="array" ref="F762">IF(E762="","",IFERROR(_xlfn.XLOOKUP(E762,SyncCodex!N:N,SyncCodex!O:O),""))</f>
        <v/>
      </c>
      <c r="G762" s="102"/>
      <c r="H762" s="102" t="str">
        <f t="shared" si="1"/>
        <v/>
      </c>
      <c r="I762" s="38" t="b">
        <v>0</v>
      </c>
      <c r="J762" s="103"/>
      <c r="K762" s="103"/>
    </row>
    <row r="763">
      <c r="A763" s="104"/>
      <c r="B763" s="38"/>
      <c r="E763" s="101"/>
      <c r="F763" s="101" t="str">
        <f t="array" ref="F763">IF(E763="","",IFERROR(_xlfn.XLOOKUP(E763,SyncCodex!N:N,SyncCodex!O:O),""))</f>
        <v/>
      </c>
      <c r="G763" s="102"/>
      <c r="H763" s="102" t="str">
        <f t="shared" si="1"/>
        <v/>
      </c>
      <c r="I763" s="38" t="b">
        <v>0</v>
      </c>
      <c r="J763" s="103"/>
      <c r="K763" s="103"/>
    </row>
    <row r="764">
      <c r="A764" s="104"/>
      <c r="B764" s="38"/>
      <c r="E764" s="101"/>
      <c r="F764" s="101" t="str">
        <f t="array" ref="F764">IF(E764="","",IFERROR(_xlfn.XLOOKUP(E764,SyncCodex!N:N,SyncCodex!O:O),""))</f>
        <v/>
      </c>
      <c r="G764" s="102"/>
      <c r="H764" s="102" t="str">
        <f t="shared" si="1"/>
        <v/>
      </c>
      <c r="I764" s="38" t="b">
        <v>0</v>
      </c>
      <c r="J764" s="103"/>
      <c r="K764" s="103"/>
    </row>
    <row r="765">
      <c r="A765" s="104"/>
      <c r="B765" s="38"/>
      <c r="E765" s="101"/>
      <c r="F765" s="101" t="str">
        <f t="array" ref="F765">IF(E765="","",IFERROR(_xlfn.XLOOKUP(E765,SyncCodex!N:N,SyncCodex!O:O),""))</f>
        <v/>
      </c>
      <c r="G765" s="102"/>
      <c r="H765" s="102" t="str">
        <f t="shared" si="1"/>
        <v/>
      </c>
      <c r="I765" s="38" t="b">
        <v>0</v>
      </c>
      <c r="J765" s="103"/>
      <c r="K765" s="103"/>
    </row>
    <row r="766">
      <c r="A766" s="104"/>
      <c r="B766" s="38"/>
      <c r="E766" s="101"/>
      <c r="F766" s="101" t="str">
        <f t="array" ref="F766">IF(E766="","",IFERROR(_xlfn.XLOOKUP(E766,SyncCodex!N:N,SyncCodex!O:O),""))</f>
        <v/>
      </c>
      <c r="G766" s="102"/>
      <c r="H766" s="102" t="str">
        <f t="shared" si="1"/>
        <v/>
      </c>
      <c r="I766" s="38" t="b">
        <v>0</v>
      </c>
      <c r="J766" s="103"/>
      <c r="K766" s="103"/>
    </row>
    <row r="767">
      <c r="A767" s="104"/>
      <c r="B767" s="38"/>
      <c r="E767" s="101"/>
      <c r="F767" s="101" t="str">
        <f t="array" ref="F767">IF(E767="","",IFERROR(_xlfn.XLOOKUP(E767,SyncCodex!N:N,SyncCodex!O:O),""))</f>
        <v/>
      </c>
      <c r="G767" s="102"/>
      <c r="H767" s="102" t="str">
        <f t="shared" si="1"/>
        <v/>
      </c>
      <c r="I767" s="38" t="b">
        <v>0</v>
      </c>
      <c r="J767" s="103"/>
      <c r="K767" s="103"/>
    </row>
    <row r="768">
      <c r="A768" s="104"/>
      <c r="B768" s="38"/>
      <c r="E768" s="101"/>
      <c r="F768" s="101" t="str">
        <f t="array" ref="F768">IF(E768="","",IFERROR(_xlfn.XLOOKUP(E768,SyncCodex!N:N,SyncCodex!O:O),""))</f>
        <v/>
      </c>
      <c r="G768" s="102"/>
      <c r="H768" s="102" t="str">
        <f t="shared" si="1"/>
        <v/>
      </c>
      <c r="I768" s="38" t="b">
        <v>0</v>
      </c>
      <c r="J768" s="103"/>
      <c r="K768" s="103"/>
    </row>
    <row r="769">
      <c r="A769" s="104"/>
      <c r="B769" s="38"/>
      <c r="E769" s="101"/>
      <c r="F769" s="101" t="str">
        <f t="array" ref="F769">IF(E769="","",IFERROR(_xlfn.XLOOKUP(E769,SyncCodex!N:N,SyncCodex!O:O),""))</f>
        <v/>
      </c>
      <c r="G769" s="102"/>
      <c r="H769" s="102" t="str">
        <f t="shared" si="1"/>
        <v/>
      </c>
      <c r="I769" s="38" t="b">
        <v>0</v>
      </c>
      <c r="J769" s="103"/>
      <c r="K769" s="103"/>
    </row>
    <row r="770">
      <c r="A770" s="104"/>
      <c r="B770" s="38"/>
      <c r="E770" s="101"/>
      <c r="F770" s="101" t="str">
        <f t="array" ref="F770">IF(E770="","",IFERROR(_xlfn.XLOOKUP(E770,SyncCodex!N:N,SyncCodex!O:O),""))</f>
        <v/>
      </c>
      <c r="G770" s="102"/>
      <c r="H770" s="102" t="str">
        <f t="shared" si="1"/>
        <v/>
      </c>
      <c r="I770" s="38" t="b">
        <v>0</v>
      </c>
      <c r="J770" s="103"/>
      <c r="K770" s="103"/>
    </row>
    <row r="771">
      <c r="A771" s="104"/>
      <c r="B771" s="38"/>
      <c r="E771" s="101"/>
      <c r="F771" s="101" t="str">
        <f t="array" ref="F771">IF(E771="","",IFERROR(_xlfn.XLOOKUP(E771,SyncCodex!N:N,SyncCodex!O:O),""))</f>
        <v/>
      </c>
      <c r="G771" s="102"/>
      <c r="H771" s="102" t="str">
        <f t="shared" si="1"/>
        <v/>
      </c>
      <c r="I771" s="38" t="b">
        <v>0</v>
      </c>
      <c r="J771" s="103"/>
      <c r="K771" s="103"/>
    </row>
    <row r="772">
      <c r="A772" s="104"/>
      <c r="B772" s="38"/>
      <c r="E772" s="101"/>
      <c r="F772" s="101" t="str">
        <f t="array" ref="F772">IF(E772="","",IFERROR(_xlfn.XLOOKUP(E772,SyncCodex!N:N,SyncCodex!O:O),""))</f>
        <v/>
      </c>
      <c r="G772" s="102"/>
      <c r="H772" s="102" t="str">
        <f t="shared" si="1"/>
        <v/>
      </c>
      <c r="I772" s="38" t="b">
        <v>0</v>
      </c>
      <c r="J772" s="103"/>
      <c r="K772" s="103"/>
    </row>
    <row r="773">
      <c r="A773" s="104"/>
      <c r="B773" s="38"/>
      <c r="E773" s="101"/>
      <c r="F773" s="101" t="str">
        <f t="array" ref="F773">IF(E773="","",IFERROR(_xlfn.XLOOKUP(E773,SyncCodex!N:N,SyncCodex!O:O),""))</f>
        <v/>
      </c>
      <c r="G773" s="102"/>
      <c r="H773" s="102" t="str">
        <f t="shared" si="1"/>
        <v/>
      </c>
      <c r="I773" s="38" t="b">
        <v>0</v>
      </c>
      <c r="J773" s="103"/>
      <c r="K773" s="103"/>
    </row>
    <row r="774">
      <c r="A774" s="104"/>
      <c r="B774" s="38"/>
      <c r="E774" s="101"/>
      <c r="F774" s="101" t="str">
        <f t="array" ref="F774">IF(E774="","",IFERROR(_xlfn.XLOOKUP(E774,SyncCodex!N:N,SyncCodex!O:O),""))</f>
        <v/>
      </c>
      <c r="G774" s="102"/>
      <c r="H774" s="102" t="str">
        <f t="shared" si="1"/>
        <v/>
      </c>
      <c r="I774" s="38" t="b">
        <v>0</v>
      </c>
      <c r="J774" s="103"/>
      <c r="K774" s="103"/>
    </row>
    <row r="775">
      <c r="A775" s="104"/>
      <c r="B775" s="38"/>
      <c r="E775" s="101"/>
      <c r="F775" s="101" t="str">
        <f t="array" ref="F775">IF(E775="","",IFERROR(_xlfn.XLOOKUP(E775,SyncCodex!N:N,SyncCodex!O:O),""))</f>
        <v/>
      </c>
      <c r="G775" s="102"/>
      <c r="H775" s="102" t="str">
        <f t="shared" si="1"/>
        <v/>
      </c>
      <c r="I775" s="38" t="b">
        <v>0</v>
      </c>
      <c r="J775" s="103"/>
      <c r="K775" s="103"/>
    </row>
    <row r="776">
      <c r="A776" s="104"/>
      <c r="B776" s="38"/>
      <c r="E776" s="101"/>
      <c r="F776" s="101" t="str">
        <f t="array" ref="F776">IF(E776="","",IFERROR(_xlfn.XLOOKUP(E776,SyncCodex!N:N,SyncCodex!O:O),""))</f>
        <v/>
      </c>
      <c r="G776" s="102"/>
      <c r="H776" s="102" t="str">
        <f t="shared" si="1"/>
        <v/>
      </c>
      <c r="I776" s="38" t="b">
        <v>0</v>
      </c>
      <c r="J776" s="103"/>
      <c r="K776" s="103"/>
    </row>
    <row r="777">
      <c r="A777" s="104"/>
      <c r="B777" s="38"/>
      <c r="E777" s="101"/>
      <c r="F777" s="101" t="str">
        <f t="array" ref="F777">IF(E777="","",IFERROR(_xlfn.XLOOKUP(E777,SyncCodex!N:N,SyncCodex!O:O),""))</f>
        <v/>
      </c>
      <c r="G777" s="102"/>
      <c r="H777" s="102" t="str">
        <f t="shared" si="1"/>
        <v/>
      </c>
      <c r="I777" s="38" t="b">
        <v>0</v>
      </c>
      <c r="J777" s="103"/>
      <c r="K777" s="103"/>
    </row>
    <row r="778">
      <c r="A778" s="104"/>
      <c r="B778" s="38"/>
      <c r="E778" s="101"/>
      <c r="F778" s="101" t="str">
        <f t="array" ref="F778">IF(E778="","",IFERROR(_xlfn.XLOOKUP(E778,SyncCodex!N:N,SyncCodex!O:O),""))</f>
        <v/>
      </c>
      <c r="G778" s="102"/>
      <c r="H778" s="102" t="str">
        <f t="shared" si="1"/>
        <v/>
      </c>
      <c r="I778" s="38" t="b">
        <v>0</v>
      </c>
      <c r="J778" s="103"/>
      <c r="K778" s="103"/>
    </row>
    <row r="779">
      <c r="A779" s="104"/>
      <c r="B779" s="38"/>
      <c r="E779" s="101"/>
      <c r="F779" s="101" t="str">
        <f t="array" ref="F779">IF(E779="","",IFERROR(_xlfn.XLOOKUP(E779,SyncCodex!N:N,SyncCodex!O:O),""))</f>
        <v/>
      </c>
      <c r="G779" s="102"/>
      <c r="H779" s="102" t="str">
        <f t="shared" si="1"/>
        <v/>
      </c>
      <c r="I779" s="38" t="b">
        <v>0</v>
      </c>
      <c r="J779" s="103"/>
      <c r="K779" s="103"/>
    </row>
    <row r="780">
      <c r="A780" s="104"/>
      <c r="B780" s="38"/>
      <c r="E780" s="101"/>
      <c r="F780" s="101" t="str">
        <f t="array" ref="F780">IF(E780="","",IFERROR(_xlfn.XLOOKUP(E780,SyncCodex!N:N,SyncCodex!O:O),""))</f>
        <v/>
      </c>
      <c r="G780" s="102"/>
      <c r="H780" s="102" t="str">
        <f t="shared" si="1"/>
        <v/>
      </c>
      <c r="I780" s="38" t="b">
        <v>0</v>
      </c>
      <c r="J780" s="103"/>
      <c r="K780" s="103"/>
    </row>
    <row r="781">
      <c r="A781" s="104"/>
      <c r="B781" s="38"/>
      <c r="E781" s="101"/>
      <c r="F781" s="101" t="str">
        <f t="array" ref="F781">IF(E781="","",IFERROR(_xlfn.XLOOKUP(E781,SyncCodex!N:N,SyncCodex!O:O),""))</f>
        <v/>
      </c>
      <c r="G781" s="102"/>
      <c r="H781" s="102" t="str">
        <f t="shared" si="1"/>
        <v/>
      </c>
      <c r="I781" s="38" t="b">
        <v>0</v>
      </c>
      <c r="J781" s="103"/>
      <c r="K781" s="103"/>
    </row>
    <row r="782">
      <c r="A782" s="104"/>
      <c r="B782" s="38"/>
      <c r="E782" s="101"/>
      <c r="F782" s="101" t="str">
        <f t="array" ref="F782">IF(E782="","",IFERROR(_xlfn.XLOOKUP(E782,SyncCodex!N:N,SyncCodex!O:O),""))</f>
        <v/>
      </c>
      <c r="G782" s="102"/>
      <c r="H782" s="102" t="str">
        <f t="shared" si="1"/>
        <v/>
      </c>
      <c r="I782" s="38" t="b">
        <v>0</v>
      </c>
      <c r="J782" s="103"/>
      <c r="K782" s="103"/>
    </row>
    <row r="783">
      <c r="A783" s="104"/>
      <c r="B783" s="38"/>
      <c r="E783" s="101"/>
      <c r="F783" s="101" t="str">
        <f t="array" ref="F783">IF(E783="","",IFERROR(_xlfn.XLOOKUP(E783,SyncCodex!N:N,SyncCodex!O:O),""))</f>
        <v/>
      </c>
      <c r="G783" s="102"/>
      <c r="H783" s="102" t="str">
        <f t="shared" si="1"/>
        <v/>
      </c>
      <c r="I783" s="38" t="b">
        <v>0</v>
      </c>
      <c r="J783" s="103"/>
      <c r="K783" s="103"/>
    </row>
    <row r="784">
      <c r="A784" s="104"/>
      <c r="B784" s="38"/>
      <c r="E784" s="101"/>
      <c r="F784" s="101" t="str">
        <f t="array" ref="F784">IF(E784="","",IFERROR(_xlfn.XLOOKUP(E784,SyncCodex!N:N,SyncCodex!O:O),""))</f>
        <v/>
      </c>
      <c r="G784" s="102"/>
      <c r="H784" s="102" t="str">
        <f t="shared" si="1"/>
        <v/>
      </c>
      <c r="I784" s="38" t="b">
        <v>0</v>
      </c>
      <c r="J784" s="103"/>
      <c r="K784" s="103"/>
    </row>
    <row r="785">
      <c r="A785" s="104"/>
      <c r="B785" s="38"/>
      <c r="E785" s="101"/>
      <c r="F785" s="101" t="str">
        <f t="array" ref="F785">IF(E785="","",IFERROR(_xlfn.XLOOKUP(E785,SyncCodex!N:N,SyncCodex!O:O),""))</f>
        <v/>
      </c>
      <c r="G785" s="102"/>
      <c r="H785" s="102" t="str">
        <f t="shared" si="1"/>
        <v/>
      </c>
      <c r="I785" s="38" t="b">
        <v>0</v>
      </c>
      <c r="J785" s="103"/>
      <c r="K785" s="103"/>
    </row>
    <row r="786">
      <c r="A786" s="104"/>
      <c r="B786" s="38"/>
      <c r="E786" s="101"/>
      <c r="F786" s="101" t="str">
        <f t="array" ref="F786">IF(E786="","",IFERROR(_xlfn.XLOOKUP(E786,SyncCodex!N:N,SyncCodex!O:O),""))</f>
        <v/>
      </c>
      <c r="G786" s="102"/>
      <c r="H786" s="102" t="str">
        <f t="shared" si="1"/>
        <v/>
      </c>
      <c r="I786" s="38" t="b">
        <v>0</v>
      </c>
      <c r="J786" s="103"/>
      <c r="K786" s="103"/>
    </row>
    <row r="787">
      <c r="A787" s="104"/>
      <c r="B787" s="38"/>
      <c r="E787" s="101"/>
      <c r="F787" s="101" t="str">
        <f t="array" ref="F787">IF(E787="","",IFERROR(_xlfn.XLOOKUP(E787,SyncCodex!N:N,SyncCodex!O:O),""))</f>
        <v/>
      </c>
      <c r="G787" s="102"/>
      <c r="H787" s="102" t="str">
        <f t="shared" si="1"/>
        <v/>
      </c>
      <c r="I787" s="38" t="b">
        <v>0</v>
      </c>
      <c r="J787" s="103"/>
      <c r="K787" s="103"/>
    </row>
    <row r="788">
      <c r="A788" s="104"/>
      <c r="B788" s="38"/>
      <c r="E788" s="101"/>
      <c r="F788" s="101" t="str">
        <f t="array" ref="F788">IF(E788="","",IFERROR(_xlfn.XLOOKUP(E788,SyncCodex!N:N,SyncCodex!O:O),""))</f>
        <v/>
      </c>
      <c r="G788" s="102"/>
      <c r="H788" s="102" t="str">
        <f t="shared" si="1"/>
        <v/>
      </c>
      <c r="I788" s="38" t="b">
        <v>0</v>
      </c>
      <c r="J788" s="103"/>
      <c r="K788" s="103"/>
    </row>
    <row r="789">
      <c r="A789" s="104"/>
      <c r="B789" s="38"/>
      <c r="E789" s="101"/>
      <c r="F789" s="101" t="str">
        <f t="array" ref="F789">IF(E789="","",IFERROR(_xlfn.XLOOKUP(E789,SyncCodex!N:N,SyncCodex!O:O),""))</f>
        <v/>
      </c>
      <c r="G789" s="102"/>
      <c r="H789" s="102" t="str">
        <f t="shared" si="1"/>
        <v/>
      </c>
      <c r="I789" s="38" t="b">
        <v>0</v>
      </c>
      <c r="J789" s="103"/>
      <c r="K789" s="103"/>
    </row>
    <row r="790">
      <c r="A790" s="104"/>
      <c r="B790" s="38"/>
      <c r="E790" s="101"/>
      <c r="F790" s="101" t="str">
        <f t="array" ref="F790">IF(E790="","",IFERROR(_xlfn.XLOOKUP(E790,SyncCodex!N:N,SyncCodex!O:O),""))</f>
        <v/>
      </c>
      <c r="G790" s="102"/>
      <c r="H790" s="102" t="str">
        <f t="shared" si="1"/>
        <v/>
      </c>
      <c r="I790" s="38" t="b">
        <v>0</v>
      </c>
      <c r="J790" s="103"/>
      <c r="K790" s="103"/>
    </row>
    <row r="791">
      <c r="A791" s="104"/>
      <c r="B791" s="38"/>
      <c r="E791" s="101"/>
      <c r="F791" s="101" t="str">
        <f t="array" ref="F791">IF(E791="","",IFERROR(_xlfn.XLOOKUP(E791,SyncCodex!N:N,SyncCodex!O:O),""))</f>
        <v/>
      </c>
      <c r="G791" s="102"/>
      <c r="H791" s="102" t="str">
        <f t="shared" si="1"/>
        <v/>
      </c>
      <c r="I791" s="38" t="b">
        <v>0</v>
      </c>
      <c r="J791" s="103"/>
      <c r="K791" s="103"/>
    </row>
    <row r="792">
      <c r="A792" s="104"/>
      <c r="B792" s="38"/>
      <c r="E792" s="101"/>
      <c r="F792" s="101" t="str">
        <f t="array" ref="F792">IF(E792="","",IFERROR(_xlfn.XLOOKUP(E792,SyncCodex!N:N,SyncCodex!O:O),""))</f>
        <v/>
      </c>
      <c r="G792" s="102"/>
      <c r="H792" s="102" t="str">
        <f t="shared" si="1"/>
        <v/>
      </c>
      <c r="I792" s="38" t="b">
        <v>0</v>
      </c>
      <c r="J792" s="103"/>
      <c r="K792" s="103"/>
    </row>
    <row r="793">
      <c r="A793" s="104"/>
      <c r="B793" s="38"/>
      <c r="E793" s="101"/>
      <c r="F793" s="101" t="str">
        <f t="array" ref="F793">IF(E793="","",IFERROR(_xlfn.XLOOKUP(E793,SyncCodex!N:N,SyncCodex!O:O),""))</f>
        <v/>
      </c>
      <c r="G793" s="102"/>
      <c r="H793" s="102" t="str">
        <f t="shared" si="1"/>
        <v/>
      </c>
      <c r="I793" s="38" t="b">
        <v>0</v>
      </c>
      <c r="J793" s="103"/>
      <c r="K793" s="103"/>
    </row>
    <row r="794">
      <c r="A794" s="104"/>
      <c r="B794" s="38"/>
      <c r="E794" s="101"/>
      <c r="F794" s="101" t="str">
        <f t="array" ref="F794">IF(E794="","",IFERROR(_xlfn.XLOOKUP(E794,SyncCodex!N:N,SyncCodex!O:O),""))</f>
        <v/>
      </c>
      <c r="G794" s="102"/>
      <c r="H794" s="102" t="str">
        <f t="shared" si="1"/>
        <v/>
      </c>
      <c r="I794" s="38" t="b">
        <v>0</v>
      </c>
      <c r="J794" s="103"/>
      <c r="K794" s="103"/>
    </row>
    <row r="795">
      <c r="A795" s="104"/>
      <c r="B795" s="38"/>
      <c r="E795" s="101"/>
      <c r="F795" s="101" t="str">
        <f t="array" ref="F795">IF(E795="","",IFERROR(_xlfn.XLOOKUP(E795,SyncCodex!N:N,SyncCodex!O:O),""))</f>
        <v/>
      </c>
      <c r="G795" s="102"/>
      <c r="H795" s="102" t="str">
        <f t="shared" si="1"/>
        <v/>
      </c>
      <c r="I795" s="38" t="b">
        <v>0</v>
      </c>
      <c r="J795" s="103"/>
      <c r="K795" s="103"/>
    </row>
    <row r="796">
      <c r="A796" s="104"/>
      <c r="B796" s="38"/>
      <c r="E796" s="101"/>
      <c r="F796" s="101" t="str">
        <f t="array" ref="F796">IF(E796="","",IFERROR(_xlfn.XLOOKUP(E796,SyncCodex!N:N,SyncCodex!O:O),""))</f>
        <v/>
      </c>
      <c r="G796" s="102"/>
      <c r="H796" s="102" t="str">
        <f t="shared" si="1"/>
        <v/>
      </c>
      <c r="I796" s="38" t="b">
        <v>0</v>
      </c>
      <c r="J796" s="103"/>
      <c r="K796" s="103"/>
    </row>
    <row r="797">
      <c r="A797" s="104"/>
      <c r="B797" s="38"/>
      <c r="E797" s="101"/>
      <c r="F797" s="101" t="str">
        <f t="array" ref="F797">IF(E797="","",IFERROR(_xlfn.XLOOKUP(E797,SyncCodex!N:N,SyncCodex!O:O),""))</f>
        <v/>
      </c>
      <c r="G797" s="102"/>
      <c r="H797" s="102" t="str">
        <f t="shared" si="1"/>
        <v/>
      </c>
      <c r="I797" s="38" t="b">
        <v>0</v>
      </c>
      <c r="J797" s="103"/>
      <c r="K797" s="103"/>
    </row>
    <row r="798">
      <c r="A798" s="104"/>
      <c r="B798" s="38"/>
      <c r="E798" s="101"/>
      <c r="F798" s="101" t="str">
        <f t="array" ref="F798">IF(E798="","",IFERROR(_xlfn.XLOOKUP(E798,SyncCodex!N:N,SyncCodex!O:O),""))</f>
        <v/>
      </c>
      <c r="G798" s="102"/>
      <c r="H798" s="102" t="str">
        <f t="shared" si="1"/>
        <v/>
      </c>
      <c r="I798" s="38" t="b">
        <v>0</v>
      </c>
      <c r="J798" s="103"/>
      <c r="K798" s="103"/>
    </row>
    <row r="799">
      <c r="A799" s="104"/>
      <c r="B799" s="38"/>
      <c r="E799" s="101"/>
      <c r="F799" s="101" t="str">
        <f t="array" ref="F799">IF(E799="","",IFERROR(_xlfn.XLOOKUP(E799,SyncCodex!N:N,SyncCodex!O:O),""))</f>
        <v/>
      </c>
      <c r="G799" s="102"/>
      <c r="H799" s="102" t="str">
        <f t="shared" si="1"/>
        <v/>
      </c>
      <c r="I799" s="38" t="b">
        <v>0</v>
      </c>
      <c r="J799" s="103"/>
      <c r="K799" s="103"/>
    </row>
    <row r="800">
      <c r="A800" s="104"/>
      <c r="B800" s="38"/>
      <c r="E800" s="101"/>
      <c r="F800" s="101" t="str">
        <f t="array" ref="F800">IF(E800="","",IFERROR(_xlfn.XLOOKUP(E800,SyncCodex!N:N,SyncCodex!O:O),""))</f>
        <v/>
      </c>
      <c r="G800" s="102"/>
      <c r="H800" s="102" t="str">
        <f t="shared" si="1"/>
        <v/>
      </c>
      <c r="I800" s="38" t="b">
        <v>0</v>
      </c>
      <c r="J800" s="103"/>
      <c r="K800" s="103"/>
    </row>
    <row r="801">
      <c r="A801" s="104"/>
      <c r="B801" s="38"/>
      <c r="E801" s="101"/>
      <c r="F801" s="101" t="str">
        <f t="array" ref="F801">IF(E801="","",IFERROR(_xlfn.XLOOKUP(E801,SyncCodex!N:N,SyncCodex!O:O),""))</f>
        <v/>
      </c>
      <c r="G801" s="102"/>
      <c r="H801" s="102" t="str">
        <f t="shared" si="1"/>
        <v/>
      </c>
      <c r="I801" s="38" t="b">
        <v>0</v>
      </c>
      <c r="J801" s="103"/>
      <c r="K801" s="103"/>
    </row>
    <row r="802">
      <c r="A802" s="104"/>
      <c r="B802" s="38"/>
      <c r="E802" s="101"/>
      <c r="F802" s="101" t="str">
        <f t="array" ref="F802">IF(E802="","",IFERROR(_xlfn.XLOOKUP(E802,SyncCodex!N:N,SyncCodex!O:O),""))</f>
        <v/>
      </c>
      <c r="G802" s="102"/>
      <c r="H802" s="102" t="str">
        <f t="shared" si="1"/>
        <v/>
      </c>
      <c r="I802" s="38" t="b">
        <v>0</v>
      </c>
      <c r="J802" s="103"/>
      <c r="K802" s="103"/>
    </row>
    <row r="803">
      <c r="A803" s="104"/>
      <c r="B803" s="38"/>
      <c r="E803" s="101"/>
      <c r="F803" s="101" t="str">
        <f t="array" ref="F803">IF(E803="","",IFERROR(_xlfn.XLOOKUP(E803,SyncCodex!N:N,SyncCodex!O:O),""))</f>
        <v/>
      </c>
      <c r="G803" s="102"/>
      <c r="H803" s="102" t="str">
        <f t="shared" si="1"/>
        <v/>
      </c>
      <c r="I803" s="38" t="b">
        <v>0</v>
      </c>
      <c r="J803" s="103"/>
      <c r="K803" s="103"/>
    </row>
    <row r="804">
      <c r="A804" s="104"/>
      <c r="B804" s="38"/>
      <c r="E804" s="101"/>
      <c r="F804" s="101" t="str">
        <f t="array" ref="F804">IF(E804="","",IFERROR(_xlfn.XLOOKUP(E804,SyncCodex!N:N,SyncCodex!O:O),""))</f>
        <v/>
      </c>
      <c r="G804" s="102"/>
      <c r="H804" s="102" t="str">
        <f t="shared" si="1"/>
        <v/>
      </c>
      <c r="I804" s="38" t="b">
        <v>0</v>
      </c>
      <c r="J804" s="103"/>
      <c r="K804" s="103"/>
    </row>
    <row r="805">
      <c r="A805" s="104"/>
      <c r="B805" s="38"/>
      <c r="E805" s="101"/>
      <c r="F805" s="101" t="str">
        <f t="array" ref="F805">IF(E805="","",IFERROR(_xlfn.XLOOKUP(E805,SyncCodex!N:N,SyncCodex!O:O),""))</f>
        <v/>
      </c>
      <c r="G805" s="102"/>
      <c r="H805" s="102" t="str">
        <f t="shared" si="1"/>
        <v/>
      </c>
      <c r="I805" s="38" t="b">
        <v>0</v>
      </c>
      <c r="J805" s="103"/>
      <c r="K805" s="103"/>
    </row>
    <row r="806">
      <c r="A806" s="104"/>
      <c r="B806" s="38"/>
      <c r="E806" s="101"/>
      <c r="F806" s="101" t="str">
        <f t="array" ref="F806">IF(E806="","",IFERROR(_xlfn.XLOOKUP(E806,SyncCodex!N:N,SyncCodex!O:O),""))</f>
        <v/>
      </c>
      <c r="G806" s="102"/>
      <c r="H806" s="102" t="str">
        <f t="shared" si="1"/>
        <v/>
      </c>
      <c r="I806" s="38" t="b">
        <v>0</v>
      </c>
      <c r="J806" s="103"/>
      <c r="K806" s="103"/>
    </row>
    <row r="807">
      <c r="A807" s="104"/>
      <c r="B807" s="38"/>
      <c r="E807" s="101"/>
      <c r="F807" s="101" t="str">
        <f t="array" ref="F807">IF(E807="","",IFERROR(_xlfn.XLOOKUP(E807,SyncCodex!N:N,SyncCodex!O:O),""))</f>
        <v/>
      </c>
      <c r="G807" s="102"/>
      <c r="H807" s="102" t="str">
        <f t="shared" si="1"/>
        <v/>
      </c>
      <c r="I807" s="38" t="b">
        <v>0</v>
      </c>
      <c r="J807" s="103"/>
      <c r="K807" s="103"/>
    </row>
    <row r="808">
      <c r="A808" s="104"/>
      <c r="B808" s="38"/>
      <c r="E808" s="101"/>
      <c r="F808" s="101" t="str">
        <f t="array" ref="F808">IF(E808="","",IFERROR(_xlfn.XLOOKUP(E808,SyncCodex!N:N,SyncCodex!O:O),""))</f>
        <v/>
      </c>
      <c r="G808" s="102"/>
      <c r="H808" s="102" t="str">
        <f t="shared" si="1"/>
        <v/>
      </c>
      <c r="I808" s="38" t="b">
        <v>0</v>
      </c>
      <c r="J808" s="103"/>
      <c r="K808" s="103"/>
    </row>
    <row r="809">
      <c r="A809" s="104"/>
      <c r="B809" s="38"/>
      <c r="E809" s="101"/>
      <c r="F809" s="101" t="str">
        <f t="array" ref="F809">IF(E809="","",IFERROR(_xlfn.XLOOKUP(E809,SyncCodex!N:N,SyncCodex!O:O),""))</f>
        <v/>
      </c>
      <c r="G809" s="102"/>
      <c r="H809" s="102" t="str">
        <f t="shared" si="1"/>
        <v/>
      </c>
      <c r="I809" s="38" t="b">
        <v>0</v>
      </c>
      <c r="J809" s="103"/>
      <c r="K809" s="103"/>
    </row>
    <row r="810">
      <c r="A810" s="104"/>
      <c r="B810" s="38"/>
      <c r="E810" s="101"/>
      <c r="F810" s="101" t="str">
        <f t="array" ref="F810">IF(E810="","",IFERROR(_xlfn.XLOOKUP(E810,SyncCodex!N:N,SyncCodex!O:O),""))</f>
        <v/>
      </c>
      <c r="G810" s="102"/>
      <c r="H810" s="102" t="str">
        <f t="shared" si="1"/>
        <v/>
      </c>
      <c r="I810" s="38" t="b">
        <v>0</v>
      </c>
      <c r="J810" s="103"/>
      <c r="K810" s="103"/>
    </row>
    <row r="811">
      <c r="A811" s="104"/>
      <c r="B811" s="38"/>
      <c r="E811" s="101"/>
      <c r="F811" s="101" t="str">
        <f t="array" ref="F811">IF(E811="","",IFERROR(_xlfn.XLOOKUP(E811,SyncCodex!N:N,SyncCodex!O:O),""))</f>
        <v/>
      </c>
      <c r="G811" s="102"/>
      <c r="H811" s="102" t="str">
        <f t="shared" si="1"/>
        <v/>
      </c>
      <c r="I811" s="38" t="b">
        <v>0</v>
      </c>
      <c r="J811" s="103"/>
      <c r="K811" s="103"/>
    </row>
    <row r="812">
      <c r="A812" s="104"/>
      <c r="B812" s="38"/>
      <c r="E812" s="101"/>
      <c r="F812" s="101" t="str">
        <f t="array" ref="F812">IF(E812="","",IFERROR(_xlfn.XLOOKUP(E812,SyncCodex!N:N,SyncCodex!O:O),""))</f>
        <v/>
      </c>
      <c r="G812" s="102"/>
      <c r="H812" s="102" t="str">
        <f t="shared" si="1"/>
        <v/>
      </c>
      <c r="I812" s="38" t="b">
        <v>0</v>
      </c>
      <c r="J812" s="103"/>
      <c r="K812" s="103"/>
    </row>
    <row r="813">
      <c r="A813" s="104"/>
      <c r="B813" s="38"/>
      <c r="E813" s="101"/>
      <c r="F813" s="101" t="str">
        <f t="array" ref="F813">IF(E813="","",IFERROR(_xlfn.XLOOKUP(E813,SyncCodex!N:N,SyncCodex!O:O),""))</f>
        <v/>
      </c>
      <c r="G813" s="102"/>
      <c r="H813" s="102" t="str">
        <f t="shared" si="1"/>
        <v/>
      </c>
      <c r="I813" s="38" t="b">
        <v>0</v>
      </c>
      <c r="J813" s="103"/>
      <c r="K813" s="103"/>
    </row>
    <row r="814">
      <c r="A814" s="104"/>
      <c r="B814" s="38"/>
      <c r="E814" s="101"/>
      <c r="F814" s="101" t="str">
        <f t="array" ref="F814">IF(E814="","",IFERROR(_xlfn.XLOOKUP(E814,SyncCodex!N:N,SyncCodex!O:O),""))</f>
        <v/>
      </c>
      <c r="G814" s="102"/>
      <c r="H814" s="102" t="str">
        <f t="shared" si="1"/>
        <v/>
      </c>
      <c r="I814" s="38" t="b">
        <v>0</v>
      </c>
      <c r="J814" s="103"/>
      <c r="K814" s="103"/>
    </row>
    <row r="815">
      <c r="A815" s="104"/>
      <c r="B815" s="38"/>
      <c r="E815" s="101"/>
      <c r="F815" s="101" t="str">
        <f t="array" ref="F815">IF(E815="","",IFERROR(_xlfn.XLOOKUP(E815,SyncCodex!N:N,SyncCodex!O:O),""))</f>
        <v/>
      </c>
      <c r="G815" s="102"/>
      <c r="H815" s="102" t="str">
        <f t="shared" si="1"/>
        <v/>
      </c>
      <c r="I815" s="38" t="b">
        <v>0</v>
      </c>
      <c r="J815" s="103"/>
      <c r="K815" s="103"/>
    </row>
    <row r="816">
      <c r="A816" s="104"/>
      <c r="B816" s="38"/>
      <c r="E816" s="101"/>
      <c r="F816" s="101" t="str">
        <f t="array" ref="F816">IF(E816="","",IFERROR(_xlfn.XLOOKUP(E816,SyncCodex!N:N,SyncCodex!O:O),""))</f>
        <v/>
      </c>
      <c r="G816" s="102"/>
      <c r="H816" s="102" t="str">
        <f t="shared" si="1"/>
        <v/>
      </c>
      <c r="I816" s="38" t="b">
        <v>0</v>
      </c>
      <c r="J816" s="103"/>
      <c r="K816" s="103"/>
    </row>
    <row r="817">
      <c r="A817" s="104"/>
      <c r="B817" s="38"/>
      <c r="E817" s="101"/>
      <c r="F817" s="101" t="str">
        <f t="array" ref="F817">IF(E817="","",IFERROR(_xlfn.XLOOKUP(E817,SyncCodex!N:N,SyncCodex!O:O),""))</f>
        <v/>
      </c>
      <c r="G817" s="102"/>
      <c r="H817" s="102" t="str">
        <f t="shared" si="1"/>
        <v/>
      </c>
      <c r="I817" s="38" t="b">
        <v>0</v>
      </c>
      <c r="J817" s="103"/>
      <c r="K817" s="103"/>
    </row>
    <row r="818">
      <c r="A818" s="104"/>
      <c r="B818" s="38"/>
      <c r="E818" s="101"/>
      <c r="F818" s="101" t="str">
        <f t="array" ref="F818">IF(E818="","",IFERROR(_xlfn.XLOOKUP(E818,SyncCodex!N:N,SyncCodex!O:O),""))</f>
        <v/>
      </c>
      <c r="G818" s="102"/>
      <c r="H818" s="102" t="str">
        <f t="shared" si="1"/>
        <v/>
      </c>
      <c r="I818" s="38" t="b">
        <v>0</v>
      </c>
      <c r="J818" s="103"/>
      <c r="K818" s="103"/>
    </row>
    <row r="819">
      <c r="A819" s="104"/>
      <c r="B819" s="38"/>
      <c r="E819" s="101"/>
      <c r="F819" s="101" t="str">
        <f t="array" ref="F819">IF(E819="","",IFERROR(_xlfn.XLOOKUP(E819,SyncCodex!N:N,SyncCodex!O:O),""))</f>
        <v/>
      </c>
      <c r="G819" s="102"/>
      <c r="H819" s="102" t="str">
        <f t="shared" si="1"/>
        <v/>
      </c>
      <c r="I819" s="38" t="b">
        <v>0</v>
      </c>
      <c r="J819" s="103"/>
      <c r="K819" s="103"/>
    </row>
    <row r="820">
      <c r="A820" s="104"/>
      <c r="B820" s="38"/>
      <c r="E820" s="101"/>
      <c r="F820" s="101" t="str">
        <f t="array" ref="F820">IF(E820="","",IFERROR(_xlfn.XLOOKUP(E820,SyncCodex!N:N,SyncCodex!O:O),""))</f>
        <v/>
      </c>
      <c r="G820" s="102"/>
      <c r="H820" s="102" t="str">
        <f t="shared" si="1"/>
        <v/>
      </c>
      <c r="I820" s="38" t="b">
        <v>0</v>
      </c>
      <c r="J820" s="103"/>
      <c r="K820" s="103"/>
    </row>
    <row r="821">
      <c r="A821" s="104"/>
      <c r="B821" s="38"/>
      <c r="E821" s="101"/>
      <c r="F821" s="101" t="str">
        <f t="array" ref="F821">IF(E821="","",IFERROR(_xlfn.XLOOKUP(E821,SyncCodex!N:N,SyncCodex!O:O),""))</f>
        <v/>
      </c>
      <c r="G821" s="102"/>
      <c r="H821" s="102" t="str">
        <f t="shared" si="1"/>
        <v/>
      </c>
      <c r="I821" s="38" t="b">
        <v>0</v>
      </c>
      <c r="J821" s="103"/>
      <c r="K821" s="103"/>
    </row>
    <row r="822">
      <c r="A822" s="104"/>
      <c r="B822" s="38"/>
      <c r="E822" s="101"/>
      <c r="F822" s="101" t="str">
        <f t="array" ref="F822">IF(E822="","",IFERROR(_xlfn.XLOOKUP(E822,SyncCodex!N:N,SyncCodex!O:O),""))</f>
        <v/>
      </c>
      <c r="G822" s="102"/>
      <c r="H822" s="102" t="str">
        <f t="shared" si="1"/>
        <v/>
      </c>
      <c r="I822" s="38" t="b">
        <v>0</v>
      </c>
      <c r="J822" s="103"/>
      <c r="K822" s="103"/>
    </row>
    <row r="823">
      <c r="A823" s="104"/>
      <c r="B823" s="38"/>
      <c r="E823" s="101"/>
      <c r="F823" s="101" t="str">
        <f t="array" ref="F823">IF(E823="","",IFERROR(_xlfn.XLOOKUP(E823,SyncCodex!N:N,SyncCodex!O:O),""))</f>
        <v/>
      </c>
      <c r="G823" s="102"/>
      <c r="H823" s="102" t="str">
        <f t="shared" si="1"/>
        <v/>
      </c>
      <c r="I823" s="38" t="b">
        <v>0</v>
      </c>
      <c r="J823" s="103"/>
      <c r="K823" s="103"/>
    </row>
    <row r="824">
      <c r="A824" s="104"/>
      <c r="B824" s="38"/>
      <c r="E824" s="101"/>
      <c r="F824" s="101" t="str">
        <f t="array" ref="F824">IF(E824="","",IFERROR(_xlfn.XLOOKUP(E824,SyncCodex!N:N,SyncCodex!O:O),""))</f>
        <v/>
      </c>
      <c r="G824" s="102"/>
      <c r="H824" s="102" t="str">
        <f t="shared" si="1"/>
        <v/>
      </c>
      <c r="I824" s="38" t="b">
        <v>0</v>
      </c>
      <c r="J824" s="103"/>
      <c r="K824" s="103"/>
    </row>
    <row r="825">
      <c r="A825" s="104"/>
      <c r="B825" s="38"/>
      <c r="E825" s="101"/>
      <c r="F825" s="101" t="str">
        <f t="array" ref="F825">IF(E825="","",IFERROR(_xlfn.XLOOKUP(E825,SyncCodex!N:N,SyncCodex!O:O),""))</f>
        <v/>
      </c>
      <c r="G825" s="102"/>
      <c r="H825" s="102" t="str">
        <f t="shared" si="1"/>
        <v/>
      </c>
      <c r="I825" s="38" t="b">
        <v>0</v>
      </c>
      <c r="J825" s="103"/>
      <c r="K825" s="103"/>
    </row>
    <row r="826">
      <c r="A826" s="104"/>
      <c r="B826" s="38"/>
      <c r="E826" s="101"/>
      <c r="F826" s="101" t="str">
        <f t="array" ref="F826">IF(E826="","",IFERROR(_xlfn.XLOOKUP(E826,SyncCodex!N:N,SyncCodex!O:O),""))</f>
        <v/>
      </c>
      <c r="G826" s="102"/>
      <c r="H826" s="102" t="str">
        <f t="shared" si="1"/>
        <v/>
      </c>
      <c r="I826" s="38" t="b">
        <v>0</v>
      </c>
      <c r="J826" s="103"/>
      <c r="K826" s="103"/>
    </row>
    <row r="827">
      <c r="A827" s="104"/>
      <c r="B827" s="38"/>
      <c r="E827" s="101"/>
      <c r="F827" s="101" t="str">
        <f t="array" ref="F827">IF(E827="","",IFERROR(_xlfn.XLOOKUP(E827,SyncCodex!N:N,SyncCodex!O:O),""))</f>
        <v/>
      </c>
      <c r="G827" s="102"/>
      <c r="H827" s="102" t="str">
        <f t="shared" si="1"/>
        <v/>
      </c>
      <c r="I827" s="38" t="b">
        <v>0</v>
      </c>
      <c r="J827" s="103"/>
      <c r="K827" s="103"/>
    </row>
    <row r="828">
      <c r="A828" s="104"/>
      <c r="B828" s="38"/>
      <c r="E828" s="101"/>
      <c r="F828" s="101" t="str">
        <f t="array" ref="F828">IF(E828="","",IFERROR(_xlfn.XLOOKUP(E828,SyncCodex!N:N,SyncCodex!O:O),""))</f>
        <v/>
      </c>
      <c r="G828" s="102"/>
      <c r="H828" s="102" t="str">
        <f t="shared" si="1"/>
        <v/>
      </c>
      <c r="I828" s="38" t="b">
        <v>0</v>
      </c>
      <c r="J828" s="103"/>
      <c r="K828" s="103"/>
    </row>
    <row r="829">
      <c r="A829" s="104"/>
      <c r="B829" s="38"/>
      <c r="E829" s="101"/>
      <c r="F829" s="101" t="str">
        <f t="array" ref="F829">IF(E829="","",IFERROR(_xlfn.XLOOKUP(E829,SyncCodex!N:N,SyncCodex!O:O),""))</f>
        <v/>
      </c>
      <c r="G829" s="102"/>
      <c r="H829" s="102" t="str">
        <f t="shared" si="1"/>
        <v/>
      </c>
      <c r="I829" s="38" t="b">
        <v>0</v>
      </c>
      <c r="J829" s="103"/>
      <c r="K829" s="103"/>
    </row>
    <row r="830">
      <c r="A830" s="104"/>
      <c r="B830" s="38"/>
      <c r="E830" s="101"/>
      <c r="F830" s="101" t="str">
        <f t="array" ref="F830">IF(E830="","",IFERROR(_xlfn.XLOOKUP(E830,SyncCodex!N:N,SyncCodex!O:O),""))</f>
        <v/>
      </c>
      <c r="G830" s="102"/>
      <c r="H830" s="102" t="str">
        <f t="shared" si="1"/>
        <v/>
      </c>
      <c r="I830" s="38" t="b">
        <v>0</v>
      </c>
      <c r="J830" s="103"/>
      <c r="K830" s="103"/>
    </row>
    <row r="831">
      <c r="A831" s="104"/>
      <c r="B831" s="38"/>
      <c r="E831" s="101"/>
      <c r="F831" s="101" t="str">
        <f t="array" ref="F831">IF(E831="","",IFERROR(_xlfn.XLOOKUP(E831,SyncCodex!N:N,SyncCodex!O:O),""))</f>
        <v/>
      </c>
      <c r="G831" s="102"/>
      <c r="H831" s="102" t="str">
        <f t="shared" si="1"/>
        <v/>
      </c>
      <c r="I831" s="38" t="b">
        <v>0</v>
      </c>
      <c r="J831" s="103"/>
      <c r="K831" s="103"/>
    </row>
    <row r="832">
      <c r="A832" s="104"/>
      <c r="B832" s="38"/>
      <c r="E832" s="101"/>
      <c r="F832" s="101" t="str">
        <f t="array" ref="F832">IF(E832="","",IFERROR(_xlfn.XLOOKUP(E832,SyncCodex!N:N,SyncCodex!O:O),""))</f>
        <v/>
      </c>
      <c r="G832" s="102"/>
      <c r="H832" s="102" t="str">
        <f t="shared" si="1"/>
        <v/>
      </c>
      <c r="I832" s="38" t="b">
        <v>0</v>
      </c>
      <c r="J832" s="103"/>
      <c r="K832" s="103"/>
    </row>
    <row r="833">
      <c r="A833" s="104"/>
      <c r="B833" s="38"/>
      <c r="E833" s="101"/>
      <c r="F833" s="101" t="str">
        <f t="array" ref="F833">IF(E833="","",IFERROR(_xlfn.XLOOKUP(E833,SyncCodex!N:N,SyncCodex!O:O),""))</f>
        <v/>
      </c>
      <c r="G833" s="102"/>
      <c r="H833" s="102" t="str">
        <f t="shared" si="1"/>
        <v/>
      </c>
      <c r="I833" s="38" t="b">
        <v>0</v>
      </c>
      <c r="J833" s="103"/>
      <c r="K833" s="103"/>
    </row>
    <row r="834">
      <c r="A834" s="104"/>
      <c r="B834" s="38"/>
      <c r="E834" s="101"/>
      <c r="F834" s="101" t="str">
        <f t="array" ref="F834">IF(E834="","",IFERROR(_xlfn.XLOOKUP(E834,SyncCodex!N:N,SyncCodex!O:O),""))</f>
        <v/>
      </c>
      <c r="G834" s="102"/>
      <c r="H834" s="102" t="str">
        <f t="shared" si="1"/>
        <v/>
      </c>
      <c r="I834" s="38" t="b">
        <v>0</v>
      </c>
      <c r="J834" s="103"/>
      <c r="K834" s="103"/>
    </row>
    <row r="835">
      <c r="A835" s="104"/>
      <c r="B835" s="38"/>
      <c r="E835" s="101"/>
      <c r="F835" s="101" t="str">
        <f t="array" ref="F835">IF(E835="","",IFERROR(_xlfn.XLOOKUP(E835,SyncCodex!N:N,SyncCodex!O:O),""))</f>
        <v/>
      </c>
      <c r="G835" s="102"/>
      <c r="H835" s="102" t="str">
        <f t="shared" si="1"/>
        <v/>
      </c>
      <c r="I835" s="38" t="b">
        <v>0</v>
      </c>
      <c r="J835" s="103"/>
      <c r="K835" s="103"/>
    </row>
    <row r="836">
      <c r="A836" s="104"/>
      <c r="B836" s="38"/>
      <c r="E836" s="101"/>
      <c r="F836" s="101" t="str">
        <f t="array" ref="F836">IF(E836="","",IFERROR(_xlfn.XLOOKUP(E836,SyncCodex!N:N,SyncCodex!O:O),""))</f>
        <v/>
      </c>
      <c r="G836" s="102"/>
      <c r="H836" s="102" t="str">
        <f t="shared" si="1"/>
        <v/>
      </c>
      <c r="I836" s="38" t="b">
        <v>0</v>
      </c>
      <c r="J836" s="103"/>
      <c r="K836" s="103"/>
    </row>
    <row r="837">
      <c r="A837" s="104"/>
      <c r="B837" s="38"/>
      <c r="E837" s="101"/>
      <c r="F837" s="101" t="str">
        <f t="array" ref="F837">IF(E837="","",IFERROR(_xlfn.XLOOKUP(E837,SyncCodex!N:N,SyncCodex!O:O),""))</f>
        <v/>
      </c>
      <c r="G837" s="102"/>
      <c r="H837" s="102" t="str">
        <f t="shared" si="1"/>
        <v/>
      </c>
      <c r="I837" s="38" t="b">
        <v>0</v>
      </c>
      <c r="J837" s="103"/>
      <c r="K837" s="103"/>
    </row>
    <row r="838">
      <c r="A838" s="104"/>
      <c r="B838" s="38"/>
      <c r="E838" s="101"/>
      <c r="F838" s="101" t="str">
        <f t="array" ref="F838">IF(E838="","",IFERROR(_xlfn.XLOOKUP(E838,SyncCodex!N:N,SyncCodex!O:O),""))</f>
        <v/>
      </c>
      <c r="G838" s="102"/>
      <c r="H838" s="102" t="str">
        <f t="shared" si="1"/>
        <v/>
      </c>
      <c r="I838" s="38" t="b">
        <v>0</v>
      </c>
      <c r="J838" s="103"/>
      <c r="K838" s="103"/>
    </row>
    <row r="839">
      <c r="A839" s="104"/>
      <c r="B839" s="38"/>
      <c r="E839" s="101"/>
      <c r="F839" s="101" t="str">
        <f t="array" ref="F839">IF(E839="","",IFERROR(_xlfn.XLOOKUP(E839,SyncCodex!N:N,SyncCodex!O:O),""))</f>
        <v/>
      </c>
      <c r="G839" s="102"/>
      <c r="H839" s="102" t="str">
        <f t="shared" si="1"/>
        <v/>
      </c>
      <c r="I839" s="38" t="b">
        <v>0</v>
      </c>
      <c r="J839" s="103"/>
      <c r="K839" s="103"/>
    </row>
    <row r="840">
      <c r="A840" s="104"/>
      <c r="B840" s="38"/>
      <c r="E840" s="101"/>
      <c r="F840" s="101" t="str">
        <f t="array" ref="F840">IF(E840="","",IFERROR(_xlfn.XLOOKUP(E840,SyncCodex!N:N,SyncCodex!O:O),""))</f>
        <v/>
      </c>
      <c r="G840" s="102"/>
      <c r="H840" s="102" t="str">
        <f t="shared" si="1"/>
        <v/>
      </c>
      <c r="I840" s="38" t="b">
        <v>0</v>
      </c>
      <c r="J840" s="103"/>
      <c r="K840" s="103"/>
    </row>
    <row r="841">
      <c r="A841" s="104"/>
      <c r="B841" s="38"/>
      <c r="E841" s="101"/>
      <c r="F841" s="101" t="str">
        <f t="array" ref="F841">IF(E841="","",IFERROR(_xlfn.XLOOKUP(E841,SyncCodex!N:N,SyncCodex!O:O),""))</f>
        <v/>
      </c>
      <c r="G841" s="102"/>
      <c r="H841" s="102" t="str">
        <f t="shared" si="1"/>
        <v/>
      </c>
      <c r="I841" s="38" t="b">
        <v>0</v>
      </c>
      <c r="J841" s="103"/>
      <c r="K841" s="103"/>
    </row>
    <row r="842">
      <c r="A842" s="104"/>
      <c r="B842" s="38"/>
      <c r="E842" s="101"/>
      <c r="F842" s="101" t="str">
        <f t="array" ref="F842">IF(E842="","",IFERROR(_xlfn.XLOOKUP(E842,SyncCodex!N:N,SyncCodex!O:O),""))</f>
        <v/>
      </c>
      <c r="G842" s="102"/>
      <c r="H842" s="102" t="str">
        <f t="shared" si="1"/>
        <v/>
      </c>
      <c r="I842" s="38" t="b">
        <v>0</v>
      </c>
      <c r="J842" s="103"/>
      <c r="K842" s="103"/>
    </row>
    <row r="843">
      <c r="A843" s="104"/>
      <c r="B843" s="38"/>
      <c r="E843" s="101"/>
      <c r="F843" s="101" t="str">
        <f t="array" ref="F843">IF(E843="","",IFERROR(_xlfn.XLOOKUP(E843,SyncCodex!N:N,SyncCodex!O:O),""))</f>
        <v/>
      </c>
      <c r="G843" s="102"/>
      <c r="H843" s="102" t="str">
        <f t="shared" si="1"/>
        <v/>
      </c>
      <c r="I843" s="38" t="b">
        <v>0</v>
      </c>
      <c r="J843" s="103"/>
      <c r="K843" s="103"/>
    </row>
    <row r="844">
      <c r="A844" s="104"/>
      <c r="B844" s="38"/>
      <c r="E844" s="101"/>
      <c r="F844" s="101" t="str">
        <f t="array" ref="F844">IF(E844="","",IFERROR(_xlfn.XLOOKUP(E844,SyncCodex!N:N,SyncCodex!O:O),""))</f>
        <v/>
      </c>
      <c r="G844" s="102"/>
      <c r="H844" s="102" t="str">
        <f t="shared" si="1"/>
        <v/>
      </c>
      <c r="I844" s="38" t="b">
        <v>0</v>
      </c>
      <c r="J844" s="103"/>
      <c r="K844" s="103"/>
    </row>
    <row r="845">
      <c r="A845" s="104"/>
      <c r="B845" s="38"/>
      <c r="E845" s="101"/>
      <c r="F845" s="101" t="str">
        <f t="array" ref="F845">IF(E845="","",IFERROR(_xlfn.XLOOKUP(E845,SyncCodex!N:N,SyncCodex!O:O),""))</f>
        <v/>
      </c>
      <c r="G845" s="102"/>
      <c r="H845" s="102" t="str">
        <f t="shared" si="1"/>
        <v/>
      </c>
      <c r="I845" s="38" t="b">
        <v>0</v>
      </c>
      <c r="J845" s="103"/>
      <c r="K845" s="103"/>
    </row>
    <row r="846">
      <c r="A846" s="104"/>
      <c r="B846" s="38"/>
      <c r="E846" s="101"/>
      <c r="F846" s="101" t="str">
        <f t="array" ref="F846">IF(E846="","",IFERROR(_xlfn.XLOOKUP(E846,SyncCodex!N:N,SyncCodex!O:O),""))</f>
        <v/>
      </c>
      <c r="G846" s="102"/>
      <c r="H846" s="102" t="str">
        <f t="shared" si="1"/>
        <v/>
      </c>
      <c r="I846" s="38" t="b">
        <v>0</v>
      </c>
      <c r="J846" s="103"/>
      <c r="K846" s="103"/>
    </row>
    <row r="847">
      <c r="A847" s="104"/>
      <c r="B847" s="38"/>
      <c r="E847" s="101"/>
      <c r="F847" s="101" t="str">
        <f t="array" ref="F847">IF(E847="","",IFERROR(_xlfn.XLOOKUP(E847,SyncCodex!N:N,SyncCodex!O:O),""))</f>
        <v/>
      </c>
      <c r="G847" s="102"/>
      <c r="H847" s="102" t="str">
        <f t="shared" si="1"/>
        <v/>
      </c>
      <c r="I847" s="38" t="b">
        <v>0</v>
      </c>
      <c r="J847" s="103"/>
      <c r="K847" s="103"/>
    </row>
    <row r="848">
      <c r="A848" s="104"/>
      <c r="B848" s="38"/>
      <c r="E848" s="101"/>
      <c r="F848" s="101" t="str">
        <f t="array" ref="F848">IF(E848="","",IFERROR(_xlfn.XLOOKUP(E848,SyncCodex!N:N,SyncCodex!O:O),""))</f>
        <v/>
      </c>
      <c r="G848" s="102"/>
      <c r="H848" s="102" t="str">
        <f t="shared" si="1"/>
        <v/>
      </c>
      <c r="I848" s="38" t="b">
        <v>0</v>
      </c>
      <c r="J848" s="103"/>
      <c r="K848" s="103"/>
    </row>
    <row r="849">
      <c r="A849" s="104"/>
      <c r="B849" s="38"/>
      <c r="E849" s="101"/>
      <c r="F849" s="101" t="str">
        <f t="array" ref="F849">IF(E849="","",IFERROR(_xlfn.XLOOKUP(E849,SyncCodex!N:N,SyncCodex!O:O),""))</f>
        <v/>
      </c>
      <c r="G849" s="102"/>
      <c r="H849" s="102" t="str">
        <f t="shared" si="1"/>
        <v/>
      </c>
      <c r="I849" s="38" t="b">
        <v>0</v>
      </c>
      <c r="J849" s="103"/>
      <c r="K849" s="103"/>
    </row>
    <row r="850">
      <c r="A850" s="104"/>
      <c r="B850" s="38"/>
      <c r="E850" s="101"/>
      <c r="F850" s="101" t="str">
        <f t="array" ref="F850">IF(E850="","",IFERROR(_xlfn.XLOOKUP(E850,SyncCodex!N:N,SyncCodex!O:O),""))</f>
        <v/>
      </c>
      <c r="G850" s="102"/>
      <c r="H850" s="102" t="str">
        <f t="shared" si="1"/>
        <v/>
      </c>
      <c r="I850" s="38" t="b">
        <v>0</v>
      </c>
      <c r="J850" s="103"/>
      <c r="K850" s="103"/>
    </row>
    <row r="851">
      <c r="A851" s="104"/>
      <c r="B851" s="38"/>
      <c r="E851" s="101"/>
      <c r="F851" s="101" t="str">
        <f t="array" ref="F851">IF(E851="","",IFERROR(_xlfn.XLOOKUP(E851,SyncCodex!N:N,SyncCodex!O:O),""))</f>
        <v/>
      </c>
      <c r="G851" s="102"/>
      <c r="H851" s="102" t="str">
        <f t="shared" si="1"/>
        <v/>
      </c>
      <c r="I851" s="38" t="b">
        <v>0</v>
      </c>
      <c r="J851" s="103"/>
      <c r="K851" s="103"/>
    </row>
    <row r="852">
      <c r="A852" s="104"/>
      <c r="B852" s="38"/>
      <c r="E852" s="101"/>
      <c r="F852" s="101" t="str">
        <f t="array" ref="F852">IF(E852="","",IFERROR(_xlfn.XLOOKUP(E852,SyncCodex!N:N,SyncCodex!O:O),""))</f>
        <v/>
      </c>
      <c r="G852" s="102"/>
      <c r="H852" s="102" t="str">
        <f t="shared" si="1"/>
        <v/>
      </c>
      <c r="I852" s="38" t="b">
        <v>0</v>
      </c>
      <c r="J852" s="103"/>
      <c r="K852" s="103"/>
    </row>
    <row r="853">
      <c r="A853" s="104"/>
      <c r="B853" s="38"/>
      <c r="E853" s="101"/>
      <c r="F853" s="101" t="str">
        <f t="array" ref="F853">IF(E853="","",IFERROR(_xlfn.XLOOKUP(E853,SyncCodex!N:N,SyncCodex!O:O),""))</f>
        <v/>
      </c>
      <c r="G853" s="102"/>
      <c r="H853" s="102" t="str">
        <f t="shared" si="1"/>
        <v/>
      </c>
      <c r="I853" s="38" t="b">
        <v>0</v>
      </c>
      <c r="J853" s="103"/>
      <c r="K853" s="103"/>
    </row>
    <row r="854">
      <c r="A854" s="104"/>
      <c r="B854" s="38"/>
      <c r="E854" s="101"/>
      <c r="F854" s="101" t="str">
        <f t="array" ref="F854">IF(E854="","",IFERROR(_xlfn.XLOOKUP(E854,SyncCodex!N:N,SyncCodex!O:O),""))</f>
        <v/>
      </c>
      <c r="G854" s="102"/>
      <c r="H854" s="102" t="str">
        <f t="shared" si="1"/>
        <v/>
      </c>
      <c r="I854" s="38" t="b">
        <v>0</v>
      </c>
      <c r="J854" s="103"/>
      <c r="K854" s="103"/>
    </row>
    <row r="855">
      <c r="A855" s="104"/>
      <c r="B855" s="38"/>
      <c r="E855" s="101"/>
      <c r="F855" s="101" t="str">
        <f t="array" ref="F855">IF(E855="","",IFERROR(_xlfn.XLOOKUP(E855,SyncCodex!N:N,SyncCodex!O:O),""))</f>
        <v/>
      </c>
      <c r="G855" s="102"/>
      <c r="H855" s="102" t="str">
        <f t="shared" si="1"/>
        <v/>
      </c>
      <c r="I855" s="38" t="b">
        <v>0</v>
      </c>
      <c r="J855" s="103"/>
      <c r="K855" s="103"/>
    </row>
    <row r="856">
      <c r="A856" s="104"/>
      <c r="B856" s="38"/>
      <c r="E856" s="101"/>
      <c r="F856" s="101" t="str">
        <f t="array" ref="F856">IF(E856="","",IFERROR(_xlfn.XLOOKUP(E856,SyncCodex!N:N,SyncCodex!O:O),""))</f>
        <v/>
      </c>
      <c r="G856" s="102"/>
      <c r="H856" s="102" t="str">
        <f t="shared" si="1"/>
        <v/>
      </c>
      <c r="I856" s="38" t="b">
        <v>0</v>
      </c>
      <c r="J856" s="103"/>
      <c r="K856" s="103"/>
    </row>
    <row r="857">
      <c r="A857" s="104"/>
      <c r="B857" s="38"/>
      <c r="E857" s="101"/>
      <c r="F857" s="101" t="str">
        <f t="array" ref="F857">IF(E857="","",IFERROR(_xlfn.XLOOKUP(E857,SyncCodex!N:N,SyncCodex!O:O),""))</f>
        <v/>
      </c>
      <c r="G857" s="102"/>
      <c r="H857" s="102" t="str">
        <f t="shared" si="1"/>
        <v/>
      </c>
      <c r="I857" s="38" t="b">
        <v>0</v>
      </c>
      <c r="J857" s="103"/>
      <c r="K857" s="103"/>
    </row>
    <row r="858">
      <c r="A858" s="104"/>
      <c r="B858" s="38"/>
      <c r="E858" s="101"/>
      <c r="F858" s="101" t="str">
        <f t="array" ref="F858">IF(E858="","",IFERROR(_xlfn.XLOOKUP(E858,SyncCodex!N:N,SyncCodex!O:O),""))</f>
        <v/>
      </c>
      <c r="G858" s="102"/>
      <c r="H858" s="102" t="str">
        <f t="shared" si="1"/>
        <v/>
      </c>
      <c r="I858" s="38" t="b">
        <v>0</v>
      </c>
      <c r="J858" s="103"/>
      <c r="K858" s="103"/>
    </row>
    <row r="859">
      <c r="A859" s="104"/>
      <c r="B859" s="38"/>
      <c r="E859" s="101"/>
      <c r="F859" s="101" t="str">
        <f t="array" ref="F859">IF(E859="","",IFERROR(_xlfn.XLOOKUP(E859,SyncCodex!N:N,SyncCodex!O:O),""))</f>
        <v/>
      </c>
      <c r="G859" s="102"/>
      <c r="H859" s="102" t="str">
        <f t="shared" si="1"/>
        <v/>
      </c>
      <c r="I859" s="38" t="b">
        <v>0</v>
      </c>
      <c r="J859" s="103"/>
      <c r="K859" s="103"/>
    </row>
    <row r="860">
      <c r="A860" s="104"/>
      <c r="B860" s="38"/>
      <c r="E860" s="101"/>
      <c r="F860" s="101" t="str">
        <f t="array" ref="F860">IF(E860="","",IFERROR(_xlfn.XLOOKUP(E860,SyncCodex!N:N,SyncCodex!O:O),""))</f>
        <v/>
      </c>
      <c r="G860" s="102"/>
      <c r="H860" s="102" t="str">
        <f t="shared" si="1"/>
        <v/>
      </c>
      <c r="I860" s="38" t="b">
        <v>0</v>
      </c>
      <c r="J860" s="103"/>
      <c r="K860" s="103"/>
    </row>
    <row r="861">
      <c r="A861" s="104"/>
      <c r="B861" s="38"/>
      <c r="E861" s="101"/>
      <c r="F861" s="101" t="str">
        <f t="array" ref="F861">IF(E861="","",IFERROR(_xlfn.XLOOKUP(E861,SyncCodex!N:N,SyncCodex!O:O),""))</f>
        <v/>
      </c>
      <c r="G861" s="102"/>
      <c r="H861" s="102" t="str">
        <f t="shared" si="1"/>
        <v/>
      </c>
      <c r="I861" s="38" t="b">
        <v>0</v>
      </c>
      <c r="J861" s="103"/>
      <c r="K861" s="103"/>
    </row>
    <row r="862">
      <c r="A862" s="104"/>
      <c r="B862" s="38"/>
      <c r="E862" s="101"/>
      <c r="F862" s="101" t="str">
        <f t="array" ref="F862">IF(E862="","",IFERROR(_xlfn.XLOOKUP(E862,SyncCodex!N:N,SyncCodex!O:O),""))</f>
        <v/>
      </c>
      <c r="G862" s="102"/>
      <c r="H862" s="102" t="str">
        <f t="shared" si="1"/>
        <v/>
      </c>
      <c r="I862" s="38" t="b">
        <v>0</v>
      </c>
      <c r="J862" s="103"/>
      <c r="K862" s="103"/>
    </row>
    <row r="863">
      <c r="A863" s="104"/>
      <c r="B863" s="38"/>
      <c r="E863" s="101"/>
      <c r="F863" s="101" t="str">
        <f t="array" ref="F863">IF(E863="","",IFERROR(_xlfn.XLOOKUP(E863,SyncCodex!N:N,SyncCodex!O:O),""))</f>
        <v/>
      </c>
      <c r="G863" s="102"/>
      <c r="H863" s="102" t="str">
        <f t="shared" si="1"/>
        <v/>
      </c>
      <c r="I863" s="38" t="b">
        <v>0</v>
      </c>
      <c r="J863" s="103"/>
      <c r="K863" s="103"/>
    </row>
    <row r="864">
      <c r="A864" s="104"/>
      <c r="B864" s="38"/>
      <c r="E864" s="101"/>
      <c r="F864" s="101" t="str">
        <f t="array" ref="F864">IF(E864="","",IFERROR(_xlfn.XLOOKUP(E864,SyncCodex!N:N,SyncCodex!O:O),""))</f>
        <v/>
      </c>
      <c r="G864" s="102"/>
      <c r="H864" s="102" t="str">
        <f t="shared" si="1"/>
        <v/>
      </c>
      <c r="I864" s="38" t="b">
        <v>0</v>
      </c>
      <c r="J864" s="103"/>
      <c r="K864" s="103"/>
    </row>
    <row r="865">
      <c r="A865" s="104"/>
      <c r="B865" s="38"/>
      <c r="E865" s="101"/>
      <c r="F865" s="101" t="str">
        <f t="array" ref="F865">IF(E865="","",IFERROR(_xlfn.XLOOKUP(E865,SyncCodex!N:N,SyncCodex!O:O),""))</f>
        <v/>
      </c>
      <c r="G865" s="102"/>
      <c r="H865" s="102" t="str">
        <f t="shared" si="1"/>
        <v/>
      </c>
      <c r="I865" s="38" t="b">
        <v>0</v>
      </c>
      <c r="J865" s="103"/>
      <c r="K865" s="103"/>
    </row>
    <row r="866">
      <c r="A866" s="104"/>
      <c r="B866" s="38"/>
      <c r="E866" s="101"/>
      <c r="F866" s="101" t="str">
        <f t="array" ref="F866">IF(E866="","",IFERROR(_xlfn.XLOOKUP(E866,SyncCodex!N:N,SyncCodex!O:O),""))</f>
        <v/>
      </c>
      <c r="G866" s="102"/>
      <c r="H866" s="102" t="str">
        <f t="shared" si="1"/>
        <v/>
      </c>
      <c r="I866" s="38" t="b">
        <v>0</v>
      </c>
      <c r="J866" s="103"/>
      <c r="K866" s="103"/>
    </row>
    <row r="867">
      <c r="A867" s="104"/>
      <c r="B867" s="38"/>
      <c r="E867" s="101"/>
      <c r="F867" s="101" t="str">
        <f t="array" ref="F867">IF(E867="","",IFERROR(_xlfn.XLOOKUP(E867,SyncCodex!N:N,SyncCodex!O:O),""))</f>
        <v/>
      </c>
      <c r="G867" s="102"/>
      <c r="H867" s="102" t="str">
        <f t="shared" si="1"/>
        <v/>
      </c>
      <c r="I867" s="38" t="b">
        <v>0</v>
      </c>
      <c r="J867" s="103"/>
      <c r="K867" s="103"/>
    </row>
    <row r="868">
      <c r="A868" s="104"/>
      <c r="B868" s="38"/>
      <c r="E868" s="101"/>
      <c r="F868" s="101" t="str">
        <f t="array" ref="F868">IF(E868="","",IFERROR(_xlfn.XLOOKUP(E868,SyncCodex!N:N,SyncCodex!O:O),""))</f>
        <v/>
      </c>
      <c r="G868" s="102"/>
      <c r="H868" s="102" t="str">
        <f t="shared" si="1"/>
        <v/>
      </c>
      <c r="I868" s="38" t="b">
        <v>0</v>
      </c>
      <c r="J868" s="103"/>
      <c r="K868" s="103"/>
    </row>
    <row r="869">
      <c r="A869" s="104"/>
      <c r="B869" s="38"/>
      <c r="E869" s="101"/>
      <c r="F869" s="101" t="str">
        <f t="array" ref="F869">IF(E869="","",IFERROR(_xlfn.XLOOKUP(E869,SyncCodex!N:N,SyncCodex!O:O),""))</f>
        <v/>
      </c>
      <c r="G869" s="102"/>
      <c r="H869" s="102" t="str">
        <f t="shared" si="1"/>
        <v/>
      </c>
      <c r="I869" s="38" t="b">
        <v>0</v>
      </c>
      <c r="J869" s="103"/>
      <c r="K869" s="103"/>
    </row>
    <row r="870">
      <c r="A870" s="104"/>
      <c r="B870" s="38"/>
      <c r="E870" s="101"/>
      <c r="F870" s="101" t="str">
        <f t="array" ref="F870">IF(E870="","",IFERROR(_xlfn.XLOOKUP(E870,SyncCodex!N:N,SyncCodex!O:O),""))</f>
        <v/>
      </c>
      <c r="G870" s="102"/>
      <c r="H870" s="102" t="str">
        <f t="shared" si="1"/>
        <v/>
      </c>
      <c r="I870" s="38" t="b">
        <v>0</v>
      </c>
      <c r="J870" s="103"/>
      <c r="K870" s="103"/>
    </row>
    <row r="871">
      <c r="A871" s="104"/>
      <c r="B871" s="38"/>
      <c r="E871" s="101"/>
      <c r="F871" s="101" t="str">
        <f t="array" ref="F871">IF(E871="","",IFERROR(_xlfn.XLOOKUP(E871,SyncCodex!N:N,SyncCodex!O:O),""))</f>
        <v/>
      </c>
      <c r="G871" s="102"/>
      <c r="H871" s="102" t="str">
        <f t="shared" si="1"/>
        <v/>
      </c>
      <c r="I871" s="38" t="b">
        <v>0</v>
      </c>
      <c r="J871" s="103"/>
      <c r="K871" s="103"/>
    </row>
    <row r="872">
      <c r="A872" s="104"/>
      <c r="B872" s="38"/>
      <c r="E872" s="101"/>
      <c r="F872" s="101" t="str">
        <f t="array" ref="F872">IF(E872="","",IFERROR(_xlfn.XLOOKUP(E872,SyncCodex!N:N,SyncCodex!O:O),""))</f>
        <v/>
      </c>
      <c r="G872" s="102"/>
      <c r="H872" s="102" t="str">
        <f t="shared" si="1"/>
        <v/>
      </c>
      <c r="I872" s="38" t="b">
        <v>0</v>
      </c>
      <c r="J872" s="103"/>
      <c r="K872" s="103"/>
    </row>
    <row r="873">
      <c r="A873" s="104"/>
      <c r="B873" s="38"/>
      <c r="E873" s="101"/>
      <c r="F873" s="101" t="str">
        <f t="array" ref="F873">IF(E873="","",IFERROR(_xlfn.XLOOKUP(E873,SyncCodex!N:N,SyncCodex!O:O),""))</f>
        <v/>
      </c>
      <c r="G873" s="102"/>
      <c r="H873" s="102" t="str">
        <f t="shared" si="1"/>
        <v/>
      </c>
      <c r="I873" s="38" t="b">
        <v>0</v>
      </c>
      <c r="J873" s="103"/>
      <c r="K873" s="103"/>
    </row>
    <row r="874">
      <c r="A874" s="104"/>
      <c r="B874" s="38"/>
      <c r="E874" s="101"/>
      <c r="F874" s="101" t="str">
        <f t="array" ref="F874">IF(E874="","",IFERROR(_xlfn.XLOOKUP(E874,SyncCodex!N:N,SyncCodex!O:O),""))</f>
        <v/>
      </c>
      <c r="G874" s="102"/>
      <c r="H874" s="102" t="str">
        <f t="shared" si="1"/>
        <v/>
      </c>
      <c r="I874" s="38" t="b">
        <v>0</v>
      </c>
      <c r="J874" s="103"/>
      <c r="K874" s="103"/>
    </row>
    <row r="875">
      <c r="A875" s="104"/>
      <c r="B875" s="38"/>
      <c r="E875" s="101"/>
      <c r="F875" s="101" t="str">
        <f t="array" ref="F875">IF(E875="","",IFERROR(_xlfn.XLOOKUP(E875,SyncCodex!N:N,SyncCodex!O:O),""))</f>
        <v/>
      </c>
      <c r="G875" s="102"/>
      <c r="H875" s="102" t="str">
        <f t="shared" si="1"/>
        <v/>
      </c>
      <c r="I875" s="38" t="b">
        <v>0</v>
      </c>
      <c r="J875" s="103"/>
      <c r="K875" s="103"/>
    </row>
    <row r="876">
      <c r="A876" s="104"/>
      <c r="B876" s="38"/>
      <c r="E876" s="101"/>
      <c r="F876" s="101" t="str">
        <f t="array" ref="F876">IF(E876="","",IFERROR(_xlfn.XLOOKUP(E876,SyncCodex!N:N,SyncCodex!O:O),""))</f>
        <v/>
      </c>
      <c r="G876" s="102"/>
      <c r="H876" s="102" t="str">
        <f t="shared" si="1"/>
        <v/>
      </c>
      <c r="I876" s="38" t="b">
        <v>0</v>
      </c>
      <c r="J876" s="103"/>
      <c r="K876" s="103"/>
    </row>
    <row r="877">
      <c r="A877" s="104"/>
      <c r="B877" s="38"/>
      <c r="E877" s="101"/>
      <c r="F877" s="101" t="str">
        <f t="array" ref="F877">IF(E877="","",IFERROR(_xlfn.XLOOKUP(E877,SyncCodex!N:N,SyncCodex!O:O),""))</f>
        <v/>
      </c>
      <c r="G877" s="102"/>
      <c r="H877" s="102" t="str">
        <f t="shared" si="1"/>
        <v/>
      </c>
      <c r="I877" s="38" t="b">
        <v>0</v>
      </c>
      <c r="J877" s="103"/>
      <c r="K877" s="103"/>
    </row>
    <row r="878">
      <c r="A878" s="104"/>
      <c r="B878" s="38"/>
      <c r="E878" s="101"/>
      <c r="F878" s="101" t="str">
        <f t="array" ref="F878">IF(E878="","",IFERROR(_xlfn.XLOOKUP(E878,SyncCodex!N:N,SyncCodex!O:O),""))</f>
        <v/>
      </c>
      <c r="G878" s="102"/>
      <c r="H878" s="102" t="str">
        <f t="shared" si="1"/>
        <v/>
      </c>
      <c r="I878" s="38" t="b">
        <v>0</v>
      </c>
      <c r="J878" s="103"/>
      <c r="K878" s="103"/>
    </row>
    <row r="879">
      <c r="A879" s="104"/>
      <c r="B879" s="38"/>
      <c r="E879" s="101"/>
      <c r="F879" s="101" t="str">
        <f t="array" ref="F879">IF(E879="","",IFERROR(_xlfn.XLOOKUP(E879,SyncCodex!N:N,SyncCodex!O:O),""))</f>
        <v/>
      </c>
      <c r="G879" s="102"/>
      <c r="H879" s="102" t="str">
        <f t="shared" si="1"/>
        <v/>
      </c>
      <c r="I879" s="38" t="b">
        <v>0</v>
      </c>
      <c r="J879" s="103"/>
      <c r="K879" s="103"/>
    </row>
    <row r="880">
      <c r="A880" s="104"/>
      <c r="B880" s="38"/>
      <c r="E880" s="101"/>
      <c r="F880" s="101" t="str">
        <f t="array" ref="F880">IF(E880="","",IFERROR(_xlfn.XLOOKUP(E880,SyncCodex!N:N,SyncCodex!O:O),""))</f>
        <v/>
      </c>
      <c r="G880" s="102"/>
      <c r="H880" s="102" t="str">
        <f t="shared" si="1"/>
        <v/>
      </c>
      <c r="I880" s="38" t="b">
        <v>0</v>
      </c>
      <c r="J880" s="103"/>
      <c r="K880" s="103"/>
    </row>
    <row r="881">
      <c r="A881" s="104"/>
      <c r="B881" s="38"/>
      <c r="E881" s="101"/>
      <c r="F881" s="101" t="str">
        <f t="array" ref="F881">IF(E881="","",IFERROR(_xlfn.XLOOKUP(E881,SyncCodex!N:N,SyncCodex!O:O),""))</f>
        <v/>
      </c>
      <c r="G881" s="102"/>
      <c r="H881" s="102" t="str">
        <f t="shared" si="1"/>
        <v/>
      </c>
      <c r="I881" s="38" t="b">
        <v>0</v>
      </c>
      <c r="J881" s="103"/>
      <c r="K881" s="103"/>
    </row>
    <row r="882">
      <c r="A882" s="104"/>
      <c r="B882" s="38"/>
      <c r="E882" s="101"/>
      <c r="F882" s="101" t="str">
        <f t="array" ref="F882">IF(E882="","",IFERROR(_xlfn.XLOOKUP(E882,SyncCodex!N:N,SyncCodex!O:O),""))</f>
        <v/>
      </c>
      <c r="G882" s="102"/>
      <c r="H882" s="102" t="str">
        <f t="shared" si="1"/>
        <v/>
      </c>
      <c r="I882" s="38" t="b">
        <v>0</v>
      </c>
      <c r="J882" s="103"/>
      <c r="K882" s="103"/>
    </row>
    <row r="883">
      <c r="A883" s="104"/>
      <c r="B883" s="38"/>
      <c r="E883" s="101"/>
      <c r="F883" s="101" t="str">
        <f t="array" ref="F883">IF(E883="","",IFERROR(_xlfn.XLOOKUP(E883,SyncCodex!N:N,SyncCodex!O:O),""))</f>
        <v/>
      </c>
      <c r="G883" s="102"/>
      <c r="H883" s="102" t="str">
        <f t="shared" si="1"/>
        <v/>
      </c>
      <c r="I883" s="38" t="b">
        <v>0</v>
      </c>
      <c r="J883" s="103"/>
      <c r="K883" s="103"/>
    </row>
    <row r="884">
      <c r="A884" s="104"/>
      <c r="B884" s="38"/>
      <c r="E884" s="101"/>
      <c r="F884" s="101" t="str">
        <f t="array" ref="F884">IF(E884="","",IFERROR(_xlfn.XLOOKUP(E884,SyncCodex!N:N,SyncCodex!O:O),""))</f>
        <v/>
      </c>
      <c r="G884" s="102"/>
      <c r="H884" s="102" t="str">
        <f t="shared" si="1"/>
        <v/>
      </c>
      <c r="I884" s="38" t="b">
        <v>0</v>
      </c>
      <c r="J884" s="103"/>
      <c r="K884" s="103"/>
    </row>
    <row r="885">
      <c r="A885" s="104"/>
      <c r="B885" s="38"/>
      <c r="E885" s="101"/>
      <c r="F885" s="101" t="str">
        <f t="array" ref="F885">IF(E885="","",IFERROR(_xlfn.XLOOKUP(E885,SyncCodex!N:N,SyncCodex!O:O),""))</f>
        <v/>
      </c>
      <c r="G885" s="102"/>
      <c r="H885" s="102" t="str">
        <f t="shared" si="1"/>
        <v/>
      </c>
      <c r="I885" s="38" t="b">
        <v>0</v>
      </c>
      <c r="J885" s="103"/>
      <c r="K885" s="103"/>
    </row>
    <row r="886">
      <c r="A886" s="104"/>
      <c r="B886" s="38"/>
      <c r="E886" s="101"/>
      <c r="F886" s="101" t="str">
        <f t="array" ref="F886">IF(E886="","",IFERROR(_xlfn.XLOOKUP(E886,SyncCodex!N:N,SyncCodex!O:O),""))</f>
        <v/>
      </c>
      <c r="G886" s="102"/>
      <c r="H886" s="102" t="str">
        <f t="shared" si="1"/>
        <v/>
      </c>
      <c r="I886" s="38" t="b">
        <v>0</v>
      </c>
      <c r="J886" s="103"/>
      <c r="K886" s="103"/>
    </row>
    <row r="887">
      <c r="A887" s="104"/>
      <c r="B887" s="38"/>
      <c r="E887" s="101"/>
      <c r="F887" s="101" t="str">
        <f t="array" ref="F887">IF(E887="","",IFERROR(_xlfn.XLOOKUP(E887,SyncCodex!N:N,SyncCodex!O:O),""))</f>
        <v/>
      </c>
      <c r="G887" s="102"/>
      <c r="H887" s="102" t="str">
        <f t="shared" si="1"/>
        <v/>
      </c>
      <c r="I887" s="38" t="b">
        <v>0</v>
      </c>
      <c r="J887" s="103"/>
      <c r="K887" s="103"/>
    </row>
    <row r="888">
      <c r="A888" s="104"/>
      <c r="B888" s="38"/>
      <c r="E888" s="101"/>
      <c r="F888" s="101" t="str">
        <f t="array" ref="F888">IF(E888="","",IFERROR(_xlfn.XLOOKUP(E888,SyncCodex!N:N,SyncCodex!O:O),""))</f>
        <v/>
      </c>
      <c r="G888" s="102"/>
      <c r="H888" s="102" t="str">
        <f t="shared" si="1"/>
        <v/>
      </c>
      <c r="I888" s="38" t="b">
        <v>0</v>
      </c>
      <c r="J888" s="103"/>
      <c r="K888" s="103"/>
    </row>
    <row r="889">
      <c r="A889" s="104"/>
      <c r="B889" s="38"/>
      <c r="E889" s="101"/>
      <c r="F889" s="101" t="str">
        <f t="array" ref="F889">IF(E889="","",IFERROR(_xlfn.XLOOKUP(E889,SyncCodex!N:N,SyncCodex!O:O),""))</f>
        <v/>
      </c>
      <c r="G889" s="102"/>
      <c r="H889" s="102" t="str">
        <f t="shared" si="1"/>
        <v/>
      </c>
      <c r="I889" s="38" t="b">
        <v>0</v>
      </c>
      <c r="J889" s="103"/>
      <c r="K889" s="103"/>
    </row>
    <row r="890">
      <c r="A890" s="104"/>
      <c r="B890" s="38"/>
      <c r="E890" s="101"/>
      <c r="F890" s="101" t="str">
        <f t="array" ref="F890">IF(E890="","",IFERROR(_xlfn.XLOOKUP(E890,SyncCodex!N:N,SyncCodex!O:O),""))</f>
        <v/>
      </c>
      <c r="G890" s="102"/>
      <c r="H890" s="102" t="str">
        <f t="shared" si="1"/>
        <v/>
      </c>
      <c r="I890" s="38" t="b">
        <v>0</v>
      </c>
      <c r="J890" s="103"/>
      <c r="K890" s="103"/>
    </row>
    <row r="891">
      <c r="A891" s="104"/>
      <c r="B891" s="38"/>
      <c r="E891" s="101"/>
      <c r="F891" s="101" t="str">
        <f t="array" ref="F891">IF(E891="","",IFERROR(_xlfn.XLOOKUP(E891,SyncCodex!N:N,SyncCodex!O:O),""))</f>
        <v/>
      </c>
      <c r="G891" s="102"/>
      <c r="H891" s="102" t="str">
        <f t="shared" si="1"/>
        <v/>
      </c>
      <c r="I891" s="38" t="b">
        <v>0</v>
      </c>
      <c r="J891" s="103"/>
      <c r="K891" s="103"/>
    </row>
    <row r="892">
      <c r="A892" s="104"/>
      <c r="B892" s="38"/>
      <c r="E892" s="101"/>
      <c r="F892" s="101" t="str">
        <f t="array" ref="F892">IF(E892="","",IFERROR(_xlfn.XLOOKUP(E892,SyncCodex!N:N,SyncCodex!O:O),""))</f>
        <v/>
      </c>
      <c r="G892" s="102"/>
      <c r="H892" s="102" t="str">
        <f t="shared" si="1"/>
        <v/>
      </c>
      <c r="I892" s="38" t="b">
        <v>0</v>
      </c>
      <c r="J892" s="103"/>
      <c r="K892" s="103"/>
    </row>
    <row r="893">
      <c r="A893" s="104"/>
      <c r="B893" s="38"/>
      <c r="E893" s="101"/>
      <c r="F893" s="101" t="str">
        <f t="array" ref="F893">IF(E893="","",IFERROR(_xlfn.XLOOKUP(E893,SyncCodex!N:N,SyncCodex!O:O),""))</f>
        <v/>
      </c>
      <c r="G893" s="102"/>
      <c r="H893" s="102" t="str">
        <f t="shared" si="1"/>
        <v/>
      </c>
      <c r="I893" s="38" t="b">
        <v>0</v>
      </c>
      <c r="J893" s="103"/>
      <c r="K893" s="103"/>
    </row>
    <row r="894">
      <c r="A894" s="104"/>
      <c r="B894" s="38"/>
      <c r="E894" s="101"/>
      <c r="F894" s="101" t="str">
        <f t="array" ref="F894">IF(E894="","",IFERROR(_xlfn.XLOOKUP(E894,SyncCodex!N:N,SyncCodex!O:O),""))</f>
        <v/>
      </c>
      <c r="G894" s="102"/>
      <c r="H894" s="102" t="str">
        <f t="shared" si="1"/>
        <v/>
      </c>
      <c r="I894" s="38" t="b">
        <v>0</v>
      </c>
      <c r="J894" s="103"/>
      <c r="K894" s="103"/>
    </row>
    <row r="895">
      <c r="A895" s="104"/>
      <c r="B895" s="38"/>
      <c r="E895" s="101"/>
      <c r="F895" s="101" t="str">
        <f t="array" ref="F895">IF(E895="","",IFERROR(_xlfn.XLOOKUP(E895,SyncCodex!N:N,SyncCodex!O:O),""))</f>
        <v/>
      </c>
      <c r="G895" s="102"/>
      <c r="H895" s="102" t="str">
        <f t="shared" si="1"/>
        <v/>
      </c>
      <c r="I895" s="38" t="b">
        <v>0</v>
      </c>
      <c r="J895" s="103"/>
      <c r="K895" s="103"/>
    </row>
    <row r="896">
      <c r="A896" s="104"/>
      <c r="B896" s="38"/>
      <c r="E896" s="101"/>
      <c r="F896" s="101" t="str">
        <f t="array" ref="F896">IF(E896="","",IFERROR(_xlfn.XLOOKUP(E896,SyncCodex!N:N,SyncCodex!O:O),""))</f>
        <v/>
      </c>
      <c r="G896" s="102"/>
      <c r="H896" s="102" t="str">
        <f t="shared" si="1"/>
        <v/>
      </c>
      <c r="I896" s="38" t="b">
        <v>0</v>
      </c>
      <c r="J896" s="103"/>
      <c r="K896" s="103"/>
    </row>
    <row r="897">
      <c r="A897" s="104"/>
      <c r="B897" s="38"/>
      <c r="E897" s="101"/>
      <c r="F897" s="101" t="str">
        <f t="array" ref="F897">IF(E897="","",IFERROR(_xlfn.XLOOKUP(E897,SyncCodex!N:N,SyncCodex!O:O),""))</f>
        <v/>
      </c>
      <c r="G897" s="102"/>
      <c r="H897" s="102" t="str">
        <f t="shared" si="1"/>
        <v/>
      </c>
      <c r="I897" s="38" t="b">
        <v>0</v>
      </c>
      <c r="J897" s="103"/>
      <c r="K897" s="103"/>
    </row>
    <row r="898">
      <c r="A898" s="104"/>
      <c r="B898" s="38"/>
      <c r="E898" s="101"/>
      <c r="F898" s="101" t="str">
        <f t="array" ref="F898">IF(E898="","",IFERROR(_xlfn.XLOOKUP(E898,SyncCodex!N:N,SyncCodex!O:O),""))</f>
        <v/>
      </c>
      <c r="G898" s="102"/>
      <c r="H898" s="102" t="str">
        <f t="shared" si="1"/>
        <v/>
      </c>
      <c r="I898" s="38" t="b">
        <v>0</v>
      </c>
      <c r="J898" s="103"/>
      <c r="K898" s="103"/>
    </row>
    <row r="899">
      <c r="A899" s="104"/>
      <c r="B899" s="38"/>
      <c r="E899" s="101"/>
      <c r="F899" s="101" t="str">
        <f t="array" ref="F899">IF(E899="","",IFERROR(_xlfn.XLOOKUP(E899,SyncCodex!N:N,SyncCodex!O:O),""))</f>
        <v/>
      </c>
      <c r="G899" s="102"/>
      <c r="H899" s="102" t="str">
        <f t="shared" si="1"/>
        <v/>
      </c>
      <c r="I899" s="38" t="b">
        <v>0</v>
      </c>
      <c r="J899" s="103"/>
      <c r="K899" s="103"/>
    </row>
    <row r="900">
      <c r="A900" s="104"/>
      <c r="B900" s="38"/>
      <c r="E900" s="101"/>
      <c r="F900" s="101" t="str">
        <f t="array" ref="F900">IF(E900="","",IFERROR(_xlfn.XLOOKUP(E900,SyncCodex!N:N,SyncCodex!O:O),""))</f>
        <v/>
      </c>
      <c r="G900" s="102"/>
      <c r="H900" s="102" t="str">
        <f t="shared" si="1"/>
        <v/>
      </c>
      <c r="I900" s="38" t="b">
        <v>0</v>
      </c>
      <c r="J900" s="103"/>
      <c r="K900" s="103"/>
    </row>
    <row r="901">
      <c r="A901" s="104"/>
      <c r="B901" s="38"/>
      <c r="E901" s="101"/>
      <c r="F901" s="101" t="str">
        <f t="array" ref="F901">IF(E901="","",IFERROR(_xlfn.XLOOKUP(E901,SyncCodex!N:N,SyncCodex!O:O),""))</f>
        <v/>
      </c>
      <c r="G901" s="102"/>
      <c r="H901" s="102" t="str">
        <f t="shared" si="1"/>
        <v/>
      </c>
      <c r="I901" s="38" t="b">
        <v>0</v>
      </c>
      <c r="J901" s="103"/>
      <c r="K901" s="103"/>
    </row>
    <row r="902">
      <c r="A902" s="104"/>
      <c r="B902" s="38"/>
      <c r="E902" s="101"/>
      <c r="F902" s="101" t="str">
        <f t="array" ref="F902">IF(E902="","",IFERROR(_xlfn.XLOOKUP(E902,SyncCodex!N:N,SyncCodex!O:O),""))</f>
        <v/>
      </c>
      <c r="G902" s="102"/>
      <c r="H902" s="102" t="str">
        <f t="shared" si="1"/>
        <v/>
      </c>
      <c r="I902" s="38" t="b">
        <v>0</v>
      </c>
      <c r="J902" s="103"/>
      <c r="K902" s="103"/>
    </row>
    <row r="903">
      <c r="A903" s="104"/>
      <c r="B903" s="38"/>
      <c r="E903" s="101"/>
      <c r="F903" s="101" t="str">
        <f t="array" ref="F903">IF(E903="","",IFERROR(_xlfn.XLOOKUP(E903,SyncCodex!N:N,SyncCodex!O:O),""))</f>
        <v/>
      </c>
      <c r="G903" s="102"/>
      <c r="H903" s="102" t="str">
        <f t="shared" si="1"/>
        <v/>
      </c>
      <c r="I903" s="38" t="b">
        <v>0</v>
      </c>
      <c r="J903" s="103"/>
      <c r="K903" s="103"/>
    </row>
    <row r="904">
      <c r="A904" s="104"/>
      <c r="B904" s="38"/>
      <c r="E904" s="101"/>
      <c r="F904" s="101" t="str">
        <f t="array" ref="F904">IF(E904="","",IFERROR(_xlfn.XLOOKUP(E904,SyncCodex!N:N,SyncCodex!O:O),""))</f>
        <v/>
      </c>
      <c r="G904" s="102"/>
      <c r="H904" s="102" t="str">
        <f t="shared" si="1"/>
        <v/>
      </c>
      <c r="I904" s="38" t="b">
        <v>0</v>
      </c>
      <c r="J904" s="103"/>
      <c r="K904" s="103"/>
    </row>
    <row r="905">
      <c r="A905" s="104"/>
      <c r="B905" s="38"/>
      <c r="E905" s="101"/>
      <c r="F905" s="101" t="str">
        <f t="array" ref="F905">IF(E905="","",IFERROR(_xlfn.XLOOKUP(E905,SyncCodex!N:N,SyncCodex!O:O),""))</f>
        <v/>
      </c>
      <c r="G905" s="102"/>
      <c r="H905" s="102" t="str">
        <f t="shared" si="1"/>
        <v/>
      </c>
      <c r="I905" s="38" t="b">
        <v>0</v>
      </c>
      <c r="J905" s="103"/>
      <c r="K905" s="103"/>
    </row>
    <row r="906">
      <c r="A906" s="104"/>
      <c r="B906" s="38"/>
      <c r="E906" s="101"/>
      <c r="F906" s="101" t="str">
        <f t="array" ref="F906">IF(E906="","",IFERROR(_xlfn.XLOOKUP(E906,SyncCodex!N:N,SyncCodex!O:O),""))</f>
        <v/>
      </c>
      <c r="G906" s="102"/>
      <c r="H906" s="102" t="str">
        <f t="shared" si="1"/>
        <v/>
      </c>
      <c r="I906" s="38" t="b">
        <v>0</v>
      </c>
      <c r="J906" s="103"/>
      <c r="K906" s="103"/>
    </row>
    <row r="907">
      <c r="A907" s="104"/>
      <c r="B907" s="38"/>
      <c r="E907" s="101"/>
      <c r="F907" s="101" t="str">
        <f t="array" ref="F907">IF(E907="","",IFERROR(_xlfn.XLOOKUP(E907,SyncCodex!N:N,SyncCodex!O:O),""))</f>
        <v/>
      </c>
      <c r="G907" s="102"/>
      <c r="H907" s="102" t="str">
        <f t="shared" si="1"/>
        <v/>
      </c>
      <c r="I907" s="38" t="b">
        <v>0</v>
      </c>
      <c r="J907" s="103"/>
      <c r="K907" s="103"/>
    </row>
    <row r="908">
      <c r="A908" s="104"/>
      <c r="B908" s="38"/>
      <c r="E908" s="101"/>
      <c r="F908" s="101" t="str">
        <f t="array" ref="F908">IF(E908="","",IFERROR(_xlfn.XLOOKUP(E908,SyncCodex!N:N,SyncCodex!O:O),""))</f>
        <v/>
      </c>
      <c r="G908" s="102"/>
      <c r="H908" s="102" t="str">
        <f t="shared" si="1"/>
        <v/>
      </c>
      <c r="I908" s="38" t="b">
        <v>0</v>
      </c>
      <c r="J908" s="103"/>
      <c r="K908" s="103"/>
    </row>
    <row r="909">
      <c r="A909" s="104"/>
      <c r="B909" s="38"/>
      <c r="E909" s="101"/>
      <c r="F909" s="101" t="str">
        <f t="array" ref="F909">IF(E909="","",IFERROR(_xlfn.XLOOKUP(E909,SyncCodex!N:N,SyncCodex!O:O),""))</f>
        <v/>
      </c>
      <c r="G909" s="102"/>
      <c r="H909" s="102" t="str">
        <f t="shared" si="1"/>
        <v/>
      </c>
      <c r="I909" s="38" t="b">
        <v>0</v>
      </c>
      <c r="J909" s="103"/>
      <c r="K909" s="103"/>
    </row>
    <row r="910">
      <c r="A910" s="104"/>
      <c r="B910" s="38"/>
      <c r="E910" s="101"/>
      <c r="F910" s="101" t="str">
        <f t="array" ref="F910">IF(E910="","",IFERROR(_xlfn.XLOOKUP(E910,SyncCodex!N:N,SyncCodex!O:O),""))</f>
        <v/>
      </c>
      <c r="G910" s="102"/>
      <c r="H910" s="102" t="str">
        <f t="shared" si="1"/>
        <v/>
      </c>
      <c r="I910" s="38" t="b">
        <v>0</v>
      </c>
      <c r="J910" s="103"/>
      <c r="K910" s="103"/>
    </row>
    <row r="911">
      <c r="A911" s="104"/>
      <c r="B911" s="38"/>
      <c r="E911" s="101"/>
      <c r="F911" s="101" t="str">
        <f t="array" ref="F911">IF(E911="","",IFERROR(_xlfn.XLOOKUP(E911,SyncCodex!N:N,SyncCodex!O:O),""))</f>
        <v/>
      </c>
      <c r="G911" s="102"/>
      <c r="H911" s="102" t="str">
        <f t="shared" si="1"/>
        <v/>
      </c>
      <c r="I911" s="38" t="b">
        <v>0</v>
      </c>
      <c r="J911" s="103"/>
      <c r="K911" s="103"/>
    </row>
    <row r="912">
      <c r="A912" s="104"/>
      <c r="B912" s="38"/>
      <c r="E912" s="101"/>
      <c r="F912" s="101" t="str">
        <f t="array" ref="F912">IF(E912="","",IFERROR(_xlfn.XLOOKUP(E912,SyncCodex!N:N,SyncCodex!O:O),""))</f>
        <v/>
      </c>
      <c r="G912" s="102"/>
      <c r="H912" s="102" t="str">
        <f t="shared" si="1"/>
        <v/>
      </c>
      <c r="I912" s="38" t="b">
        <v>0</v>
      </c>
      <c r="J912" s="103"/>
      <c r="K912" s="103"/>
    </row>
    <row r="913">
      <c r="A913" s="104"/>
      <c r="B913" s="38"/>
      <c r="E913" s="101"/>
      <c r="F913" s="101" t="str">
        <f t="array" ref="F913">IF(E913="","",IFERROR(_xlfn.XLOOKUP(E913,SyncCodex!N:N,SyncCodex!O:O),""))</f>
        <v/>
      </c>
      <c r="G913" s="102"/>
      <c r="H913" s="102" t="str">
        <f t="shared" si="1"/>
        <v/>
      </c>
      <c r="I913" s="38" t="b">
        <v>0</v>
      </c>
      <c r="J913" s="103"/>
      <c r="K913" s="103"/>
    </row>
    <row r="914">
      <c r="A914" s="104"/>
      <c r="B914" s="38"/>
      <c r="E914" s="101"/>
      <c r="F914" s="101" t="str">
        <f t="array" ref="F914">IF(E914="","",IFERROR(_xlfn.XLOOKUP(E914,SyncCodex!N:N,SyncCodex!O:O),""))</f>
        <v/>
      </c>
      <c r="G914" s="102"/>
      <c r="H914" s="102" t="str">
        <f t="shared" si="1"/>
        <v/>
      </c>
      <c r="I914" s="38" t="b">
        <v>0</v>
      </c>
      <c r="J914" s="103"/>
      <c r="K914" s="103"/>
    </row>
    <row r="915">
      <c r="A915" s="104"/>
      <c r="B915" s="38"/>
      <c r="E915" s="101"/>
      <c r="F915" s="101" t="str">
        <f t="array" ref="F915">IF(E915="","",IFERROR(_xlfn.XLOOKUP(E915,SyncCodex!N:N,SyncCodex!O:O),""))</f>
        <v/>
      </c>
      <c r="G915" s="102"/>
      <c r="H915" s="102" t="str">
        <f t="shared" si="1"/>
        <v/>
      </c>
      <c r="I915" s="38" t="b">
        <v>0</v>
      </c>
      <c r="J915" s="103"/>
      <c r="K915" s="103"/>
    </row>
    <row r="916">
      <c r="A916" s="104"/>
      <c r="B916" s="38"/>
      <c r="E916" s="101"/>
      <c r="F916" s="101" t="str">
        <f t="array" ref="F916">IF(E916="","",IFERROR(_xlfn.XLOOKUP(E916,SyncCodex!N:N,SyncCodex!O:O),""))</f>
        <v/>
      </c>
      <c r="G916" s="102"/>
      <c r="H916" s="102" t="str">
        <f t="shared" si="1"/>
        <v/>
      </c>
      <c r="I916" s="38" t="b">
        <v>0</v>
      </c>
      <c r="J916" s="103"/>
      <c r="K916" s="103"/>
    </row>
    <row r="917">
      <c r="A917" s="104"/>
      <c r="B917" s="38"/>
      <c r="E917" s="101"/>
      <c r="F917" s="101" t="str">
        <f t="array" ref="F917">IF(E917="","",IFERROR(_xlfn.XLOOKUP(E917,SyncCodex!N:N,SyncCodex!O:O),""))</f>
        <v/>
      </c>
      <c r="G917" s="102"/>
      <c r="H917" s="102" t="str">
        <f t="shared" si="1"/>
        <v/>
      </c>
      <c r="I917" s="38" t="b">
        <v>0</v>
      </c>
      <c r="J917" s="103"/>
      <c r="K917" s="103"/>
    </row>
    <row r="918">
      <c r="A918" s="104"/>
      <c r="B918" s="38"/>
      <c r="E918" s="101"/>
      <c r="F918" s="101" t="str">
        <f t="array" ref="F918">IF(E918="","",IFERROR(_xlfn.XLOOKUP(E918,SyncCodex!N:N,SyncCodex!O:O),""))</f>
        <v/>
      </c>
      <c r="G918" s="102"/>
      <c r="H918" s="102" t="str">
        <f t="shared" si="1"/>
        <v/>
      </c>
      <c r="I918" s="38" t="b">
        <v>0</v>
      </c>
      <c r="J918" s="103"/>
      <c r="K918" s="103"/>
    </row>
    <row r="919">
      <c r="A919" s="104"/>
      <c r="B919" s="38"/>
      <c r="E919" s="101"/>
      <c r="F919" s="101" t="str">
        <f t="array" ref="F919">IF(E919="","",IFERROR(_xlfn.XLOOKUP(E919,SyncCodex!N:N,SyncCodex!O:O),""))</f>
        <v/>
      </c>
      <c r="G919" s="102"/>
      <c r="H919" s="102" t="str">
        <f t="shared" si="1"/>
        <v/>
      </c>
      <c r="I919" s="38" t="b">
        <v>0</v>
      </c>
      <c r="J919" s="103"/>
      <c r="K919" s="103"/>
    </row>
    <row r="920">
      <c r="A920" s="104"/>
      <c r="B920" s="38"/>
      <c r="E920" s="101"/>
      <c r="F920" s="101" t="str">
        <f t="array" ref="F920">IF(E920="","",IFERROR(_xlfn.XLOOKUP(E920,SyncCodex!N:N,SyncCodex!O:O),""))</f>
        <v/>
      </c>
      <c r="G920" s="102"/>
      <c r="H920" s="102" t="str">
        <f t="shared" si="1"/>
        <v/>
      </c>
      <c r="I920" s="38" t="b">
        <v>0</v>
      </c>
      <c r="J920" s="103"/>
      <c r="K920" s="103"/>
    </row>
    <row r="921">
      <c r="A921" s="104"/>
      <c r="B921" s="38"/>
      <c r="E921" s="101"/>
      <c r="F921" s="101" t="str">
        <f t="array" ref="F921">IF(E921="","",IFERROR(_xlfn.XLOOKUP(E921,SyncCodex!N:N,SyncCodex!O:O),""))</f>
        <v/>
      </c>
      <c r="G921" s="102"/>
      <c r="H921" s="102" t="str">
        <f t="shared" si="1"/>
        <v/>
      </c>
      <c r="I921" s="38" t="b">
        <v>0</v>
      </c>
      <c r="J921" s="103"/>
      <c r="K921" s="103"/>
    </row>
    <row r="922">
      <c r="A922" s="104"/>
      <c r="B922" s="38"/>
      <c r="E922" s="101"/>
      <c r="F922" s="101" t="str">
        <f t="array" ref="F922">IF(E922="","",IFERROR(_xlfn.XLOOKUP(E922,SyncCodex!N:N,SyncCodex!O:O),""))</f>
        <v/>
      </c>
      <c r="G922" s="102"/>
      <c r="H922" s="102" t="str">
        <f t="shared" si="1"/>
        <v/>
      </c>
      <c r="I922" s="38" t="b">
        <v>0</v>
      </c>
      <c r="J922" s="103"/>
      <c r="K922" s="103"/>
    </row>
    <row r="923">
      <c r="A923" s="104"/>
      <c r="B923" s="38"/>
      <c r="E923" s="101"/>
      <c r="F923" s="101" t="str">
        <f t="array" ref="F923">IF(E923="","",IFERROR(_xlfn.XLOOKUP(E923,SyncCodex!N:N,SyncCodex!O:O),""))</f>
        <v/>
      </c>
      <c r="G923" s="102"/>
      <c r="H923" s="102" t="str">
        <f t="shared" si="1"/>
        <v/>
      </c>
      <c r="I923" s="38" t="b">
        <v>0</v>
      </c>
      <c r="J923" s="103"/>
      <c r="K923" s="103"/>
    </row>
    <row r="924">
      <c r="A924" s="104"/>
      <c r="B924" s="38"/>
      <c r="E924" s="101"/>
      <c r="F924" s="101" t="str">
        <f t="array" ref="F924">IF(E924="","",IFERROR(_xlfn.XLOOKUP(E924,SyncCodex!N:N,SyncCodex!O:O),""))</f>
        <v/>
      </c>
      <c r="G924" s="102"/>
      <c r="H924" s="102" t="str">
        <f t="shared" si="1"/>
        <v/>
      </c>
      <c r="I924" s="38" t="b">
        <v>0</v>
      </c>
      <c r="J924" s="103"/>
      <c r="K924" s="103"/>
    </row>
    <row r="925">
      <c r="A925" s="104"/>
      <c r="B925" s="38"/>
      <c r="E925" s="101"/>
      <c r="F925" s="101" t="str">
        <f t="array" ref="F925">IF(E925="","",IFERROR(_xlfn.XLOOKUP(E925,SyncCodex!N:N,SyncCodex!O:O),""))</f>
        <v/>
      </c>
      <c r="G925" s="102"/>
      <c r="H925" s="102" t="str">
        <f t="shared" si="1"/>
        <v/>
      </c>
      <c r="I925" s="38" t="b">
        <v>0</v>
      </c>
      <c r="J925" s="103"/>
      <c r="K925" s="103"/>
    </row>
    <row r="926">
      <c r="A926" s="104"/>
      <c r="B926" s="38"/>
      <c r="E926" s="101"/>
      <c r="F926" s="101" t="str">
        <f t="array" ref="F926">IF(E926="","",IFERROR(_xlfn.XLOOKUP(E926,SyncCodex!N:N,SyncCodex!O:O),""))</f>
        <v/>
      </c>
      <c r="G926" s="102"/>
      <c r="H926" s="102" t="str">
        <f t="shared" si="1"/>
        <v/>
      </c>
      <c r="I926" s="38" t="b">
        <v>0</v>
      </c>
      <c r="J926" s="103"/>
      <c r="K926" s="103"/>
    </row>
    <row r="927">
      <c r="A927" s="104"/>
      <c r="B927" s="38"/>
      <c r="E927" s="101"/>
      <c r="F927" s="101" t="str">
        <f t="array" ref="F927">IF(E927="","",IFERROR(_xlfn.XLOOKUP(E927,SyncCodex!N:N,SyncCodex!O:O),""))</f>
        <v/>
      </c>
      <c r="G927" s="102"/>
      <c r="H927" s="102" t="str">
        <f t="shared" si="1"/>
        <v/>
      </c>
      <c r="I927" s="38" t="b">
        <v>0</v>
      </c>
      <c r="J927" s="103"/>
      <c r="K927" s="103"/>
    </row>
    <row r="928">
      <c r="A928" s="104"/>
      <c r="B928" s="38"/>
      <c r="E928" s="101"/>
      <c r="F928" s="101" t="str">
        <f t="array" ref="F928">IF(E928="","",IFERROR(_xlfn.XLOOKUP(E928,SyncCodex!N:N,SyncCodex!O:O),""))</f>
        <v/>
      </c>
      <c r="G928" s="102"/>
      <c r="H928" s="102" t="str">
        <f t="shared" si="1"/>
        <v/>
      </c>
      <c r="I928" s="38" t="b">
        <v>0</v>
      </c>
      <c r="J928" s="103"/>
      <c r="K928" s="103"/>
    </row>
    <row r="929">
      <c r="A929" s="104"/>
      <c r="B929" s="38"/>
      <c r="E929" s="101"/>
      <c r="F929" s="101" t="str">
        <f t="array" ref="F929">IF(E929="","",IFERROR(_xlfn.XLOOKUP(E929,SyncCodex!N:N,SyncCodex!O:O),""))</f>
        <v/>
      </c>
      <c r="G929" s="102"/>
      <c r="H929" s="102" t="str">
        <f t="shared" si="1"/>
        <v/>
      </c>
      <c r="I929" s="38" t="b">
        <v>0</v>
      </c>
      <c r="J929" s="103"/>
      <c r="K929" s="103"/>
    </row>
    <row r="930">
      <c r="A930" s="104"/>
      <c r="B930" s="38"/>
      <c r="E930" s="101"/>
      <c r="F930" s="101" t="str">
        <f t="array" ref="F930">IF(E930="","",IFERROR(_xlfn.XLOOKUP(E930,SyncCodex!N:N,SyncCodex!O:O),""))</f>
        <v/>
      </c>
      <c r="G930" s="102"/>
      <c r="H930" s="102" t="str">
        <f t="shared" si="1"/>
        <v/>
      </c>
      <c r="I930" s="38" t="b">
        <v>0</v>
      </c>
      <c r="J930" s="103"/>
      <c r="K930" s="103"/>
    </row>
    <row r="931">
      <c r="A931" s="104"/>
      <c r="B931" s="38"/>
      <c r="E931" s="101"/>
      <c r="F931" s="101" t="str">
        <f t="array" ref="F931">IF(E931="","",IFERROR(_xlfn.XLOOKUP(E931,SyncCodex!N:N,SyncCodex!O:O),""))</f>
        <v/>
      </c>
      <c r="G931" s="102"/>
      <c r="H931" s="102" t="str">
        <f t="shared" si="1"/>
        <v/>
      </c>
      <c r="I931" s="38" t="b">
        <v>0</v>
      </c>
      <c r="J931" s="103"/>
      <c r="K931" s="103"/>
    </row>
    <row r="932">
      <c r="A932" s="104"/>
      <c r="B932" s="38"/>
      <c r="E932" s="101"/>
      <c r="F932" s="101" t="str">
        <f t="array" ref="F932">IF(E932="","",IFERROR(_xlfn.XLOOKUP(E932,SyncCodex!N:N,SyncCodex!O:O),""))</f>
        <v/>
      </c>
      <c r="G932" s="102"/>
      <c r="H932" s="102" t="str">
        <f t="shared" si="1"/>
        <v/>
      </c>
      <c r="I932" s="38" t="b">
        <v>0</v>
      </c>
      <c r="J932" s="103"/>
      <c r="K932" s="103"/>
    </row>
    <row r="933">
      <c r="A933" s="104"/>
      <c r="B933" s="38"/>
      <c r="E933" s="101"/>
      <c r="F933" s="101" t="str">
        <f t="array" ref="F933">IF(E933="","",IFERROR(_xlfn.XLOOKUP(E933,SyncCodex!N:N,SyncCodex!O:O),""))</f>
        <v/>
      </c>
      <c r="G933" s="102"/>
      <c r="H933" s="102" t="str">
        <f t="shared" si="1"/>
        <v/>
      </c>
      <c r="I933" s="38" t="b">
        <v>0</v>
      </c>
      <c r="J933" s="103"/>
      <c r="K933" s="103"/>
    </row>
    <row r="934">
      <c r="A934" s="104"/>
      <c r="B934" s="38"/>
      <c r="E934" s="101"/>
      <c r="F934" s="101" t="str">
        <f t="array" ref="F934">IF(E934="","",IFERROR(_xlfn.XLOOKUP(E934,SyncCodex!N:N,SyncCodex!O:O),""))</f>
        <v/>
      </c>
      <c r="G934" s="102"/>
      <c r="H934" s="102" t="str">
        <f t="shared" si="1"/>
        <v/>
      </c>
      <c r="I934" s="38" t="b">
        <v>0</v>
      </c>
      <c r="J934" s="103"/>
      <c r="K934" s="103"/>
    </row>
    <row r="935">
      <c r="A935" s="104"/>
      <c r="B935" s="38"/>
      <c r="E935" s="101"/>
      <c r="F935" s="101" t="str">
        <f t="array" ref="F935">IF(E935="","",IFERROR(_xlfn.XLOOKUP(E935,SyncCodex!N:N,SyncCodex!O:O),""))</f>
        <v/>
      </c>
      <c r="G935" s="102"/>
      <c r="H935" s="102" t="str">
        <f t="shared" si="1"/>
        <v/>
      </c>
      <c r="I935" s="38" t="b">
        <v>0</v>
      </c>
      <c r="J935" s="103"/>
      <c r="K935" s="103"/>
    </row>
    <row r="936">
      <c r="A936" s="104"/>
      <c r="B936" s="38"/>
      <c r="E936" s="101"/>
      <c r="F936" s="101" t="str">
        <f t="array" ref="F936">IF(E936="","",IFERROR(_xlfn.XLOOKUP(E936,SyncCodex!N:N,SyncCodex!O:O),""))</f>
        <v/>
      </c>
      <c r="G936" s="102"/>
      <c r="H936" s="102" t="str">
        <f t="shared" si="1"/>
        <v/>
      </c>
      <c r="I936" s="38" t="b">
        <v>0</v>
      </c>
      <c r="J936" s="103"/>
      <c r="K936" s="103"/>
    </row>
    <row r="937">
      <c r="A937" s="104"/>
      <c r="B937" s="38"/>
      <c r="E937" s="101"/>
      <c r="F937" s="101" t="str">
        <f t="array" ref="F937">IF(E937="","",IFERROR(_xlfn.XLOOKUP(E937,SyncCodex!N:N,SyncCodex!O:O),""))</f>
        <v/>
      </c>
      <c r="G937" s="102"/>
      <c r="H937" s="102" t="str">
        <f t="shared" si="1"/>
        <v/>
      </c>
      <c r="I937" s="38" t="b">
        <v>0</v>
      </c>
      <c r="J937" s="103"/>
      <c r="K937" s="103"/>
    </row>
    <row r="938">
      <c r="A938" s="104"/>
      <c r="B938" s="38"/>
      <c r="E938" s="101"/>
      <c r="F938" s="101" t="str">
        <f t="array" ref="F938">IF(E938="","",IFERROR(_xlfn.XLOOKUP(E938,SyncCodex!N:N,SyncCodex!O:O),""))</f>
        <v/>
      </c>
      <c r="G938" s="102"/>
      <c r="H938" s="102" t="str">
        <f t="shared" si="1"/>
        <v/>
      </c>
      <c r="I938" s="38" t="b">
        <v>0</v>
      </c>
      <c r="J938" s="103"/>
      <c r="K938" s="103"/>
    </row>
    <row r="939">
      <c r="A939" s="104"/>
      <c r="B939" s="38"/>
      <c r="E939" s="101"/>
      <c r="F939" s="101" t="str">
        <f t="array" ref="F939">IF(E939="","",IFERROR(_xlfn.XLOOKUP(E939,SyncCodex!N:N,SyncCodex!O:O),""))</f>
        <v/>
      </c>
      <c r="G939" s="102"/>
      <c r="H939" s="102" t="str">
        <f t="shared" si="1"/>
        <v/>
      </c>
      <c r="I939" s="38" t="b">
        <v>0</v>
      </c>
      <c r="J939" s="103"/>
      <c r="K939" s="103"/>
    </row>
    <row r="940">
      <c r="A940" s="104"/>
      <c r="B940" s="38"/>
      <c r="E940" s="101"/>
      <c r="F940" s="101" t="str">
        <f t="array" ref="F940">IF(E940="","",IFERROR(_xlfn.XLOOKUP(E940,SyncCodex!N:N,SyncCodex!O:O),""))</f>
        <v/>
      </c>
      <c r="G940" s="102"/>
      <c r="H940" s="102" t="str">
        <f t="shared" si="1"/>
        <v/>
      </c>
      <c r="I940" s="38" t="b">
        <v>0</v>
      </c>
      <c r="J940" s="103"/>
      <c r="K940" s="103"/>
    </row>
    <row r="941">
      <c r="A941" s="104"/>
      <c r="B941" s="38"/>
      <c r="E941" s="101"/>
      <c r="F941" s="101" t="str">
        <f t="array" ref="F941">IF(E941="","",IFERROR(_xlfn.XLOOKUP(E941,SyncCodex!N:N,SyncCodex!O:O),""))</f>
        <v/>
      </c>
      <c r="G941" s="102"/>
      <c r="H941" s="102" t="str">
        <f t="shared" si="1"/>
        <v/>
      </c>
      <c r="I941" s="38" t="b">
        <v>0</v>
      </c>
      <c r="J941" s="103"/>
      <c r="K941" s="103"/>
    </row>
    <row r="942">
      <c r="A942" s="104"/>
      <c r="B942" s="38"/>
      <c r="E942" s="101"/>
      <c r="F942" s="101" t="str">
        <f t="array" ref="F942">IF(E942="","",IFERROR(_xlfn.XLOOKUP(E942,SyncCodex!N:N,SyncCodex!O:O),""))</f>
        <v/>
      </c>
      <c r="G942" s="102"/>
      <c r="H942" s="102" t="str">
        <f t="shared" si="1"/>
        <v/>
      </c>
      <c r="I942" s="38" t="b">
        <v>0</v>
      </c>
      <c r="J942" s="103"/>
      <c r="K942" s="103"/>
    </row>
    <row r="943">
      <c r="A943" s="104"/>
      <c r="B943" s="38"/>
      <c r="E943" s="101"/>
      <c r="F943" s="101" t="str">
        <f t="array" ref="F943">IF(E943="","",IFERROR(_xlfn.XLOOKUP(E943,SyncCodex!N:N,SyncCodex!O:O),""))</f>
        <v/>
      </c>
      <c r="G943" s="102"/>
      <c r="H943" s="102" t="str">
        <f t="shared" si="1"/>
        <v/>
      </c>
      <c r="I943" s="38" t="b">
        <v>0</v>
      </c>
      <c r="J943" s="103"/>
      <c r="K943" s="103"/>
    </row>
    <row r="944">
      <c r="A944" s="104"/>
      <c r="B944" s="38"/>
      <c r="E944" s="101"/>
      <c r="F944" s="101" t="str">
        <f t="array" ref="F944">IF(E944="","",IFERROR(_xlfn.XLOOKUP(E944,SyncCodex!N:N,SyncCodex!O:O),""))</f>
        <v/>
      </c>
      <c r="G944" s="102"/>
      <c r="H944" s="102" t="str">
        <f t="shared" si="1"/>
        <v/>
      </c>
      <c r="I944" s="38" t="b">
        <v>0</v>
      </c>
      <c r="J944" s="103"/>
      <c r="K944" s="103"/>
    </row>
    <row r="945">
      <c r="A945" s="104"/>
      <c r="B945" s="38"/>
      <c r="E945" s="101"/>
      <c r="F945" s="101" t="str">
        <f t="array" ref="F945">IF(E945="","",IFERROR(_xlfn.XLOOKUP(E945,SyncCodex!N:N,SyncCodex!O:O),""))</f>
        <v/>
      </c>
      <c r="G945" s="102"/>
      <c r="H945" s="102" t="str">
        <f t="shared" si="1"/>
        <v/>
      </c>
      <c r="I945" s="38" t="b">
        <v>0</v>
      </c>
      <c r="J945" s="103"/>
      <c r="K945" s="103"/>
    </row>
    <row r="946">
      <c r="A946" s="104"/>
      <c r="B946" s="38"/>
      <c r="E946" s="101"/>
      <c r="F946" s="101" t="str">
        <f t="array" ref="F946">IF(E946="","",IFERROR(_xlfn.XLOOKUP(E946,SyncCodex!N:N,SyncCodex!O:O),""))</f>
        <v/>
      </c>
      <c r="G946" s="102"/>
      <c r="H946" s="102" t="str">
        <f t="shared" si="1"/>
        <v/>
      </c>
      <c r="I946" s="38" t="b">
        <v>0</v>
      </c>
      <c r="J946" s="103"/>
      <c r="K946" s="103"/>
    </row>
    <row r="947">
      <c r="A947" s="104"/>
      <c r="B947" s="38"/>
      <c r="E947" s="101"/>
      <c r="F947" s="101" t="str">
        <f t="array" ref="F947">IF(E947="","",IFERROR(_xlfn.XLOOKUP(E947,SyncCodex!N:N,SyncCodex!O:O),""))</f>
        <v/>
      </c>
      <c r="G947" s="102"/>
      <c r="H947" s="102" t="str">
        <f t="shared" si="1"/>
        <v/>
      </c>
      <c r="I947" s="38" t="b">
        <v>0</v>
      </c>
      <c r="J947" s="103"/>
      <c r="K947" s="103"/>
    </row>
    <row r="948">
      <c r="A948" s="104"/>
      <c r="B948" s="38"/>
      <c r="E948" s="101"/>
      <c r="F948" s="101" t="str">
        <f t="array" ref="F948">IF(E948="","",IFERROR(_xlfn.XLOOKUP(E948,SyncCodex!N:N,SyncCodex!O:O),""))</f>
        <v/>
      </c>
      <c r="G948" s="102"/>
      <c r="H948" s="102" t="str">
        <f t="shared" si="1"/>
        <v/>
      </c>
      <c r="I948" s="38" t="b">
        <v>0</v>
      </c>
      <c r="J948" s="103"/>
      <c r="K948" s="103"/>
    </row>
    <row r="949">
      <c r="A949" s="104"/>
      <c r="B949" s="38"/>
      <c r="E949" s="101"/>
      <c r="F949" s="101" t="str">
        <f t="array" ref="F949">IF(E949="","",IFERROR(_xlfn.XLOOKUP(E949,SyncCodex!N:N,SyncCodex!O:O),""))</f>
        <v/>
      </c>
      <c r="G949" s="102"/>
      <c r="H949" s="102" t="str">
        <f t="shared" si="1"/>
        <v/>
      </c>
      <c r="I949" s="38" t="b">
        <v>0</v>
      </c>
      <c r="J949" s="103"/>
      <c r="K949" s="103"/>
    </row>
    <row r="950">
      <c r="A950" s="104"/>
      <c r="B950" s="38"/>
      <c r="E950" s="101"/>
      <c r="F950" s="101" t="str">
        <f t="array" ref="F950">IF(E950="","",IFERROR(_xlfn.XLOOKUP(E950,SyncCodex!N:N,SyncCodex!O:O),""))</f>
        <v/>
      </c>
      <c r="G950" s="102"/>
      <c r="H950" s="102" t="str">
        <f t="shared" si="1"/>
        <v/>
      </c>
      <c r="I950" s="38" t="b">
        <v>0</v>
      </c>
      <c r="J950" s="103"/>
      <c r="K950" s="103"/>
    </row>
    <row r="951">
      <c r="A951" s="104"/>
      <c r="B951" s="38"/>
      <c r="E951" s="101"/>
      <c r="F951" s="101" t="str">
        <f t="array" ref="F951">IF(E951="","",IFERROR(_xlfn.XLOOKUP(E951,SyncCodex!N:N,SyncCodex!O:O),""))</f>
        <v/>
      </c>
      <c r="G951" s="102"/>
      <c r="H951" s="102" t="str">
        <f t="shared" si="1"/>
        <v/>
      </c>
      <c r="I951" s="38" t="b">
        <v>0</v>
      </c>
      <c r="J951" s="103"/>
      <c r="K951" s="103"/>
    </row>
    <row r="952">
      <c r="A952" s="104"/>
      <c r="B952" s="38"/>
      <c r="E952" s="101"/>
      <c r="F952" s="101" t="str">
        <f t="array" ref="F952">IF(E952="","",IFERROR(_xlfn.XLOOKUP(E952,SyncCodex!N:N,SyncCodex!O:O),""))</f>
        <v/>
      </c>
      <c r="G952" s="102"/>
      <c r="H952" s="102" t="str">
        <f t="shared" si="1"/>
        <v/>
      </c>
      <c r="I952" s="38" t="b">
        <v>0</v>
      </c>
      <c r="J952" s="103"/>
      <c r="K952" s="103"/>
    </row>
    <row r="953">
      <c r="A953" s="104"/>
      <c r="B953" s="38"/>
      <c r="E953" s="101"/>
      <c r="F953" s="101" t="str">
        <f t="array" ref="F953">IF(E953="","",IFERROR(_xlfn.XLOOKUP(E953,SyncCodex!N:N,SyncCodex!O:O),""))</f>
        <v/>
      </c>
      <c r="G953" s="102"/>
      <c r="H953" s="102" t="str">
        <f t="shared" si="1"/>
        <v/>
      </c>
      <c r="I953" s="38" t="b">
        <v>0</v>
      </c>
      <c r="J953" s="103"/>
      <c r="K953" s="103"/>
    </row>
    <row r="954">
      <c r="A954" s="104"/>
      <c r="B954" s="38"/>
      <c r="E954" s="101"/>
      <c r="F954" s="101" t="str">
        <f t="array" ref="F954">IF(E954="","",IFERROR(_xlfn.XLOOKUP(E954,SyncCodex!N:N,SyncCodex!O:O),""))</f>
        <v/>
      </c>
      <c r="G954" s="102"/>
      <c r="H954" s="102" t="str">
        <f t="shared" si="1"/>
        <v/>
      </c>
      <c r="I954" s="38" t="b">
        <v>0</v>
      </c>
      <c r="J954" s="103"/>
      <c r="K954" s="103"/>
    </row>
    <row r="955">
      <c r="A955" s="104"/>
      <c r="B955" s="38"/>
      <c r="E955" s="101"/>
      <c r="F955" s="101" t="str">
        <f t="array" ref="F955">IF(E955="","",IFERROR(_xlfn.XLOOKUP(E955,SyncCodex!N:N,SyncCodex!O:O),""))</f>
        <v/>
      </c>
      <c r="G955" s="102"/>
      <c r="H955" s="102" t="str">
        <f t="shared" si="1"/>
        <v/>
      </c>
      <c r="I955" s="38" t="b">
        <v>0</v>
      </c>
      <c r="J955" s="103"/>
      <c r="K955" s="103"/>
    </row>
    <row r="956">
      <c r="A956" s="104"/>
      <c r="B956" s="38"/>
      <c r="E956" s="101"/>
      <c r="F956" s="101" t="str">
        <f t="array" ref="F956">IF(E956="","",IFERROR(_xlfn.XLOOKUP(E956,SyncCodex!N:N,SyncCodex!O:O),""))</f>
        <v/>
      </c>
      <c r="G956" s="102"/>
      <c r="H956" s="102" t="str">
        <f t="shared" si="1"/>
        <v/>
      </c>
      <c r="I956" s="38" t="b">
        <v>0</v>
      </c>
      <c r="J956" s="103"/>
      <c r="K956" s="103"/>
    </row>
    <row r="957">
      <c r="A957" s="104"/>
      <c r="B957" s="38"/>
      <c r="E957" s="101"/>
      <c r="F957" s="101" t="str">
        <f t="array" ref="F957">IF(E957="","",IFERROR(_xlfn.XLOOKUP(E957,SyncCodex!N:N,SyncCodex!O:O),""))</f>
        <v/>
      </c>
      <c r="G957" s="102"/>
      <c r="H957" s="102" t="str">
        <f t="shared" si="1"/>
        <v/>
      </c>
      <c r="I957" s="38" t="b">
        <v>0</v>
      </c>
      <c r="J957" s="103"/>
      <c r="K957" s="103"/>
    </row>
    <row r="958">
      <c r="A958" s="104"/>
      <c r="B958" s="38"/>
      <c r="E958" s="101"/>
      <c r="F958" s="101" t="str">
        <f t="array" ref="F958">IF(E958="","",IFERROR(_xlfn.XLOOKUP(E958,SyncCodex!N:N,SyncCodex!O:O),""))</f>
        <v/>
      </c>
      <c r="G958" s="102"/>
      <c r="H958" s="102" t="str">
        <f t="shared" si="1"/>
        <v/>
      </c>
      <c r="I958" s="38" t="b">
        <v>0</v>
      </c>
      <c r="J958" s="103"/>
      <c r="K958" s="103"/>
    </row>
    <row r="959">
      <c r="A959" s="104"/>
      <c r="B959" s="38"/>
      <c r="E959" s="101"/>
      <c r="F959" s="101" t="str">
        <f t="array" ref="F959">IF(E959="","",IFERROR(_xlfn.XLOOKUP(E959,SyncCodex!N:N,SyncCodex!O:O),""))</f>
        <v/>
      </c>
      <c r="G959" s="102"/>
      <c r="H959" s="102" t="str">
        <f t="shared" si="1"/>
        <v/>
      </c>
      <c r="I959" s="38" t="b">
        <v>0</v>
      </c>
      <c r="J959" s="103"/>
      <c r="K959" s="103"/>
    </row>
    <row r="960">
      <c r="A960" s="104"/>
      <c r="B960" s="38"/>
      <c r="E960" s="101"/>
      <c r="F960" s="101" t="str">
        <f t="array" ref="F960">IF(E960="","",IFERROR(_xlfn.XLOOKUP(E960,SyncCodex!N:N,SyncCodex!O:O),""))</f>
        <v/>
      </c>
      <c r="G960" s="102"/>
      <c r="H960" s="102" t="str">
        <f t="shared" si="1"/>
        <v/>
      </c>
      <c r="I960" s="38" t="b">
        <v>0</v>
      </c>
      <c r="J960" s="103"/>
      <c r="K960" s="103"/>
    </row>
    <row r="961">
      <c r="A961" s="104"/>
      <c r="B961" s="38"/>
      <c r="E961" s="101"/>
      <c r="F961" s="101" t="str">
        <f t="array" ref="F961">IF(E961="","",IFERROR(_xlfn.XLOOKUP(E961,SyncCodex!N:N,SyncCodex!O:O),""))</f>
        <v/>
      </c>
      <c r="G961" s="102"/>
      <c r="H961" s="102" t="str">
        <f t="shared" si="1"/>
        <v/>
      </c>
      <c r="I961" s="38" t="b">
        <v>0</v>
      </c>
      <c r="J961" s="103"/>
      <c r="K961" s="103"/>
    </row>
    <row r="962">
      <c r="A962" s="104"/>
      <c r="B962" s="38"/>
      <c r="E962" s="101"/>
      <c r="F962" s="101" t="str">
        <f t="array" ref="F962">IF(E962="","",IFERROR(_xlfn.XLOOKUP(E962,SyncCodex!N:N,SyncCodex!O:O),""))</f>
        <v/>
      </c>
      <c r="G962" s="102"/>
      <c r="H962" s="102" t="str">
        <f t="shared" si="1"/>
        <v/>
      </c>
      <c r="I962" s="38" t="b">
        <v>0</v>
      </c>
      <c r="J962" s="103"/>
      <c r="K962" s="103"/>
    </row>
    <row r="963">
      <c r="A963" s="104"/>
      <c r="B963" s="38"/>
      <c r="E963" s="101"/>
      <c r="F963" s="101" t="str">
        <f t="array" ref="F963">IF(E963="","",IFERROR(_xlfn.XLOOKUP(E963,SyncCodex!N:N,SyncCodex!O:O),""))</f>
        <v/>
      </c>
      <c r="G963" s="102"/>
      <c r="H963" s="102" t="str">
        <f t="shared" si="1"/>
        <v/>
      </c>
      <c r="I963" s="38" t="b">
        <v>0</v>
      </c>
      <c r="J963" s="103"/>
      <c r="K963" s="103"/>
    </row>
    <row r="964">
      <c r="A964" s="104"/>
      <c r="B964" s="38"/>
      <c r="E964" s="101"/>
      <c r="F964" s="101" t="str">
        <f t="array" ref="F964">IF(E964="","",IFERROR(_xlfn.XLOOKUP(E964,SyncCodex!N:N,SyncCodex!O:O),""))</f>
        <v/>
      </c>
      <c r="G964" s="102"/>
      <c r="H964" s="102" t="str">
        <f t="shared" si="1"/>
        <v/>
      </c>
      <c r="I964" s="38" t="b">
        <v>0</v>
      </c>
      <c r="J964" s="103"/>
      <c r="K964" s="103"/>
    </row>
    <row r="965">
      <c r="A965" s="104"/>
      <c r="B965" s="38"/>
      <c r="E965" s="101"/>
      <c r="F965" s="101" t="str">
        <f t="array" ref="F965">IF(E965="","",IFERROR(_xlfn.XLOOKUP(E965,SyncCodex!N:N,SyncCodex!O:O),""))</f>
        <v/>
      </c>
      <c r="G965" s="102"/>
      <c r="H965" s="102" t="str">
        <f t="shared" si="1"/>
        <v/>
      </c>
      <c r="I965" s="38" t="b">
        <v>0</v>
      </c>
      <c r="J965" s="103"/>
      <c r="K965" s="103"/>
    </row>
    <row r="966">
      <c r="A966" s="104"/>
      <c r="B966" s="38"/>
      <c r="E966" s="101"/>
      <c r="F966" s="101" t="str">
        <f t="array" ref="F966">IF(E966="","",IFERROR(_xlfn.XLOOKUP(E966,SyncCodex!N:N,SyncCodex!O:O),""))</f>
        <v/>
      </c>
      <c r="G966" s="102"/>
      <c r="H966" s="102" t="str">
        <f t="shared" si="1"/>
        <v/>
      </c>
      <c r="I966" s="38" t="b">
        <v>0</v>
      </c>
      <c r="J966" s="103"/>
      <c r="K966" s="103"/>
    </row>
    <row r="967">
      <c r="A967" s="104"/>
      <c r="B967" s="38"/>
      <c r="E967" s="101"/>
      <c r="F967" s="101" t="str">
        <f t="array" ref="F967">IF(E967="","",IFERROR(_xlfn.XLOOKUP(E967,SyncCodex!N:N,SyncCodex!O:O),""))</f>
        <v/>
      </c>
      <c r="G967" s="102"/>
      <c r="H967" s="102" t="str">
        <f t="shared" si="1"/>
        <v/>
      </c>
      <c r="I967" s="38" t="b">
        <v>0</v>
      </c>
      <c r="J967" s="103"/>
      <c r="K967" s="103"/>
    </row>
    <row r="968">
      <c r="A968" s="104"/>
      <c r="B968" s="38"/>
      <c r="E968" s="101"/>
      <c r="F968" s="101" t="str">
        <f t="array" ref="F968">IF(E968="","",IFERROR(_xlfn.XLOOKUP(E968,SyncCodex!N:N,SyncCodex!O:O),""))</f>
        <v/>
      </c>
      <c r="G968" s="102"/>
      <c r="H968" s="102" t="str">
        <f t="shared" si="1"/>
        <v/>
      </c>
      <c r="I968" s="38" t="b">
        <v>0</v>
      </c>
      <c r="J968" s="103"/>
      <c r="K968" s="103"/>
    </row>
    <row r="969">
      <c r="A969" s="104"/>
      <c r="B969" s="38"/>
      <c r="E969" s="101"/>
      <c r="F969" s="101" t="str">
        <f t="array" ref="F969">IF(E969="","",IFERROR(_xlfn.XLOOKUP(E969,SyncCodex!N:N,SyncCodex!O:O),""))</f>
        <v/>
      </c>
      <c r="G969" s="102"/>
      <c r="H969" s="102" t="str">
        <f t="shared" si="1"/>
        <v/>
      </c>
      <c r="I969" s="38" t="b">
        <v>0</v>
      </c>
      <c r="J969" s="103"/>
      <c r="K969" s="103"/>
    </row>
    <row r="970">
      <c r="A970" s="104"/>
      <c r="B970" s="38"/>
      <c r="E970" s="101"/>
      <c r="F970" s="101" t="str">
        <f t="array" ref="F970">IF(E970="","",IFERROR(_xlfn.XLOOKUP(E970,SyncCodex!N:N,SyncCodex!O:O),""))</f>
        <v/>
      </c>
      <c r="G970" s="102"/>
      <c r="H970" s="102" t="str">
        <f t="shared" si="1"/>
        <v/>
      </c>
      <c r="I970" s="38" t="b">
        <v>0</v>
      </c>
      <c r="J970" s="103"/>
      <c r="K970" s="103"/>
    </row>
    <row r="971">
      <c r="A971" s="104"/>
      <c r="B971" s="38"/>
      <c r="E971" s="101"/>
      <c r="F971" s="101" t="str">
        <f t="array" ref="F971">IF(E971="","",IFERROR(_xlfn.XLOOKUP(E971,SyncCodex!N:N,SyncCodex!O:O),""))</f>
        <v/>
      </c>
      <c r="G971" s="102"/>
      <c r="H971" s="102" t="str">
        <f t="shared" si="1"/>
        <v/>
      </c>
      <c r="I971" s="38" t="b">
        <v>0</v>
      </c>
      <c r="J971" s="103"/>
      <c r="K971" s="103"/>
    </row>
    <row r="972">
      <c r="A972" s="104"/>
      <c r="B972" s="38"/>
      <c r="E972" s="101"/>
      <c r="F972" s="101" t="str">
        <f t="array" ref="F972">IF(E972="","",IFERROR(_xlfn.XLOOKUP(E972,SyncCodex!N:N,SyncCodex!O:O),""))</f>
        <v/>
      </c>
      <c r="G972" s="102"/>
      <c r="H972" s="102" t="str">
        <f t="shared" si="1"/>
        <v/>
      </c>
      <c r="I972" s="38" t="b">
        <v>0</v>
      </c>
      <c r="J972" s="103"/>
      <c r="K972" s="103"/>
    </row>
    <row r="973">
      <c r="A973" s="104"/>
      <c r="B973" s="38"/>
      <c r="E973" s="101"/>
      <c r="F973" s="101" t="str">
        <f t="array" ref="F973">IF(E973="","",IFERROR(_xlfn.XLOOKUP(E973,SyncCodex!N:N,SyncCodex!O:O),""))</f>
        <v/>
      </c>
      <c r="G973" s="102"/>
      <c r="H973" s="102" t="str">
        <f t="shared" si="1"/>
        <v/>
      </c>
      <c r="I973" s="38" t="b">
        <v>0</v>
      </c>
      <c r="J973" s="103"/>
      <c r="K973" s="103"/>
    </row>
    <row r="974">
      <c r="A974" s="104"/>
      <c r="B974" s="38"/>
      <c r="E974" s="101"/>
      <c r="F974" s="101" t="str">
        <f t="array" ref="F974">IF(E974="","",IFERROR(_xlfn.XLOOKUP(E974,SyncCodex!N:N,SyncCodex!O:O),""))</f>
        <v/>
      </c>
      <c r="G974" s="102"/>
      <c r="H974" s="102" t="str">
        <f t="shared" si="1"/>
        <v/>
      </c>
      <c r="I974" s="38" t="b">
        <v>0</v>
      </c>
      <c r="J974" s="103"/>
      <c r="K974" s="103"/>
    </row>
    <row r="975">
      <c r="A975" s="104"/>
      <c r="B975" s="38"/>
      <c r="E975" s="101"/>
      <c r="F975" s="101" t="str">
        <f t="array" ref="F975">IF(E975="","",IFERROR(_xlfn.XLOOKUP(E975,SyncCodex!N:N,SyncCodex!O:O),""))</f>
        <v/>
      </c>
      <c r="G975" s="102"/>
      <c r="H975" s="102" t="str">
        <f t="shared" si="1"/>
        <v/>
      </c>
      <c r="I975" s="38" t="b">
        <v>0</v>
      </c>
      <c r="J975" s="103"/>
      <c r="K975" s="103"/>
    </row>
    <row r="976">
      <c r="A976" s="104"/>
      <c r="B976" s="38"/>
      <c r="E976" s="101"/>
      <c r="F976" s="101" t="str">
        <f t="array" ref="F976">IF(E976="","",IFERROR(_xlfn.XLOOKUP(E976,SyncCodex!N:N,SyncCodex!O:O),""))</f>
        <v/>
      </c>
      <c r="G976" s="102"/>
      <c r="H976" s="102" t="str">
        <f t="shared" si="1"/>
        <v/>
      </c>
      <c r="I976" s="38" t="b">
        <v>0</v>
      </c>
      <c r="J976" s="103"/>
      <c r="K976" s="103"/>
    </row>
    <row r="977">
      <c r="A977" s="104"/>
      <c r="B977" s="38"/>
      <c r="E977" s="101"/>
      <c r="F977" s="101" t="str">
        <f t="array" ref="F977">IF(E977="","",IFERROR(_xlfn.XLOOKUP(E977,SyncCodex!N:N,SyncCodex!O:O),""))</f>
        <v/>
      </c>
      <c r="G977" s="102"/>
      <c r="H977" s="102" t="str">
        <f t="shared" si="1"/>
        <v/>
      </c>
      <c r="I977" s="38" t="b">
        <v>0</v>
      </c>
      <c r="J977" s="103"/>
      <c r="K977" s="103"/>
    </row>
    <row r="978">
      <c r="A978" s="104"/>
      <c r="B978" s="38"/>
      <c r="E978" s="101"/>
      <c r="F978" s="101" t="str">
        <f t="array" ref="F978">IF(E978="","",IFERROR(_xlfn.XLOOKUP(E978,SyncCodex!N:N,SyncCodex!O:O),""))</f>
        <v/>
      </c>
      <c r="G978" s="102"/>
      <c r="H978" s="102" t="str">
        <f t="shared" si="1"/>
        <v/>
      </c>
      <c r="I978" s="38" t="b">
        <v>0</v>
      </c>
      <c r="J978" s="103"/>
      <c r="K978" s="103"/>
    </row>
    <row r="979">
      <c r="A979" s="104"/>
      <c r="B979" s="38"/>
      <c r="E979" s="101"/>
      <c r="F979" s="101" t="str">
        <f t="array" ref="F979">IF(E979="","",IFERROR(_xlfn.XLOOKUP(E979,SyncCodex!N:N,SyncCodex!O:O),""))</f>
        <v/>
      </c>
      <c r="G979" s="102"/>
      <c r="H979" s="102" t="str">
        <f t="shared" si="1"/>
        <v/>
      </c>
      <c r="I979" s="38" t="b">
        <v>0</v>
      </c>
      <c r="J979" s="103"/>
      <c r="K979" s="103"/>
    </row>
    <row r="980">
      <c r="A980" s="104"/>
      <c r="B980" s="38"/>
      <c r="E980" s="101"/>
      <c r="F980" s="101" t="str">
        <f t="array" ref="F980">IF(E980="","",IFERROR(_xlfn.XLOOKUP(E980,SyncCodex!N:N,SyncCodex!O:O),""))</f>
        <v/>
      </c>
      <c r="G980" s="102"/>
      <c r="H980" s="102" t="str">
        <f t="shared" si="1"/>
        <v/>
      </c>
      <c r="I980" s="38" t="b">
        <v>0</v>
      </c>
      <c r="J980" s="103"/>
      <c r="K980" s="103"/>
    </row>
    <row r="981">
      <c r="A981" s="104"/>
      <c r="B981" s="38"/>
      <c r="E981" s="101"/>
      <c r="F981" s="101" t="str">
        <f t="array" ref="F981">IF(E981="","",IFERROR(_xlfn.XLOOKUP(E981,SyncCodex!N:N,SyncCodex!O:O),""))</f>
        <v/>
      </c>
      <c r="G981" s="102"/>
      <c r="H981" s="102" t="str">
        <f t="shared" si="1"/>
        <v/>
      </c>
      <c r="I981" s="38" t="b">
        <v>0</v>
      </c>
      <c r="J981" s="103"/>
      <c r="K981" s="103"/>
    </row>
    <row r="982">
      <c r="A982" s="104"/>
      <c r="B982" s="38"/>
      <c r="E982" s="101"/>
      <c r="F982" s="101" t="str">
        <f t="array" ref="F982">IF(E982="","",IFERROR(_xlfn.XLOOKUP(E982,SyncCodex!N:N,SyncCodex!O:O),""))</f>
        <v/>
      </c>
      <c r="G982" s="102"/>
      <c r="H982" s="102" t="str">
        <f t="shared" si="1"/>
        <v/>
      </c>
      <c r="I982" s="38" t="b">
        <v>0</v>
      </c>
      <c r="J982" s="103"/>
      <c r="K982" s="103"/>
    </row>
    <row r="983">
      <c r="A983" s="104"/>
      <c r="B983" s="38"/>
      <c r="E983" s="101"/>
      <c r="F983" s="101" t="str">
        <f t="array" ref="F983">IF(E983="","",IFERROR(_xlfn.XLOOKUP(E983,SyncCodex!N:N,SyncCodex!O:O),""))</f>
        <v/>
      </c>
      <c r="G983" s="102"/>
      <c r="H983" s="102" t="str">
        <f t="shared" si="1"/>
        <v/>
      </c>
      <c r="I983" s="38" t="b">
        <v>0</v>
      </c>
      <c r="J983" s="103"/>
      <c r="K983" s="103"/>
    </row>
    <row r="984">
      <c r="A984" s="104"/>
      <c r="B984" s="38"/>
      <c r="E984" s="101"/>
      <c r="F984" s="101" t="str">
        <f t="array" ref="F984">IF(E984="","",IFERROR(_xlfn.XLOOKUP(E984,SyncCodex!N:N,SyncCodex!O:O),""))</f>
        <v/>
      </c>
      <c r="G984" s="102"/>
      <c r="H984" s="102" t="str">
        <f t="shared" si="1"/>
        <v/>
      </c>
      <c r="I984" s="38" t="b">
        <v>0</v>
      </c>
      <c r="J984" s="103"/>
      <c r="K984" s="103"/>
    </row>
    <row r="985">
      <c r="A985" s="104"/>
      <c r="B985" s="38"/>
      <c r="E985" s="101"/>
      <c r="F985" s="101" t="str">
        <f t="array" ref="F985">IF(E985="","",IFERROR(_xlfn.XLOOKUP(E985,SyncCodex!N:N,SyncCodex!O:O),""))</f>
        <v/>
      </c>
      <c r="G985" s="102"/>
      <c r="H985" s="102" t="str">
        <f t="shared" si="1"/>
        <v/>
      </c>
      <c r="I985" s="38" t="b">
        <v>0</v>
      </c>
      <c r="J985" s="103"/>
      <c r="K985" s="103"/>
    </row>
    <row r="986">
      <c r="A986" s="104"/>
      <c r="B986" s="38"/>
      <c r="E986" s="101"/>
      <c r="F986" s="101" t="str">
        <f t="array" ref="F986">IF(E986="","",IFERROR(_xlfn.XLOOKUP(E986,SyncCodex!N:N,SyncCodex!O:O),""))</f>
        <v/>
      </c>
      <c r="G986" s="102"/>
      <c r="H986" s="102" t="str">
        <f t="shared" si="1"/>
        <v/>
      </c>
      <c r="I986" s="38" t="b">
        <v>0</v>
      </c>
      <c r="J986" s="103"/>
      <c r="K986" s="103"/>
    </row>
    <row r="987">
      <c r="A987" s="104"/>
      <c r="B987" s="38"/>
      <c r="E987" s="101"/>
      <c r="F987" s="101" t="str">
        <f t="array" ref="F987">IF(E987="","",IFERROR(_xlfn.XLOOKUP(E987,SyncCodex!N:N,SyncCodex!O:O),""))</f>
        <v/>
      </c>
      <c r="G987" s="102"/>
      <c r="H987" s="102" t="str">
        <f t="shared" si="1"/>
        <v/>
      </c>
      <c r="I987" s="38" t="b">
        <v>0</v>
      </c>
      <c r="J987" s="103"/>
      <c r="K987" s="103"/>
    </row>
    <row r="988">
      <c r="A988" s="104"/>
      <c r="B988" s="38"/>
      <c r="E988" s="101"/>
      <c r="F988" s="101" t="str">
        <f t="array" ref="F988">IF(E988="","",IFERROR(_xlfn.XLOOKUP(E988,SyncCodex!N:N,SyncCodex!O:O),""))</f>
        <v/>
      </c>
      <c r="G988" s="102"/>
      <c r="H988" s="102" t="str">
        <f t="shared" si="1"/>
        <v/>
      </c>
      <c r="I988" s="38" t="b">
        <v>0</v>
      </c>
      <c r="J988" s="103"/>
      <c r="K988" s="103"/>
    </row>
    <row r="989">
      <c r="A989" s="104"/>
      <c r="B989" s="38"/>
      <c r="E989" s="101"/>
      <c r="F989" s="101" t="str">
        <f t="array" ref="F989">IF(E989="","",IFERROR(_xlfn.XLOOKUP(E989,SyncCodex!N:N,SyncCodex!O:O),""))</f>
        <v/>
      </c>
      <c r="G989" s="102"/>
      <c r="H989" s="102" t="str">
        <f t="shared" si="1"/>
        <v/>
      </c>
      <c r="I989" s="38" t="b">
        <v>0</v>
      </c>
      <c r="J989" s="103"/>
      <c r="K989" s="103"/>
    </row>
    <row r="990">
      <c r="A990" s="104"/>
      <c r="B990" s="38"/>
      <c r="E990" s="101"/>
      <c r="F990" s="101" t="str">
        <f t="array" ref="F990">IF(E990="","",IFERROR(_xlfn.XLOOKUP(E990,SyncCodex!N:N,SyncCodex!O:O),""))</f>
        <v/>
      </c>
      <c r="G990" s="102"/>
      <c r="H990" s="102" t="str">
        <f t="shared" si="1"/>
        <v/>
      </c>
      <c r="I990" s="38" t="b">
        <v>0</v>
      </c>
      <c r="J990" s="103"/>
      <c r="K990" s="103"/>
    </row>
    <row r="991">
      <c r="A991" s="104"/>
      <c r="B991" s="38"/>
      <c r="E991" s="101"/>
      <c r="F991" s="101" t="str">
        <f t="array" ref="F991">IF(E991="","",IFERROR(_xlfn.XLOOKUP(E991,SyncCodex!N:N,SyncCodex!O:O),""))</f>
        <v/>
      </c>
      <c r="G991" s="102"/>
      <c r="H991" s="102" t="str">
        <f t="shared" si="1"/>
        <v/>
      </c>
      <c r="I991" s="38" t="b">
        <v>0</v>
      </c>
      <c r="J991" s="103"/>
      <c r="K991" s="103"/>
    </row>
    <row r="992">
      <c r="A992" s="104"/>
      <c r="B992" s="38"/>
      <c r="E992" s="101"/>
      <c r="F992" s="101" t="str">
        <f t="array" ref="F992">IF(E992="","",IFERROR(_xlfn.XLOOKUP(E992,SyncCodex!N:N,SyncCodex!O:O),""))</f>
        <v/>
      </c>
      <c r="G992" s="102"/>
      <c r="H992" s="102" t="str">
        <f t="shared" si="1"/>
        <v/>
      </c>
      <c r="I992" s="38" t="b">
        <v>0</v>
      </c>
      <c r="J992" s="103"/>
      <c r="K992" s="103"/>
    </row>
    <row r="993">
      <c r="A993" s="104"/>
      <c r="B993" s="38"/>
      <c r="E993" s="101"/>
      <c r="F993" s="101" t="str">
        <f t="array" ref="F993">IF(E993="","",IFERROR(_xlfn.XLOOKUP(E993,SyncCodex!N:N,SyncCodex!O:O),""))</f>
        <v/>
      </c>
      <c r="G993" s="102"/>
      <c r="H993" s="102" t="str">
        <f t="shared" si="1"/>
        <v/>
      </c>
      <c r="I993" s="38" t="b">
        <v>0</v>
      </c>
      <c r="J993" s="103"/>
      <c r="K993" s="103"/>
    </row>
    <row r="994">
      <c r="A994" s="104"/>
      <c r="B994" s="38"/>
      <c r="E994" s="101"/>
      <c r="F994" s="101" t="str">
        <f t="array" ref="F994">IF(E994="","",IFERROR(_xlfn.XLOOKUP(E994,SyncCodex!N:N,SyncCodex!O:O),""))</f>
        <v/>
      </c>
      <c r="G994" s="102"/>
      <c r="H994" s="102" t="str">
        <f t="shared" si="1"/>
        <v/>
      </c>
      <c r="I994" s="38" t="b">
        <v>0</v>
      </c>
      <c r="J994" s="103"/>
      <c r="K994" s="103"/>
    </row>
    <row r="995">
      <c r="A995" s="104"/>
      <c r="B995" s="38"/>
      <c r="E995" s="101"/>
      <c r="F995" s="101" t="str">
        <f t="array" ref="F995">IF(E995="","",IFERROR(_xlfn.XLOOKUP(E995,SyncCodex!N:N,SyncCodex!O:O),""))</f>
        <v/>
      </c>
      <c r="G995" s="102"/>
      <c r="H995" s="102" t="str">
        <f t="shared" si="1"/>
        <v/>
      </c>
      <c r="I995" s="38" t="b">
        <v>0</v>
      </c>
      <c r="J995" s="103"/>
      <c r="K995" s="103"/>
    </row>
    <row r="996">
      <c r="A996" s="104"/>
      <c r="B996" s="38"/>
      <c r="E996" s="101"/>
      <c r="F996" s="101" t="str">
        <f t="array" ref="F996">IF(E996="","",IFERROR(_xlfn.XLOOKUP(E996,SyncCodex!N:N,SyncCodex!O:O),""))</f>
        <v/>
      </c>
      <c r="G996" s="102"/>
      <c r="H996" s="102" t="str">
        <f t="shared" si="1"/>
        <v/>
      </c>
      <c r="I996" s="38" t="b">
        <v>0</v>
      </c>
      <c r="J996" s="103"/>
      <c r="K996" s="103"/>
    </row>
    <row r="997">
      <c r="A997" s="104"/>
      <c r="B997" s="38"/>
      <c r="E997" s="101"/>
      <c r="F997" s="101" t="str">
        <f t="array" ref="F997">IF(E997="","",IFERROR(_xlfn.XLOOKUP(E997,SyncCodex!N:N,SyncCodex!O:O),""))</f>
        <v/>
      </c>
      <c r="G997" s="102"/>
      <c r="H997" s="102" t="str">
        <f t="shared" si="1"/>
        <v/>
      </c>
      <c r="I997" s="38" t="b">
        <v>0</v>
      </c>
      <c r="J997" s="103"/>
      <c r="K997" s="103"/>
    </row>
  </sheetData>
  <dataValidations>
    <dataValidation type="list" allowBlank="1" showErrorMessage="1" sqref="B2:B997">
      <formula1>'Données'!$O:$O</formula1>
    </dataValidation>
    <dataValidation type="list" allowBlank="1" showErrorMessage="1" sqref="E2:E4 E9 E13 E19:E997">
      <formula1>SyncCodex!$N$2:$N$52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'Cité' OR E CONTAINS 'Major' ORDER BY Z ASC"", 1)"),"Assermenté")</f>
        <v>Assermenté</v>
      </c>
      <c r="B1" s="7" t="str">
        <f>IFERROR(__xludf.DUMMYFUNCTION("""COMPUTED_VALUE"""),"Grade")</f>
        <v>Grade</v>
      </c>
      <c r="C1" s="7" t="str">
        <f>IFERROR(__xludf.DUMMYFUNCTION("""COMPUTED_VALUE"""),"Prénom")</f>
        <v>Prénom</v>
      </c>
      <c r="D1" s="7"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IFERROR(__xludf.DUMMYFUNCTION("""COMPUTED_VALUE"""),TRUE)</f>
        <v>1</v>
      </c>
      <c r="B2" s="4" t="str">
        <f>IFERROR(__xludf.DUMMYFUNCTION("""COMPUTED_VALUE"""),"Maréchal")</f>
        <v>Maréchal</v>
      </c>
      <c r="C2" s="13" t="str">
        <f>IFERROR(__xludf.DUMMYFUNCTION("""COMPUTED_VALUE"""),"Lazabard")</f>
        <v>Lazabard</v>
      </c>
      <c r="D2" s="13" t="str">
        <f>IFERROR(__xludf.DUMMYFUNCTION("""COMPUTED_VALUE"""),"Jemelred")</f>
        <v>Jemelred</v>
      </c>
      <c r="E2" s="4" t="str">
        <f>IFERROR(__xludf.DUMMYFUNCTION("""COMPUTED_VALUE"""),"Etat-Major")</f>
        <v>Etat-Major</v>
      </c>
      <c r="F2" s="5" t="str">
        <f>IFERROR(__xludf.DUMMYFUNCTION("""COMPUTED_VALUE"""),"Garde, Collecteur de la garde")</f>
        <v>Garde, Collecteur de la garde</v>
      </c>
      <c r="G2" s="4" t="str">
        <f>IFERROR(__xludf.DUMMYFUNCTION("""COMPUTED_VALUE"""),"En service actif")</f>
        <v>En service actif</v>
      </c>
      <c r="H2" s="4"/>
      <c r="I2" s="106"/>
      <c r="J2" s="38"/>
      <c r="K2" s="38"/>
      <c r="L2" s="38"/>
      <c r="M2" s="38"/>
      <c r="N2" s="38"/>
      <c r="O2" s="38"/>
      <c r="P2" s="38"/>
      <c r="Q2" s="38"/>
      <c r="R2" s="38"/>
      <c r="S2" s="38"/>
      <c r="T2" s="38"/>
      <c r="U2" s="38"/>
      <c r="V2" s="38"/>
      <c r="W2" s="38"/>
      <c r="X2" s="38"/>
      <c r="Y2" s="38"/>
      <c r="Z2" s="38"/>
    </row>
    <row r="3">
      <c r="A3" s="4" t="b">
        <f>IFERROR(__xludf.DUMMYFUNCTION("""COMPUTED_VALUE"""),TRUE)</f>
        <v>1</v>
      </c>
      <c r="B3" s="4" t="str">
        <f>IFERROR(__xludf.DUMMYFUNCTION("""COMPUTED_VALUE"""),"Commander")</f>
        <v>Commander</v>
      </c>
      <c r="C3" s="13" t="str">
        <f>IFERROR(__xludf.DUMMYFUNCTION("""COMPUTED_VALUE"""),"Filoki")</f>
        <v>Filoki</v>
      </c>
      <c r="D3" s="15"/>
      <c r="E3" s="4" t="str">
        <f>IFERROR(__xludf.DUMMYFUNCTION("""COMPUTED_VALUE"""),"Etat-Major")</f>
        <v>Etat-Major</v>
      </c>
      <c r="F3" s="5" t="str">
        <f>IFERROR(__xludf.DUMMYFUNCTION("""COMPUTED_VALUE"""),"Garde, Collecteur de la garde")</f>
        <v>Garde, Collecteur de la garde</v>
      </c>
      <c r="G3" s="4" t="str">
        <f>IFERROR(__xludf.DUMMYFUNCTION("""COMPUTED_VALUE"""),"En service actif")</f>
        <v>En service actif</v>
      </c>
      <c r="H3" s="4"/>
      <c r="I3" s="106"/>
      <c r="J3" s="38"/>
      <c r="K3" s="38"/>
      <c r="L3" s="38"/>
      <c r="M3" s="38"/>
      <c r="N3" s="38"/>
      <c r="O3" s="38"/>
      <c r="P3" s="38"/>
      <c r="Q3" s="38"/>
      <c r="R3" s="38"/>
      <c r="S3" s="38"/>
      <c r="T3" s="38"/>
      <c r="U3" s="38"/>
      <c r="V3" s="38"/>
      <c r="W3" s="38"/>
      <c r="X3" s="38"/>
      <c r="Y3" s="38"/>
      <c r="Z3" s="38"/>
    </row>
    <row r="4">
      <c r="A4" s="4" t="b">
        <f>IFERROR(__xludf.DUMMYFUNCTION("""COMPUTED_VALUE"""),TRUE)</f>
        <v>1</v>
      </c>
      <c r="B4" s="4" t="str">
        <f>IFERROR(__xludf.DUMMYFUNCTION("""COMPUTED_VALUE"""),"Major")</f>
        <v>Major</v>
      </c>
      <c r="C4" s="13" t="str">
        <f>IFERROR(__xludf.DUMMYFUNCTION("""COMPUTED_VALUE"""),"Dagbara")</f>
        <v>Dagbara</v>
      </c>
      <c r="D4" s="15" t="str">
        <f>IFERROR(__xludf.DUMMYFUNCTION("""COMPUTED_VALUE"""),"Gronez")</f>
        <v>Gronez</v>
      </c>
      <c r="E4" s="4" t="str">
        <f>IFERROR(__xludf.DUMMYFUNCTION("""COMPUTED_VALUE"""),"Etat-Major")</f>
        <v>Etat-Major</v>
      </c>
      <c r="F4" s="5" t="str">
        <f>IFERROR(__xludf.DUMMYFUNCTION("""COMPUTED_VALUE"""),"Garde")</f>
        <v>Garde</v>
      </c>
      <c r="G4" s="4" t="str">
        <f>IFERROR(__xludf.DUMMYFUNCTION("""COMPUTED_VALUE"""),"Mis en réserve")</f>
        <v>Mis en réserve</v>
      </c>
      <c r="H4" s="4"/>
      <c r="I4" s="106"/>
      <c r="J4" s="38"/>
      <c r="K4" s="38"/>
      <c r="L4" s="38"/>
      <c r="M4" s="38"/>
      <c r="N4" s="38"/>
      <c r="O4" s="38"/>
      <c r="P4" s="38"/>
      <c r="Q4" s="38"/>
      <c r="R4" s="38"/>
      <c r="S4" s="38"/>
      <c r="T4" s="38"/>
      <c r="U4" s="38"/>
      <c r="V4" s="38"/>
      <c r="W4" s="38"/>
      <c r="X4" s="38"/>
      <c r="Y4" s="38"/>
      <c r="Z4" s="38"/>
    </row>
    <row r="5">
      <c r="A5" s="4" t="b">
        <f>IFERROR(__xludf.DUMMYFUNCTION("""COMPUTED_VALUE"""),TRUE)</f>
        <v>1</v>
      </c>
      <c r="B5" s="4" t="str">
        <f>IFERROR(__xludf.DUMMYFUNCTION("""COMPUTED_VALUE"""),"Capitaine")</f>
        <v>Capitaine</v>
      </c>
      <c r="C5" s="13" t="str">
        <f>IFERROR(__xludf.DUMMYFUNCTION("""COMPUTED_VALUE"""),"Astrid")</f>
        <v>Astrid</v>
      </c>
      <c r="D5" s="13" t="str">
        <f>IFERROR(__xludf.DUMMYFUNCTION("""COMPUTED_VALUE"""),"Lame-Fine")</f>
        <v>Lame-Fine</v>
      </c>
      <c r="E5" s="4" t="str">
        <f>IFERROR(__xludf.DUMMYFUNCTION("""COMPUTED_VALUE"""),"Cité de Blancherive")</f>
        <v>Cité de Blancherive</v>
      </c>
      <c r="F5" s="5" t="str">
        <f>IFERROR(__xludf.DUMMYFUNCTION("""COMPUTED_VALUE"""),"Garde, Collecteur de la garde")</f>
        <v>Garde, Collecteur de la garde</v>
      </c>
      <c r="G5" s="4" t="str">
        <f>IFERROR(__xludf.DUMMYFUNCTION("""COMPUTED_VALUE"""),"En service actif")</f>
        <v>En service actif</v>
      </c>
      <c r="H5" s="4" t="str">
        <f>IFERROR(__xludf.DUMMYFUNCTION("""COMPUTED_VALUE"""),"Chasseur")</f>
        <v>Chasseur</v>
      </c>
      <c r="I5" s="106"/>
      <c r="J5" s="38"/>
      <c r="K5" s="38"/>
      <c r="L5" s="38"/>
      <c r="M5" s="38"/>
      <c r="N5" s="38"/>
      <c r="O5" s="38"/>
      <c r="P5" s="38"/>
      <c r="Q5" s="38"/>
      <c r="R5" s="38"/>
      <c r="S5" s="38"/>
      <c r="T5" s="38"/>
      <c r="U5" s="38"/>
      <c r="V5" s="38"/>
      <c r="W5" s="38"/>
      <c r="X5" s="38"/>
      <c r="Y5" s="38"/>
      <c r="Z5" s="38"/>
    </row>
    <row r="6">
      <c r="A6" s="4" t="b">
        <f>IFERROR(__xludf.DUMMYFUNCTION("""COMPUTED_VALUE"""),TRUE)</f>
        <v>1</v>
      </c>
      <c r="B6" s="4" t="str">
        <f>IFERROR(__xludf.DUMMYFUNCTION("""COMPUTED_VALUE"""),"Capitaine")</f>
        <v>Capitaine</v>
      </c>
      <c r="C6" s="13" t="str">
        <f>IFERROR(__xludf.DUMMYFUNCTION("""COMPUTED_VALUE"""),"Edward")</f>
        <v>Edward</v>
      </c>
      <c r="D6" s="13" t="str">
        <f>IFERROR(__xludf.DUMMYFUNCTION("""COMPUTED_VALUE"""),"Winters")</f>
        <v>Winters</v>
      </c>
      <c r="E6" s="4" t="str">
        <f>IFERROR(__xludf.DUMMYFUNCTION("""COMPUTED_VALUE"""),"Cité de Blancherive")</f>
        <v>Cité de Blancherive</v>
      </c>
      <c r="F6" s="5" t="str">
        <f>IFERROR(__xludf.DUMMYFUNCTION("""COMPUTED_VALUE"""),"Hird")</f>
        <v>Hird</v>
      </c>
      <c r="G6" s="4" t="str">
        <f>IFERROR(__xludf.DUMMYFUNCTION("""COMPUTED_VALUE"""),"Mis en réserve")</f>
        <v>Mis en réserve</v>
      </c>
      <c r="H6" s="4"/>
      <c r="I6" s="106"/>
      <c r="J6" s="38"/>
      <c r="K6" s="38"/>
      <c r="L6" s="38"/>
      <c r="M6" s="38"/>
      <c r="N6" s="38"/>
      <c r="O6" s="38"/>
      <c r="P6" s="38"/>
      <c r="Q6" s="38"/>
      <c r="R6" s="38"/>
      <c r="S6" s="38"/>
      <c r="T6" s="38"/>
      <c r="U6" s="38"/>
      <c r="V6" s="38"/>
      <c r="W6" s="38"/>
      <c r="X6" s="38"/>
      <c r="Y6" s="38"/>
      <c r="Z6" s="38"/>
    </row>
    <row r="7">
      <c r="A7" s="4" t="b">
        <f>IFERROR(__xludf.DUMMYFUNCTION("""COMPUTED_VALUE"""),TRUE)</f>
        <v>1</v>
      </c>
      <c r="B7" s="4" t="str">
        <f>IFERROR(__xludf.DUMMYFUNCTION("""COMPUTED_VALUE"""),"Major")</f>
        <v>Major</v>
      </c>
      <c r="C7" s="13" t="str">
        <f>IFERROR(__xludf.DUMMYFUNCTION("""COMPUTED_VALUE"""),"Ulfar")</f>
        <v>Ulfar</v>
      </c>
      <c r="D7" s="13"/>
      <c r="E7" s="4" t="str">
        <f>IFERROR(__xludf.DUMMYFUNCTION("""COMPUTED_VALUE"""),"Etat-Major")</f>
        <v>Etat-Major</v>
      </c>
      <c r="F7" s="5" t="str">
        <f>IFERROR(__xludf.DUMMYFUNCTION("""COMPUTED_VALUE"""),"Garde, Collecteur de la garde")</f>
        <v>Garde, Collecteur de la garde</v>
      </c>
      <c r="G7" s="4" t="str">
        <f>IFERROR(__xludf.DUMMYFUNCTION("""COMPUTED_VALUE"""),"En service actif")</f>
        <v>En service actif</v>
      </c>
      <c r="H7" s="38"/>
      <c r="I7" s="106"/>
      <c r="J7" s="38"/>
      <c r="K7" s="38"/>
      <c r="L7" s="38"/>
      <c r="M7" s="38"/>
      <c r="N7" s="38"/>
      <c r="O7" s="38"/>
      <c r="P7" s="38"/>
      <c r="Q7" s="38"/>
      <c r="R7" s="38"/>
      <c r="S7" s="38"/>
      <c r="T7" s="38"/>
      <c r="U7" s="38"/>
      <c r="V7" s="38"/>
      <c r="W7" s="38"/>
      <c r="X7" s="38"/>
      <c r="Y7" s="38"/>
      <c r="Z7" s="38"/>
    </row>
    <row r="8">
      <c r="A8" s="4" t="b">
        <f>IFERROR(__xludf.DUMMYFUNCTION("""COMPUTED_VALUE"""),TRUE)</f>
        <v>1</v>
      </c>
      <c r="B8" s="4" t="str">
        <f>IFERROR(__xludf.DUMMYFUNCTION("""COMPUTED_VALUE"""),"Lieutenant-Chef")</f>
        <v>Lieutenant-Chef</v>
      </c>
      <c r="C8" s="13" t="str">
        <f>IFERROR(__xludf.DUMMYFUNCTION("""COMPUTED_VALUE"""),"Ronin")</f>
        <v>Ronin</v>
      </c>
      <c r="D8" s="13"/>
      <c r="E8" s="4" t="str">
        <f>IFERROR(__xludf.DUMMYFUNCTION("""COMPUTED_VALUE"""),"Cité de Blancherive")</f>
        <v>Cité de Blancherive</v>
      </c>
      <c r="F8" s="5" t="str">
        <f>IFERROR(__xludf.DUMMYFUNCTION("""COMPUTED_VALUE"""),"Garde, Collecteur de la garde")</f>
        <v>Garde, Collecteur de la garde</v>
      </c>
      <c r="G8" s="4" t="str">
        <f>IFERROR(__xludf.DUMMYFUNCTION("""COMPUTED_VALUE"""),"En service actif")</f>
        <v>En service actif</v>
      </c>
      <c r="H8" s="38" t="str">
        <f>IFERROR(__xludf.DUMMYFUNCTION("""COMPUTED_VALUE"""),"Guerrier")</f>
        <v>Guerrier</v>
      </c>
      <c r="I8" s="106"/>
      <c r="J8" s="38"/>
      <c r="K8" s="38"/>
      <c r="L8" s="38"/>
      <c r="M8" s="38"/>
      <c r="N8" s="38"/>
      <c r="O8" s="38"/>
      <c r="P8" s="38"/>
      <c r="Q8" s="38"/>
      <c r="R8" s="38"/>
      <c r="S8" s="38"/>
      <c r="T8" s="38"/>
      <c r="U8" s="38"/>
      <c r="V8" s="38"/>
      <c r="W8" s="38"/>
      <c r="X8" s="38"/>
      <c r="Y8" s="38"/>
      <c r="Z8" s="38"/>
    </row>
    <row r="9">
      <c r="A9" s="4" t="b">
        <f>IFERROR(__xludf.DUMMYFUNCTION("""COMPUTED_VALUE"""),TRUE)</f>
        <v>1</v>
      </c>
      <c r="B9" s="4" t="str">
        <f>IFERROR(__xludf.DUMMYFUNCTION("""COMPUTED_VALUE"""),"Lieutenant")</f>
        <v>Lieutenant</v>
      </c>
      <c r="C9" s="13" t="str">
        <f>IFERROR(__xludf.DUMMYFUNCTION("""COMPUTED_VALUE"""),"Thorin")</f>
        <v>Thorin</v>
      </c>
      <c r="D9" s="107" t="str">
        <f>IFERROR(__xludf.DUMMYFUNCTION("""COMPUTED_VALUE"""),"Rivegel")</f>
        <v>Rivegel</v>
      </c>
      <c r="E9" s="4" t="str">
        <f>IFERROR(__xludf.DUMMYFUNCTION("""COMPUTED_VALUE"""),"Cité de Blancherive")</f>
        <v>Cité de Blancherive</v>
      </c>
      <c r="F9" s="5" t="str">
        <f>IFERROR(__xludf.DUMMYFUNCTION("""COMPUTED_VALUE"""),"Garde")</f>
        <v>Garde</v>
      </c>
      <c r="G9" s="4" t="str">
        <f>IFERROR(__xludf.DUMMYFUNCTION("""COMPUTED_VALUE"""),"Déserteur")</f>
        <v>Déserteur</v>
      </c>
      <c r="H9" s="4" t="str">
        <f>IFERROR(__xludf.DUMMYFUNCTION("""COMPUTED_VALUE"""),"Guerrier")</f>
        <v>Guerrier</v>
      </c>
      <c r="I9" s="106"/>
      <c r="J9" s="38"/>
      <c r="K9" s="38"/>
      <c r="L9" s="38"/>
      <c r="M9" s="38"/>
      <c r="N9" s="38"/>
      <c r="O9" s="38"/>
      <c r="P9" s="38"/>
      <c r="Q9" s="38"/>
      <c r="R9" s="38"/>
      <c r="S9" s="38"/>
      <c r="T9" s="38"/>
      <c r="U9" s="38"/>
      <c r="V9" s="38"/>
      <c r="W9" s="38"/>
      <c r="X9" s="38"/>
      <c r="Y9" s="38"/>
      <c r="Z9" s="38"/>
    </row>
    <row r="10">
      <c r="A10" s="38" t="b">
        <f>IFERROR(__xludf.DUMMYFUNCTION("""COMPUTED_VALUE"""),TRUE)</f>
        <v>1</v>
      </c>
      <c r="B10" s="4" t="str">
        <f>IFERROR(__xludf.DUMMYFUNCTION("""COMPUTED_VALUE"""),"Lieutenant-Chef")</f>
        <v>Lieutenant-Chef</v>
      </c>
      <c r="C10" s="13" t="str">
        <f>IFERROR(__xludf.DUMMYFUNCTION("""COMPUTED_VALUE"""),"Gisbern")</f>
        <v>Gisbern</v>
      </c>
      <c r="D10" s="13" t="str">
        <f>IFERROR(__xludf.DUMMYFUNCTION("""COMPUTED_VALUE"""),"Isenbjorn")</f>
        <v>Isenbjorn</v>
      </c>
      <c r="E10" s="4" t="str">
        <f>IFERROR(__xludf.DUMMYFUNCTION("""COMPUTED_VALUE"""),"Cité de Blancherive")</f>
        <v>Cité de Blancherive</v>
      </c>
      <c r="F10" s="5" t="str">
        <f>IFERROR(__xludf.DUMMYFUNCTION("""COMPUTED_VALUE"""),"Garde")</f>
        <v>Garde</v>
      </c>
      <c r="G10" s="4" t="str">
        <f>IFERROR(__xludf.DUMMYFUNCTION("""COMPUTED_VALUE"""),"Déserteur")</f>
        <v>Déserteur</v>
      </c>
      <c r="H10" s="38"/>
      <c r="I10" s="106"/>
      <c r="J10" s="38"/>
      <c r="K10" s="38"/>
      <c r="L10" s="38"/>
      <c r="M10" s="38"/>
      <c r="N10" s="38"/>
      <c r="O10" s="38"/>
      <c r="P10" s="38"/>
      <c r="Q10" s="38"/>
      <c r="R10" s="38"/>
      <c r="S10" s="38"/>
      <c r="T10" s="38"/>
      <c r="U10" s="38"/>
      <c r="V10" s="38"/>
      <c r="W10" s="38"/>
      <c r="X10" s="38"/>
      <c r="Y10" s="38"/>
      <c r="Z10" s="38"/>
    </row>
    <row r="11">
      <c r="A11" s="38" t="b">
        <f>IFERROR(__xludf.DUMMYFUNCTION("""COMPUTED_VALUE"""),TRUE)</f>
        <v>1</v>
      </c>
      <c r="B11" s="4" t="str">
        <f>IFERROR(__xludf.DUMMYFUNCTION("""COMPUTED_VALUE"""),"Lieutenant")</f>
        <v>Lieutenant</v>
      </c>
      <c r="C11" s="13" t="str">
        <f>IFERROR(__xludf.DUMMYFUNCTION("""COMPUTED_VALUE"""),"Rorik")</f>
        <v>Rorik</v>
      </c>
      <c r="D11" s="15" t="str">
        <f>IFERROR(__xludf.DUMMYFUNCTION("""COMPUTED_VALUE"""),"Marche-Hiver")</f>
        <v>Marche-Hiver</v>
      </c>
      <c r="E11" s="4" t="str">
        <f>IFERROR(__xludf.DUMMYFUNCTION("""COMPUTED_VALUE"""),"Cité de Blancherive")</f>
        <v>Cité de Blancherive</v>
      </c>
      <c r="F11" s="5" t="str">
        <f>IFERROR(__xludf.DUMMYFUNCTION("""COMPUTED_VALUE"""),"Garde, Intendant de la garde")</f>
        <v>Garde, Intendant de la garde</v>
      </c>
      <c r="G11" s="4" t="str">
        <f>IFERROR(__xludf.DUMMYFUNCTION("""COMPUTED_VALUE"""),"En service actif")</f>
        <v>En service actif</v>
      </c>
      <c r="H11" s="38"/>
      <c r="I11" s="106"/>
      <c r="J11" s="38"/>
      <c r="K11" s="38"/>
      <c r="L11" s="38"/>
      <c r="M11" s="38"/>
      <c r="N11" s="38"/>
      <c r="O11" s="38"/>
      <c r="P11" s="38"/>
      <c r="Q11" s="38"/>
      <c r="R11" s="38"/>
      <c r="S11" s="38"/>
      <c r="T11" s="38"/>
      <c r="U11" s="38"/>
      <c r="V11" s="38"/>
      <c r="W11" s="38"/>
      <c r="X11" s="38"/>
      <c r="Y11" s="38"/>
      <c r="Z11" s="38"/>
    </row>
    <row r="12">
      <c r="A12" s="4" t="b">
        <f>IFERROR(__xludf.DUMMYFUNCTION("""COMPUTED_VALUE"""),TRUE)</f>
        <v>1</v>
      </c>
      <c r="B12" s="4" t="str">
        <f>IFERROR(__xludf.DUMMYFUNCTION("""COMPUTED_VALUE"""),"Sergent-Chef")</f>
        <v>Sergent-Chef</v>
      </c>
      <c r="C12" s="13" t="str">
        <f>IFERROR(__xludf.DUMMYFUNCTION("""COMPUTED_VALUE"""),"Erwan")</f>
        <v>Erwan</v>
      </c>
      <c r="D12" s="15"/>
      <c r="E12" s="4" t="str">
        <f>IFERROR(__xludf.DUMMYFUNCTION("""COMPUTED_VALUE"""),"Cité de Blancherive")</f>
        <v>Cité de Blancherive</v>
      </c>
      <c r="F12" s="5" t="str">
        <f>IFERROR(__xludf.DUMMYFUNCTION("""COMPUTED_VALUE"""),"Garde")</f>
        <v>Garde</v>
      </c>
      <c r="G12" s="4" t="str">
        <f>IFERROR(__xludf.DUMMYFUNCTION("""COMPUTED_VALUE"""),"En service actif")</f>
        <v>En service actif</v>
      </c>
      <c r="H12" s="4"/>
      <c r="I12" s="106"/>
      <c r="J12" s="38"/>
      <c r="K12" s="38"/>
      <c r="L12" s="38"/>
      <c r="M12" s="38"/>
      <c r="N12" s="38"/>
      <c r="O12" s="38"/>
      <c r="P12" s="38"/>
      <c r="Q12" s="38"/>
      <c r="R12" s="38"/>
      <c r="S12" s="38"/>
      <c r="T12" s="38"/>
      <c r="U12" s="38"/>
      <c r="V12" s="38"/>
      <c r="W12" s="38"/>
      <c r="X12" s="38"/>
      <c r="Y12" s="38"/>
      <c r="Z12" s="38"/>
    </row>
    <row r="13">
      <c r="A13" s="4" t="b">
        <f>IFERROR(__xludf.DUMMYFUNCTION("""COMPUTED_VALUE"""),TRUE)</f>
        <v>1</v>
      </c>
      <c r="B13" s="4" t="str">
        <f>IFERROR(__xludf.DUMMYFUNCTION("""COMPUTED_VALUE"""),"Caporal-Chef")</f>
        <v>Caporal-Chef</v>
      </c>
      <c r="C13" s="13" t="str">
        <f>IFERROR(__xludf.DUMMYFUNCTION("""COMPUTED_VALUE"""),"Ilflynn")</f>
        <v>Ilflynn</v>
      </c>
      <c r="D13" s="15"/>
      <c r="E13" s="4" t="str">
        <f>IFERROR(__xludf.DUMMYFUNCTION("""COMPUTED_VALUE"""),"Cité de Blancherive")</f>
        <v>Cité de Blancherive</v>
      </c>
      <c r="F13" s="5" t="str">
        <f>IFERROR(__xludf.DUMMYFUNCTION("""COMPUTED_VALUE"""),"Garde")</f>
        <v>Garde</v>
      </c>
      <c r="G13" s="4" t="str">
        <f>IFERROR(__xludf.DUMMYFUNCTION("""COMPUTED_VALUE"""),"En service actif")</f>
        <v>En service actif</v>
      </c>
      <c r="H13" s="4"/>
      <c r="I13" s="106"/>
      <c r="J13" s="38"/>
      <c r="K13" s="38"/>
      <c r="L13" s="38"/>
      <c r="M13" s="38"/>
      <c r="N13" s="38"/>
      <c r="O13" s="38"/>
      <c r="P13" s="38"/>
      <c r="Q13" s="38"/>
      <c r="R13" s="38"/>
      <c r="S13" s="38"/>
      <c r="T13" s="38"/>
      <c r="U13" s="38"/>
      <c r="V13" s="38"/>
      <c r="W13" s="38"/>
      <c r="X13" s="38"/>
      <c r="Y13" s="38"/>
      <c r="Z13" s="38"/>
    </row>
    <row r="14">
      <c r="A14" s="4" t="b">
        <f>IFERROR(__xludf.DUMMYFUNCTION("""COMPUTED_VALUE"""),TRUE)</f>
        <v>1</v>
      </c>
      <c r="B14" s="4" t="str">
        <f>IFERROR(__xludf.DUMMYFUNCTION("""COMPUTED_VALUE"""),"Garde")</f>
        <v>Garde</v>
      </c>
      <c r="C14" s="13" t="str">
        <f>IFERROR(__xludf.DUMMYFUNCTION("""COMPUTED_VALUE"""),"Laureen")</f>
        <v>Laureen</v>
      </c>
      <c r="D14" s="13" t="str">
        <f>IFERROR(__xludf.DUMMYFUNCTION("""COMPUTED_VALUE"""),"Toison-de-Sang")</f>
        <v>Toison-de-Sang</v>
      </c>
      <c r="E14" s="4" t="str">
        <f>IFERROR(__xludf.DUMMYFUNCTION("""COMPUTED_VALUE"""),"Cité de Blancherive")</f>
        <v>Cité de Blancherive</v>
      </c>
      <c r="F14" s="5" t="str">
        <f>IFERROR(__xludf.DUMMYFUNCTION("""COMPUTED_VALUE"""),"Eclaireur, Garde")</f>
        <v>Eclaireur, Garde</v>
      </c>
      <c r="G14" s="4" t="str">
        <f>IFERROR(__xludf.DUMMYFUNCTION("""COMPUTED_VALUE"""),"En service actif")</f>
        <v>En service actif</v>
      </c>
      <c r="H14" s="38" t="str">
        <f>IFERROR(__xludf.DUMMYFUNCTION("""COMPUTED_VALUE"""),"Chasseur")</f>
        <v>Chasseur</v>
      </c>
      <c r="I14" s="106"/>
      <c r="J14" s="38"/>
      <c r="K14" s="38"/>
      <c r="L14" s="38"/>
      <c r="M14" s="38"/>
      <c r="N14" s="38"/>
      <c r="O14" s="38"/>
      <c r="P14" s="38"/>
      <c r="Q14" s="38"/>
      <c r="R14" s="38"/>
      <c r="S14" s="38"/>
      <c r="T14" s="38"/>
      <c r="U14" s="38"/>
      <c r="V14" s="38"/>
      <c r="W14" s="38"/>
      <c r="X14" s="38"/>
      <c r="Y14" s="38"/>
      <c r="Z14" s="38"/>
    </row>
    <row r="15">
      <c r="A15" s="4" t="b">
        <f>IFERROR(__xludf.DUMMYFUNCTION("""COMPUTED_VALUE"""),TRUE)</f>
        <v>1</v>
      </c>
      <c r="B15" s="4" t="str">
        <f>IFERROR(__xludf.DUMMYFUNCTION("""COMPUTED_VALUE"""),"Garde")</f>
        <v>Garde</v>
      </c>
      <c r="C15" s="13" t="str">
        <f>IFERROR(__xludf.DUMMYFUNCTION("""COMPUTED_VALUE"""),"Andor")</f>
        <v>Andor</v>
      </c>
      <c r="D15" s="13" t="str">
        <f>IFERROR(__xludf.DUMMYFUNCTION("""COMPUTED_VALUE"""),"Viraes")</f>
        <v>Viraes</v>
      </c>
      <c r="E15" s="4" t="str">
        <f>IFERROR(__xludf.DUMMYFUNCTION("""COMPUTED_VALUE"""),"Cité de Blancherive")</f>
        <v>Cité de Blancherive</v>
      </c>
      <c r="F15" s="5" t="str">
        <f>IFERROR(__xludf.DUMMYFUNCTION("""COMPUTED_VALUE"""),"Garde")</f>
        <v>Garde</v>
      </c>
      <c r="G15" s="4" t="str">
        <f>IFERROR(__xludf.DUMMYFUNCTION("""COMPUTED_VALUE"""),"Mis en réserve")</f>
        <v>Mis en réserve</v>
      </c>
      <c r="H15" s="38"/>
      <c r="I15" s="106"/>
      <c r="J15" s="38"/>
      <c r="K15" s="38"/>
      <c r="L15" s="38"/>
      <c r="M15" s="38"/>
      <c r="N15" s="38"/>
      <c r="O15" s="38"/>
      <c r="P15" s="38"/>
      <c r="Q15" s="38"/>
      <c r="R15" s="38"/>
      <c r="S15" s="38"/>
      <c r="T15" s="38"/>
      <c r="U15" s="38"/>
      <c r="V15" s="38"/>
      <c r="W15" s="38"/>
      <c r="X15" s="38"/>
      <c r="Y15" s="38"/>
      <c r="Z15" s="38"/>
    </row>
    <row r="16">
      <c r="A16" s="4" t="b">
        <f>IFERROR(__xludf.DUMMYFUNCTION("""COMPUTED_VALUE"""),FALSE)</f>
        <v>0</v>
      </c>
      <c r="B16" s="4" t="str">
        <f>IFERROR(__xludf.DUMMYFUNCTION("""COMPUTED_VALUE"""),"Sergent-Chef")</f>
        <v>Sergent-Chef</v>
      </c>
      <c r="C16" s="13" t="str">
        <f>IFERROR(__xludf.DUMMYFUNCTION("""COMPUTED_VALUE"""),"Astrild")</f>
        <v>Astrild</v>
      </c>
      <c r="D16" s="13"/>
      <c r="E16" s="4" t="str">
        <f>IFERROR(__xludf.DUMMYFUNCTION("""COMPUTED_VALUE"""),"Cité de Blancherive")</f>
        <v>Cité de Blancherive</v>
      </c>
      <c r="F16" s="5" t="str">
        <f>IFERROR(__xludf.DUMMYFUNCTION("""COMPUTED_VALUE"""),"Garde")</f>
        <v>Garde</v>
      </c>
      <c r="G16" s="4" t="str">
        <f>IFERROR(__xludf.DUMMYFUNCTION("""COMPUTED_VALUE"""),"En service actif")</f>
        <v>En service actif</v>
      </c>
      <c r="H16" s="38"/>
      <c r="I16" s="106"/>
      <c r="J16" s="38"/>
      <c r="K16" s="38"/>
      <c r="L16" s="38"/>
      <c r="M16" s="38"/>
      <c r="N16" s="38"/>
      <c r="O16" s="38"/>
      <c r="P16" s="38"/>
      <c r="Q16" s="38"/>
      <c r="R16" s="38"/>
      <c r="S16" s="38"/>
      <c r="T16" s="38"/>
      <c r="U16" s="38"/>
      <c r="V16" s="38"/>
      <c r="W16" s="38"/>
      <c r="X16" s="38"/>
      <c r="Y16" s="38"/>
      <c r="Z16" s="38"/>
    </row>
    <row r="17">
      <c r="A17" s="4" t="b">
        <f>IFERROR(__xludf.DUMMYFUNCTION("""COMPUTED_VALUE"""),FALSE)</f>
        <v>0</v>
      </c>
      <c r="B17" s="4" t="str">
        <f>IFERROR(__xludf.DUMMYFUNCTION("""COMPUTED_VALUE"""),"Lieutenant")</f>
        <v>Lieutenant</v>
      </c>
      <c r="C17" s="13" t="str">
        <f>IFERROR(__xludf.DUMMYFUNCTION("""COMPUTED_VALUE"""),"Encore-Un-Espoir")</f>
        <v>Encore-Un-Espoir</v>
      </c>
      <c r="D17" s="13"/>
      <c r="E17" s="4" t="str">
        <f>IFERROR(__xludf.DUMMYFUNCTION("""COMPUTED_VALUE"""),"Cité de Blancherive")</f>
        <v>Cité de Blancherive</v>
      </c>
      <c r="F17" s="5" t="str">
        <f>IFERROR(__xludf.DUMMYFUNCTION("""COMPUTED_VALUE"""),"Garde, Tortionnaire, Instructeur")</f>
        <v>Garde, Tortionnaire, Instructeur</v>
      </c>
      <c r="G17" s="4" t="str">
        <f>IFERROR(__xludf.DUMMYFUNCTION("""COMPUTED_VALUE"""),"Démissionnaire")</f>
        <v>Démissionnaire</v>
      </c>
      <c r="H17" s="38"/>
      <c r="I17" s="106"/>
      <c r="J17" s="38"/>
      <c r="K17" s="38"/>
      <c r="L17" s="38"/>
      <c r="M17" s="38"/>
      <c r="N17" s="38"/>
      <c r="O17" s="38"/>
      <c r="P17" s="38"/>
      <c r="Q17" s="38"/>
      <c r="R17" s="38"/>
      <c r="S17" s="38"/>
      <c r="T17" s="38"/>
      <c r="U17" s="38"/>
      <c r="V17" s="38"/>
      <c r="W17" s="38"/>
      <c r="X17" s="38"/>
      <c r="Y17" s="38"/>
      <c r="Z17" s="38"/>
    </row>
    <row r="18">
      <c r="A18" s="4" t="b">
        <f>IFERROR(__xludf.DUMMYFUNCTION("""COMPUTED_VALUE"""),TRUE)</f>
        <v>1</v>
      </c>
      <c r="B18" s="4" t="str">
        <f>IFERROR(__xludf.DUMMYFUNCTION("""COMPUTED_VALUE"""),"Garde")</f>
        <v>Garde</v>
      </c>
      <c r="C18" s="13" t="str">
        <f>IFERROR(__xludf.DUMMYFUNCTION("""COMPUTED_VALUE"""),"Al'Dran")</f>
        <v>Al'Dran</v>
      </c>
      <c r="D18" s="15"/>
      <c r="E18" s="4" t="str">
        <f>IFERROR(__xludf.DUMMYFUNCTION("""COMPUTED_VALUE"""),"Cité de Blancherive")</f>
        <v>Cité de Blancherive</v>
      </c>
      <c r="F18" s="5" t="str">
        <f>IFERROR(__xludf.DUMMYFUNCTION("""COMPUTED_VALUE"""),"Garde")</f>
        <v>Garde</v>
      </c>
      <c r="G18" s="4" t="str">
        <f>IFERROR(__xludf.DUMMYFUNCTION("""COMPUTED_VALUE"""),"Démissionnaire")</f>
        <v>Démissionnaire</v>
      </c>
      <c r="H18" s="38"/>
      <c r="I18" s="106"/>
      <c r="J18" s="38"/>
      <c r="K18" s="38"/>
      <c r="L18" s="38"/>
      <c r="M18" s="38"/>
      <c r="N18" s="38"/>
      <c r="O18" s="38"/>
      <c r="P18" s="38"/>
      <c r="Q18" s="38"/>
      <c r="R18" s="38"/>
      <c r="S18" s="38"/>
      <c r="T18" s="38"/>
      <c r="U18" s="38"/>
      <c r="V18" s="38"/>
      <c r="W18" s="38"/>
      <c r="X18" s="38"/>
      <c r="Y18" s="38"/>
      <c r="Z18" s="38"/>
    </row>
    <row r="19">
      <c r="A19" s="4" t="b">
        <f>IFERROR(__xludf.DUMMYFUNCTION("""COMPUTED_VALUE"""),TRUE)</f>
        <v>1</v>
      </c>
      <c r="B19" s="4" t="str">
        <f>IFERROR(__xludf.DUMMYFUNCTION("""COMPUTED_VALUE"""),"Caporal")</f>
        <v>Caporal</v>
      </c>
      <c r="C19" s="13" t="str">
        <f>IFERROR(__xludf.DUMMYFUNCTION("""COMPUTED_VALUE"""),"Kendall")</f>
        <v>Kendall</v>
      </c>
      <c r="D19" s="15" t="str">
        <f>IFERROR(__xludf.DUMMYFUNCTION("""COMPUTED_VALUE"""),"Delamare")</f>
        <v>Delamare</v>
      </c>
      <c r="E19" s="4" t="str">
        <f>IFERROR(__xludf.DUMMYFUNCTION("""COMPUTED_VALUE"""),"Cité de Blancherive")</f>
        <v>Cité de Blancherive</v>
      </c>
      <c r="F19" s="5" t="str">
        <f>IFERROR(__xludf.DUMMYFUNCTION("""COMPUTED_VALUE"""),"Garde")</f>
        <v>Garde</v>
      </c>
      <c r="G19" s="4" t="str">
        <f>IFERROR(__xludf.DUMMYFUNCTION("""COMPUTED_VALUE"""),"En service actif")</f>
        <v>En service actif</v>
      </c>
      <c r="H19" s="38"/>
      <c r="I19" s="106"/>
      <c r="J19" s="38"/>
      <c r="K19" s="38"/>
      <c r="L19" s="38"/>
      <c r="M19" s="38"/>
      <c r="N19" s="38"/>
      <c r="O19" s="38"/>
      <c r="P19" s="38"/>
      <c r="Q19" s="38"/>
      <c r="R19" s="38"/>
      <c r="S19" s="38"/>
      <c r="T19" s="38"/>
      <c r="U19" s="38"/>
      <c r="V19" s="38"/>
      <c r="W19" s="38"/>
      <c r="X19" s="38"/>
      <c r="Y19" s="38"/>
      <c r="Z19" s="38"/>
    </row>
    <row r="20">
      <c r="A20" s="4" t="b">
        <f>IFERROR(__xludf.DUMMYFUNCTION("""COMPUTED_VALUE"""),FALSE)</f>
        <v>0</v>
      </c>
      <c r="B20" s="4" t="str">
        <f>IFERROR(__xludf.DUMMYFUNCTION("""COMPUTED_VALUE"""),"Cadet")</f>
        <v>Cadet</v>
      </c>
      <c r="C20" s="13" t="str">
        <f>IFERROR(__xludf.DUMMYFUNCTION("""COMPUTED_VALUE"""),"Eldrim")</f>
        <v>Eldrim</v>
      </c>
      <c r="D20" s="15" t="str">
        <f>IFERROR(__xludf.DUMMYFUNCTION("""COMPUTED_VALUE"""),"Hache-Grise")</f>
        <v>Hache-Grise</v>
      </c>
      <c r="E20" s="4" t="str">
        <f>IFERROR(__xludf.DUMMYFUNCTION("""COMPUTED_VALUE"""),"Cité de Blancherive")</f>
        <v>Cité de Blancherive</v>
      </c>
      <c r="F20" s="5" t="str">
        <f>IFERROR(__xludf.DUMMYFUNCTION("""COMPUTED_VALUE"""),"Garde")</f>
        <v>Garde</v>
      </c>
      <c r="G20" s="4" t="str">
        <f>IFERROR(__xludf.DUMMYFUNCTION("""COMPUTED_VALUE"""),"Déserteur")</f>
        <v>Déserteur</v>
      </c>
      <c r="H20" s="38"/>
      <c r="I20" s="106"/>
      <c r="J20" s="38"/>
      <c r="K20" s="38"/>
      <c r="L20" s="38"/>
      <c r="M20" s="38"/>
      <c r="N20" s="38"/>
      <c r="O20" s="38"/>
      <c r="P20" s="38"/>
      <c r="Q20" s="38"/>
      <c r="R20" s="38"/>
      <c r="S20" s="38"/>
      <c r="T20" s="38"/>
      <c r="U20" s="38"/>
      <c r="V20" s="38"/>
      <c r="W20" s="38"/>
      <c r="X20" s="38"/>
      <c r="Y20" s="38"/>
      <c r="Z20" s="38"/>
    </row>
    <row r="21">
      <c r="A21" s="4" t="b">
        <f>IFERROR(__xludf.DUMMYFUNCTION("""COMPUTED_VALUE"""),FALSE)</f>
        <v>0</v>
      </c>
      <c r="B21" s="4" t="str">
        <f>IFERROR(__xludf.DUMMYFUNCTION("""COMPUTED_VALUE"""),"Recrue")</f>
        <v>Recrue</v>
      </c>
      <c r="C21" s="13" t="str">
        <f>IFERROR(__xludf.DUMMYFUNCTION("""COMPUTED_VALUE"""),"Ro'minet")</f>
        <v>Ro'minet</v>
      </c>
      <c r="D21" s="13"/>
      <c r="E21" s="4" t="str">
        <f>IFERROR(__xludf.DUMMYFUNCTION("""COMPUTED_VALUE"""),"Cité de Blancherive")</f>
        <v>Cité de Blancherive</v>
      </c>
      <c r="F21" s="5" t="str">
        <f>IFERROR(__xludf.DUMMYFUNCTION("""COMPUTED_VALUE"""),"Garde")</f>
        <v>Garde</v>
      </c>
      <c r="G21" s="4" t="str">
        <f>IFERROR(__xludf.DUMMYFUNCTION("""COMPUTED_VALUE"""),"Radié du service actif")</f>
        <v>Radié du service actif</v>
      </c>
      <c r="H21" s="4"/>
      <c r="I21" s="106"/>
      <c r="J21" s="38"/>
      <c r="K21" s="38"/>
      <c r="L21" s="38"/>
      <c r="M21" s="38"/>
      <c r="N21" s="38"/>
      <c r="O21" s="38"/>
      <c r="P21" s="38"/>
      <c r="Q21" s="38"/>
      <c r="R21" s="38"/>
      <c r="S21" s="38"/>
      <c r="T21" s="38"/>
      <c r="U21" s="38"/>
      <c r="V21" s="38"/>
      <c r="W21" s="38"/>
      <c r="X21" s="38"/>
      <c r="Y21" s="38"/>
      <c r="Z21" s="38"/>
    </row>
    <row r="22">
      <c r="A22" s="4" t="b">
        <f>IFERROR(__xludf.DUMMYFUNCTION("""COMPUTED_VALUE"""),TRUE)</f>
        <v>1</v>
      </c>
      <c r="B22" s="4" t="str">
        <f>IFERROR(__xludf.DUMMYFUNCTION("""COMPUTED_VALUE"""),"Garde")</f>
        <v>Garde</v>
      </c>
      <c r="C22" s="13" t="str">
        <f>IFERROR(__xludf.DUMMYFUNCTION("""COMPUTED_VALUE"""),"Bjorn")</f>
        <v>Bjorn</v>
      </c>
      <c r="D22" s="13" t="str">
        <f>IFERROR(__xludf.DUMMYFUNCTION("""COMPUTED_VALUE"""),"Kornseen")</f>
        <v>Kornseen</v>
      </c>
      <c r="E22" s="4" t="str">
        <f>IFERROR(__xludf.DUMMYFUNCTION("""COMPUTED_VALUE"""),"Cité de Blancherive")</f>
        <v>Cité de Blancherive</v>
      </c>
      <c r="F22" s="5" t="str">
        <f>IFERROR(__xludf.DUMMYFUNCTION("""COMPUTED_VALUE"""),"Garde")</f>
        <v>Garde</v>
      </c>
      <c r="G22" s="4" t="str">
        <f>IFERROR(__xludf.DUMMYFUNCTION("""COMPUTED_VALUE"""),"En service actif")</f>
        <v>En service actif</v>
      </c>
      <c r="H22" s="4"/>
      <c r="I22" s="106"/>
      <c r="J22" s="38"/>
      <c r="K22" s="38"/>
      <c r="L22" s="38"/>
      <c r="M22" s="38"/>
      <c r="N22" s="38"/>
      <c r="O22" s="38"/>
      <c r="P22" s="38"/>
      <c r="Q22" s="38"/>
      <c r="R22" s="38"/>
      <c r="S22" s="38"/>
      <c r="T22" s="38"/>
      <c r="U22" s="38"/>
      <c r="V22" s="38"/>
      <c r="W22" s="38"/>
      <c r="X22" s="38"/>
      <c r="Y22" s="38"/>
      <c r="Z22" s="38"/>
    </row>
    <row r="23">
      <c r="A23" s="4" t="b">
        <f>IFERROR(__xludf.DUMMYFUNCTION("""COMPUTED_VALUE"""),TRUE)</f>
        <v>1</v>
      </c>
      <c r="B23" s="4" t="str">
        <f>IFERROR(__xludf.DUMMYFUNCTION("""COMPUTED_VALUE"""),"Garde")</f>
        <v>Garde</v>
      </c>
      <c r="C23" s="13" t="str">
        <f>IFERROR(__xludf.DUMMYFUNCTION("""COMPUTED_VALUE"""),"Wulfgar")</f>
        <v>Wulfgar</v>
      </c>
      <c r="D23" s="13" t="str">
        <f>IFERROR(__xludf.DUMMYFUNCTION("""COMPUTED_VALUE"""),"Durrock")</f>
        <v>Durrock</v>
      </c>
      <c r="E23" s="4" t="str">
        <f>IFERROR(__xludf.DUMMYFUNCTION("""COMPUTED_VALUE"""),"Cité de Blancherive")</f>
        <v>Cité de Blancherive</v>
      </c>
      <c r="F23" s="5" t="str">
        <f>IFERROR(__xludf.DUMMYFUNCTION("""COMPUTED_VALUE"""),"Garde")</f>
        <v>Garde</v>
      </c>
      <c r="G23" s="4" t="str">
        <f>IFERROR(__xludf.DUMMYFUNCTION("""COMPUTED_VALUE"""),"En service actif")</f>
        <v>En service actif</v>
      </c>
      <c r="H23" s="4"/>
      <c r="I23" s="106"/>
      <c r="J23" s="38"/>
      <c r="K23" s="38"/>
      <c r="L23" s="38"/>
      <c r="M23" s="38"/>
      <c r="N23" s="38"/>
      <c r="O23" s="38"/>
      <c r="P23" s="38"/>
      <c r="Q23" s="38"/>
      <c r="R23" s="38"/>
      <c r="S23" s="38"/>
      <c r="T23" s="38"/>
      <c r="U23" s="38"/>
      <c r="V23" s="38"/>
      <c r="W23" s="38"/>
      <c r="X23" s="38"/>
      <c r="Y23" s="38"/>
      <c r="Z23" s="38"/>
    </row>
    <row r="24">
      <c r="A24" s="4" t="b">
        <f>IFERROR(__xludf.DUMMYFUNCTION("""COMPUTED_VALUE"""),FALSE)</f>
        <v>0</v>
      </c>
      <c r="B24" s="4" t="str">
        <f>IFERROR(__xludf.DUMMYFUNCTION("""COMPUTED_VALUE"""),"Garde")</f>
        <v>Garde</v>
      </c>
      <c r="C24" s="13" t="str">
        <f>IFERROR(__xludf.DUMMYFUNCTION("""COMPUTED_VALUE"""),"Lyosha ")</f>
        <v>Lyosha </v>
      </c>
      <c r="D24" s="15" t="str">
        <f>IFERROR(__xludf.DUMMYFUNCTION("""COMPUTED_VALUE"""),"Sullapierre")</f>
        <v>Sullapierre</v>
      </c>
      <c r="E24" s="4" t="str">
        <f>IFERROR(__xludf.DUMMYFUNCTION("""COMPUTED_VALUE"""),"Cité de Blancherive")</f>
        <v>Cité de Blancherive</v>
      </c>
      <c r="F24" s="5" t="str">
        <f>IFERROR(__xludf.DUMMYFUNCTION("""COMPUTED_VALUE"""),"Garde")</f>
        <v>Garde</v>
      </c>
      <c r="G24" s="4" t="str">
        <f>IFERROR(__xludf.DUMMYFUNCTION("""COMPUTED_VALUE"""),"Mis en réserve")</f>
        <v>Mis en réserve</v>
      </c>
      <c r="H24" s="4"/>
      <c r="I24" s="106"/>
      <c r="J24" s="38"/>
      <c r="K24" s="38"/>
      <c r="L24" s="38"/>
      <c r="M24" s="38"/>
      <c r="N24" s="38"/>
      <c r="O24" s="38"/>
      <c r="P24" s="38"/>
      <c r="Q24" s="38"/>
      <c r="R24" s="38"/>
      <c r="S24" s="38"/>
      <c r="T24" s="38"/>
      <c r="U24" s="38"/>
      <c r="V24" s="38"/>
      <c r="W24" s="38"/>
      <c r="X24" s="38"/>
      <c r="Y24" s="38"/>
      <c r="Z24" s="38"/>
    </row>
    <row r="25">
      <c r="A25" s="4" t="b">
        <f>IFERROR(__xludf.DUMMYFUNCTION("""COMPUTED_VALUE"""),FALSE)</f>
        <v>0</v>
      </c>
      <c r="B25" s="4" t="str">
        <f>IFERROR(__xludf.DUMMYFUNCTION("""COMPUTED_VALUE"""),"Garde")</f>
        <v>Garde</v>
      </c>
      <c r="C25" s="13" t="str">
        <f>IFERROR(__xludf.DUMMYFUNCTION("""COMPUTED_VALUE"""),"Brandon ")</f>
        <v>Brandon </v>
      </c>
      <c r="D25" s="13" t="str">
        <f>IFERROR(__xludf.DUMMYFUNCTION("""COMPUTED_VALUE"""),"Alprazz")</f>
        <v>Alprazz</v>
      </c>
      <c r="E25" s="4" t="str">
        <f>IFERROR(__xludf.DUMMYFUNCTION("""COMPUTED_VALUE"""),"Cité de Blancherive")</f>
        <v>Cité de Blancherive</v>
      </c>
      <c r="F25" s="5" t="str">
        <f>IFERROR(__xludf.DUMMYFUNCTION("""COMPUTED_VALUE"""),"Garde")</f>
        <v>Garde</v>
      </c>
      <c r="G25" s="4" t="str">
        <f>IFERROR(__xludf.DUMMYFUNCTION("""COMPUTED_VALUE"""),"Mis en réserve")</f>
        <v>Mis en réserve</v>
      </c>
      <c r="H25" s="38"/>
      <c r="I25" s="106"/>
      <c r="J25" s="38"/>
      <c r="K25" s="38"/>
      <c r="L25" s="38"/>
      <c r="M25" s="38"/>
      <c r="N25" s="38"/>
      <c r="O25" s="38"/>
      <c r="P25" s="38"/>
      <c r="Q25" s="38"/>
      <c r="R25" s="38"/>
      <c r="S25" s="38"/>
      <c r="T25" s="38"/>
      <c r="U25" s="38"/>
      <c r="V25" s="38"/>
      <c r="W25" s="38"/>
      <c r="X25" s="38"/>
      <c r="Y25" s="38"/>
      <c r="Z25" s="38"/>
    </row>
    <row r="26">
      <c r="A26" s="4" t="b">
        <f>IFERROR(__xludf.DUMMYFUNCTION("""COMPUTED_VALUE"""),TRUE)</f>
        <v>1</v>
      </c>
      <c r="B26" s="4" t="str">
        <f>IFERROR(__xludf.DUMMYFUNCTION("""COMPUTED_VALUE"""),"Garde")</f>
        <v>Garde</v>
      </c>
      <c r="C26" s="13" t="str">
        <f>IFERROR(__xludf.DUMMYFUNCTION("""COMPUTED_VALUE"""),"Aldric")</f>
        <v>Aldric</v>
      </c>
      <c r="D26" s="15" t="str">
        <f>IFERROR(__xludf.DUMMYFUNCTION("""COMPUTED_VALUE"""),"Cendre-coeur")</f>
        <v>Cendre-coeur</v>
      </c>
      <c r="E26" s="4" t="str">
        <f>IFERROR(__xludf.DUMMYFUNCTION("""COMPUTED_VALUE"""),"Cité de Blancherive")</f>
        <v>Cité de Blancherive</v>
      </c>
      <c r="F26" s="5" t="str">
        <f>IFERROR(__xludf.DUMMYFUNCTION("""COMPUTED_VALUE"""),"Garde")</f>
        <v>Garde</v>
      </c>
      <c r="G26" s="4" t="str">
        <f>IFERROR(__xludf.DUMMYFUNCTION("""COMPUTED_VALUE"""),"En service actif")</f>
        <v>En service actif</v>
      </c>
      <c r="H26" s="38"/>
      <c r="I26" s="106"/>
      <c r="J26" s="38"/>
      <c r="K26" s="38"/>
      <c r="L26" s="38"/>
      <c r="M26" s="38"/>
      <c r="N26" s="38"/>
      <c r="O26" s="38"/>
      <c r="P26" s="38"/>
      <c r="Q26" s="38"/>
      <c r="R26" s="38"/>
      <c r="S26" s="38"/>
      <c r="T26" s="38"/>
      <c r="U26" s="38"/>
      <c r="V26" s="38"/>
      <c r="W26" s="38"/>
      <c r="X26" s="38"/>
      <c r="Y26" s="38"/>
      <c r="Z26" s="38"/>
    </row>
    <row r="27">
      <c r="A27" s="4" t="b">
        <f>IFERROR(__xludf.DUMMYFUNCTION("""COMPUTED_VALUE"""),FALSE)</f>
        <v>0</v>
      </c>
      <c r="B27" s="4" t="str">
        <f>IFERROR(__xludf.DUMMYFUNCTION("""COMPUTED_VALUE"""),"Recrue")</f>
        <v>Recrue</v>
      </c>
      <c r="C27" s="13" t="str">
        <f>IFERROR(__xludf.DUMMYFUNCTION("""COMPUTED_VALUE"""),"Aldrok")</f>
        <v>Aldrok</v>
      </c>
      <c r="D27" s="15"/>
      <c r="E27" s="4" t="str">
        <f>IFERROR(__xludf.DUMMYFUNCTION("""COMPUTED_VALUE"""),"Cité de Blancherive")</f>
        <v>Cité de Blancherive</v>
      </c>
      <c r="F27" s="5" t="str">
        <f>IFERROR(__xludf.DUMMYFUNCTION("""COMPUTED_VALUE"""),"Garde")</f>
        <v>Garde</v>
      </c>
      <c r="G27" s="4" t="str">
        <f>IFERROR(__xludf.DUMMYFUNCTION("""COMPUTED_VALUE"""),"Radié du service actif")</f>
        <v>Radié du service actif</v>
      </c>
      <c r="H27" s="38"/>
      <c r="I27" s="106"/>
      <c r="J27" s="38"/>
      <c r="K27" s="38"/>
      <c r="L27" s="38"/>
      <c r="M27" s="38"/>
      <c r="N27" s="38"/>
      <c r="O27" s="38"/>
      <c r="P27" s="38"/>
      <c r="Q27" s="38"/>
      <c r="R27" s="38"/>
      <c r="S27" s="38"/>
      <c r="T27" s="38"/>
      <c r="U27" s="38"/>
      <c r="V27" s="38"/>
      <c r="W27" s="38"/>
      <c r="X27" s="38"/>
      <c r="Y27" s="38"/>
      <c r="Z27" s="38"/>
    </row>
    <row r="28">
      <c r="A28" s="4" t="b">
        <f>IFERROR(__xludf.DUMMYFUNCTION("""COMPUTED_VALUE"""),TRUE)</f>
        <v>1</v>
      </c>
      <c r="B28" s="4" t="str">
        <f>IFERROR(__xludf.DUMMYFUNCTION("""COMPUTED_VALUE"""),"Garde")</f>
        <v>Garde</v>
      </c>
      <c r="C28" s="13" t="str">
        <f>IFERROR(__xludf.DUMMYFUNCTION("""COMPUTED_VALUE"""),"Zeid")</f>
        <v>Zeid</v>
      </c>
      <c r="D28" s="13" t="str">
        <f>IFERROR(__xludf.DUMMYFUNCTION("""COMPUTED_VALUE"""),"Le Brise-Lames")</f>
        <v>Le Brise-Lames</v>
      </c>
      <c r="E28" s="4" t="str">
        <f>IFERROR(__xludf.DUMMYFUNCTION("""COMPUTED_VALUE"""),"Cité de Blancherive")</f>
        <v>Cité de Blancherive</v>
      </c>
      <c r="F28" s="5" t="str">
        <f>IFERROR(__xludf.DUMMYFUNCTION("""COMPUTED_VALUE"""),"Garde")</f>
        <v>Garde</v>
      </c>
      <c r="G28" s="4" t="str">
        <f>IFERROR(__xludf.DUMMYFUNCTION("""COMPUTED_VALUE"""),"En service actif")</f>
        <v>En service actif</v>
      </c>
      <c r="H28" s="38"/>
      <c r="I28" s="106"/>
      <c r="J28" s="38"/>
      <c r="K28" s="38"/>
      <c r="L28" s="38"/>
      <c r="M28" s="38"/>
      <c r="N28" s="38"/>
      <c r="O28" s="38"/>
      <c r="P28" s="38"/>
      <c r="Q28" s="38"/>
      <c r="R28" s="38"/>
      <c r="S28" s="38"/>
      <c r="T28" s="38"/>
      <c r="U28" s="38"/>
      <c r="V28" s="38"/>
      <c r="W28" s="38"/>
      <c r="X28" s="38"/>
      <c r="Y28" s="38"/>
      <c r="Z28" s="38"/>
    </row>
    <row r="29">
      <c r="A29" s="4" t="b">
        <f>IFERROR(__xludf.DUMMYFUNCTION("""COMPUTED_VALUE"""),FALSE)</f>
        <v>0</v>
      </c>
      <c r="B29" s="4" t="str">
        <f>IFERROR(__xludf.DUMMYFUNCTION("""COMPUTED_VALUE"""),"Recrue")</f>
        <v>Recrue</v>
      </c>
      <c r="C29" s="13" t="str">
        <f>IFERROR(__xludf.DUMMYFUNCTION("""COMPUTED_VALUE"""),"Gruseldorf")</f>
        <v>Gruseldorf</v>
      </c>
      <c r="D29" s="13" t="str">
        <f>IFERROR(__xludf.DUMMYFUNCTION("""COMPUTED_VALUE"""),"E. Jackeet")</f>
        <v>E. Jackeet</v>
      </c>
      <c r="E29" s="4" t="str">
        <f>IFERROR(__xludf.DUMMYFUNCTION("""COMPUTED_VALUE"""),"Cité de Blancherive")</f>
        <v>Cité de Blancherive</v>
      </c>
      <c r="F29" s="5" t="str">
        <f>IFERROR(__xludf.DUMMYFUNCTION("""COMPUTED_VALUE"""),"Garde")</f>
        <v>Garde</v>
      </c>
      <c r="G29" s="4" t="str">
        <f>IFERROR(__xludf.DUMMYFUNCTION("""COMPUTED_VALUE"""),"Radié du service actif")</f>
        <v>Radié du service actif</v>
      </c>
      <c r="H29" s="38"/>
      <c r="I29" s="106"/>
      <c r="J29" s="38"/>
      <c r="K29" s="38"/>
      <c r="L29" s="38"/>
      <c r="M29" s="38"/>
      <c r="N29" s="38"/>
      <c r="O29" s="38"/>
      <c r="P29" s="38"/>
      <c r="Q29" s="38"/>
      <c r="R29" s="38"/>
      <c r="S29" s="38"/>
      <c r="T29" s="38"/>
      <c r="U29" s="38"/>
      <c r="V29" s="38"/>
      <c r="W29" s="38"/>
      <c r="X29" s="38"/>
      <c r="Y29" s="38"/>
      <c r="Z29" s="38"/>
    </row>
    <row r="30">
      <c r="A30" s="4" t="b">
        <f>IFERROR(__xludf.DUMMYFUNCTION("""COMPUTED_VALUE"""),FALSE)</f>
        <v>0</v>
      </c>
      <c r="B30" s="4" t="str">
        <f>IFERROR(__xludf.DUMMYFUNCTION("""COMPUTED_VALUE"""),"Recrue")</f>
        <v>Recrue</v>
      </c>
      <c r="C30" s="13" t="str">
        <f>IFERROR(__xludf.DUMMYFUNCTION("""COMPUTED_VALUE"""),"Mordecai")</f>
        <v>Mordecai</v>
      </c>
      <c r="D30" s="15" t="str">
        <f>IFERROR(__xludf.DUMMYFUNCTION("""COMPUTED_VALUE"""),"E. Jackeet")</f>
        <v>E. Jackeet</v>
      </c>
      <c r="E30" s="4" t="str">
        <f>IFERROR(__xludf.DUMMYFUNCTION("""COMPUTED_VALUE"""),"Cité de Blancherive")</f>
        <v>Cité de Blancherive</v>
      </c>
      <c r="F30" s="5" t="str">
        <f>IFERROR(__xludf.DUMMYFUNCTION("""COMPUTED_VALUE"""),"Garde")</f>
        <v>Garde</v>
      </c>
      <c r="G30" s="4" t="str">
        <f>IFERROR(__xludf.DUMMYFUNCTION("""COMPUTED_VALUE"""),"Radié du service actif")</f>
        <v>Radié du service actif</v>
      </c>
      <c r="H30" s="38"/>
      <c r="I30" s="106"/>
      <c r="J30" s="38"/>
      <c r="K30" s="38"/>
      <c r="L30" s="38"/>
      <c r="M30" s="38"/>
      <c r="N30" s="38"/>
      <c r="O30" s="38"/>
      <c r="P30" s="38"/>
      <c r="Q30" s="38"/>
      <c r="R30" s="38"/>
      <c r="S30" s="38"/>
      <c r="T30" s="38"/>
      <c r="U30" s="38"/>
      <c r="V30" s="38"/>
      <c r="W30" s="38"/>
      <c r="X30" s="38"/>
      <c r="Y30" s="38"/>
      <c r="Z30" s="38"/>
    </row>
    <row r="31">
      <c r="A31" s="4" t="b">
        <f>IFERROR(__xludf.DUMMYFUNCTION("""COMPUTED_VALUE"""),FALSE)</f>
        <v>0</v>
      </c>
      <c r="B31" s="4" t="str">
        <f>IFERROR(__xludf.DUMMYFUNCTION("""COMPUTED_VALUE"""),"Recrue")</f>
        <v>Recrue</v>
      </c>
      <c r="C31" s="13" t="str">
        <f>IFERROR(__xludf.DUMMYFUNCTION("""COMPUTED_VALUE"""),"Razim")</f>
        <v>Razim</v>
      </c>
      <c r="D31" s="15" t="str">
        <f>IFERROR(__xludf.DUMMYFUNCTION("""COMPUTED_VALUE"""),"Al-Rihad")</f>
        <v>Al-Rihad</v>
      </c>
      <c r="E31" s="4" t="str">
        <f>IFERROR(__xludf.DUMMYFUNCTION("""COMPUTED_VALUE"""),"Cité de Blancherive")</f>
        <v>Cité de Blancherive</v>
      </c>
      <c r="F31" s="5" t="str">
        <f>IFERROR(__xludf.DUMMYFUNCTION("""COMPUTED_VALUE"""),"Garde")</f>
        <v>Garde</v>
      </c>
      <c r="G31" s="4" t="str">
        <f>IFERROR(__xludf.DUMMYFUNCTION("""COMPUTED_VALUE"""),"Radié du service actif")</f>
        <v>Radié du service actif</v>
      </c>
      <c r="H31" s="38"/>
      <c r="I31" s="106"/>
      <c r="J31" s="38"/>
      <c r="K31" s="38"/>
      <c r="L31" s="38"/>
      <c r="M31" s="38"/>
      <c r="N31" s="38"/>
      <c r="O31" s="38"/>
      <c r="P31" s="38"/>
      <c r="Q31" s="38"/>
      <c r="R31" s="38"/>
      <c r="S31" s="38"/>
      <c r="T31" s="38"/>
      <c r="U31" s="38"/>
      <c r="V31" s="38"/>
      <c r="W31" s="38"/>
      <c r="X31" s="38"/>
      <c r="Y31" s="38"/>
      <c r="Z31" s="38"/>
    </row>
    <row r="32">
      <c r="A32" s="4" t="b">
        <f>IFERROR(__xludf.DUMMYFUNCTION("""COMPUTED_VALUE"""),FALSE)</f>
        <v>0</v>
      </c>
      <c r="B32" s="4" t="str">
        <f>IFERROR(__xludf.DUMMYFUNCTION("""COMPUTED_VALUE"""),"Recrue")</f>
        <v>Recrue</v>
      </c>
      <c r="C32" s="13" t="str">
        <f>IFERROR(__xludf.DUMMYFUNCTION("""COMPUTED_VALUE"""),"Alza'gar")</f>
        <v>Alza'gar</v>
      </c>
      <c r="D32" s="13"/>
      <c r="E32" s="4" t="str">
        <f>IFERROR(__xludf.DUMMYFUNCTION("""COMPUTED_VALUE"""),"Cité de Blancherive")</f>
        <v>Cité de Blancherive</v>
      </c>
      <c r="F32" s="5" t="str">
        <f>IFERROR(__xludf.DUMMYFUNCTION("""COMPUTED_VALUE"""),"Garde")</f>
        <v>Garde</v>
      </c>
      <c r="G32" s="4" t="str">
        <f>IFERROR(__xludf.DUMMYFUNCTION("""COMPUTED_VALUE"""),"Démissionnaire")</f>
        <v>Démissionnaire</v>
      </c>
      <c r="H32" s="38"/>
      <c r="I32" s="106"/>
      <c r="J32" s="38"/>
      <c r="K32" s="38"/>
      <c r="L32" s="38"/>
      <c r="M32" s="38"/>
      <c r="N32" s="38"/>
      <c r="O32" s="38"/>
      <c r="P32" s="38"/>
      <c r="Q32" s="38"/>
      <c r="R32" s="38"/>
      <c r="S32" s="38"/>
      <c r="T32" s="38"/>
      <c r="U32" s="38"/>
      <c r="V32" s="38"/>
      <c r="W32" s="38"/>
      <c r="X32" s="38"/>
      <c r="Y32" s="38"/>
      <c r="Z32" s="38"/>
    </row>
    <row r="33">
      <c r="A33" s="4" t="b">
        <f>IFERROR(__xludf.DUMMYFUNCTION("""COMPUTED_VALUE"""),FALSE)</f>
        <v>0</v>
      </c>
      <c r="B33" s="4" t="str">
        <f>IFERROR(__xludf.DUMMYFUNCTION("""COMPUTED_VALUE"""),"Recrue")</f>
        <v>Recrue</v>
      </c>
      <c r="C33" s="13" t="str">
        <f>IFERROR(__xludf.DUMMYFUNCTION("""COMPUTED_VALUE"""),"Darius")</f>
        <v>Darius</v>
      </c>
      <c r="D33" s="13" t="str">
        <f>IFERROR(__xludf.DUMMYFUNCTION("""COMPUTED_VALUE"""),"Valtor")</f>
        <v>Valtor</v>
      </c>
      <c r="E33" s="4" t="str">
        <f>IFERROR(__xludf.DUMMYFUNCTION("""COMPUTED_VALUE"""),"Cité de Blancherive")</f>
        <v>Cité de Blancherive</v>
      </c>
      <c r="F33" s="5" t="str">
        <f>IFERROR(__xludf.DUMMYFUNCTION("""COMPUTED_VALUE"""),"Garde")</f>
        <v>Garde</v>
      </c>
      <c r="G33" s="4" t="str">
        <f>IFERROR(__xludf.DUMMYFUNCTION("""COMPUTED_VALUE"""),"En service actif")</f>
        <v>En service actif</v>
      </c>
      <c r="H33" s="38"/>
      <c r="I33" s="106"/>
      <c r="J33" s="38"/>
      <c r="K33" s="38"/>
      <c r="L33" s="38"/>
      <c r="M33" s="38"/>
      <c r="N33" s="38"/>
      <c r="O33" s="38"/>
      <c r="P33" s="38"/>
      <c r="Q33" s="38"/>
      <c r="R33" s="38"/>
      <c r="S33" s="38"/>
      <c r="T33" s="38"/>
      <c r="U33" s="38"/>
      <c r="V33" s="38"/>
      <c r="W33" s="38"/>
      <c r="X33" s="38"/>
      <c r="Y33" s="38"/>
      <c r="Z33" s="38"/>
    </row>
    <row r="34">
      <c r="A34" s="38" t="b">
        <f>IFERROR(__xludf.DUMMYFUNCTION("""COMPUTED_VALUE"""),FALSE)</f>
        <v>0</v>
      </c>
      <c r="B34" s="4" t="str">
        <f>IFERROR(__xludf.DUMMYFUNCTION("""COMPUTED_VALUE"""),"Recrue")</f>
        <v>Recrue</v>
      </c>
      <c r="C34" s="13" t="str">
        <f>IFERROR(__xludf.DUMMYFUNCTION("""COMPUTED_VALUE"""),"Marius")</f>
        <v>Marius</v>
      </c>
      <c r="D34" s="15" t="str">
        <f>IFERROR(__xludf.DUMMYFUNCTION("""COMPUTED_VALUE"""),"Renatus")</f>
        <v>Renatus</v>
      </c>
      <c r="E34" s="4" t="str">
        <f>IFERROR(__xludf.DUMMYFUNCTION("""COMPUTED_VALUE"""),"Cité de Blancherive")</f>
        <v>Cité de Blancherive</v>
      </c>
      <c r="F34" s="5" t="str">
        <f>IFERROR(__xludf.DUMMYFUNCTION("""COMPUTED_VALUE"""),"Garde")</f>
        <v>Garde</v>
      </c>
      <c r="G34" s="4" t="str">
        <f>IFERROR(__xludf.DUMMYFUNCTION("""COMPUTED_VALUE"""),"En service actif")</f>
        <v>En service actif</v>
      </c>
      <c r="H34" s="38"/>
      <c r="I34" s="106"/>
      <c r="J34" s="38"/>
      <c r="K34" s="38"/>
      <c r="L34" s="38"/>
      <c r="M34" s="38"/>
      <c r="N34" s="38"/>
      <c r="O34" s="38"/>
      <c r="P34" s="38"/>
      <c r="Q34" s="38"/>
      <c r="R34" s="38"/>
      <c r="S34" s="38"/>
      <c r="T34" s="38"/>
      <c r="U34" s="38"/>
      <c r="V34" s="38"/>
      <c r="W34" s="38"/>
      <c r="X34" s="38"/>
      <c r="Y34" s="38"/>
      <c r="Z34" s="38"/>
    </row>
    <row r="35">
      <c r="A35" s="4" t="b">
        <f>IFERROR(__xludf.DUMMYFUNCTION("""COMPUTED_VALUE"""),FALSE)</f>
        <v>0</v>
      </c>
      <c r="B35" s="4" t="str">
        <f>IFERROR(__xludf.DUMMYFUNCTION("""COMPUTED_VALUE"""),"Recrue")</f>
        <v>Recrue</v>
      </c>
      <c r="C35" s="13" t="str">
        <f>IFERROR(__xludf.DUMMYFUNCTION("""COMPUTED_VALUE"""),"Octan")</f>
        <v>Octan</v>
      </c>
      <c r="D35" s="15" t="str">
        <f>IFERROR(__xludf.DUMMYFUNCTION("""COMPUTED_VALUE"""),"Renatus")</f>
        <v>Renatus</v>
      </c>
      <c r="E35" s="4" t="str">
        <f>IFERROR(__xludf.DUMMYFUNCTION("""COMPUTED_VALUE"""),"Cité de Blancherive")</f>
        <v>Cité de Blancherive</v>
      </c>
      <c r="F35" s="5" t="str">
        <f>IFERROR(__xludf.DUMMYFUNCTION("""COMPUTED_VALUE"""),"Garde")</f>
        <v>Garde</v>
      </c>
      <c r="G35" s="4" t="str">
        <f>IFERROR(__xludf.DUMMYFUNCTION("""COMPUTED_VALUE"""),"Radié du service actif")</f>
        <v>Radié du service actif</v>
      </c>
      <c r="H35" s="38"/>
      <c r="I35" s="106"/>
      <c r="J35" s="38"/>
      <c r="K35" s="38"/>
      <c r="L35" s="38"/>
      <c r="M35" s="38"/>
      <c r="N35" s="38"/>
      <c r="O35" s="38"/>
      <c r="P35" s="38"/>
      <c r="Q35" s="38"/>
      <c r="R35" s="38"/>
      <c r="S35" s="38"/>
      <c r="T35" s="38"/>
      <c r="U35" s="38"/>
      <c r="V35" s="38"/>
      <c r="W35" s="38"/>
      <c r="X35" s="38"/>
      <c r="Y35" s="38"/>
      <c r="Z35" s="38"/>
    </row>
    <row r="36">
      <c r="A36" s="4" t="b">
        <f>IFERROR(__xludf.DUMMYFUNCTION("""COMPUTED_VALUE"""),FALSE)</f>
        <v>0</v>
      </c>
      <c r="B36" s="4" t="str">
        <f>IFERROR(__xludf.DUMMYFUNCTION("""COMPUTED_VALUE"""),"Recrue")</f>
        <v>Recrue</v>
      </c>
      <c r="C36" s="13" t="str">
        <f>IFERROR(__xludf.DUMMYFUNCTION("""COMPUTED_VALUE"""),"Danse-parmis-les-fous")</f>
        <v>Danse-parmis-les-fous</v>
      </c>
      <c r="D36" s="13"/>
      <c r="E36" s="4" t="str">
        <f>IFERROR(__xludf.DUMMYFUNCTION("""COMPUTED_VALUE"""),"Cité de Blancherive")</f>
        <v>Cité de Blancherive</v>
      </c>
      <c r="F36" s="5" t="str">
        <f>IFERROR(__xludf.DUMMYFUNCTION("""COMPUTED_VALUE"""),"Garde")</f>
        <v>Garde</v>
      </c>
      <c r="G36" s="4" t="str">
        <f>IFERROR(__xludf.DUMMYFUNCTION("""COMPUTED_VALUE"""),"Démissionnaire")</f>
        <v>Démissionnaire</v>
      </c>
      <c r="H36" s="38"/>
      <c r="I36" s="106"/>
      <c r="J36" s="38"/>
      <c r="K36" s="38"/>
      <c r="L36" s="38"/>
      <c r="M36" s="38"/>
      <c r="N36" s="38"/>
      <c r="O36" s="38"/>
      <c r="P36" s="38"/>
      <c r="Q36" s="38"/>
      <c r="R36" s="38"/>
      <c r="S36" s="38"/>
      <c r="T36" s="38"/>
      <c r="U36" s="38"/>
      <c r="V36" s="38"/>
      <c r="W36" s="38"/>
      <c r="X36" s="38"/>
      <c r="Y36" s="38"/>
      <c r="Z36" s="38"/>
    </row>
    <row r="37">
      <c r="A37" s="38" t="b">
        <f>IFERROR(__xludf.DUMMYFUNCTION("""COMPUTED_VALUE"""),FALSE)</f>
        <v>0</v>
      </c>
      <c r="B37" s="4" t="str">
        <f>IFERROR(__xludf.DUMMYFUNCTION("""COMPUTED_VALUE"""),"Recrue")</f>
        <v>Recrue</v>
      </c>
      <c r="C37" s="13" t="str">
        <f>IFERROR(__xludf.DUMMYFUNCTION("""COMPUTED_VALUE"""),"Gabbo")</f>
        <v>Gabbo</v>
      </c>
      <c r="D37" s="13"/>
      <c r="E37" s="4" t="str">
        <f>IFERROR(__xludf.DUMMYFUNCTION("""COMPUTED_VALUE"""),"Cité de Blancherive")</f>
        <v>Cité de Blancherive</v>
      </c>
      <c r="F37" s="5"/>
      <c r="G37" s="4" t="str">
        <f>IFERROR(__xludf.DUMMYFUNCTION("""COMPUTED_VALUE"""),"Démissionnaire")</f>
        <v>Démissionnaire</v>
      </c>
      <c r="H37" s="38"/>
      <c r="I37" s="106"/>
      <c r="J37" s="38"/>
      <c r="K37" s="38"/>
      <c r="L37" s="38"/>
      <c r="M37" s="38"/>
      <c r="N37" s="38"/>
      <c r="O37" s="38"/>
      <c r="P37" s="38"/>
      <c r="Q37" s="38"/>
      <c r="R37" s="38"/>
      <c r="S37" s="38"/>
      <c r="T37" s="38"/>
      <c r="U37" s="38"/>
      <c r="V37" s="38"/>
      <c r="W37" s="38"/>
      <c r="X37" s="38"/>
      <c r="Y37" s="38"/>
      <c r="Z37" s="38"/>
    </row>
    <row r="38">
      <c r="A38" s="38" t="b">
        <f>IFERROR(__xludf.DUMMYFUNCTION("""COMPUTED_VALUE"""),FALSE)</f>
        <v>0</v>
      </c>
      <c r="B38" s="4" t="str">
        <f>IFERROR(__xludf.DUMMYFUNCTION("""COMPUTED_VALUE"""),"Recrue")</f>
        <v>Recrue</v>
      </c>
      <c r="C38" s="13" t="str">
        <f>IFERROR(__xludf.DUMMYFUNCTION("""COMPUTED_VALUE"""),"Drakane")</f>
        <v>Drakane</v>
      </c>
      <c r="D38" s="13"/>
      <c r="E38" s="4" t="str">
        <f>IFERROR(__xludf.DUMMYFUNCTION("""COMPUTED_VALUE"""),"Cité de Blancherive")</f>
        <v>Cité de Blancherive</v>
      </c>
      <c r="F38" s="5" t="str">
        <f>IFERROR(__xludf.DUMMYFUNCTION("""COMPUTED_VALUE"""),"Garde")</f>
        <v>Garde</v>
      </c>
      <c r="G38" s="4" t="str">
        <f>IFERROR(__xludf.DUMMYFUNCTION("""COMPUTED_VALUE"""),"En service actif")</f>
        <v>En service actif</v>
      </c>
      <c r="H38" s="38"/>
      <c r="I38" s="106"/>
      <c r="J38" s="38"/>
      <c r="K38" s="38"/>
      <c r="L38" s="38"/>
      <c r="M38" s="38"/>
      <c r="N38" s="38"/>
      <c r="O38" s="38"/>
      <c r="P38" s="38"/>
      <c r="Q38" s="38"/>
      <c r="R38" s="38"/>
      <c r="S38" s="38"/>
      <c r="T38" s="38"/>
      <c r="U38" s="38"/>
      <c r="V38" s="38"/>
      <c r="W38" s="38"/>
      <c r="X38" s="38"/>
      <c r="Y38" s="38"/>
      <c r="Z38" s="38"/>
    </row>
    <row r="39">
      <c r="A39" s="38" t="b">
        <f>IFERROR(__xludf.DUMMYFUNCTION("""COMPUTED_VALUE"""),FALSE)</f>
        <v>0</v>
      </c>
      <c r="B39" s="4" t="str">
        <f>IFERROR(__xludf.DUMMYFUNCTION("""COMPUTED_VALUE"""),"Recrue")</f>
        <v>Recrue</v>
      </c>
      <c r="C39" s="13" t="str">
        <f>IFERROR(__xludf.DUMMYFUNCTION("""COMPUTED_VALUE"""),"Henry")</f>
        <v>Henry</v>
      </c>
      <c r="D39" s="15" t="str">
        <f>IFERROR(__xludf.DUMMYFUNCTION("""COMPUTED_VALUE"""),"Bonacier")</f>
        <v>Bonacier</v>
      </c>
      <c r="E39" s="4" t="str">
        <f>IFERROR(__xludf.DUMMYFUNCTION("""COMPUTED_VALUE"""),"Cité de Blancherive")</f>
        <v>Cité de Blancherive</v>
      </c>
      <c r="F39" s="5" t="str">
        <f>IFERROR(__xludf.DUMMYFUNCTION("""COMPUTED_VALUE"""),"Garde")</f>
        <v>Garde</v>
      </c>
      <c r="G39" s="4" t="str">
        <f>IFERROR(__xludf.DUMMYFUNCTION("""COMPUTED_VALUE"""),"En service actif")</f>
        <v>En service actif</v>
      </c>
      <c r="H39" s="38"/>
      <c r="I39" s="106"/>
      <c r="J39" s="38"/>
      <c r="K39" s="38"/>
      <c r="L39" s="38"/>
      <c r="M39" s="38"/>
      <c r="N39" s="38"/>
      <c r="O39" s="38"/>
      <c r="P39" s="38"/>
      <c r="Q39" s="38"/>
      <c r="R39" s="38"/>
      <c r="S39" s="38"/>
      <c r="T39" s="38"/>
      <c r="U39" s="38"/>
      <c r="V39" s="38"/>
      <c r="W39" s="38"/>
      <c r="X39" s="38"/>
      <c r="Y39" s="38"/>
      <c r="Z39" s="38"/>
    </row>
    <row r="40">
      <c r="A40" s="38" t="b">
        <f>IFERROR(__xludf.DUMMYFUNCTION("""COMPUTED_VALUE"""),FALSE)</f>
        <v>0</v>
      </c>
      <c r="B40" s="4" t="str">
        <f>IFERROR(__xludf.DUMMYFUNCTION("""COMPUTED_VALUE"""),"Recrue")</f>
        <v>Recrue</v>
      </c>
      <c r="C40" s="13" t="str">
        <f>IFERROR(__xludf.DUMMYFUNCTION("""COMPUTED_VALUE"""),"Lyrielle")</f>
        <v>Lyrielle</v>
      </c>
      <c r="D40" s="15" t="str">
        <f>IFERROR(__xludf.DUMMYFUNCTION("""COMPUTED_VALUE"""),"Audrin")</f>
        <v>Audrin</v>
      </c>
      <c r="E40" s="4" t="str">
        <f>IFERROR(__xludf.DUMMYFUNCTION("""COMPUTED_VALUE"""),"Cité de Blancherive")</f>
        <v>Cité de Blancherive</v>
      </c>
      <c r="F40" s="5" t="str">
        <f>IFERROR(__xludf.DUMMYFUNCTION("""COMPUTED_VALUE"""),"Garde")</f>
        <v>Garde</v>
      </c>
      <c r="G40" s="4" t="str">
        <f>IFERROR(__xludf.DUMMYFUNCTION("""COMPUTED_VALUE"""),"En service actif")</f>
        <v>En service actif</v>
      </c>
      <c r="H40" s="4"/>
      <c r="I40" s="106"/>
      <c r="J40" s="38"/>
      <c r="K40" s="38"/>
      <c r="L40" s="38"/>
      <c r="M40" s="38"/>
      <c r="N40" s="38"/>
      <c r="O40" s="38"/>
      <c r="P40" s="38"/>
      <c r="Q40" s="38"/>
      <c r="R40" s="38"/>
      <c r="S40" s="38"/>
      <c r="T40" s="38"/>
      <c r="U40" s="38"/>
      <c r="V40" s="38"/>
      <c r="W40" s="38"/>
      <c r="X40" s="38"/>
      <c r="Y40" s="38"/>
      <c r="Z40" s="38"/>
    </row>
    <row r="41">
      <c r="A41" s="38" t="b">
        <f>IFERROR(__xludf.DUMMYFUNCTION("""COMPUTED_VALUE"""),FALSE)</f>
        <v>0</v>
      </c>
      <c r="B41" s="38" t="str">
        <f>IFERROR(__xludf.DUMMYFUNCTION("""COMPUTED_VALUE"""),"Recrue")</f>
        <v>Recrue</v>
      </c>
      <c r="C41" s="15" t="str">
        <f>IFERROR(__xludf.DUMMYFUNCTION("""COMPUTED_VALUE"""),"Varkiath")</f>
        <v>Varkiath</v>
      </c>
      <c r="D41" s="15"/>
      <c r="E41" s="38" t="str">
        <f>IFERROR(__xludf.DUMMYFUNCTION("""COMPUTED_VALUE"""),"Cité de Blancherive")</f>
        <v>Cité de Blancherive</v>
      </c>
      <c r="F41" s="38" t="str">
        <f>IFERROR(__xludf.DUMMYFUNCTION("""COMPUTED_VALUE"""),"Garde")</f>
        <v>Garde</v>
      </c>
      <c r="G41" s="38" t="str">
        <f>IFERROR(__xludf.DUMMYFUNCTION("""COMPUTED_VALUE"""),"En service actif")</f>
        <v>En service actif</v>
      </c>
      <c r="H41" s="38"/>
      <c r="I41" s="106"/>
      <c r="J41" s="38"/>
      <c r="K41" s="38"/>
      <c r="L41" s="38"/>
      <c r="M41" s="38"/>
      <c r="N41" s="38"/>
      <c r="O41" s="38"/>
      <c r="P41" s="38"/>
      <c r="Q41" s="38"/>
      <c r="R41" s="38"/>
      <c r="S41" s="38"/>
      <c r="T41" s="38"/>
      <c r="U41" s="38"/>
      <c r="V41" s="38"/>
      <c r="W41" s="38"/>
      <c r="X41" s="38"/>
      <c r="Y41" s="38"/>
      <c r="Z41" s="38"/>
    </row>
    <row r="42">
      <c r="A42" s="38" t="b">
        <f>IFERROR(__xludf.DUMMYFUNCTION("""COMPUTED_VALUE"""),FALSE)</f>
        <v>0</v>
      </c>
      <c r="B42" s="38" t="str">
        <f>IFERROR(__xludf.DUMMYFUNCTION("""COMPUTED_VALUE"""),"Recrue")</f>
        <v>Recrue</v>
      </c>
      <c r="C42" s="15" t="str">
        <f>IFERROR(__xludf.DUMMYFUNCTION("""COMPUTED_VALUE"""),"Amartas")</f>
        <v>Amartas</v>
      </c>
      <c r="D42" s="15" t="str">
        <f>IFERROR(__xludf.DUMMYFUNCTION("""COMPUTED_VALUE"""),"Après-rouge")</f>
        <v>Après-rouge</v>
      </c>
      <c r="E42" s="38" t="str">
        <f>IFERROR(__xludf.DUMMYFUNCTION("""COMPUTED_VALUE"""),"Cité de Blancherive")</f>
        <v>Cité de Blancherive</v>
      </c>
      <c r="F42" s="38" t="str">
        <f>IFERROR(__xludf.DUMMYFUNCTION("""COMPUTED_VALUE"""),"Garde")</f>
        <v>Garde</v>
      </c>
      <c r="G42" s="38" t="str">
        <f>IFERROR(__xludf.DUMMYFUNCTION("""COMPUTED_VALUE"""),"En service actif")</f>
        <v>En service actif</v>
      </c>
      <c r="H42" s="38"/>
      <c r="I42" s="106"/>
      <c r="J42" s="38"/>
      <c r="K42" s="38"/>
      <c r="L42" s="38"/>
      <c r="M42" s="38"/>
      <c r="N42" s="38"/>
      <c r="O42" s="38"/>
      <c r="P42" s="38"/>
      <c r="Q42" s="38"/>
      <c r="R42" s="38"/>
      <c r="S42" s="38"/>
      <c r="T42" s="38"/>
      <c r="U42" s="38"/>
      <c r="V42" s="38"/>
      <c r="W42" s="38"/>
      <c r="X42" s="38"/>
      <c r="Y42" s="38"/>
      <c r="Z42" s="38"/>
    </row>
    <row r="43">
      <c r="A43" s="38" t="b">
        <f>IFERROR(__xludf.DUMMYFUNCTION("""COMPUTED_VALUE"""),FALSE)</f>
        <v>0</v>
      </c>
      <c r="B43" s="38" t="str">
        <f>IFERROR(__xludf.DUMMYFUNCTION("""COMPUTED_VALUE"""),"Recrue")</f>
        <v>Recrue</v>
      </c>
      <c r="C43" s="15" t="str">
        <f>IFERROR(__xludf.DUMMYFUNCTION("""COMPUTED_VALUE"""),"Ka")</f>
        <v>Ka</v>
      </c>
      <c r="D43" s="15" t="str">
        <f>IFERROR(__xludf.DUMMYFUNCTION("""COMPUTED_VALUE"""),"Yak")</f>
        <v>Yak</v>
      </c>
      <c r="E43" s="38" t="str">
        <f>IFERROR(__xludf.DUMMYFUNCTION("""COMPUTED_VALUE"""),"Cité de Blancherive")</f>
        <v>Cité de Blancherive</v>
      </c>
      <c r="F43" s="38" t="str">
        <f>IFERROR(__xludf.DUMMYFUNCTION("""COMPUTED_VALUE"""),"Garde")</f>
        <v>Garde</v>
      </c>
      <c r="G43" s="38" t="str">
        <f>IFERROR(__xludf.DUMMYFUNCTION("""COMPUTED_VALUE"""),"En service actif")</f>
        <v>En service actif</v>
      </c>
      <c r="H43" s="38"/>
      <c r="I43" s="106"/>
      <c r="J43" s="38"/>
      <c r="K43" s="38"/>
      <c r="L43" s="38"/>
      <c r="M43" s="38"/>
      <c r="N43" s="38"/>
      <c r="O43" s="38"/>
      <c r="P43" s="38"/>
      <c r="Q43" s="38"/>
      <c r="R43" s="38"/>
      <c r="S43" s="38"/>
      <c r="T43" s="38"/>
      <c r="U43" s="38"/>
      <c r="V43" s="38"/>
      <c r="W43" s="38"/>
      <c r="X43" s="38"/>
      <c r="Y43" s="38"/>
      <c r="Z43" s="38"/>
    </row>
    <row r="44">
      <c r="A44" s="38" t="b">
        <f>IFERROR(__xludf.DUMMYFUNCTION("""COMPUTED_VALUE"""),FALSE)</f>
        <v>0</v>
      </c>
      <c r="B44" s="38" t="str">
        <f>IFERROR(__xludf.DUMMYFUNCTION("""COMPUTED_VALUE"""),"Recrue")</f>
        <v>Recrue</v>
      </c>
      <c r="C44" s="15" t="str">
        <f>IFERROR(__xludf.DUMMYFUNCTION("""COMPUTED_VALUE"""),"Maludrar")</f>
        <v>Maludrar</v>
      </c>
      <c r="D44" s="15"/>
      <c r="E44" s="38" t="str">
        <f>IFERROR(__xludf.DUMMYFUNCTION("""COMPUTED_VALUE"""),"Cité de Blancherive")</f>
        <v>Cité de Blancherive</v>
      </c>
      <c r="F44" s="38" t="str">
        <f>IFERROR(__xludf.DUMMYFUNCTION("""COMPUTED_VALUE"""),"Garde")</f>
        <v>Garde</v>
      </c>
      <c r="G44" s="38" t="str">
        <f>IFERROR(__xludf.DUMMYFUNCTION("""COMPUTED_VALUE"""),"En service actif")</f>
        <v>En service actif</v>
      </c>
      <c r="H44" s="38"/>
      <c r="I44" s="106"/>
      <c r="J44" s="38"/>
      <c r="K44" s="38"/>
      <c r="L44" s="38"/>
      <c r="M44" s="38"/>
      <c r="N44" s="38"/>
      <c r="O44" s="38"/>
      <c r="P44" s="38"/>
      <c r="Q44" s="38"/>
      <c r="R44" s="38"/>
      <c r="S44" s="38"/>
      <c r="T44" s="38"/>
      <c r="U44" s="38"/>
      <c r="V44" s="38"/>
      <c r="W44" s="38"/>
      <c r="X44" s="38"/>
      <c r="Y44" s="38"/>
      <c r="Z44" s="38"/>
    </row>
    <row r="45">
      <c r="A45" s="38" t="b">
        <f>IFERROR(__xludf.DUMMYFUNCTION("""COMPUTED_VALUE"""),FALSE)</f>
        <v>0</v>
      </c>
      <c r="B45" s="38" t="str">
        <f>IFERROR(__xludf.DUMMYFUNCTION("""COMPUTED_VALUE"""),"Recrue")</f>
        <v>Recrue</v>
      </c>
      <c r="C45" s="15" t="str">
        <f>IFERROR(__xludf.DUMMYFUNCTION("""COMPUTED_VALUE"""),"Numerus")</f>
        <v>Numerus</v>
      </c>
      <c r="D45" s="15" t="str">
        <f>IFERROR(__xludf.DUMMYFUNCTION("""COMPUTED_VALUE"""),"Clausus")</f>
        <v>Clausus</v>
      </c>
      <c r="E45" s="38" t="str">
        <f>IFERROR(__xludf.DUMMYFUNCTION("""COMPUTED_VALUE"""),"Cité de Blancherive")</f>
        <v>Cité de Blancherive</v>
      </c>
      <c r="F45" s="38" t="str">
        <f>IFERROR(__xludf.DUMMYFUNCTION("""COMPUTED_VALUE"""),"Garde")</f>
        <v>Garde</v>
      </c>
      <c r="G45" s="38" t="str">
        <f>IFERROR(__xludf.DUMMYFUNCTION("""COMPUTED_VALUE"""),"En service actif")</f>
        <v>En service actif</v>
      </c>
      <c r="H45" s="38"/>
      <c r="I45" s="106"/>
      <c r="J45" s="38"/>
      <c r="K45" s="38"/>
      <c r="L45" s="38"/>
      <c r="M45" s="38"/>
      <c r="N45" s="38"/>
      <c r="O45" s="38"/>
      <c r="P45" s="38"/>
      <c r="Q45" s="38"/>
      <c r="R45" s="38"/>
      <c r="S45" s="38"/>
      <c r="T45" s="38"/>
      <c r="U45" s="38"/>
      <c r="V45" s="38"/>
      <c r="W45" s="38"/>
      <c r="X45" s="38"/>
      <c r="Y45" s="38"/>
      <c r="Z45" s="38"/>
    </row>
    <row r="46">
      <c r="A46" s="38"/>
      <c r="B46" s="38"/>
      <c r="C46" s="15"/>
      <c r="D46" s="15"/>
      <c r="E46" s="38"/>
      <c r="F46" s="38"/>
      <c r="G46" s="38"/>
      <c r="H46" s="38"/>
      <c r="I46" s="108"/>
    </row>
    <row r="47">
      <c r="A47" s="38"/>
      <c r="B47" s="38"/>
      <c r="C47" s="15"/>
      <c r="D47" s="15"/>
      <c r="E47" s="38"/>
      <c r="F47" s="38"/>
      <c r="G47" s="38"/>
      <c r="H47" s="38"/>
      <c r="I47" s="108"/>
    </row>
    <row r="48">
      <c r="A48" s="38"/>
      <c r="B48" s="38"/>
      <c r="C48" s="15"/>
      <c r="D48" s="15"/>
      <c r="E48" s="38"/>
      <c r="F48" s="38"/>
      <c r="G48" s="38"/>
      <c r="H48" s="38"/>
      <c r="I48" s="108"/>
    </row>
    <row r="49">
      <c r="A49" s="38"/>
      <c r="B49" s="38"/>
      <c r="C49" s="15"/>
      <c r="D49" s="15"/>
      <c r="E49" s="38"/>
      <c r="F49" s="38"/>
      <c r="G49" s="38"/>
      <c r="H49" s="38"/>
      <c r="I49" s="108"/>
    </row>
    <row r="50">
      <c r="A50" s="38"/>
      <c r="B50" s="38"/>
      <c r="C50" s="15"/>
      <c r="D50" s="15"/>
      <c r="E50" s="38"/>
      <c r="F50" s="38"/>
      <c r="G50" s="38"/>
      <c r="H50" s="38"/>
      <c r="I50" s="108"/>
    </row>
    <row r="51">
      <c r="A51" s="38"/>
      <c r="B51" s="38"/>
      <c r="C51" s="15"/>
      <c r="D51" s="15"/>
      <c r="E51" s="38"/>
      <c r="F51" s="38"/>
      <c r="G51" s="38"/>
      <c r="H51" s="38"/>
      <c r="I51" s="108"/>
    </row>
    <row r="52">
      <c r="A52" s="38"/>
      <c r="B52" s="38"/>
      <c r="C52" s="15"/>
      <c r="D52" s="15"/>
      <c r="E52" s="38"/>
      <c r="F52" s="38"/>
      <c r="G52" s="38"/>
      <c r="H52" s="38"/>
      <c r="I52" s="108"/>
    </row>
    <row r="53">
      <c r="A53" s="38"/>
      <c r="B53" s="38"/>
      <c r="C53" s="15"/>
      <c r="D53" s="15"/>
      <c r="E53" s="38"/>
      <c r="F53" s="38"/>
      <c r="G53" s="38"/>
      <c r="H53" s="38"/>
      <c r="I53" s="108"/>
    </row>
    <row r="54">
      <c r="A54" s="38"/>
      <c r="B54" s="38"/>
      <c r="C54" s="15"/>
      <c r="D54" s="15"/>
      <c r="E54" s="38"/>
      <c r="F54" s="38"/>
      <c r="G54" s="38"/>
      <c r="H54" s="38"/>
      <c r="I54" s="108"/>
    </row>
    <row r="55">
      <c r="A55" s="38"/>
      <c r="B55" s="38"/>
      <c r="C55" s="15"/>
      <c r="D55" s="15"/>
      <c r="E55" s="38"/>
      <c r="F55" s="38"/>
      <c r="G55" s="38"/>
      <c r="H55" s="38"/>
      <c r="I55" s="108"/>
    </row>
    <row r="56">
      <c r="A56" s="38"/>
      <c r="B56" s="38"/>
      <c r="C56" s="15"/>
      <c r="D56" s="15"/>
      <c r="E56" s="38"/>
      <c r="F56" s="38"/>
      <c r="G56" s="38"/>
      <c r="H56" s="38"/>
      <c r="I56" s="108"/>
    </row>
    <row r="57">
      <c r="A57" s="38"/>
      <c r="B57" s="38"/>
      <c r="C57" s="15"/>
      <c r="D57" s="15"/>
      <c r="E57" s="38"/>
      <c r="F57" s="38"/>
      <c r="G57" s="38"/>
      <c r="H57" s="38"/>
      <c r="I57" s="108"/>
    </row>
    <row r="58">
      <c r="A58" s="38"/>
      <c r="B58" s="38"/>
      <c r="C58" s="15"/>
      <c r="D58" s="15"/>
      <c r="E58" s="38"/>
      <c r="F58" s="38"/>
      <c r="G58" s="38"/>
      <c r="H58" s="38"/>
      <c r="I58" s="108"/>
    </row>
    <row r="59">
      <c r="A59" s="38"/>
      <c r="B59" s="38"/>
      <c r="C59" s="15"/>
      <c r="D59" s="15"/>
      <c r="E59" s="38"/>
      <c r="F59" s="38"/>
      <c r="G59" s="38"/>
      <c r="H59" s="38"/>
      <c r="I59" s="108"/>
    </row>
    <row r="60">
      <c r="A60" s="38"/>
      <c r="B60" s="38"/>
      <c r="C60" s="15"/>
      <c r="D60" s="15"/>
      <c r="E60" s="38"/>
      <c r="F60" s="38"/>
      <c r="G60" s="38"/>
      <c r="H60" s="38"/>
      <c r="I60" s="108"/>
    </row>
    <row r="61">
      <c r="A61" s="38"/>
      <c r="B61" s="38"/>
      <c r="C61" s="15"/>
      <c r="D61" s="15"/>
      <c r="E61" s="38"/>
      <c r="F61" s="38"/>
      <c r="G61" s="38"/>
      <c r="H61" s="38"/>
      <c r="I61" s="108"/>
    </row>
    <row r="62">
      <c r="A62" s="38"/>
      <c r="B62" s="38"/>
      <c r="C62" s="15"/>
      <c r="D62" s="15"/>
      <c r="E62" s="38"/>
      <c r="F62" s="38"/>
      <c r="G62" s="38"/>
      <c r="H62" s="38"/>
      <c r="I62" s="108"/>
    </row>
    <row r="63">
      <c r="A63" s="38"/>
      <c r="B63" s="38"/>
      <c r="C63" s="15"/>
      <c r="D63" s="15"/>
      <c r="E63" s="38"/>
      <c r="F63" s="38"/>
      <c r="G63" s="38"/>
      <c r="H63" s="38"/>
      <c r="I63" s="108"/>
    </row>
    <row r="64">
      <c r="A64" s="38"/>
      <c r="B64" s="38"/>
      <c r="C64" s="15"/>
      <c r="D64" s="15"/>
      <c r="E64" s="38"/>
      <c r="F64" s="38"/>
      <c r="G64" s="38"/>
      <c r="H64" s="38"/>
      <c r="I64" s="108"/>
    </row>
    <row r="65">
      <c r="A65" s="38"/>
      <c r="B65" s="38"/>
      <c r="C65" s="15"/>
      <c r="D65" s="15"/>
      <c r="E65" s="38"/>
      <c r="F65" s="38"/>
      <c r="G65" s="38"/>
      <c r="H65" s="38"/>
      <c r="I65" s="108"/>
    </row>
    <row r="66">
      <c r="A66" s="38"/>
      <c r="B66" s="38"/>
      <c r="C66" s="15"/>
      <c r="D66" s="15"/>
      <c r="E66" s="38"/>
      <c r="F66" s="38"/>
      <c r="G66" s="38"/>
      <c r="H66" s="38"/>
      <c r="I66" s="108"/>
    </row>
    <row r="67">
      <c r="A67" s="38"/>
      <c r="B67" s="38"/>
      <c r="C67" s="15"/>
      <c r="D67" s="15"/>
      <c r="E67" s="38"/>
      <c r="F67" s="38"/>
      <c r="G67" s="38"/>
      <c r="H67" s="38"/>
      <c r="I67" s="108"/>
    </row>
    <row r="68">
      <c r="A68" s="38"/>
      <c r="B68" s="38"/>
      <c r="C68" s="15"/>
      <c r="D68" s="15"/>
      <c r="E68" s="38"/>
      <c r="F68" s="38"/>
      <c r="G68" s="38"/>
      <c r="H68" s="38"/>
      <c r="I68" s="108"/>
    </row>
    <row r="69">
      <c r="A69" s="38"/>
      <c r="B69" s="38"/>
      <c r="C69" s="15"/>
      <c r="D69" s="15"/>
      <c r="E69" s="38"/>
      <c r="F69" s="38"/>
      <c r="G69" s="38"/>
      <c r="H69" s="38"/>
      <c r="I69" s="108"/>
    </row>
    <row r="70">
      <c r="A70" s="38"/>
      <c r="B70" s="38"/>
      <c r="C70" s="15"/>
      <c r="D70" s="15"/>
      <c r="E70" s="38"/>
      <c r="F70" s="38"/>
      <c r="G70" s="38"/>
      <c r="H70" s="38"/>
      <c r="I70" s="108"/>
    </row>
    <row r="71">
      <c r="A71" s="38"/>
      <c r="B71" s="38"/>
      <c r="C71" s="15"/>
      <c r="D71" s="15"/>
      <c r="E71" s="38"/>
      <c r="F71" s="38"/>
      <c r="G71" s="38"/>
      <c r="H71" s="38"/>
      <c r="I71" s="108"/>
    </row>
    <row r="72">
      <c r="A72" s="38"/>
      <c r="B72" s="38"/>
      <c r="C72" s="15"/>
      <c r="D72" s="15"/>
      <c r="E72" s="38"/>
      <c r="F72" s="38"/>
      <c r="G72" s="38"/>
      <c r="H72" s="38"/>
      <c r="I72" s="108"/>
    </row>
    <row r="73">
      <c r="A73" s="38"/>
      <c r="B73" s="38"/>
      <c r="C73" s="15"/>
      <c r="D73" s="15"/>
      <c r="E73" s="38"/>
      <c r="F73" s="38"/>
      <c r="G73" s="38"/>
      <c r="H73" s="38"/>
      <c r="I73" s="108"/>
    </row>
    <row r="74">
      <c r="A74" s="38"/>
      <c r="B74" s="38"/>
      <c r="C74" s="15"/>
      <c r="D74" s="15"/>
      <c r="E74" s="38"/>
      <c r="F74" s="38"/>
      <c r="G74" s="38"/>
      <c r="H74" s="38"/>
      <c r="I74" s="108"/>
    </row>
    <row r="75">
      <c r="A75" s="38"/>
      <c r="B75" s="38"/>
      <c r="C75" s="15"/>
      <c r="D75" s="15"/>
      <c r="E75" s="38"/>
      <c r="F75" s="38"/>
      <c r="G75" s="38"/>
      <c r="H75" s="38"/>
      <c r="I75" s="108"/>
    </row>
    <row r="76">
      <c r="A76" s="38"/>
      <c r="B76" s="38"/>
      <c r="C76" s="15"/>
      <c r="D76" s="15"/>
      <c r="E76" s="38"/>
      <c r="F76" s="38"/>
      <c r="G76" s="38"/>
      <c r="H76" s="38"/>
      <c r="I76" s="108"/>
    </row>
    <row r="77">
      <c r="A77" s="38"/>
      <c r="B77" s="38"/>
      <c r="C77" s="15"/>
      <c r="D77" s="15"/>
      <c r="E77" s="38"/>
      <c r="F77" s="38"/>
      <c r="G77" s="38"/>
      <c r="H77" s="38"/>
      <c r="I77" s="108"/>
    </row>
    <row r="78">
      <c r="A78" s="38"/>
      <c r="B78" s="38"/>
      <c r="C78" s="15"/>
      <c r="D78" s="15"/>
      <c r="E78" s="38"/>
      <c r="F78" s="38"/>
      <c r="G78" s="38"/>
      <c r="H78" s="38"/>
      <c r="I78" s="108"/>
    </row>
    <row r="79">
      <c r="A79" s="38"/>
      <c r="B79" s="38"/>
      <c r="C79" s="15"/>
      <c r="D79" s="15"/>
      <c r="E79" s="38"/>
      <c r="F79" s="38"/>
      <c r="G79" s="38"/>
      <c r="H79" s="38"/>
      <c r="I79" s="108"/>
    </row>
    <row r="80">
      <c r="A80" s="38"/>
      <c r="B80" s="38"/>
      <c r="C80" s="15"/>
      <c r="D80" s="15"/>
      <c r="E80" s="38"/>
      <c r="F80" s="38"/>
      <c r="G80" s="38"/>
      <c r="H80" s="38"/>
      <c r="I80" s="108"/>
    </row>
    <row r="81">
      <c r="A81" s="38"/>
      <c r="B81" s="38"/>
      <c r="C81" s="15"/>
      <c r="D81" s="15"/>
      <c r="E81" s="38"/>
      <c r="F81" s="38"/>
      <c r="G81" s="38"/>
      <c r="H81" s="38"/>
      <c r="I81" s="108"/>
    </row>
    <row r="82">
      <c r="A82" s="38"/>
      <c r="B82" s="38"/>
      <c r="C82" s="15"/>
      <c r="D82" s="15"/>
      <c r="E82" s="38"/>
      <c r="F82" s="38"/>
      <c r="G82" s="38"/>
      <c r="H82" s="38"/>
      <c r="I82" s="108"/>
    </row>
    <row r="83">
      <c r="A83" s="38"/>
      <c r="B83" s="38"/>
      <c r="C83" s="15"/>
      <c r="D83" s="15"/>
      <c r="E83" s="38"/>
      <c r="F83" s="38"/>
      <c r="G83" s="38"/>
      <c r="H83" s="38"/>
      <c r="I83" s="108"/>
    </row>
    <row r="84">
      <c r="A84" s="38"/>
      <c r="B84" s="38"/>
      <c r="C84" s="15"/>
      <c r="D84" s="15"/>
      <c r="E84" s="38"/>
      <c r="F84" s="38"/>
      <c r="G84" s="38"/>
      <c r="H84" s="38"/>
      <c r="I84" s="108"/>
    </row>
    <row r="85">
      <c r="A85" s="38"/>
      <c r="B85" s="38"/>
      <c r="C85" s="15"/>
      <c r="D85" s="15"/>
      <c r="E85" s="38"/>
      <c r="F85" s="38"/>
      <c r="G85" s="38"/>
      <c r="H85" s="38"/>
      <c r="I85" s="108"/>
    </row>
    <row r="86">
      <c r="A86" s="38"/>
      <c r="B86" s="38"/>
      <c r="C86" s="15"/>
      <c r="D86" s="15"/>
      <c r="E86" s="38"/>
      <c r="F86" s="38"/>
      <c r="G86" s="38"/>
      <c r="H86" s="38"/>
      <c r="I86" s="108"/>
    </row>
    <row r="87">
      <c r="A87" s="38"/>
      <c r="B87" s="38"/>
      <c r="C87" s="15"/>
      <c r="D87" s="15"/>
      <c r="E87" s="38"/>
      <c r="F87" s="38"/>
      <c r="G87" s="38"/>
      <c r="H87" s="38"/>
      <c r="I87" s="108"/>
    </row>
    <row r="88">
      <c r="A88" s="38"/>
      <c r="B88" s="38"/>
      <c r="C88" s="15"/>
      <c r="D88" s="15"/>
      <c r="E88" s="38"/>
      <c r="F88" s="38"/>
      <c r="G88" s="38"/>
      <c r="H88" s="38"/>
      <c r="I88" s="108"/>
    </row>
    <row r="89">
      <c r="A89" s="38"/>
      <c r="B89" s="38"/>
      <c r="C89" s="15"/>
      <c r="D89" s="15"/>
      <c r="E89" s="38"/>
      <c r="F89" s="38"/>
      <c r="G89" s="38"/>
      <c r="H89" s="38"/>
      <c r="I89" s="108"/>
    </row>
    <row r="90">
      <c r="A90" s="38"/>
      <c r="B90" s="38"/>
      <c r="C90" s="15"/>
      <c r="D90" s="15"/>
      <c r="E90" s="38"/>
      <c r="F90" s="38"/>
      <c r="G90" s="38"/>
      <c r="H90" s="38"/>
      <c r="I90" s="108"/>
    </row>
    <row r="91">
      <c r="A91" s="38"/>
      <c r="B91" s="38"/>
      <c r="C91" s="15"/>
      <c r="D91" s="15"/>
      <c r="E91" s="38"/>
      <c r="F91" s="38"/>
      <c r="G91" s="38"/>
      <c r="H91" s="38"/>
      <c r="I91" s="108"/>
    </row>
    <row r="92">
      <c r="A92" s="38"/>
      <c r="B92" s="38"/>
      <c r="C92" s="15"/>
      <c r="D92" s="15"/>
      <c r="E92" s="38"/>
      <c r="F92" s="38"/>
      <c r="G92" s="38"/>
      <c r="H92" s="38"/>
      <c r="I92" s="108"/>
    </row>
    <row r="93">
      <c r="A93" s="38"/>
      <c r="B93" s="38"/>
      <c r="C93" s="15"/>
      <c r="D93" s="15"/>
      <c r="E93" s="38"/>
      <c r="F93" s="38"/>
      <c r="G93" s="38"/>
      <c r="H93" s="38"/>
      <c r="I93" s="108"/>
    </row>
    <row r="94">
      <c r="A94" s="38"/>
      <c r="B94" s="38"/>
      <c r="C94" s="15"/>
      <c r="D94" s="15"/>
      <c r="E94" s="38"/>
      <c r="F94" s="38"/>
      <c r="G94" s="38"/>
      <c r="H94" s="38"/>
      <c r="I94" s="108"/>
    </row>
    <row r="95">
      <c r="A95" s="38"/>
      <c r="B95" s="38"/>
      <c r="C95" s="15"/>
      <c r="D95" s="15"/>
      <c r="E95" s="38"/>
      <c r="F95" s="38"/>
      <c r="G95" s="38"/>
      <c r="H95" s="38"/>
      <c r="I95" s="108"/>
    </row>
    <row r="96">
      <c r="A96" s="38"/>
      <c r="B96" s="38"/>
      <c r="C96" s="15"/>
      <c r="D96" s="15"/>
      <c r="E96" s="38"/>
      <c r="F96" s="38"/>
      <c r="G96" s="38"/>
      <c r="H96" s="38"/>
      <c r="I96" s="108"/>
    </row>
    <row r="97">
      <c r="A97" s="38"/>
      <c r="B97" s="38"/>
      <c r="C97" s="15"/>
      <c r="D97" s="15"/>
      <c r="E97" s="38"/>
      <c r="F97" s="38"/>
      <c r="G97" s="38"/>
      <c r="H97" s="38"/>
      <c r="I97" s="108"/>
    </row>
    <row r="98">
      <c r="A98" s="38"/>
      <c r="B98" s="38"/>
      <c r="C98" s="15"/>
      <c r="D98" s="15"/>
      <c r="E98" s="38"/>
      <c r="F98" s="38"/>
      <c r="G98" s="38"/>
      <c r="H98" s="38"/>
      <c r="I98" s="108"/>
    </row>
    <row r="99">
      <c r="A99" s="38"/>
      <c r="B99" s="38"/>
      <c r="C99" s="15"/>
      <c r="D99" s="15"/>
      <c r="E99" s="38"/>
      <c r="F99" s="38"/>
      <c r="G99" s="38"/>
      <c r="H99" s="38"/>
      <c r="I99" s="108"/>
    </row>
    <row r="100">
      <c r="A100" s="38"/>
      <c r="B100" s="38"/>
      <c r="C100" s="15"/>
      <c r="D100" s="15"/>
      <c r="E100" s="38"/>
      <c r="F100" s="38"/>
      <c r="G100" s="38"/>
      <c r="H100" s="38"/>
      <c r="I100" s="108"/>
    </row>
    <row r="101">
      <c r="A101" s="38"/>
      <c r="B101" s="38"/>
      <c r="C101" s="15"/>
      <c r="D101" s="15"/>
      <c r="E101" s="38"/>
      <c r="F101" s="38"/>
      <c r="G101" s="38"/>
      <c r="H101" s="38"/>
      <c r="I101" s="108"/>
    </row>
    <row r="102">
      <c r="A102" s="38"/>
      <c r="B102" s="38"/>
      <c r="C102" s="15"/>
      <c r="D102" s="15"/>
      <c r="E102" s="38"/>
      <c r="F102" s="38"/>
      <c r="G102" s="38"/>
      <c r="H102" s="38"/>
      <c r="I102" s="108"/>
    </row>
    <row r="103">
      <c r="A103" s="38"/>
      <c r="B103" s="38"/>
      <c r="C103" s="15"/>
      <c r="D103" s="15"/>
      <c r="E103" s="38"/>
      <c r="F103" s="38"/>
      <c r="G103" s="38"/>
      <c r="H103" s="38"/>
      <c r="I103" s="108"/>
    </row>
    <row r="104">
      <c r="A104" s="38"/>
      <c r="B104" s="38"/>
      <c r="C104" s="15"/>
      <c r="D104" s="15"/>
      <c r="E104" s="38"/>
      <c r="F104" s="38"/>
      <c r="G104" s="38"/>
      <c r="H104" s="38"/>
      <c r="I104" s="108"/>
    </row>
    <row r="105">
      <c r="A105" s="38"/>
      <c r="B105" s="38"/>
      <c r="C105" s="15"/>
      <c r="D105" s="15"/>
      <c r="E105" s="38"/>
      <c r="F105" s="38"/>
      <c r="G105" s="38"/>
      <c r="H105" s="38"/>
      <c r="I105" s="108"/>
    </row>
    <row r="106">
      <c r="A106" s="38"/>
      <c r="B106" s="38"/>
      <c r="C106" s="15"/>
      <c r="D106" s="15"/>
      <c r="E106" s="38"/>
      <c r="F106" s="38"/>
      <c r="G106" s="38"/>
      <c r="H106" s="38"/>
      <c r="I106" s="108"/>
    </row>
    <row r="107">
      <c r="A107" s="38"/>
      <c r="B107" s="38"/>
      <c r="C107" s="15"/>
      <c r="D107" s="15"/>
      <c r="E107" s="38"/>
      <c r="F107" s="38"/>
      <c r="G107" s="38"/>
      <c r="H107" s="38"/>
      <c r="I107" s="108"/>
    </row>
    <row r="108">
      <c r="A108" s="38"/>
      <c r="B108" s="38"/>
      <c r="C108" s="15"/>
      <c r="D108" s="15"/>
      <c r="E108" s="38"/>
      <c r="F108" s="38"/>
      <c r="G108" s="38"/>
      <c r="H108" s="38"/>
      <c r="I108" s="108"/>
    </row>
    <row r="109">
      <c r="A109" s="38"/>
      <c r="B109" s="38"/>
      <c r="C109" s="15"/>
      <c r="D109" s="15"/>
      <c r="E109" s="38"/>
      <c r="F109" s="38"/>
      <c r="G109" s="38"/>
      <c r="H109" s="38"/>
      <c r="I109" s="108"/>
    </row>
    <row r="110">
      <c r="A110" s="38"/>
      <c r="B110" s="38"/>
      <c r="C110" s="15"/>
      <c r="D110" s="15"/>
      <c r="E110" s="38"/>
      <c r="F110" s="38"/>
      <c r="G110" s="38"/>
      <c r="H110" s="38"/>
      <c r="I110" s="108"/>
    </row>
    <row r="111">
      <c r="A111" s="38"/>
      <c r="B111" s="38"/>
      <c r="C111" s="15"/>
      <c r="D111" s="15"/>
      <c r="E111" s="38"/>
      <c r="F111" s="38"/>
      <c r="G111" s="38"/>
      <c r="H111" s="38"/>
      <c r="I111" s="108"/>
    </row>
    <row r="112">
      <c r="A112" s="38"/>
      <c r="B112" s="38"/>
      <c r="C112" s="15"/>
      <c r="D112" s="15"/>
      <c r="E112" s="38"/>
      <c r="F112" s="38"/>
      <c r="G112" s="38"/>
      <c r="H112" s="38"/>
      <c r="I112" s="108"/>
    </row>
    <row r="113">
      <c r="A113" s="38"/>
      <c r="B113" s="38"/>
      <c r="C113" s="15"/>
      <c r="D113" s="15"/>
      <c r="E113" s="38"/>
      <c r="F113" s="38"/>
      <c r="G113" s="38"/>
      <c r="H113" s="38"/>
      <c r="I113" s="108"/>
    </row>
    <row r="114">
      <c r="A114" s="38"/>
      <c r="B114" s="38"/>
      <c r="C114" s="15"/>
      <c r="D114" s="15"/>
      <c r="E114" s="38"/>
      <c r="F114" s="38"/>
      <c r="G114" s="38"/>
      <c r="H114" s="38"/>
      <c r="I114" s="108"/>
    </row>
    <row r="115">
      <c r="A115" s="38"/>
      <c r="B115" s="38"/>
      <c r="C115" s="15"/>
      <c r="D115" s="15"/>
      <c r="E115" s="38"/>
      <c r="F115" s="38"/>
      <c r="G115" s="38"/>
      <c r="H115" s="38"/>
      <c r="I115" s="108"/>
    </row>
    <row r="116">
      <c r="A116" s="38"/>
      <c r="B116" s="38"/>
      <c r="C116" s="15"/>
      <c r="D116" s="15"/>
      <c r="E116" s="38"/>
      <c r="F116" s="38"/>
      <c r="G116" s="38"/>
      <c r="H116" s="38"/>
      <c r="I116" s="108"/>
    </row>
    <row r="117">
      <c r="A117" s="38"/>
      <c r="B117" s="38"/>
      <c r="C117" s="15"/>
      <c r="D117" s="15"/>
      <c r="E117" s="38"/>
      <c r="F117" s="38"/>
      <c r="G117" s="38"/>
      <c r="H117" s="38"/>
      <c r="I117" s="108"/>
    </row>
    <row r="118">
      <c r="A118" s="38"/>
      <c r="B118" s="38"/>
      <c r="C118" s="15"/>
      <c r="D118" s="15"/>
      <c r="E118" s="38"/>
      <c r="F118" s="38"/>
      <c r="G118" s="38"/>
      <c r="H118" s="38"/>
      <c r="I118" s="108"/>
    </row>
    <row r="119">
      <c r="A119" s="38"/>
      <c r="B119" s="38"/>
      <c r="C119" s="15"/>
      <c r="D119" s="15"/>
      <c r="E119" s="38"/>
      <c r="F119" s="38"/>
      <c r="G119" s="38"/>
      <c r="H119" s="38"/>
      <c r="I119" s="108"/>
    </row>
    <row r="120">
      <c r="A120" s="38"/>
      <c r="B120" s="38"/>
      <c r="C120" s="15"/>
      <c r="D120" s="15"/>
      <c r="E120" s="38"/>
      <c r="F120" s="38"/>
      <c r="G120" s="38"/>
      <c r="H120" s="38"/>
      <c r="I120" s="108"/>
    </row>
    <row r="121">
      <c r="A121" s="38"/>
      <c r="B121" s="38"/>
      <c r="C121" s="15"/>
      <c r="D121" s="15"/>
      <c r="E121" s="38"/>
      <c r="F121" s="38"/>
      <c r="G121" s="38"/>
      <c r="H121" s="38"/>
      <c r="I121" s="108"/>
    </row>
    <row r="122">
      <c r="A122" s="38"/>
      <c r="B122" s="38"/>
      <c r="C122" s="15"/>
      <c r="D122" s="15"/>
      <c r="E122" s="38"/>
      <c r="F122" s="38"/>
      <c r="G122" s="38"/>
      <c r="H122" s="38"/>
      <c r="I122" s="108"/>
    </row>
    <row r="123">
      <c r="A123" s="38"/>
      <c r="B123" s="38"/>
      <c r="C123" s="15"/>
      <c r="D123" s="15"/>
      <c r="E123" s="38"/>
      <c r="F123" s="38"/>
      <c r="G123" s="38"/>
      <c r="H123" s="38"/>
      <c r="I123" s="108"/>
    </row>
    <row r="124">
      <c r="A124" s="38"/>
      <c r="B124" s="38"/>
      <c r="C124" s="15"/>
      <c r="D124" s="15"/>
      <c r="E124" s="38"/>
      <c r="F124" s="38"/>
      <c r="G124" s="38"/>
      <c r="H124" s="38"/>
      <c r="I124" s="108"/>
    </row>
    <row r="125">
      <c r="A125" s="38"/>
      <c r="B125" s="38"/>
      <c r="C125" s="15"/>
      <c r="D125" s="15"/>
      <c r="E125" s="38"/>
      <c r="F125" s="38"/>
      <c r="G125" s="38"/>
      <c r="H125" s="38"/>
      <c r="I125" s="108"/>
    </row>
    <row r="126">
      <c r="A126" s="38"/>
      <c r="B126" s="38"/>
      <c r="C126" s="15"/>
      <c r="D126" s="15"/>
      <c r="E126" s="38"/>
      <c r="F126" s="38"/>
      <c r="G126" s="38"/>
      <c r="H126" s="38"/>
      <c r="I126" s="108"/>
    </row>
    <row r="127">
      <c r="A127" s="38"/>
      <c r="B127" s="38"/>
      <c r="C127" s="15"/>
      <c r="D127" s="15"/>
      <c r="E127" s="38"/>
      <c r="F127" s="38"/>
      <c r="G127" s="38"/>
      <c r="H127" s="38"/>
      <c r="I127" s="108"/>
    </row>
    <row r="128">
      <c r="A128" s="38"/>
      <c r="B128" s="38"/>
      <c r="C128" s="15"/>
      <c r="D128" s="15"/>
      <c r="E128" s="38"/>
      <c r="F128" s="38"/>
      <c r="G128" s="38"/>
      <c r="H128" s="38"/>
      <c r="I128" s="108"/>
    </row>
    <row r="129">
      <c r="A129" s="38"/>
      <c r="B129" s="38"/>
      <c r="C129" s="15"/>
      <c r="D129" s="15"/>
      <c r="E129" s="38"/>
      <c r="F129" s="38"/>
      <c r="G129" s="38"/>
      <c r="H129" s="38"/>
      <c r="I129" s="108"/>
    </row>
    <row r="130">
      <c r="A130" s="38"/>
      <c r="B130" s="38"/>
      <c r="C130" s="15"/>
      <c r="D130" s="15"/>
      <c r="E130" s="38"/>
      <c r="F130" s="38"/>
      <c r="G130" s="38"/>
      <c r="H130" s="38"/>
      <c r="I130" s="108"/>
    </row>
    <row r="131">
      <c r="A131" s="38"/>
      <c r="B131" s="38"/>
      <c r="C131" s="15"/>
      <c r="D131" s="15"/>
      <c r="E131" s="38"/>
      <c r="F131" s="38"/>
      <c r="G131" s="38"/>
      <c r="H131" s="38"/>
      <c r="I131" s="108"/>
    </row>
    <row r="132">
      <c r="A132" s="38"/>
      <c r="B132" s="38"/>
      <c r="C132" s="15"/>
      <c r="D132" s="15"/>
      <c r="E132" s="38"/>
      <c r="F132" s="38"/>
      <c r="G132" s="38"/>
      <c r="H132" s="38"/>
      <c r="I132" s="108"/>
    </row>
    <row r="133">
      <c r="A133" s="38"/>
      <c r="B133" s="38"/>
      <c r="C133" s="15"/>
      <c r="D133" s="15"/>
      <c r="E133" s="38"/>
      <c r="F133" s="38"/>
      <c r="G133" s="38"/>
      <c r="H133" s="38"/>
      <c r="I133" s="108"/>
    </row>
    <row r="134">
      <c r="A134" s="38"/>
      <c r="B134" s="38"/>
      <c r="C134" s="15"/>
      <c r="D134" s="15"/>
      <c r="E134" s="38"/>
      <c r="F134" s="38"/>
      <c r="G134" s="38"/>
      <c r="H134" s="38"/>
      <c r="I134" s="108"/>
    </row>
    <row r="135">
      <c r="A135" s="38"/>
      <c r="B135" s="38"/>
      <c r="C135" s="15"/>
      <c r="D135" s="15"/>
      <c r="E135" s="38"/>
      <c r="F135" s="38"/>
      <c r="G135" s="38"/>
      <c r="H135" s="38"/>
      <c r="I135" s="108"/>
    </row>
    <row r="136">
      <c r="A136" s="38"/>
      <c r="B136" s="38"/>
      <c r="C136" s="15"/>
      <c r="D136" s="15"/>
      <c r="E136" s="38"/>
      <c r="F136" s="38"/>
      <c r="G136" s="38"/>
      <c r="H136" s="38"/>
      <c r="I136" s="108"/>
    </row>
    <row r="137">
      <c r="A137" s="38"/>
      <c r="B137" s="38"/>
      <c r="C137" s="15"/>
      <c r="D137" s="15"/>
      <c r="E137" s="38"/>
      <c r="F137" s="38"/>
      <c r="G137" s="38"/>
      <c r="H137" s="38"/>
      <c r="I137" s="108"/>
    </row>
    <row r="138">
      <c r="A138" s="38"/>
      <c r="B138" s="38"/>
      <c r="C138" s="15"/>
      <c r="D138" s="15"/>
      <c r="E138" s="38"/>
      <c r="F138" s="38"/>
      <c r="G138" s="38"/>
      <c r="H138" s="38"/>
      <c r="I138" s="108"/>
    </row>
    <row r="139">
      <c r="A139" s="38"/>
      <c r="B139" s="38"/>
      <c r="C139" s="15"/>
      <c r="D139" s="15"/>
      <c r="E139" s="38"/>
      <c r="F139" s="38"/>
      <c r="G139" s="38"/>
      <c r="H139" s="38"/>
      <c r="I139" s="108"/>
    </row>
    <row r="140">
      <c r="A140" s="38"/>
      <c r="B140" s="38"/>
      <c r="C140" s="15"/>
      <c r="D140" s="15"/>
      <c r="E140" s="38"/>
      <c r="F140" s="38"/>
      <c r="G140" s="38"/>
      <c r="H140" s="38"/>
      <c r="I140" s="108"/>
    </row>
    <row r="141">
      <c r="A141" s="38"/>
      <c r="B141" s="38"/>
      <c r="C141" s="15"/>
      <c r="D141" s="15"/>
      <c r="E141" s="38"/>
      <c r="F141" s="38"/>
      <c r="G141" s="38"/>
      <c r="H141" s="38"/>
      <c r="I141" s="108"/>
    </row>
    <row r="142">
      <c r="A142" s="38"/>
      <c r="B142" s="38"/>
      <c r="C142" s="15"/>
      <c r="D142" s="15"/>
      <c r="E142" s="38"/>
      <c r="F142" s="38"/>
      <c r="G142" s="38"/>
      <c r="H142" s="38"/>
      <c r="I142" s="108"/>
    </row>
    <row r="143">
      <c r="A143" s="38"/>
      <c r="B143" s="38"/>
      <c r="C143" s="15"/>
      <c r="D143" s="15"/>
      <c r="E143" s="38"/>
      <c r="F143" s="38"/>
      <c r="G143" s="38"/>
      <c r="H143" s="38"/>
      <c r="I143" s="108"/>
    </row>
    <row r="144">
      <c r="A144" s="38"/>
      <c r="B144" s="38"/>
      <c r="C144" s="15"/>
      <c r="D144" s="15"/>
      <c r="E144" s="38"/>
      <c r="F144" s="38"/>
      <c r="G144" s="38"/>
      <c r="H144" s="38"/>
      <c r="I144" s="108"/>
    </row>
    <row r="145">
      <c r="A145" s="38"/>
      <c r="B145" s="38"/>
      <c r="C145" s="15"/>
      <c r="D145" s="15"/>
      <c r="E145" s="38"/>
      <c r="F145" s="38"/>
      <c r="G145" s="38"/>
      <c r="H145" s="38"/>
      <c r="I145" s="108"/>
    </row>
    <row r="146">
      <c r="A146" s="38"/>
      <c r="B146" s="38"/>
      <c r="C146" s="15"/>
      <c r="D146" s="15"/>
      <c r="E146" s="38"/>
      <c r="F146" s="38"/>
      <c r="G146" s="38"/>
      <c r="H146" s="38"/>
      <c r="I146" s="108"/>
    </row>
    <row r="147">
      <c r="A147" s="38"/>
      <c r="B147" s="38"/>
      <c r="C147" s="15"/>
      <c r="D147" s="15"/>
      <c r="E147" s="38"/>
      <c r="F147" s="38"/>
      <c r="G147" s="38"/>
      <c r="H147" s="38"/>
      <c r="I147" s="108"/>
    </row>
    <row r="148">
      <c r="A148" s="38"/>
      <c r="B148" s="38"/>
      <c r="C148" s="15"/>
      <c r="D148" s="15"/>
      <c r="E148" s="38"/>
      <c r="F148" s="38"/>
      <c r="G148" s="38"/>
      <c r="H148" s="38"/>
      <c r="I148" s="108"/>
    </row>
    <row r="149">
      <c r="A149" s="38"/>
      <c r="B149" s="38"/>
      <c r="C149" s="15"/>
      <c r="D149" s="15"/>
      <c r="E149" s="38"/>
      <c r="F149" s="38"/>
      <c r="G149" s="38"/>
      <c r="H149" s="38"/>
      <c r="I149" s="108"/>
    </row>
    <row r="150">
      <c r="A150" s="38"/>
      <c r="B150" s="38"/>
      <c r="C150" s="15"/>
      <c r="D150" s="15"/>
      <c r="E150" s="38"/>
      <c r="F150" s="38"/>
      <c r="G150" s="38"/>
      <c r="H150" s="38"/>
      <c r="I150" s="108"/>
    </row>
    <row r="151">
      <c r="A151" s="38"/>
      <c r="B151" s="38"/>
      <c r="C151" s="15"/>
      <c r="D151" s="15"/>
      <c r="E151" s="38"/>
      <c r="F151" s="38"/>
      <c r="G151" s="38"/>
      <c r="H151" s="38"/>
      <c r="I151" s="108"/>
    </row>
    <row r="152">
      <c r="A152" s="38"/>
      <c r="B152" s="38"/>
      <c r="C152" s="15"/>
      <c r="D152" s="15"/>
      <c r="E152" s="38"/>
      <c r="F152" s="38"/>
      <c r="G152" s="38"/>
      <c r="H152" s="38"/>
      <c r="I152" s="108"/>
    </row>
    <row r="153">
      <c r="A153" s="38"/>
      <c r="B153" s="38"/>
      <c r="C153" s="15"/>
      <c r="D153" s="15"/>
      <c r="E153" s="38"/>
      <c r="F153" s="38"/>
      <c r="G153" s="38"/>
      <c r="H153" s="38"/>
      <c r="I153" s="108"/>
    </row>
    <row r="154">
      <c r="A154" s="38"/>
      <c r="B154" s="38"/>
      <c r="C154" s="15"/>
      <c r="D154" s="15"/>
      <c r="E154" s="38"/>
      <c r="F154" s="38"/>
      <c r="G154" s="38"/>
      <c r="H154" s="38"/>
      <c r="I154" s="108"/>
    </row>
    <row r="155">
      <c r="A155" s="38"/>
      <c r="B155" s="38"/>
      <c r="C155" s="15"/>
      <c r="D155" s="15"/>
      <c r="E155" s="38"/>
      <c r="F155" s="38"/>
      <c r="G155" s="38"/>
      <c r="H155" s="38"/>
      <c r="I155" s="108"/>
    </row>
    <row r="156">
      <c r="A156" s="38"/>
      <c r="B156" s="38"/>
      <c r="C156" s="15"/>
      <c r="D156" s="15"/>
      <c r="E156" s="38"/>
      <c r="F156" s="38"/>
      <c r="G156" s="38"/>
      <c r="H156" s="38"/>
      <c r="I156" s="108"/>
    </row>
    <row r="157">
      <c r="A157" s="38"/>
      <c r="B157" s="38"/>
      <c r="C157" s="15"/>
      <c r="D157" s="15"/>
      <c r="E157" s="38"/>
      <c r="F157" s="38"/>
      <c r="G157" s="38"/>
      <c r="H157" s="38"/>
      <c r="I157" s="108"/>
    </row>
    <row r="158">
      <c r="A158" s="38"/>
      <c r="B158" s="38"/>
      <c r="C158" s="15"/>
      <c r="D158" s="15"/>
      <c r="E158" s="38"/>
      <c r="F158" s="38"/>
      <c r="G158" s="38"/>
      <c r="H158" s="38"/>
      <c r="I158" s="108"/>
    </row>
    <row r="159">
      <c r="A159" s="38"/>
      <c r="B159" s="38"/>
      <c r="C159" s="15"/>
      <c r="D159" s="15"/>
      <c r="E159" s="38"/>
      <c r="F159" s="38"/>
      <c r="G159" s="38"/>
      <c r="H159" s="38"/>
      <c r="I159" s="108"/>
    </row>
    <row r="160">
      <c r="A160" s="38"/>
      <c r="B160" s="38"/>
      <c r="C160" s="15"/>
      <c r="D160" s="15"/>
      <c r="E160" s="38"/>
      <c r="F160" s="38"/>
      <c r="G160" s="38"/>
      <c r="H160" s="38"/>
      <c r="I160" s="108"/>
    </row>
    <row r="161">
      <c r="A161" s="38"/>
      <c r="B161" s="38"/>
      <c r="C161" s="15"/>
      <c r="D161" s="15"/>
      <c r="E161" s="38"/>
      <c r="F161" s="38"/>
      <c r="G161" s="38"/>
      <c r="H161" s="38"/>
      <c r="I161" s="108"/>
    </row>
    <row r="162">
      <c r="A162" s="38"/>
      <c r="B162" s="38"/>
      <c r="C162" s="15"/>
      <c r="D162" s="15"/>
      <c r="E162" s="38"/>
      <c r="F162" s="38"/>
      <c r="G162" s="38"/>
      <c r="H162" s="38"/>
      <c r="I162" s="108"/>
    </row>
    <row r="163">
      <c r="A163" s="38"/>
      <c r="B163" s="38"/>
      <c r="C163" s="15"/>
      <c r="D163" s="15"/>
      <c r="E163" s="38"/>
      <c r="F163" s="38"/>
      <c r="G163" s="38"/>
      <c r="H163" s="38"/>
      <c r="I163" s="108"/>
    </row>
    <row r="164">
      <c r="A164" s="38"/>
      <c r="B164" s="38"/>
      <c r="C164" s="15"/>
      <c r="D164" s="15"/>
      <c r="E164" s="38"/>
      <c r="F164" s="38"/>
      <c r="G164" s="38"/>
      <c r="H164" s="38"/>
      <c r="I164" s="108"/>
    </row>
    <row r="165">
      <c r="A165" s="38"/>
      <c r="B165" s="38"/>
      <c r="C165" s="15"/>
      <c r="D165" s="15"/>
      <c r="E165" s="38"/>
      <c r="F165" s="38"/>
      <c r="G165" s="38"/>
      <c r="H165" s="38"/>
      <c r="I165" s="108"/>
    </row>
    <row r="166">
      <c r="A166" s="38"/>
      <c r="B166" s="38"/>
      <c r="C166" s="15"/>
      <c r="D166" s="15"/>
      <c r="E166" s="38"/>
      <c r="F166" s="38"/>
      <c r="G166" s="38"/>
      <c r="H166" s="38"/>
      <c r="I166" s="108"/>
    </row>
    <row r="167">
      <c r="A167" s="38"/>
      <c r="B167" s="38"/>
      <c r="C167" s="15"/>
      <c r="D167" s="15"/>
      <c r="E167" s="38"/>
      <c r="F167" s="38"/>
      <c r="G167" s="38"/>
      <c r="H167" s="38"/>
      <c r="I167" s="108"/>
    </row>
    <row r="168">
      <c r="A168" s="38"/>
      <c r="B168" s="38"/>
      <c r="C168" s="15"/>
      <c r="D168" s="15"/>
      <c r="E168" s="38"/>
      <c r="F168" s="38"/>
      <c r="G168" s="38"/>
      <c r="H168" s="38"/>
      <c r="I168" s="108"/>
    </row>
    <row r="169">
      <c r="A169" s="38"/>
      <c r="B169" s="38"/>
      <c r="C169" s="15"/>
      <c r="D169" s="15"/>
      <c r="E169" s="38"/>
      <c r="F169" s="38"/>
      <c r="G169" s="38"/>
      <c r="H169" s="38"/>
      <c r="I169" s="108"/>
    </row>
    <row r="170">
      <c r="A170" s="38"/>
      <c r="B170" s="38"/>
      <c r="C170" s="15"/>
      <c r="D170" s="15"/>
      <c r="E170" s="38"/>
      <c r="F170" s="38"/>
      <c r="G170" s="38"/>
      <c r="H170" s="38"/>
      <c r="I170" s="108"/>
    </row>
    <row r="171">
      <c r="A171" s="38"/>
      <c r="B171" s="38"/>
      <c r="C171" s="15"/>
      <c r="D171" s="15"/>
      <c r="E171" s="38"/>
      <c r="F171" s="38"/>
      <c r="G171" s="38"/>
      <c r="H171" s="38"/>
      <c r="I171" s="108"/>
    </row>
    <row r="172">
      <c r="A172" s="38"/>
      <c r="B172" s="38"/>
      <c r="C172" s="15"/>
      <c r="D172" s="15"/>
      <c r="E172" s="38"/>
      <c r="F172" s="38"/>
      <c r="G172" s="38"/>
      <c r="H172" s="38"/>
      <c r="I172" s="108"/>
    </row>
    <row r="173">
      <c r="A173" s="38"/>
      <c r="B173" s="38"/>
      <c r="C173" s="15"/>
      <c r="D173" s="15"/>
      <c r="E173" s="38"/>
      <c r="F173" s="38"/>
      <c r="G173" s="38"/>
      <c r="H173" s="38"/>
      <c r="I173" s="108"/>
    </row>
    <row r="174">
      <c r="A174" s="38"/>
      <c r="B174" s="38"/>
      <c r="C174" s="15"/>
      <c r="D174" s="15"/>
      <c r="E174" s="38"/>
      <c r="F174" s="38"/>
      <c r="G174" s="38"/>
      <c r="H174" s="38"/>
      <c r="I174" s="108"/>
    </row>
    <row r="175">
      <c r="A175" s="38"/>
      <c r="B175" s="38"/>
      <c r="C175" s="15"/>
      <c r="D175" s="15"/>
      <c r="E175" s="38"/>
      <c r="F175" s="38"/>
      <c r="G175" s="38"/>
      <c r="H175" s="38"/>
      <c r="I175" s="108"/>
    </row>
    <row r="176">
      <c r="A176" s="38"/>
      <c r="B176" s="38"/>
      <c r="C176" s="15"/>
      <c r="D176" s="15"/>
      <c r="E176" s="38"/>
      <c r="F176" s="38"/>
      <c r="G176" s="38"/>
      <c r="H176" s="38"/>
      <c r="I176" s="108"/>
    </row>
    <row r="177">
      <c r="A177" s="38"/>
      <c r="B177" s="38"/>
      <c r="C177" s="15"/>
      <c r="D177" s="15"/>
      <c r="E177" s="38"/>
      <c r="F177" s="38"/>
      <c r="G177" s="38"/>
      <c r="H177" s="38"/>
      <c r="I177" s="108"/>
    </row>
    <row r="178">
      <c r="A178" s="38"/>
      <c r="B178" s="38"/>
      <c r="C178" s="15"/>
      <c r="D178" s="15"/>
      <c r="E178" s="38"/>
      <c r="F178" s="38"/>
      <c r="G178" s="38"/>
      <c r="H178" s="38"/>
      <c r="I178" s="108"/>
    </row>
    <row r="179">
      <c r="A179" s="38"/>
      <c r="B179" s="38"/>
      <c r="C179" s="15"/>
      <c r="D179" s="15"/>
      <c r="E179" s="38"/>
      <c r="F179" s="38"/>
      <c r="G179" s="38"/>
      <c r="H179" s="38"/>
      <c r="I179" s="108"/>
    </row>
    <row r="180">
      <c r="A180" s="38"/>
      <c r="B180" s="38"/>
      <c r="C180" s="15"/>
      <c r="D180" s="15"/>
      <c r="E180" s="38"/>
      <c r="F180" s="38"/>
      <c r="G180" s="38"/>
      <c r="H180" s="38"/>
      <c r="I180" s="108"/>
    </row>
    <row r="181">
      <c r="A181" s="38"/>
      <c r="B181" s="38"/>
      <c r="C181" s="15"/>
      <c r="D181" s="15"/>
      <c r="E181" s="38"/>
      <c r="F181" s="38"/>
      <c r="G181" s="38"/>
      <c r="H181" s="38"/>
      <c r="I181" s="108"/>
    </row>
    <row r="182">
      <c r="A182" s="38"/>
      <c r="B182" s="38"/>
      <c r="C182" s="15"/>
      <c r="D182" s="15"/>
      <c r="E182" s="38"/>
      <c r="F182" s="38"/>
      <c r="G182" s="38"/>
      <c r="H182" s="38"/>
      <c r="I182" s="108"/>
    </row>
    <row r="183">
      <c r="A183" s="38"/>
      <c r="B183" s="38"/>
      <c r="C183" s="15"/>
      <c r="D183" s="15"/>
      <c r="E183" s="38"/>
      <c r="F183" s="38"/>
      <c r="G183" s="38"/>
      <c r="H183" s="38"/>
      <c r="I183" s="108"/>
    </row>
    <row r="184">
      <c r="A184" s="38"/>
      <c r="B184" s="38"/>
      <c r="C184" s="15"/>
      <c r="D184" s="15"/>
      <c r="E184" s="38"/>
      <c r="F184" s="38"/>
      <c r="G184" s="38"/>
      <c r="H184" s="38"/>
      <c r="I184" s="108"/>
    </row>
    <row r="185">
      <c r="A185" s="38"/>
      <c r="B185" s="38"/>
      <c r="C185" s="15"/>
      <c r="D185" s="15"/>
      <c r="E185" s="38"/>
      <c r="F185" s="38"/>
      <c r="G185" s="38"/>
      <c r="H185" s="38"/>
      <c r="I185" s="108"/>
    </row>
    <row r="186">
      <c r="A186" s="38"/>
      <c r="B186" s="38"/>
      <c r="C186" s="15"/>
      <c r="D186" s="15"/>
      <c r="E186" s="38"/>
      <c r="F186" s="38"/>
      <c r="G186" s="38"/>
      <c r="H186" s="38"/>
      <c r="I186" s="108"/>
    </row>
    <row r="187">
      <c r="A187" s="38"/>
      <c r="B187" s="38"/>
      <c r="C187" s="15"/>
      <c r="D187" s="15"/>
      <c r="E187" s="38"/>
      <c r="F187" s="38"/>
      <c r="G187" s="38"/>
      <c r="H187" s="38"/>
      <c r="I187" s="108"/>
    </row>
    <row r="188">
      <c r="A188" s="38"/>
      <c r="B188" s="38"/>
      <c r="C188" s="15"/>
      <c r="D188" s="15"/>
      <c r="E188" s="38"/>
      <c r="F188" s="38"/>
      <c r="G188" s="38"/>
      <c r="H188" s="38"/>
      <c r="I188" s="108"/>
    </row>
    <row r="189">
      <c r="A189" s="38"/>
      <c r="B189" s="38"/>
      <c r="C189" s="15"/>
      <c r="D189" s="15"/>
      <c r="E189" s="38"/>
      <c r="F189" s="38"/>
      <c r="G189" s="38"/>
      <c r="H189" s="38"/>
      <c r="I189" s="108"/>
    </row>
    <row r="190">
      <c r="A190" s="38"/>
      <c r="B190" s="38"/>
      <c r="C190" s="15"/>
      <c r="D190" s="15"/>
      <c r="E190" s="38"/>
      <c r="F190" s="38"/>
      <c r="G190" s="38"/>
      <c r="H190" s="38"/>
      <c r="I190" s="108"/>
    </row>
    <row r="191">
      <c r="A191" s="38"/>
      <c r="B191" s="38"/>
      <c r="C191" s="15"/>
      <c r="D191" s="15"/>
      <c r="E191" s="38"/>
      <c r="F191" s="38"/>
      <c r="G191" s="38"/>
      <c r="H191" s="38"/>
      <c r="I191" s="108"/>
    </row>
    <row r="192">
      <c r="A192" s="38"/>
      <c r="B192" s="38"/>
      <c r="C192" s="15"/>
      <c r="D192" s="15"/>
      <c r="E192" s="38"/>
      <c r="F192" s="38"/>
      <c r="G192" s="38"/>
      <c r="H192" s="38"/>
      <c r="I192" s="108"/>
    </row>
    <row r="193">
      <c r="A193" s="38"/>
      <c r="B193" s="38"/>
      <c r="C193" s="15"/>
      <c r="D193" s="15"/>
      <c r="E193" s="38"/>
      <c r="F193" s="38"/>
      <c r="G193" s="38"/>
      <c r="H193" s="38"/>
      <c r="I193" s="108"/>
    </row>
    <row r="194">
      <c r="A194" s="38"/>
      <c r="B194" s="38"/>
      <c r="C194" s="15"/>
      <c r="D194" s="15"/>
      <c r="E194" s="38"/>
      <c r="F194" s="38"/>
      <c r="G194" s="38"/>
      <c r="H194" s="38"/>
      <c r="I194" s="108"/>
    </row>
    <row r="195">
      <c r="A195" s="38"/>
      <c r="B195" s="38"/>
      <c r="C195" s="15"/>
      <c r="D195" s="15"/>
      <c r="E195" s="38"/>
      <c r="F195" s="38"/>
      <c r="G195" s="38"/>
      <c r="H195" s="38"/>
      <c r="I195" s="108"/>
    </row>
    <row r="196">
      <c r="A196" s="38"/>
      <c r="B196" s="38"/>
      <c r="C196" s="15"/>
      <c r="D196" s="15"/>
      <c r="E196" s="38"/>
      <c r="F196" s="38"/>
      <c r="G196" s="38"/>
      <c r="H196" s="38"/>
      <c r="I196" s="108"/>
    </row>
    <row r="197">
      <c r="A197" s="38"/>
      <c r="B197" s="38"/>
      <c r="C197" s="15"/>
      <c r="D197" s="15"/>
      <c r="E197" s="38"/>
      <c r="F197" s="38"/>
      <c r="G197" s="38"/>
      <c r="H197" s="38"/>
      <c r="I197" s="108"/>
    </row>
    <row r="198">
      <c r="A198" s="38"/>
      <c r="B198" s="38"/>
      <c r="C198" s="15"/>
      <c r="D198" s="15"/>
      <c r="E198" s="38"/>
      <c r="F198" s="38"/>
      <c r="G198" s="38"/>
      <c r="H198" s="38"/>
      <c r="I198" s="108"/>
    </row>
    <row r="199">
      <c r="A199" s="38"/>
      <c r="B199" s="38"/>
      <c r="C199" s="15"/>
      <c r="D199" s="15"/>
      <c r="E199" s="38"/>
      <c r="F199" s="38"/>
      <c r="G199" s="38"/>
      <c r="H199" s="38"/>
      <c r="I199" s="108"/>
    </row>
    <row r="200">
      <c r="A200" s="38"/>
      <c r="B200" s="38"/>
      <c r="C200" s="15"/>
      <c r="D200" s="15"/>
      <c r="E200" s="38"/>
      <c r="F200" s="38"/>
      <c r="G200" s="38"/>
      <c r="H200" s="38"/>
      <c r="I200" s="108"/>
    </row>
    <row r="201">
      <c r="A201" s="38"/>
      <c r="B201" s="38"/>
      <c r="C201" s="15"/>
      <c r="D201" s="15"/>
      <c r="E201" s="38"/>
      <c r="F201" s="38"/>
      <c r="G201" s="38"/>
      <c r="H201" s="38"/>
      <c r="I201" s="108"/>
    </row>
    <row r="202">
      <c r="A202" s="38"/>
      <c r="B202" s="38"/>
      <c r="C202" s="15"/>
      <c r="D202" s="15"/>
      <c r="E202" s="38"/>
      <c r="F202" s="38"/>
      <c r="G202" s="38"/>
      <c r="H202" s="38"/>
      <c r="I202" s="108"/>
    </row>
    <row r="203">
      <c r="A203" s="38"/>
      <c r="B203" s="38"/>
      <c r="C203" s="15"/>
      <c r="D203" s="15"/>
      <c r="E203" s="38"/>
      <c r="F203" s="38"/>
      <c r="G203" s="38"/>
      <c r="H203" s="38"/>
      <c r="I203" s="108"/>
    </row>
    <row r="204">
      <c r="A204" s="38"/>
      <c r="B204" s="38"/>
      <c r="C204" s="15"/>
      <c r="D204" s="15"/>
      <c r="E204" s="38"/>
      <c r="F204" s="38"/>
      <c r="G204" s="38"/>
      <c r="H204" s="38"/>
      <c r="I204" s="108"/>
    </row>
    <row r="205">
      <c r="A205" s="38"/>
      <c r="B205" s="38"/>
      <c r="C205" s="15"/>
      <c r="D205" s="15"/>
      <c r="E205" s="38"/>
      <c r="F205" s="38"/>
      <c r="G205" s="38"/>
      <c r="H205" s="38"/>
      <c r="I205" s="108"/>
    </row>
    <row r="206">
      <c r="A206" s="38"/>
      <c r="B206" s="38"/>
      <c r="C206" s="15"/>
      <c r="D206" s="15"/>
      <c r="E206" s="38"/>
      <c r="F206" s="38"/>
      <c r="G206" s="38"/>
      <c r="H206" s="38"/>
      <c r="I206" s="108"/>
    </row>
    <row r="207">
      <c r="A207" s="38"/>
      <c r="B207" s="38"/>
      <c r="C207" s="15"/>
      <c r="D207" s="15"/>
      <c r="E207" s="38"/>
      <c r="F207" s="38"/>
      <c r="G207" s="38"/>
      <c r="H207" s="38"/>
      <c r="I207" s="108"/>
    </row>
    <row r="208">
      <c r="A208" s="38"/>
      <c r="B208" s="38"/>
      <c r="C208" s="15"/>
      <c r="D208" s="15"/>
      <c r="E208" s="38"/>
      <c r="F208" s="38"/>
      <c r="G208" s="38"/>
      <c r="H208" s="38"/>
      <c r="I208" s="108"/>
    </row>
    <row r="209">
      <c r="A209" s="38"/>
      <c r="B209" s="38"/>
      <c r="C209" s="15"/>
      <c r="D209" s="15"/>
      <c r="E209" s="38"/>
      <c r="F209" s="38"/>
      <c r="G209" s="38"/>
      <c r="H209" s="38"/>
      <c r="I209" s="108"/>
    </row>
    <row r="210">
      <c r="A210" s="38"/>
      <c r="B210" s="38"/>
      <c r="C210" s="15"/>
      <c r="D210" s="15"/>
      <c r="E210" s="38"/>
      <c r="F210" s="38"/>
      <c r="G210" s="38"/>
      <c r="H210" s="38"/>
      <c r="I210" s="108"/>
    </row>
    <row r="211">
      <c r="A211" s="38"/>
      <c r="B211" s="38"/>
      <c r="C211" s="15"/>
      <c r="D211" s="15"/>
      <c r="E211" s="38"/>
      <c r="F211" s="38"/>
      <c r="G211" s="38"/>
      <c r="H211" s="38"/>
      <c r="I211" s="108"/>
    </row>
    <row r="212">
      <c r="A212" s="38"/>
      <c r="B212" s="38"/>
      <c r="C212" s="15"/>
      <c r="D212" s="15"/>
      <c r="E212" s="38"/>
      <c r="F212" s="38"/>
      <c r="G212" s="38"/>
      <c r="H212" s="38"/>
      <c r="I212" s="108"/>
    </row>
    <row r="213">
      <c r="A213" s="38"/>
      <c r="B213" s="38"/>
      <c r="C213" s="15"/>
      <c r="D213" s="15"/>
      <c r="E213" s="38"/>
      <c r="F213" s="38"/>
      <c r="G213" s="38"/>
      <c r="H213" s="38"/>
      <c r="I213" s="108"/>
    </row>
    <row r="214">
      <c r="A214" s="38"/>
      <c r="B214" s="38"/>
      <c r="C214" s="15"/>
      <c r="D214" s="15"/>
      <c r="E214" s="38"/>
      <c r="F214" s="38"/>
      <c r="G214" s="38"/>
      <c r="H214" s="38"/>
      <c r="I214" s="108"/>
    </row>
    <row r="215">
      <c r="A215" s="38"/>
      <c r="B215" s="38"/>
      <c r="C215" s="15"/>
      <c r="D215" s="15"/>
      <c r="E215" s="38"/>
      <c r="F215" s="38"/>
      <c r="G215" s="38"/>
      <c r="H215" s="38"/>
      <c r="I215" s="108"/>
    </row>
    <row r="216">
      <c r="A216" s="38"/>
      <c r="B216" s="38"/>
      <c r="C216" s="15"/>
      <c r="D216" s="15"/>
      <c r="E216" s="38"/>
      <c r="F216" s="38"/>
      <c r="G216" s="38"/>
      <c r="H216" s="38"/>
      <c r="I216" s="108"/>
    </row>
    <row r="217">
      <c r="A217" s="38"/>
      <c r="B217" s="38"/>
      <c r="C217" s="15"/>
      <c r="D217" s="15"/>
      <c r="E217" s="38"/>
      <c r="F217" s="38"/>
      <c r="G217" s="38"/>
      <c r="H217" s="38"/>
      <c r="I217" s="108"/>
    </row>
    <row r="218">
      <c r="A218" s="38"/>
      <c r="B218" s="38"/>
      <c r="C218" s="15"/>
      <c r="D218" s="15"/>
      <c r="E218" s="38"/>
      <c r="F218" s="38"/>
      <c r="G218" s="38"/>
      <c r="H218" s="38"/>
      <c r="I218" s="108"/>
    </row>
    <row r="219">
      <c r="A219" s="38"/>
      <c r="B219" s="38"/>
      <c r="C219" s="15"/>
      <c r="D219" s="15"/>
      <c r="E219" s="38"/>
      <c r="F219" s="38"/>
      <c r="G219" s="38"/>
      <c r="H219" s="38"/>
      <c r="I219" s="108"/>
    </row>
    <row r="220">
      <c r="A220" s="38"/>
      <c r="B220" s="38"/>
      <c r="C220" s="15"/>
      <c r="D220" s="15"/>
      <c r="E220" s="38"/>
      <c r="F220" s="38"/>
      <c r="G220" s="38"/>
      <c r="H220" s="38"/>
      <c r="I220" s="108"/>
    </row>
    <row r="221">
      <c r="A221" s="38"/>
      <c r="B221" s="38"/>
      <c r="C221" s="15"/>
      <c r="D221" s="15"/>
      <c r="E221" s="38"/>
      <c r="F221" s="38"/>
      <c r="G221" s="38"/>
      <c r="H221" s="38"/>
      <c r="I221" s="108"/>
    </row>
    <row r="222">
      <c r="A222" s="38"/>
      <c r="B222" s="38"/>
      <c r="C222" s="15"/>
      <c r="D222" s="15"/>
      <c r="E222" s="38"/>
      <c r="F222" s="38"/>
      <c r="G222" s="38"/>
      <c r="H222" s="38"/>
      <c r="I222" s="108"/>
    </row>
    <row r="223">
      <c r="A223" s="38"/>
      <c r="B223" s="38"/>
      <c r="C223" s="15"/>
      <c r="D223" s="15"/>
      <c r="E223" s="38"/>
      <c r="F223" s="38"/>
      <c r="G223" s="38"/>
      <c r="H223" s="38"/>
      <c r="I223" s="108"/>
    </row>
    <row r="224">
      <c r="A224" s="38"/>
      <c r="B224" s="38"/>
      <c r="C224" s="15"/>
      <c r="D224" s="15"/>
      <c r="E224" s="38"/>
      <c r="F224" s="38"/>
      <c r="G224" s="38"/>
      <c r="H224" s="38"/>
      <c r="I224" s="108"/>
    </row>
    <row r="225">
      <c r="A225" s="38"/>
      <c r="B225" s="38"/>
      <c r="C225" s="15"/>
      <c r="D225" s="15"/>
      <c r="E225" s="38"/>
      <c r="F225" s="38"/>
      <c r="G225" s="38"/>
      <c r="H225" s="38"/>
      <c r="I225" s="108"/>
    </row>
    <row r="226">
      <c r="A226" s="38"/>
      <c r="B226" s="38"/>
      <c r="C226" s="15"/>
      <c r="D226" s="15"/>
      <c r="E226" s="38"/>
      <c r="F226" s="38"/>
      <c r="G226" s="38"/>
      <c r="H226" s="38"/>
      <c r="I226" s="108"/>
    </row>
    <row r="227">
      <c r="A227" s="38"/>
      <c r="B227" s="38"/>
      <c r="C227" s="15"/>
      <c r="D227" s="15"/>
      <c r="E227" s="38"/>
      <c r="F227" s="38"/>
      <c r="G227" s="38"/>
      <c r="H227" s="38"/>
      <c r="I227" s="108"/>
    </row>
    <row r="228">
      <c r="A228" s="38"/>
      <c r="B228" s="38"/>
      <c r="C228" s="15"/>
      <c r="D228" s="15"/>
      <c r="E228" s="38"/>
      <c r="F228" s="38"/>
      <c r="G228" s="38"/>
      <c r="H228" s="38"/>
      <c r="I228" s="108"/>
    </row>
    <row r="229">
      <c r="A229" s="38"/>
      <c r="B229" s="38"/>
      <c r="C229" s="15"/>
      <c r="D229" s="15"/>
      <c r="E229" s="38"/>
      <c r="F229" s="38"/>
      <c r="G229" s="38"/>
      <c r="H229" s="38"/>
      <c r="I229" s="108"/>
    </row>
    <row r="230">
      <c r="A230" s="38"/>
      <c r="B230" s="38"/>
      <c r="C230" s="15"/>
      <c r="D230" s="15"/>
      <c r="E230" s="38"/>
      <c r="F230" s="38"/>
      <c r="G230" s="38"/>
      <c r="H230" s="38"/>
      <c r="I230" s="108"/>
    </row>
    <row r="231">
      <c r="A231" s="38"/>
      <c r="B231" s="38"/>
      <c r="C231" s="15"/>
      <c r="D231" s="15"/>
      <c r="E231" s="38"/>
      <c r="F231" s="38"/>
      <c r="G231" s="38"/>
      <c r="H231" s="38"/>
      <c r="I231" s="108"/>
    </row>
    <row r="232">
      <c r="A232" s="38"/>
      <c r="B232" s="38"/>
      <c r="C232" s="15"/>
      <c r="D232" s="15"/>
      <c r="E232" s="38"/>
      <c r="F232" s="38"/>
      <c r="G232" s="38"/>
      <c r="H232" s="38"/>
      <c r="I232" s="108"/>
    </row>
    <row r="233">
      <c r="A233" s="38"/>
      <c r="B233" s="38"/>
      <c r="C233" s="15"/>
      <c r="D233" s="15"/>
      <c r="E233" s="38"/>
      <c r="F233" s="38"/>
      <c r="G233" s="38"/>
      <c r="H233" s="38"/>
      <c r="I233" s="108"/>
    </row>
    <row r="234">
      <c r="A234" s="38"/>
      <c r="B234" s="38"/>
      <c r="C234" s="15"/>
      <c r="D234" s="15"/>
      <c r="E234" s="38"/>
      <c r="F234" s="38"/>
      <c r="G234" s="38"/>
      <c r="H234" s="38"/>
      <c r="I234" s="108"/>
    </row>
    <row r="235">
      <c r="A235" s="38"/>
      <c r="B235" s="38"/>
      <c r="C235" s="15"/>
      <c r="D235" s="15"/>
      <c r="E235" s="38"/>
      <c r="F235" s="38"/>
      <c r="G235" s="38"/>
      <c r="H235" s="38"/>
      <c r="I235" s="108"/>
    </row>
    <row r="236">
      <c r="A236" s="38"/>
      <c r="B236" s="38"/>
      <c r="C236" s="15"/>
      <c r="D236" s="15"/>
      <c r="E236" s="38"/>
      <c r="F236" s="38"/>
      <c r="G236" s="38"/>
      <c r="H236" s="38"/>
      <c r="I236" s="108"/>
    </row>
    <row r="237">
      <c r="A237" s="38"/>
      <c r="B237" s="38"/>
      <c r="C237" s="15"/>
      <c r="D237" s="15"/>
      <c r="E237" s="38"/>
      <c r="F237" s="38"/>
      <c r="G237" s="38"/>
      <c r="H237" s="38"/>
      <c r="I237" s="108"/>
    </row>
    <row r="238">
      <c r="A238" s="38"/>
      <c r="B238" s="38"/>
      <c r="C238" s="15"/>
      <c r="D238" s="15"/>
      <c r="E238" s="38"/>
      <c r="F238" s="38"/>
      <c r="G238" s="38"/>
      <c r="H238" s="38"/>
      <c r="I238" s="108"/>
    </row>
    <row r="239">
      <c r="A239" s="38"/>
      <c r="B239" s="38"/>
      <c r="C239" s="15"/>
      <c r="D239" s="15"/>
      <c r="E239" s="38"/>
      <c r="F239" s="38"/>
      <c r="G239" s="38"/>
      <c r="H239" s="38"/>
      <c r="I239" s="108"/>
    </row>
    <row r="240">
      <c r="A240" s="38"/>
      <c r="B240" s="38"/>
      <c r="C240" s="15"/>
      <c r="D240" s="15"/>
      <c r="E240" s="38"/>
      <c r="F240" s="38"/>
      <c r="G240" s="38"/>
      <c r="H240" s="38"/>
      <c r="I240" s="108"/>
    </row>
    <row r="241">
      <c r="A241" s="38"/>
      <c r="B241" s="38"/>
      <c r="C241" s="15"/>
      <c r="D241" s="15"/>
      <c r="E241" s="38"/>
      <c r="F241" s="38"/>
      <c r="G241" s="38"/>
      <c r="H241" s="38"/>
      <c r="I241" s="108"/>
    </row>
    <row r="242">
      <c r="A242" s="38"/>
      <c r="B242" s="38"/>
      <c r="C242" s="15"/>
      <c r="D242" s="15"/>
      <c r="E242" s="38"/>
      <c r="F242" s="38"/>
      <c r="G242" s="38"/>
      <c r="H242" s="38"/>
      <c r="I242" s="108"/>
    </row>
    <row r="243">
      <c r="A243" s="38"/>
      <c r="B243" s="38"/>
      <c r="C243" s="15"/>
      <c r="D243" s="15"/>
      <c r="E243" s="38"/>
      <c r="F243" s="38"/>
      <c r="G243" s="38"/>
      <c r="H243" s="38"/>
      <c r="I243" s="108"/>
    </row>
    <row r="244">
      <c r="A244" s="38"/>
      <c r="B244" s="38"/>
      <c r="C244" s="15"/>
      <c r="D244" s="15"/>
      <c r="E244" s="38"/>
      <c r="F244" s="38"/>
      <c r="G244" s="38"/>
      <c r="H244" s="38"/>
      <c r="I244" s="108"/>
    </row>
    <row r="245">
      <c r="A245" s="38"/>
      <c r="B245" s="38"/>
      <c r="C245" s="15"/>
      <c r="D245" s="15"/>
      <c r="E245" s="38"/>
      <c r="F245" s="38"/>
      <c r="G245" s="38"/>
      <c r="H245" s="38"/>
      <c r="I245" s="108"/>
    </row>
    <row r="246">
      <c r="A246" s="38"/>
      <c r="B246" s="38"/>
      <c r="C246" s="15"/>
      <c r="D246" s="15"/>
      <c r="E246" s="38"/>
      <c r="F246" s="38"/>
      <c r="G246" s="38"/>
      <c r="H246" s="38"/>
      <c r="I246" s="108"/>
    </row>
    <row r="247">
      <c r="A247" s="38"/>
      <c r="B247" s="38"/>
      <c r="C247" s="15"/>
      <c r="D247" s="15"/>
      <c r="E247" s="38"/>
      <c r="F247" s="38"/>
      <c r="G247" s="38"/>
      <c r="H247" s="38"/>
      <c r="I247" s="108"/>
    </row>
    <row r="248">
      <c r="A248" s="38"/>
      <c r="B248" s="38"/>
      <c r="C248" s="15"/>
      <c r="D248" s="15"/>
      <c r="E248" s="38"/>
      <c r="F248" s="38"/>
      <c r="G248" s="38"/>
      <c r="H248" s="38"/>
      <c r="I248" s="108"/>
    </row>
    <row r="249">
      <c r="A249" s="38"/>
      <c r="B249" s="38"/>
      <c r="C249" s="15"/>
      <c r="D249" s="15"/>
      <c r="E249" s="38"/>
      <c r="F249" s="38"/>
      <c r="G249" s="38"/>
      <c r="H249" s="38"/>
      <c r="I249" s="108"/>
    </row>
    <row r="250">
      <c r="A250" s="38"/>
      <c r="B250" s="38"/>
      <c r="C250" s="15"/>
      <c r="D250" s="15"/>
      <c r="E250" s="38"/>
      <c r="F250" s="38"/>
      <c r="G250" s="38"/>
      <c r="H250" s="38"/>
      <c r="I250" s="108"/>
    </row>
    <row r="251">
      <c r="A251" s="38"/>
      <c r="B251" s="38"/>
      <c r="C251" s="15"/>
      <c r="D251" s="15"/>
      <c r="E251" s="38"/>
      <c r="F251" s="38"/>
      <c r="G251" s="38"/>
      <c r="H251" s="38"/>
      <c r="I251" s="108"/>
    </row>
    <row r="252">
      <c r="A252" s="38"/>
      <c r="B252" s="38"/>
      <c r="C252" s="15"/>
      <c r="D252" s="15"/>
      <c r="E252" s="38"/>
      <c r="F252" s="38"/>
      <c r="G252" s="38"/>
      <c r="H252" s="38"/>
      <c r="I252" s="108"/>
    </row>
    <row r="253">
      <c r="A253" s="38"/>
      <c r="B253" s="38"/>
      <c r="C253" s="15"/>
      <c r="D253" s="15"/>
      <c r="E253" s="38"/>
      <c r="F253" s="38"/>
      <c r="G253" s="38"/>
      <c r="H253" s="38"/>
      <c r="I253" s="108"/>
    </row>
    <row r="254">
      <c r="A254" s="38"/>
      <c r="B254" s="38"/>
      <c r="C254" s="15"/>
      <c r="D254" s="15"/>
      <c r="E254" s="38"/>
      <c r="F254" s="38"/>
      <c r="G254" s="38"/>
      <c r="H254" s="38"/>
      <c r="I254" s="108"/>
    </row>
    <row r="255">
      <c r="A255" s="38"/>
      <c r="B255" s="38"/>
      <c r="C255" s="15"/>
      <c r="D255" s="15"/>
      <c r="E255" s="38"/>
      <c r="F255" s="38"/>
      <c r="G255" s="38"/>
      <c r="H255" s="38"/>
      <c r="I255" s="108"/>
    </row>
    <row r="256">
      <c r="A256" s="38"/>
      <c r="B256" s="38"/>
      <c r="C256" s="15"/>
      <c r="D256" s="15"/>
      <c r="E256" s="38"/>
      <c r="F256" s="38"/>
      <c r="G256" s="38"/>
      <c r="H256" s="38"/>
      <c r="I256" s="108"/>
    </row>
    <row r="257">
      <c r="A257" s="38"/>
      <c r="B257" s="38"/>
      <c r="C257" s="15"/>
      <c r="D257" s="15"/>
      <c r="E257" s="38"/>
      <c r="F257" s="38"/>
      <c r="G257" s="38"/>
      <c r="H257" s="38"/>
      <c r="I257" s="108"/>
    </row>
    <row r="258">
      <c r="A258" s="38"/>
      <c r="B258" s="38"/>
      <c r="C258" s="15"/>
      <c r="D258" s="15"/>
      <c r="E258" s="38"/>
      <c r="F258" s="38"/>
      <c r="G258" s="38"/>
      <c r="H258" s="38"/>
      <c r="I258" s="108"/>
    </row>
    <row r="259">
      <c r="A259" s="38"/>
      <c r="B259" s="38"/>
      <c r="C259" s="15"/>
      <c r="D259" s="15"/>
      <c r="E259" s="38"/>
      <c r="F259" s="38"/>
      <c r="G259" s="38"/>
      <c r="H259" s="38"/>
      <c r="I259" s="108"/>
    </row>
    <row r="260">
      <c r="A260" s="38"/>
      <c r="B260" s="38"/>
      <c r="C260" s="15"/>
      <c r="D260" s="15"/>
      <c r="E260" s="38"/>
      <c r="F260" s="38"/>
      <c r="G260" s="38"/>
      <c r="H260" s="38"/>
      <c r="I260" s="108"/>
    </row>
    <row r="261">
      <c r="A261" s="38"/>
      <c r="B261" s="38"/>
      <c r="C261" s="15"/>
      <c r="D261" s="15"/>
      <c r="E261" s="38"/>
      <c r="F261" s="38"/>
      <c r="G261" s="38"/>
      <c r="H261" s="38"/>
      <c r="I261" s="108"/>
    </row>
    <row r="262">
      <c r="A262" s="38"/>
      <c r="B262" s="38"/>
      <c r="C262" s="15"/>
      <c r="D262" s="15"/>
      <c r="E262" s="38"/>
      <c r="F262" s="38"/>
      <c r="G262" s="38"/>
      <c r="H262" s="38"/>
      <c r="I262" s="108"/>
    </row>
    <row r="263">
      <c r="A263" s="38"/>
      <c r="B263" s="38"/>
      <c r="C263" s="15"/>
      <c r="D263" s="15"/>
      <c r="E263" s="38"/>
      <c r="F263" s="38"/>
      <c r="G263" s="38"/>
      <c r="H263" s="38"/>
      <c r="I263" s="108"/>
    </row>
    <row r="264">
      <c r="A264" s="38"/>
      <c r="B264" s="38"/>
      <c r="C264" s="15"/>
      <c r="D264" s="15"/>
      <c r="E264" s="38"/>
      <c r="F264" s="38"/>
      <c r="G264" s="38"/>
      <c r="H264" s="38"/>
      <c r="I264" s="108"/>
    </row>
    <row r="265">
      <c r="A265" s="38"/>
      <c r="B265" s="38"/>
      <c r="C265" s="15"/>
      <c r="D265" s="15"/>
      <c r="E265" s="38"/>
      <c r="F265" s="38"/>
      <c r="G265" s="38"/>
      <c r="H265" s="38"/>
      <c r="I265" s="108"/>
    </row>
    <row r="266">
      <c r="A266" s="38"/>
      <c r="B266" s="38"/>
      <c r="C266" s="15"/>
      <c r="D266" s="15"/>
      <c r="E266" s="38"/>
      <c r="F266" s="38"/>
      <c r="G266" s="38"/>
      <c r="H266" s="38"/>
      <c r="I266" s="108"/>
    </row>
    <row r="267">
      <c r="A267" s="38"/>
      <c r="B267" s="38"/>
      <c r="C267" s="15"/>
      <c r="D267" s="15"/>
      <c r="E267" s="38"/>
      <c r="F267" s="38"/>
      <c r="G267" s="38"/>
      <c r="H267" s="38"/>
      <c r="I267" s="108"/>
    </row>
    <row r="268">
      <c r="A268" s="38"/>
      <c r="B268" s="38"/>
      <c r="C268" s="15"/>
      <c r="D268" s="15"/>
      <c r="E268" s="38"/>
      <c r="F268" s="38"/>
      <c r="G268" s="38"/>
      <c r="H268" s="38"/>
      <c r="I268" s="108"/>
    </row>
    <row r="269">
      <c r="A269" s="38"/>
      <c r="B269" s="38"/>
      <c r="C269" s="15"/>
      <c r="D269" s="15"/>
      <c r="E269" s="38"/>
      <c r="F269" s="38"/>
      <c r="G269" s="38"/>
      <c r="H269" s="38"/>
      <c r="I269" s="108"/>
    </row>
    <row r="270">
      <c r="A270" s="38"/>
      <c r="B270" s="38"/>
      <c r="C270" s="15"/>
      <c r="D270" s="15"/>
      <c r="E270" s="38"/>
      <c r="F270" s="38"/>
      <c r="G270" s="38"/>
      <c r="H270" s="38"/>
      <c r="I270" s="108"/>
    </row>
    <row r="271">
      <c r="A271" s="38"/>
      <c r="B271" s="38"/>
      <c r="C271" s="15"/>
      <c r="D271" s="15"/>
      <c r="E271" s="38"/>
      <c r="F271" s="38"/>
      <c r="G271" s="38"/>
      <c r="H271" s="38"/>
      <c r="I271" s="108"/>
    </row>
    <row r="272">
      <c r="A272" s="38"/>
      <c r="B272" s="38"/>
      <c r="C272" s="15"/>
      <c r="D272" s="15"/>
      <c r="E272" s="38"/>
      <c r="F272" s="38"/>
      <c r="G272" s="38"/>
      <c r="H272" s="38"/>
      <c r="I272" s="108"/>
    </row>
    <row r="273">
      <c r="A273" s="38"/>
      <c r="B273" s="38"/>
      <c r="C273" s="15"/>
      <c r="D273" s="15"/>
      <c r="E273" s="38"/>
      <c r="F273" s="38"/>
      <c r="G273" s="38"/>
      <c r="H273" s="38"/>
      <c r="I273" s="108"/>
    </row>
    <row r="274">
      <c r="A274" s="38"/>
      <c r="B274" s="38"/>
      <c r="C274" s="15"/>
      <c r="D274" s="15"/>
      <c r="E274" s="38"/>
      <c r="F274" s="38"/>
      <c r="G274" s="38"/>
      <c r="H274" s="38"/>
      <c r="I274" s="108"/>
    </row>
    <row r="275">
      <c r="A275" s="38"/>
      <c r="B275" s="38"/>
      <c r="C275" s="15"/>
      <c r="D275" s="15"/>
      <c r="E275" s="38"/>
      <c r="F275" s="38"/>
      <c r="G275" s="38"/>
      <c r="H275" s="38"/>
      <c r="I275" s="108"/>
    </row>
    <row r="276">
      <c r="A276" s="38"/>
      <c r="B276" s="38"/>
      <c r="C276" s="15"/>
      <c r="D276" s="15"/>
      <c r="E276" s="38"/>
      <c r="F276" s="38"/>
      <c r="G276" s="38"/>
      <c r="H276" s="38"/>
      <c r="I276" s="108"/>
    </row>
    <row r="277">
      <c r="A277" s="38"/>
      <c r="B277" s="38"/>
      <c r="C277" s="15"/>
      <c r="D277" s="15"/>
      <c r="E277" s="38"/>
      <c r="F277" s="38"/>
      <c r="G277" s="38"/>
      <c r="H277" s="38"/>
      <c r="I277" s="108"/>
    </row>
    <row r="278">
      <c r="A278" s="38"/>
      <c r="B278" s="38"/>
      <c r="C278" s="15"/>
      <c r="D278" s="15"/>
      <c r="E278" s="38"/>
      <c r="F278" s="38"/>
      <c r="G278" s="38"/>
      <c r="H278" s="38"/>
      <c r="I278" s="108"/>
    </row>
    <row r="279">
      <c r="A279" s="38"/>
      <c r="B279" s="38"/>
      <c r="C279" s="15"/>
      <c r="D279" s="15"/>
      <c r="E279" s="38"/>
      <c r="F279" s="38"/>
      <c r="G279" s="38"/>
      <c r="H279" s="38"/>
      <c r="I279" s="108"/>
    </row>
    <row r="280">
      <c r="A280" s="38"/>
      <c r="B280" s="38"/>
      <c r="C280" s="15"/>
      <c r="D280" s="15"/>
      <c r="E280" s="38"/>
      <c r="F280" s="38"/>
      <c r="G280" s="38"/>
      <c r="H280" s="38"/>
      <c r="I280" s="108"/>
    </row>
    <row r="281">
      <c r="A281" s="38"/>
      <c r="B281" s="38"/>
      <c r="C281" s="15"/>
      <c r="D281" s="15"/>
      <c r="E281" s="38"/>
      <c r="F281" s="38"/>
      <c r="G281" s="38"/>
      <c r="H281" s="38"/>
      <c r="I281" s="108"/>
    </row>
    <row r="282">
      <c r="A282" s="38"/>
      <c r="B282" s="38"/>
      <c r="C282" s="15"/>
      <c r="D282" s="15"/>
      <c r="E282" s="38"/>
      <c r="F282" s="38"/>
      <c r="G282" s="38"/>
      <c r="H282" s="38"/>
      <c r="I282" s="108"/>
    </row>
    <row r="283">
      <c r="A283" s="38"/>
      <c r="B283" s="38"/>
      <c r="C283" s="15"/>
      <c r="D283" s="15"/>
      <c r="E283" s="38"/>
      <c r="F283" s="38"/>
      <c r="G283" s="38"/>
      <c r="H283" s="38"/>
      <c r="I283" s="108"/>
    </row>
    <row r="284">
      <c r="A284" s="38"/>
      <c r="B284" s="38"/>
      <c r="C284" s="15"/>
      <c r="D284" s="15"/>
      <c r="E284" s="38"/>
      <c r="F284" s="38"/>
      <c r="G284" s="38"/>
      <c r="H284" s="38"/>
      <c r="I284" s="108"/>
    </row>
    <row r="285">
      <c r="A285" s="38"/>
      <c r="B285" s="38"/>
      <c r="C285" s="15"/>
      <c r="D285" s="15"/>
      <c r="E285" s="38"/>
      <c r="F285" s="38"/>
      <c r="G285" s="38"/>
      <c r="H285" s="38"/>
      <c r="I285" s="108"/>
    </row>
    <row r="286">
      <c r="A286" s="38"/>
      <c r="B286" s="38"/>
      <c r="C286" s="15"/>
      <c r="D286" s="15"/>
      <c r="E286" s="38"/>
      <c r="F286" s="38"/>
      <c r="G286" s="38"/>
      <c r="H286" s="38"/>
      <c r="I286" s="108"/>
    </row>
    <row r="287">
      <c r="A287" s="38"/>
      <c r="B287" s="38"/>
      <c r="C287" s="15"/>
      <c r="D287" s="15"/>
      <c r="E287" s="38"/>
      <c r="F287" s="38"/>
      <c r="G287" s="38"/>
      <c r="H287" s="38"/>
      <c r="I287" s="108"/>
    </row>
    <row r="288">
      <c r="A288" s="38"/>
      <c r="B288" s="38"/>
      <c r="C288" s="15"/>
      <c r="D288" s="15"/>
      <c r="E288" s="38"/>
      <c r="F288" s="38"/>
      <c r="G288" s="38"/>
      <c r="H288" s="38"/>
      <c r="I288" s="108"/>
    </row>
    <row r="289">
      <c r="A289" s="38"/>
      <c r="B289" s="38"/>
      <c r="C289" s="15"/>
      <c r="D289" s="15"/>
      <c r="E289" s="38"/>
      <c r="F289" s="38"/>
      <c r="G289" s="38"/>
      <c r="H289" s="38"/>
      <c r="I289" s="108"/>
    </row>
    <row r="290">
      <c r="A290" s="38"/>
      <c r="B290" s="38"/>
      <c r="C290" s="15"/>
      <c r="D290" s="15"/>
      <c r="E290" s="38"/>
      <c r="F290" s="38"/>
      <c r="G290" s="38"/>
      <c r="H290" s="38"/>
      <c r="I290" s="108"/>
    </row>
    <row r="291">
      <c r="A291" s="38"/>
      <c r="B291" s="38"/>
      <c r="C291" s="15"/>
      <c r="D291" s="15"/>
      <c r="E291" s="38"/>
      <c r="F291" s="38"/>
      <c r="G291" s="38"/>
      <c r="H291" s="38"/>
      <c r="I291" s="108"/>
    </row>
    <row r="292">
      <c r="A292" s="38"/>
      <c r="B292" s="38"/>
      <c r="C292" s="15"/>
      <c r="D292" s="15"/>
      <c r="E292" s="38"/>
      <c r="F292" s="38"/>
      <c r="G292" s="38"/>
      <c r="H292" s="38"/>
      <c r="I292" s="108"/>
    </row>
    <row r="293">
      <c r="A293" s="38"/>
      <c r="B293" s="38"/>
      <c r="C293" s="15"/>
      <c r="D293" s="15"/>
      <c r="E293" s="38"/>
      <c r="F293" s="38"/>
      <c r="G293" s="38"/>
      <c r="H293" s="38"/>
      <c r="I293" s="108"/>
    </row>
    <row r="294">
      <c r="A294" s="38"/>
      <c r="B294" s="38"/>
      <c r="C294" s="15"/>
      <c r="D294" s="15"/>
      <c r="E294" s="38"/>
      <c r="F294" s="38"/>
      <c r="G294" s="38"/>
      <c r="H294" s="38"/>
      <c r="I294" s="108"/>
    </row>
    <row r="295">
      <c r="A295" s="38"/>
      <c r="B295" s="38"/>
      <c r="C295" s="15"/>
      <c r="D295" s="15"/>
      <c r="E295" s="38"/>
      <c r="F295" s="38"/>
      <c r="G295" s="38"/>
      <c r="H295" s="38"/>
      <c r="I295" s="108"/>
    </row>
    <row r="296">
      <c r="A296" s="38"/>
      <c r="B296" s="38"/>
      <c r="C296" s="15"/>
      <c r="D296" s="15"/>
      <c r="E296" s="38"/>
      <c r="F296" s="38"/>
      <c r="G296" s="38"/>
      <c r="H296" s="38"/>
      <c r="I296" s="108"/>
    </row>
    <row r="297">
      <c r="A297" s="38"/>
      <c r="B297" s="38"/>
      <c r="C297" s="15"/>
      <c r="D297" s="15"/>
      <c r="E297" s="38"/>
      <c r="F297" s="38"/>
      <c r="G297" s="38"/>
      <c r="H297" s="38"/>
      <c r="I297" s="108"/>
    </row>
    <row r="298">
      <c r="A298" s="38"/>
      <c r="B298" s="38"/>
      <c r="C298" s="15"/>
      <c r="D298" s="15"/>
      <c r="E298" s="38"/>
      <c r="F298" s="38"/>
      <c r="G298" s="38"/>
      <c r="H298" s="38"/>
      <c r="I298" s="108"/>
    </row>
    <row r="299">
      <c r="A299" s="38"/>
      <c r="B299" s="38"/>
      <c r="C299" s="15"/>
      <c r="D299" s="15"/>
      <c r="E299" s="38"/>
      <c r="F299" s="38"/>
      <c r="G299" s="38"/>
      <c r="H299" s="38"/>
      <c r="I299" s="108"/>
    </row>
    <row r="300">
      <c r="A300" s="38"/>
      <c r="B300" s="38"/>
      <c r="C300" s="15"/>
      <c r="D300" s="15"/>
      <c r="E300" s="38"/>
      <c r="F300" s="38"/>
      <c r="G300" s="38"/>
      <c r="H300" s="38"/>
      <c r="I300" s="108"/>
    </row>
    <row r="301">
      <c r="A301" s="38"/>
      <c r="B301" s="38"/>
      <c r="C301" s="15"/>
      <c r="D301" s="15"/>
      <c r="E301" s="38"/>
      <c r="F301" s="38"/>
      <c r="G301" s="38"/>
      <c r="H301" s="38"/>
      <c r="I301" s="108"/>
    </row>
    <row r="302">
      <c r="A302" s="38"/>
      <c r="B302" s="38"/>
      <c r="C302" s="15"/>
      <c r="D302" s="15"/>
      <c r="E302" s="38"/>
      <c r="F302" s="38"/>
      <c r="G302" s="38"/>
      <c r="H302" s="38"/>
      <c r="I302" s="108"/>
    </row>
    <row r="303">
      <c r="A303" s="38"/>
      <c r="B303" s="38"/>
      <c r="C303" s="15"/>
      <c r="D303" s="15"/>
      <c r="E303" s="38"/>
      <c r="F303" s="38"/>
      <c r="G303" s="38"/>
      <c r="H303" s="38"/>
      <c r="I303" s="108"/>
    </row>
    <row r="304">
      <c r="A304" s="38"/>
      <c r="B304" s="38"/>
      <c r="C304" s="15"/>
      <c r="D304" s="15"/>
      <c r="E304" s="38"/>
      <c r="F304" s="38"/>
      <c r="G304" s="38"/>
      <c r="H304" s="38"/>
      <c r="I304" s="108"/>
    </row>
    <row r="305">
      <c r="A305" s="38"/>
      <c r="B305" s="38"/>
      <c r="C305" s="15"/>
      <c r="D305" s="15"/>
      <c r="E305" s="38"/>
      <c r="F305" s="38"/>
      <c r="G305" s="38"/>
      <c r="H305" s="38"/>
      <c r="I305" s="108"/>
    </row>
    <row r="306">
      <c r="A306" s="38"/>
      <c r="B306" s="38"/>
      <c r="C306" s="15"/>
      <c r="D306" s="15"/>
      <c r="E306" s="38"/>
      <c r="F306" s="38"/>
      <c r="G306" s="38"/>
      <c r="H306" s="38"/>
      <c r="I306" s="108"/>
    </row>
    <row r="307">
      <c r="A307" s="38"/>
      <c r="B307" s="38"/>
      <c r="C307" s="15"/>
      <c r="D307" s="15"/>
      <c r="E307" s="38"/>
      <c r="F307" s="38"/>
      <c r="G307" s="38"/>
      <c r="H307" s="38"/>
      <c r="I307" s="108"/>
    </row>
    <row r="308">
      <c r="A308" s="38"/>
      <c r="B308" s="38"/>
      <c r="C308" s="15"/>
      <c r="D308" s="15"/>
      <c r="E308" s="38"/>
      <c r="F308" s="38"/>
      <c r="G308" s="38"/>
      <c r="H308" s="38"/>
      <c r="I308" s="108"/>
    </row>
    <row r="309">
      <c r="A309" s="38"/>
      <c r="B309" s="38"/>
      <c r="C309" s="15"/>
      <c r="D309" s="15"/>
      <c r="E309" s="38"/>
      <c r="F309" s="38"/>
      <c r="G309" s="38"/>
      <c r="H309" s="38"/>
      <c r="I309" s="108"/>
    </row>
    <row r="310">
      <c r="A310" s="38"/>
      <c r="B310" s="38"/>
      <c r="C310" s="15"/>
      <c r="D310" s="15"/>
      <c r="E310" s="38"/>
      <c r="F310" s="38"/>
      <c r="G310" s="38"/>
      <c r="H310" s="38"/>
      <c r="I310" s="108"/>
    </row>
    <row r="311">
      <c r="A311" s="38"/>
      <c r="B311" s="38"/>
      <c r="C311" s="15"/>
      <c r="D311" s="15"/>
      <c r="E311" s="38"/>
      <c r="F311" s="38"/>
      <c r="G311" s="38"/>
      <c r="H311" s="38"/>
      <c r="I311" s="108"/>
    </row>
    <row r="312">
      <c r="A312" s="38"/>
      <c r="B312" s="38"/>
      <c r="C312" s="15"/>
      <c r="D312" s="15"/>
      <c r="E312" s="38"/>
      <c r="F312" s="38"/>
      <c r="G312" s="38"/>
      <c r="H312" s="38"/>
      <c r="I312" s="108"/>
    </row>
    <row r="313">
      <c r="A313" s="38"/>
      <c r="B313" s="38"/>
      <c r="C313" s="15"/>
      <c r="D313" s="15"/>
      <c r="E313" s="38"/>
      <c r="F313" s="38"/>
      <c r="G313" s="38"/>
      <c r="H313" s="38"/>
      <c r="I313" s="108"/>
    </row>
    <row r="314">
      <c r="A314" s="38"/>
      <c r="B314" s="38"/>
      <c r="C314" s="15"/>
      <c r="D314" s="15"/>
      <c r="E314" s="38"/>
      <c r="F314" s="38"/>
      <c r="G314" s="38"/>
      <c r="H314" s="38"/>
      <c r="I314" s="108"/>
    </row>
    <row r="315">
      <c r="A315" s="38"/>
      <c r="B315" s="38"/>
      <c r="C315" s="15"/>
      <c r="D315" s="15"/>
      <c r="E315" s="38"/>
      <c r="F315" s="38"/>
      <c r="G315" s="38"/>
      <c r="H315" s="38"/>
      <c r="I315" s="108"/>
    </row>
    <row r="316">
      <c r="A316" s="38"/>
      <c r="B316" s="38"/>
      <c r="C316" s="15"/>
      <c r="D316" s="15"/>
      <c r="E316" s="38"/>
      <c r="F316" s="38"/>
      <c r="G316" s="38"/>
      <c r="H316" s="38"/>
      <c r="I316" s="108"/>
    </row>
    <row r="317">
      <c r="A317" s="38"/>
      <c r="B317" s="38"/>
      <c r="C317" s="15"/>
      <c r="D317" s="15"/>
      <c r="E317" s="38"/>
      <c r="F317" s="38"/>
      <c r="G317" s="38"/>
      <c r="H317" s="38"/>
      <c r="I317" s="108"/>
    </row>
    <row r="318">
      <c r="A318" s="38"/>
      <c r="B318" s="38"/>
      <c r="C318" s="15"/>
      <c r="D318" s="15"/>
      <c r="E318" s="38"/>
      <c r="F318" s="38"/>
      <c r="G318" s="38"/>
      <c r="H318" s="38"/>
      <c r="I318" s="108"/>
    </row>
    <row r="319">
      <c r="A319" s="38"/>
      <c r="B319" s="38"/>
      <c r="C319" s="15"/>
      <c r="D319" s="15"/>
      <c r="E319" s="38"/>
      <c r="F319" s="38"/>
      <c r="G319" s="38"/>
      <c r="H319" s="38"/>
      <c r="I319" s="108"/>
    </row>
    <row r="320">
      <c r="A320" s="38"/>
      <c r="B320" s="38"/>
      <c r="C320" s="15"/>
      <c r="D320" s="15"/>
      <c r="E320" s="38"/>
      <c r="F320" s="38"/>
      <c r="G320" s="38"/>
      <c r="H320" s="38"/>
      <c r="I320" s="108"/>
    </row>
    <row r="321">
      <c r="A321" s="38"/>
      <c r="B321" s="38"/>
      <c r="C321" s="15"/>
      <c r="D321" s="15"/>
      <c r="E321" s="38"/>
      <c r="F321" s="38"/>
      <c r="G321" s="38"/>
      <c r="H321" s="38"/>
      <c r="I321" s="108"/>
    </row>
    <row r="322">
      <c r="A322" s="38"/>
      <c r="B322" s="38"/>
      <c r="C322" s="15"/>
      <c r="D322" s="15"/>
      <c r="E322" s="38"/>
      <c r="F322" s="38"/>
      <c r="G322" s="38"/>
      <c r="H322" s="38"/>
      <c r="I322" s="108"/>
    </row>
    <row r="323">
      <c r="A323" s="38"/>
      <c r="B323" s="38"/>
      <c r="C323" s="15"/>
      <c r="D323" s="15"/>
      <c r="E323" s="38"/>
      <c r="F323" s="38"/>
      <c r="G323" s="38"/>
      <c r="H323" s="38"/>
      <c r="I323" s="108"/>
    </row>
    <row r="324">
      <c r="A324" s="38"/>
      <c r="B324" s="38"/>
      <c r="C324" s="15"/>
      <c r="D324" s="15"/>
      <c r="E324" s="38"/>
      <c r="F324" s="38"/>
      <c r="G324" s="38"/>
      <c r="H324" s="38"/>
      <c r="I324" s="108"/>
    </row>
    <row r="325">
      <c r="A325" s="38"/>
      <c r="B325" s="38"/>
      <c r="C325" s="15"/>
      <c r="D325" s="15"/>
      <c r="E325" s="38"/>
      <c r="F325" s="38"/>
      <c r="G325" s="38"/>
      <c r="H325" s="38"/>
      <c r="I325" s="108"/>
    </row>
    <row r="326">
      <c r="A326" s="38"/>
      <c r="B326" s="38"/>
      <c r="C326" s="15"/>
      <c r="D326" s="15"/>
      <c r="E326" s="38"/>
      <c r="F326" s="38"/>
      <c r="G326" s="38"/>
      <c r="H326" s="38"/>
      <c r="I326" s="108"/>
    </row>
    <row r="327">
      <c r="A327" s="38"/>
      <c r="B327" s="38"/>
      <c r="C327" s="15"/>
      <c r="D327" s="15"/>
      <c r="E327" s="38"/>
      <c r="F327" s="38"/>
      <c r="G327" s="38"/>
      <c r="H327" s="38"/>
      <c r="I327" s="108"/>
    </row>
    <row r="328">
      <c r="A328" s="38"/>
      <c r="B328" s="38"/>
      <c r="C328" s="15"/>
      <c r="D328" s="15"/>
      <c r="E328" s="38"/>
      <c r="F328" s="38"/>
      <c r="G328" s="38"/>
      <c r="H328" s="38"/>
      <c r="I328" s="108"/>
    </row>
    <row r="329">
      <c r="A329" s="38"/>
      <c r="B329" s="38"/>
      <c r="C329" s="15"/>
      <c r="D329" s="15"/>
      <c r="E329" s="38"/>
      <c r="F329" s="38"/>
      <c r="G329" s="38"/>
      <c r="H329" s="38"/>
      <c r="I329" s="108"/>
    </row>
    <row r="330">
      <c r="A330" s="38"/>
      <c r="B330" s="38"/>
      <c r="C330" s="15"/>
      <c r="D330" s="15"/>
      <c r="E330" s="38"/>
      <c r="F330" s="38"/>
      <c r="G330" s="38"/>
      <c r="H330" s="38"/>
      <c r="I330" s="108"/>
    </row>
    <row r="331">
      <c r="A331" s="38"/>
      <c r="B331" s="38"/>
      <c r="C331" s="15"/>
      <c r="D331" s="15"/>
      <c r="E331" s="38"/>
      <c r="F331" s="38"/>
      <c r="G331" s="38"/>
      <c r="H331" s="38"/>
      <c r="I331" s="108"/>
    </row>
    <row r="332">
      <c r="A332" s="38"/>
      <c r="B332" s="38"/>
      <c r="C332" s="15"/>
      <c r="D332" s="15"/>
      <c r="E332" s="38"/>
      <c r="F332" s="38"/>
      <c r="G332" s="38"/>
      <c r="H332" s="38"/>
      <c r="I332" s="108"/>
    </row>
    <row r="333">
      <c r="A333" s="38"/>
      <c r="B333" s="38"/>
      <c r="C333" s="15"/>
      <c r="D333" s="15"/>
      <c r="E333" s="38"/>
      <c r="F333" s="38"/>
      <c r="G333" s="38"/>
      <c r="H333" s="38"/>
      <c r="I333" s="108"/>
    </row>
    <row r="334">
      <c r="A334" s="38"/>
      <c r="B334" s="38"/>
      <c r="C334" s="15"/>
      <c r="D334" s="15"/>
      <c r="E334" s="38"/>
      <c r="F334" s="38"/>
      <c r="G334" s="38"/>
      <c r="H334" s="38"/>
      <c r="I334" s="108"/>
    </row>
    <row r="335">
      <c r="A335" s="38"/>
      <c r="B335" s="38"/>
      <c r="C335" s="15"/>
      <c r="D335" s="15"/>
      <c r="E335" s="38"/>
      <c r="F335" s="38"/>
      <c r="G335" s="38"/>
      <c r="H335" s="38"/>
      <c r="I335" s="108"/>
    </row>
    <row r="336">
      <c r="A336" s="38"/>
      <c r="B336" s="38"/>
      <c r="C336" s="15"/>
      <c r="D336" s="15"/>
      <c r="E336" s="38"/>
      <c r="F336" s="38"/>
      <c r="G336" s="38"/>
      <c r="H336" s="38"/>
      <c r="I336" s="108"/>
    </row>
    <row r="337">
      <c r="A337" s="38"/>
      <c r="B337" s="38"/>
      <c r="C337" s="15"/>
      <c r="D337" s="15"/>
      <c r="E337" s="38"/>
      <c r="F337" s="38"/>
      <c r="G337" s="38"/>
      <c r="H337" s="38"/>
      <c r="I337" s="108"/>
    </row>
    <row r="338">
      <c r="A338" s="38"/>
      <c r="B338" s="38"/>
      <c r="C338" s="15"/>
      <c r="D338" s="15"/>
      <c r="E338" s="38"/>
      <c r="F338" s="38"/>
      <c r="G338" s="38"/>
      <c r="H338" s="38"/>
      <c r="I338" s="108"/>
    </row>
    <row r="339">
      <c r="A339" s="38"/>
      <c r="B339" s="38"/>
      <c r="C339" s="15"/>
      <c r="D339" s="15"/>
      <c r="E339" s="38"/>
      <c r="F339" s="38"/>
      <c r="G339" s="38"/>
      <c r="H339" s="38"/>
      <c r="I339" s="108"/>
    </row>
    <row r="340">
      <c r="A340" s="38"/>
      <c r="B340" s="38"/>
      <c r="C340" s="15"/>
      <c r="D340" s="15"/>
      <c r="E340" s="38"/>
      <c r="F340" s="38"/>
      <c r="G340" s="38"/>
      <c r="H340" s="38"/>
      <c r="I340" s="108"/>
    </row>
    <row r="341">
      <c r="A341" s="38"/>
      <c r="B341" s="38"/>
      <c r="C341" s="15"/>
      <c r="D341" s="15"/>
      <c r="E341" s="38"/>
      <c r="F341" s="38"/>
      <c r="G341" s="38"/>
      <c r="H341" s="38"/>
      <c r="I341" s="108"/>
    </row>
    <row r="342">
      <c r="A342" s="38"/>
      <c r="B342" s="38"/>
      <c r="C342" s="15"/>
      <c r="D342" s="15"/>
      <c r="E342" s="38"/>
      <c r="F342" s="38"/>
      <c r="G342" s="38"/>
      <c r="H342" s="38"/>
      <c r="I342" s="108"/>
    </row>
    <row r="343">
      <c r="A343" s="38"/>
      <c r="B343" s="38"/>
      <c r="C343" s="15"/>
      <c r="D343" s="15"/>
      <c r="E343" s="38"/>
      <c r="F343" s="38"/>
      <c r="G343" s="38"/>
      <c r="H343" s="38"/>
      <c r="I343" s="108"/>
    </row>
    <row r="344">
      <c r="A344" s="38"/>
      <c r="B344" s="38"/>
      <c r="C344" s="15"/>
      <c r="D344" s="15"/>
      <c r="E344" s="38"/>
      <c r="F344" s="38"/>
      <c r="G344" s="38"/>
      <c r="H344" s="38"/>
      <c r="I344" s="108"/>
    </row>
    <row r="345">
      <c r="A345" s="38"/>
      <c r="B345" s="38"/>
      <c r="C345" s="15"/>
      <c r="D345" s="15"/>
      <c r="E345" s="38"/>
      <c r="F345" s="38"/>
      <c r="G345" s="38"/>
      <c r="H345" s="38"/>
      <c r="I345" s="108"/>
    </row>
    <row r="346">
      <c r="A346" s="38"/>
      <c r="B346" s="38"/>
      <c r="C346" s="15"/>
      <c r="D346" s="15"/>
      <c r="E346" s="38"/>
      <c r="F346" s="38"/>
      <c r="G346" s="38"/>
      <c r="H346" s="38"/>
      <c r="I346" s="108"/>
    </row>
    <row r="347">
      <c r="A347" s="38"/>
      <c r="B347" s="38"/>
      <c r="C347" s="15"/>
      <c r="D347" s="15"/>
      <c r="E347" s="38"/>
      <c r="F347" s="38"/>
      <c r="G347" s="38"/>
      <c r="H347" s="38"/>
      <c r="I347" s="108"/>
    </row>
    <row r="348">
      <c r="A348" s="38"/>
      <c r="B348" s="38"/>
      <c r="C348" s="15"/>
      <c r="D348" s="15"/>
      <c r="E348" s="38"/>
      <c r="F348" s="38"/>
      <c r="G348" s="38"/>
      <c r="H348" s="38"/>
      <c r="I348" s="108"/>
    </row>
    <row r="349">
      <c r="A349" s="38"/>
      <c r="B349" s="38"/>
      <c r="C349" s="15"/>
      <c r="D349" s="15"/>
      <c r="E349" s="38"/>
      <c r="F349" s="38"/>
      <c r="G349" s="38"/>
      <c r="H349" s="38"/>
      <c r="I349" s="108"/>
    </row>
    <row r="350">
      <c r="A350" s="38"/>
      <c r="B350" s="38"/>
      <c r="C350" s="15"/>
      <c r="D350" s="15"/>
      <c r="E350" s="38"/>
      <c r="F350" s="38"/>
      <c r="G350" s="38"/>
      <c r="H350" s="38"/>
      <c r="I350" s="108"/>
    </row>
    <row r="351">
      <c r="A351" s="38"/>
      <c r="B351" s="38"/>
      <c r="C351" s="15"/>
      <c r="D351" s="15"/>
      <c r="E351" s="38"/>
      <c r="F351" s="38"/>
      <c r="G351" s="38"/>
      <c r="H351" s="38"/>
      <c r="I351" s="108"/>
    </row>
    <row r="352">
      <c r="A352" s="38"/>
      <c r="B352" s="38"/>
      <c r="C352" s="15"/>
      <c r="D352" s="15"/>
      <c r="E352" s="38"/>
      <c r="F352" s="38"/>
      <c r="G352" s="38"/>
      <c r="H352" s="38"/>
      <c r="I352" s="108"/>
    </row>
    <row r="353">
      <c r="A353" s="38"/>
      <c r="B353" s="38"/>
      <c r="C353" s="15"/>
      <c r="D353" s="15"/>
      <c r="E353" s="38"/>
      <c r="F353" s="38"/>
      <c r="G353" s="38"/>
      <c r="H353" s="38"/>
      <c r="I353" s="108"/>
    </row>
    <row r="354">
      <c r="A354" s="38"/>
      <c r="B354" s="38"/>
      <c r="C354" s="15"/>
      <c r="D354" s="15"/>
      <c r="E354" s="38"/>
      <c r="F354" s="38"/>
      <c r="G354" s="38"/>
      <c r="H354" s="38"/>
      <c r="I354" s="108"/>
    </row>
    <row r="355">
      <c r="A355" s="38"/>
      <c r="B355" s="38"/>
      <c r="C355" s="15"/>
      <c r="D355" s="15"/>
      <c r="E355" s="38"/>
      <c r="F355" s="38"/>
      <c r="G355" s="38"/>
      <c r="H355" s="38"/>
      <c r="I355" s="108"/>
    </row>
    <row r="356">
      <c r="A356" s="38"/>
      <c r="B356" s="38"/>
      <c r="C356" s="15"/>
      <c r="D356" s="15"/>
      <c r="E356" s="38"/>
      <c r="F356" s="38"/>
      <c r="G356" s="38"/>
      <c r="H356" s="38"/>
      <c r="I356" s="108"/>
    </row>
    <row r="357">
      <c r="A357" s="38"/>
      <c r="B357" s="38"/>
      <c r="C357" s="15"/>
      <c r="D357" s="15"/>
      <c r="E357" s="38"/>
      <c r="F357" s="38"/>
      <c r="G357" s="38"/>
      <c r="H357" s="38"/>
      <c r="I357" s="108"/>
    </row>
    <row r="358">
      <c r="A358" s="38"/>
      <c r="B358" s="38"/>
      <c r="C358" s="15"/>
      <c r="D358" s="15"/>
      <c r="E358" s="38"/>
      <c r="F358" s="38"/>
      <c r="G358" s="38"/>
      <c r="H358" s="38"/>
      <c r="I358" s="108"/>
    </row>
    <row r="359">
      <c r="A359" s="38"/>
      <c r="B359" s="38"/>
      <c r="C359" s="15"/>
      <c r="D359" s="15"/>
      <c r="E359" s="38"/>
      <c r="F359" s="38"/>
      <c r="G359" s="38"/>
      <c r="H359" s="38"/>
      <c r="I359" s="108"/>
    </row>
    <row r="360">
      <c r="A360" s="38"/>
      <c r="B360" s="38"/>
      <c r="C360" s="15"/>
      <c r="D360" s="15"/>
      <c r="E360" s="38"/>
      <c r="F360" s="38"/>
      <c r="G360" s="38"/>
      <c r="H360" s="38"/>
      <c r="I360" s="108"/>
    </row>
    <row r="361">
      <c r="A361" s="38"/>
      <c r="B361" s="38"/>
      <c r="C361" s="15"/>
      <c r="D361" s="15"/>
      <c r="E361" s="38"/>
      <c r="F361" s="38"/>
      <c r="G361" s="38"/>
      <c r="H361" s="38"/>
      <c r="I361" s="108"/>
    </row>
    <row r="362">
      <c r="A362" s="38"/>
      <c r="B362" s="38"/>
      <c r="C362" s="15"/>
      <c r="D362" s="15"/>
      <c r="E362" s="38"/>
      <c r="F362" s="38"/>
      <c r="G362" s="38"/>
      <c r="H362" s="38"/>
      <c r="I362" s="108"/>
    </row>
    <row r="363">
      <c r="A363" s="38"/>
      <c r="B363" s="38"/>
      <c r="C363" s="15"/>
      <c r="D363" s="15"/>
      <c r="E363" s="38"/>
      <c r="F363" s="38"/>
      <c r="G363" s="38"/>
      <c r="H363" s="38"/>
      <c r="I363" s="108"/>
    </row>
    <row r="364">
      <c r="A364" s="38"/>
      <c r="B364" s="38"/>
      <c r="C364" s="15"/>
      <c r="D364" s="15"/>
      <c r="E364" s="38"/>
      <c r="F364" s="38"/>
      <c r="G364" s="38"/>
      <c r="H364" s="38"/>
      <c r="I364" s="108"/>
    </row>
    <row r="365">
      <c r="A365" s="38"/>
      <c r="B365" s="38"/>
      <c r="C365" s="15"/>
      <c r="D365" s="15"/>
      <c r="E365" s="38"/>
      <c r="F365" s="38"/>
      <c r="G365" s="38"/>
      <c r="H365" s="38"/>
      <c r="I365" s="108"/>
    </row>
    <row r="366">
      <c r="A366" s="38"/>
      <c r="B366" s="38"/>
      <c r="C366" s="15"/>
      <c r="D366" s="15"/>
      <c r="E366" s="38"/>
      <c r="F366" s="38"/>
      <c r="G366" s="38"/>
      <c r="H366" s="38"/>
      <c r="I366" s="108"/>
    </row>
    <row r="367">
      <c r="A367" s="38"/>
      <c r="B367" s="38"/>
      <c r="C367" s="15"/>
      <c r="D367" s="15"/>
      <c r="E367" s="38"/>
      <c r="F367" s="38"/>
      <c r="G367" s="38"/>
      <c r="H367" s="38"/>
      <c r="I367" s="108"/>
    </row>
    <row r="368">
      <c r="A368" s="38"/>
      <c r="B368" s="38"/>
      <c r="C368" s="15"/>
      <c r="D368" s="15"/>
      <c r="E368" s="38"/>
      <c r="F368" s="38"/>
      <c r="G368" s="38"/>
      <c r="H368" s="38"/>
      <c r="I368" s="108"/>
    </row>
    <row r="369">
      <c r="A369" s="38"/>
      <c r="B369" s="38"/>
      <c r="C369" s="15"/>
      <c r="D369" s="15"/>
      <c r="E369" s="38"/>
      <c r="F369" s="38"/>
      <c r="G369" s="38"/>
      <c r="H369" s="38"/>
      <c r="I369" s="108"/>
    </row>
    <row r="370">
      <c r="A370" s="38"/>
      <c r="B370" s="38"/>
      <c r="C370" s="15"/>
      <c r="D370" s="15"/>
      <c r="E370" s="38"/>
      <c r="F370" s="38"/>
      <c r="G370" s="38"/>
      <c r="H370" s="38"/>
      <c r="I370" s="108"/>
    </row>
    <row r="371">
      <c r="A371" s="38"/>
      <c r="B371" s="38"/>
      <c r="C371" s="15"/>
      <c r="D371" s="15"/>
      <c r="E371" s="38"/>
      <c r="F371" s="38"/>
      <c r="G371" s="38"/>
      <c r="H371" s="38"/>
      <c r="I371" s="108"/>
    </row>
    <row r="372">
      <c r="A372" s="38"/>
      <c r="B372" s="38"/>
      <c r="C372" s="15"/>
      <c r="D372" s="15"/>
      <c r="E372" s="38"/>
      <c r="F372" s="38"/>
      <c r="G372" s="38"/>
      <c r="H372" s="38"/>
      <c r="I372" s="108"/>
    </row>
    <row r="373">
      <c r="A373" s="38"/>
      <c r="B373" s="38"/>
      <c r="C373" s="15"/>
      <c r="D373" s="15"/>
      <c r="E373" s="38"/>
      <c r="F373" s="38"/>
      <c r="G373" s="38"/>
      <c r="H373" s="38"/>
      <c r="I373" s="108"/>
    </row>
    <row r="374">
      <c r="A374" s="38"/>
      <c r="B374" s="38"/>
      <c r="C374" s="15"/>
      <c r="D374" s="15"/>
      <c r="E374" s="38"/>
      <c r="F374" s="38"/>
      <c r="G374" s="38"/>
      <c r="H374" s="38"/>
      <c r="I374" s="108"/>
    </row>
    <row r="375">
      <c r="A375" s="38"/>
      <c r="B375" s="38"/>
      <c r="C375" s="15"/>
      <c r="D375" s="15"/>
      <c r="E375" s="38"/>
      <c r="F375" s="38"/>
      <c r="G375" s="38"/>
      <c r="H375" s="38"/>
      <c r="I375" s="108"/>
    </row>
    <row r="376">
      <c r="A376" s="38"/>
      <c r="B376" s="38"/>
      <c r="C376" s="15"/>
      <c r="D376" s="15"/>
      <c r="E376" s="38"/>
      <c r="F376" s="38"/>
      <c r="G376" s="38"/>
      <c r="H376" s="38"/>
      <c r="I376" s="108"/>
    </row>
    <row r="377">
      <c r="A377" s="38"/>
      <c r="B377" s="38"/>
      <c r="C377" s="15"/>
      <c r="D377" s="15"/>
      <c r="E377" s="38"/>
      <c r="F377" s="38"/>
      <c r="G377" s="38"/>
      <c r="H377" s="38"/>
      <c r="I377" s="108"/>
    </row>
    <row r="378">
      <c r="A378" s="38"/>
      <c r="B378" s="38"/>
      <c r="C378" s="15"/>
      <c r="D378" s="15"/>
      <c r="E378" s="38"/>
      <c r="F378" s="38"/>
      <c r="G378" s="38"/>
      <c r="H378" s="38"/>
      <c r="I378" s="108"/>
    </row>
    <row r="379">
      <c r="A379" s="38"/>
      <c r="B379" s="38"/>
      <c r="C379" s="15"/>
      <c r="D379" s="15"/>
      <c r="E379" s="38"/>
      <c r="F379" s="38"/>
      <c r="G379" s="38"/>
      <c r="H379" s="38"/>
      <c r="I379" s="108"/>
    </row>
    <row r="380">
      <c r="A380" s="38"/>
      <c r="B380" s="38"/>
      <c r="C380" s="15"/>
      <c r="D380" s="15"/>
      <c r="E380" s="38"/>
      <c r="F380" s="38"/>
      <c r="G380" s="38"/>
      <c r="H380" s="38"/>
      <c r="I380" s="108"/>
    </row>
    <row r="381">
      <c r="A381" s="38"/>
      <c r="B381" s="38"/>
      <c r="C381" s="15"/>
      <c r="D381" s="15"/>
      <c r="E381" s="38"/>
      <c r="F381" s="38"/>
      <c r="G381" s="38"/>
      <c r="H381" s="38"/>
      <c r="I381" s="108"/>
    </row>
    <row r="382">
      <c r="A382" s="38"/>
      <c r="B382" s="38"/>
      <c r="C382" s="15"/>
      <c r="D382" s="15"/>
      <c r="E382" s="38"/>
      <c r="F382" s="38"/>
      <c r="G382" s="38"/>
      <c r="H382" s="38"/>
      <c r="I382" s="108"/>
    </row>
    <row r="383">
      <c r="A383" s="38"/>
      <c r="B383" s="38"/>
      <c r="C383" s="15"/>
      <c r="D383" s="15"/>
      <c r="E383" s="38"/>
      <c r="F383" s="38"/>
      <c r="G383" s="38"/>
      <c r="H383" s="38"/>
      <c r="I383" s="108"/>
    </row>
    <row r="384">
      <c r="A384" s="38"/>
      <c r="B384" s="38"/>
      <c r="C384" s="15"/>
      <c r="D384" s="15"/>
      <c r="E384" s="38"/>
      <c r="F384" s="38"/>
      <c r="G384" s="38"/>
      <c r="H384" s="38"/>
      <c r="I384" s="108"/>
    </row>
    <row r="385">
      <c r="A385" s="38"/>
      <c r="B385" s="38"/>
      <c r="C385" s="15"/>
      <c r="D385" s="15"/>
      <c r="E385" s="38"/>
      <c r="F385" s="38"/>
      <c r="G385" s="38"/>
      <c r="H385" s="38"/>
      <c r="I385" s="108"/>
    </row>
    <row r="386">
      <c r="A386" s="38"/>
      <c r="B386" s="38"/>
      <c r="C386" s="15"/>
      <c r="D386" s="15"/>
      <c r="E386" s="38"/>
      <c r="F386" s="38"/>
      <c r="G386" s="38"/>
      <c r="H386" s="38"/>
      <c r="I386" s="108"/>
    </row>
    <row r="387">
      <c r="A387" s="38"/>
      <c r="B387" s="38"/>
      <c r="C387" s="15"/>
      <c r="D387" s="15"/>
      <c r="E387" s="38"/>
      <c r="F387" s="38"/>
      <c r="G387" s="38"/>
      <c r="H387" s="38"/>
      <c r="I387" s="108"/>
    </row>
    <row r="388">
      <c r="A388" s="38"/>
      <c r="B388" s="38"/>
      <c r="C388" s="15"/>
      <c r="D388" s="15"/>
      <c r="E388" s="38"/>
      <c r="F388" s="38"/>
      <c r="G388" s="38"/>
      <c r="H388" s="38"/>
      <c r="I388" s="108"/>
    </row>
    <row r="389">
      <c r="A389" s="38"/>
      <c r="B389" s="38"/>
      <c r="C389" s="15"/>
      <c r="D389" s="15"/>
      <c r="E389" s="38"/>
      <c r="F389" s="38"/>
      <c r="G389" s="38"/>
      <c r="H389" s="38"/>
      <c r="I389" s="108"/>
    </row>
    <row r="390">
      <c r="A390" s="38"/>
      <c r="B390" s="38"/>
      <c r="C390" s="15"/>
      <c r="D390" s="15"/>
      <c r="E390" s="38"/>
      <c r="F390" s="38"/>
      <c r="G390" s="38"/>
      <c r="H390" s="38"/>
      <c r="I390" s="108"/>
    </row>
    <row r="391">
      <c r="A391" s="38"/>
      <c r="B391" s="38"/>
      <c r="C391" s="15"/>
      <c r="D391" s="15"/>
      <c r="E391" s="38"/>
      <c r="F391" s="38"/>
      <c r="G391" s="38"/>
      <c r="H391" s="38"/>
      <c r="I391" s="108"/>
    </row>
    <row r="392">
      <c r="A392" s="38"/>
      <c r="B392" s="38"/>
      <c r="C392" s="15"/>
      <c r="D392" s="15"/>
      <c r="E392" s="38"/>
      <c r="F392" s="38"/>
      <c r="G392" s="38"/>
      <c r="H392" s="38"/>
      <c r="I392" s="108"/>
    </row>
    <row r="393">
      <c r="A393" s="38"/>
      <c r="B393" s="38"/>
      <c r="C393" s="15"/>
      <c r="D393" s="15"/>
      <c r="E393" s="38"/>
      <c r="F393" s="38"/>
      <c r="G393" s="38"/>
      <c r="H393" s="38"/>
      <c r="I393" s="108"/>
    </row>
    <row r="394">
      <c r="A394" s="38"/>
      <c r="B394" s="38"/>
      <c r="C394" s="15"/>
      <c r="D394" s="15"/>
      <c r="E394" s="38"/>
      <c r="F394" s="38"/>
      <c r="G394" s="38"/>
      <c r="H394" s="38"/>
      <c r="I394" s="108"/>
    </row>
    <row r="395">
      <c r="A395" s="38"/>
      <c r="B395" s="38"/>
      <c r="C395" s="15"/>
      <c r="D395" s="15"/>
      <c r="E395" s="38"/>
      <c r="F395" s="38"/>
      <c r="G395" s="38"/>
      <c r="H395" s="38"/>
      <c r="I395" s="108"/>
    </row>
    <row r="396">
      <c r="A396" s="38"/>
      <c r="B396" s="38"/>
      <c r="C396" s="15"/>
      <c r="D396" s="15"/>
      <c r="E396" s="38"/>
      <c r="F396" s="38"/>
      <c r="G396" s="38"/>
      <c r="H396" s="38"/>
      <c r="I396" s="108"/>
    </row>
    <row r="397">
      <c r="A397" s="38"/>
      <c r="B397" s="38"/>
      <c r="C397" s="15"/>
      <c r="D397" s="15"/>
      <c r="E397" s="38"/>
      <c r="F397" s="38"/>
      <c r="G397" s="38"/>
      <c r="H397" s="38"/>
      <c r="I397" s="108"/>
    </row>
    <row r="398">
      <c r="A398" s="38"/>
      <c r="B398" s="38"/>
      <c r="C398" s="15"/>
      <c r="D398" s="15"/>
      <c r="E398" s="38"/>
      <c r="F398" s="38"/>
      <c r="G398" s="38"/>
      <c r="H398" s="38"/>
      <c r="I398" s="108"/>
    </row>
    <row r="399">
      <c r="A399" s="38"/>
      <c r="B399" s="38"/>
      <c r="C399" s="15"/>
      <c r="D399" s="15"/>
      <c r="E399" s="38"/>
      <c r="F399" s="38"/>
      <c r="G399" s="38"/>
      <c r="H399" s="38"/>
      <c r="I399" s="108"/>
    </row>
    <row r="400">
      <c r="A400" s="38"/>
      <c r="B400" s="38"/>
      <c r="C400" s="15"/>
      <c r="D400" s="15"/>
      <c r="E400" s="38"/>
      <c r="F400" s="38"/>
      <c r="G400" s="38"/>
      <c r="H400" s="38"/>
      <c r="I400" s="108"/>
    </row>
    <row r="401">
      <c r="A401" s="38"/>
      <c r="B401" s="38"/>
      <c r="C401" s="15"/>
      <c r="D401" s="15"/>
      <c r="E401" s="38"/>
      <c r="F401" s="38"/>
      <c r="G401" s="38"/>
      <c r="H401" s="38"/>
      <c r="I401" s="108"/>
    </row>
    <row r="402">
      <c r="A402" s="38"/>
      <c r="B402" s="38"/>
      <c r="C402" s="15"/>
      <c r="D402" s="15"/>
      <c r="E402" s="38"/>
      <c r="F402" s="38"/>
      <c r="G402" s="38"/>
      <c r="H402" s="38"/>
      <c r="I402" s="108"/>
    </row>
    <row r="403">
      <c r="A403" s="38"/>
      <c r="B403" s="38"/>
      <c r="C403" s="15"/>
      <c r="D403" s="15"/>
      <c r="E403" s="38"/>
      <c r="F403" s="38"/>
      <c r="G403" s="38"/>
      <c r="H403" s="38"/>
      <c r="I403" s="108"/>
    </row>
    <row r="404">
      <c r="A404" s="38"/>
      <c r="B404" s="38"/>
      <c r="C404" s="15"/>
      <c r="D404" s="15"/>
      <c r="E404" s="38"/>
      <c r="F404" s="38"/>
      <c r="G404" s="38"/>
      <c r="H404" s="38"/>
      <c r="I404" s="108"/>
    </row>
    <row r="405">
      <c r="A405" s="38"/>
      <c r="B405" s="38"/>
      <c r="C405" s="15"/>
      <c r="D405" s="15"/>
      <c r="E405" s="38"/>
      <c r="F405" s="38"/>
      <c r="G405" s="38"/>
      <c r="H405" s="38"/>
      <c r="I405" s="108"/>
    </row>
    <row r="406">
      <c r="A406" s="38"/>
      <c r="B406" s="38"/>
      <c r="C406" s="15"/>
      <c r="D406" s="15"/>
      <c r="E406" s="38"/>
      <c r="F406" s="38"/>
      <c r="G406" s="38"/>
      <c r="H406" s="38"/>
      <c r="I406" s="108"/>
    </row>
    <row r="407">
      <c r="A407" s="38"/>
      <c r="B407" s="38"/>
      <c r="C407" s="15"/>
      <c r="D407" s="15"/>
      <c r="E407" s="38"/>
      <c r="F407" s="38"/>
      <c r="G407" s="38"/>
      <c r="H407" s="38"/>
      <c r="I407" s="108"/>
    </row>
    <row r="408">
      <c r="A408" s="38"/>
      <c r="B408" s="38"/>
      <c r="C408" s="15"/>
      <c r="D408" s="15"/>
      <c r="E408" s="38"/>
      <c r="F408" s="38"/>
      <c r="G408" s="38"/>
      <c r="H408" s="38"/>
      <c r="I408" s="108"/>
    </row>
    <row r="409">
      <c r="A409" s="38"/>
      <c r="B409" s="38"/>
      <c r="C409" s="15"/>
      <c r="D409" s="15"/>
      <c r="E409" s="38"/>
      <c r="F409" s="38"/>
      <c r="G409" s="38"/>
      <c r="H409" s="38"/>
      <c r="I409" s="108"/>
    </row>
    <row r="410">
      <c r="A410" s="38"/>
      <c r="B410" s="38"/>
      <c r="C410" s="15"/>
      <c r="D410" s="15"/>
      <c r="E410" s="38"/>
      <c r="F410" s="38"/>
      <c r="G410" s="38"/>
      <c r="H410" s="38"/>
      <c r="I410" s="108"/>
    </row>
    <row r="411">
      <c r="A411" s="38"/>
      <c r="B411" s="38"/>
      <c r="C411" s="15"/>
      <c r="D411" s="15"/>
      <c r="E411" s="38"/>
      <c r="F411" s="38"/>
      <c r="G411" s="38"/>
      <c r="H411" s="38"/>
      <c r="I411" s="108"/>
    </row>
    <row r="412">
      <c r="A412" s="38"/>
      <c r="B412" s="38"/>
      <c r="C412" s="15"/>
      <c r="D412" s="15"/>
      <c r="E412" s="38"/>
      <c r="F412" s="38"/>
      <c r="G412" s="38"/>
      <c r="H412" s="38"/>
      <c r="I412" s="108"/>
    </row>
    <row r="413">
      <c r="A413" s="38"/>
      <c r="B413" s="38"/>
      <c r="C413" s="15"/>
      <c r="D413" s="15"/>
      <c r="E413" s="38"/>
      <c r="F413" s="38"/>
      <c r="G413" s="38"/>
      <c r="H413" s="38"/>
      <c r="I413" s="108"/>
    </row>
    <row r="414">
      <c r="A414" s="38"/>
      <c r="B414" s="38"/>
      <c r="C414" s="15"/>
      <c r="D414" s="15"/>
      <c r="E414" s="38"/>
      <c r="F414" s="38"/>
      <c r="G414" s="38"/>
      <c r="H414" s="38"/>
      <c r="I414" s="108"/>
    </row>
    <row r="415">
      <c r="A415" s="38"/>
      <c r="B415" s="38"/>
      <c r="C415" s="15"/>
      <c r="D415" s="15"/>
      <c r="E415" s="38"/>
      <c r="F415" s="38"/>
      <c r="G415" s="38"/>
      <c r="H415" s="38"/>
      <c r="I415" s="108"/>
    </row>
    <row r="416">
      <c r="A416" s="38"/>
      <c r="B416" s="38"/>
      <c r="C416" s="15"/>
      <c r="D416" s="15"/>
      <c r="E416" s="38"/>
      <c r="F416" s="38"/>
      <c r="G416" s="38"/>
      <c r="H416" s="38"/>
      <c r="I416" s="108"/>
    </row>
    <row r="417">
      <c r="A417" s="38"/>
      <c r="B417" s="38"/>
      <c r="C417" s="15"/>
      <c r="D417" s="15"/>
      <c r="E417" s="38"/>
      <c r="F417" s="38"/>
      <c r="G417" s="38"/>
      <c r="H417" s="38"/>
      <c r="I417" s="108"/>
    </row>
    <row r="418">
      <c r="A418" s="38"/>
      <c r="B418" s="38"/>
      <c r="C418" s="15"/>
      <c r="D418" s="15"/>
      <c r="E418" s="38"/>
      <c r="F418" s="38"/>
      <c r="G418" s="38"/>
      <c r="H418" s="38"/>
      <c r="I418" s="108"/>
    </row>
    <row r="419">
      <c r="A419" s="38"/>
      <c r="B419" s="38"/>
      <c r="C419" s="15"/>
      <c r="D419" s="15"/>
      <c r="E419" s="38"/>
      <c r="F419" s="38"/>
      <c r="G419" s="38"/>
      <c r="H419" s="38"/>
      <c r="I419" s="108"/>
    </row>
    <row r="420">
      <c r="A420" s="38"/>
      <c r="B420" s="38"/>
      <c r="C420" s="15"/>
      <c r="D420" s="15"/>
      <c r="E420" s="38"/>
      <c r="F420" s="38"/>
      <c r="G420" s="38"/>
      <c r="H420" s="38"/>
      <c r="I420" s="108"/>
    </row>
    <row r="421">
      <c r="A421" s="38"/>
      <c r="B421" s="38"/>
      <c r="C421" s="15"/>
      <c r="D421" s="15"/>
      <c r="E421" s="38"/>
      <c r="F421" s="38"/>
      <c r="G421" s="38"/>
      <c r="H421" s="38"/>
      <c r="I421" s="108"/>
    </row>
    <row r="422">
      <c r="A422" s="38"/>
      <c r="B422" s="38"/>
      <c r="C422" s="15"/>
      <c r="D422" s="15"/>
      <c r="E422" s="38"/>
      <c r="F422" s="38"/>
      <c r="G422" s="38"/>
      <c r="H422" s="38"/>
      <c r="I422" s="108"/>
    </row>
    <row r="423">
      <c r="A423" s="38"/>
      <c r="B423" s="38"/>
      <c r="C423" s="15"/>
      <c r="D423" s="15"/>
      <c r="E423" s="38"/>
      <c r="F423" s="38"/>
      <c r="G423" s="38"/>
      <c r="H423" s="38"/>
      <c r="I423" s="108"/>
    </row>
    <row r="424">
      <c r="A424" s="38"/>
      <c r="B424" s="38"/>
      <c r="C424" s="15"/>
      <c r="D424" s="15"/>
      <c r="E424" s="38"/>
      <c r="F424" s="38"/>
      <c r="G424" s="38"/>
      <c r="H424" s="38"/>
      <c r="I424" s="108"/>
    </row>
    <row r="425">
      <c r="A425" s="38"/>
      <c r="B425" s="38"/>
      <c r="C425" s="15"/>
      <c r="D425" s="15"/>
      <c r="E425" s="38"/>
      <c r="F425" s="38"/>
      <c r="G425" s="38"/>
      <c r="H425" s="38"/>
      <c r="I425" s="108"/>
    </row>
    <row r="426">
      <c r="A426" s="38"/>
      <c r="B426" s="38"/>
      <c r="C426" s="15"/>
      <c r="D426" s="15"/>
      <c r="E426" s="38"/>
      <c r="F426" s="38"/>
      <c r="G426" s="38"/>
      <c r="H426" s="38"/>
      <c r="I426" s="108"/>
    </row>
    <row r="427">
      <c r="A427" s="38"/>
      <c r="B427" s="38"/>
      <c r="C427" s="15"/>
      <c r="D427" s="15"/>
      <c r="E427" s="38"/>
      <c r="F427" s="38"/>
      <c r="G427" s="38"/>
      <c r="H427" s="38"/>
      <c r="I427" s="108"/>
    </row>
    <row r="428">
      <c r="A428" s="38"/>
      <c r="B428" s="38"/>
      <c r="C428" s="15"/>
      <c r="D428" s="15"/>
      <c r="E428" s="38"/>
      <c r="F428" s="38"/>
      <c r="G428" s="38"/>
      <c r="H428" s="38"/>
      <c r="I428" s="108"/>
    </row>
    <row r="429">
      <c r="A429" s="38"/>
      <c r="B429" s="38"/>
      <c r="C429" s="15"/>
      <c r="D429" s="15"/>
      <c r="E429" s="38"/>
      <c r="F429" s="38"/>
      <c r="G429" s="38"/>
      <c r="H429" s="38"/>
      <c r="I429" s="108"/>
    </row>
    <row r="430">
      <c r="A430" s="38"/>
      <c r="B430" s="38"/>
      <c r="C430" s="15"/>
      <c r="D430" s="15"/>
      <c r="E430" s="38"/>
      <c r="F430" s="38"/>
      <c r="G430" s="38"/>
      <c r="H430" s="38"/>
      <c r="I430" s="108"/>
    </row>
    <row r="431">
      <c r="A431" s="38"/>
      <c r="B431" s="38"/>
      <c r="C431" s="15"/>
      <c r="D431" s="15"/>
      <c r="E431" s="38"/>
      <c r="F431" s="38"/>
      <c r="G431" s="38"/>
      <c r="H431" s="38"/>
      <c r="I431" s="108"/>
    </row>
    <row r="432">
      <c r="A432" s="38"/>
      <c r="B432" s="38"/>
      <c r="C432" s="15"/>
      <c r="D432" s="15"/>
      <c r="E432" s="38"/>
      <c r="F432" s="38"/>
      <c r="G432" s="38"/>
      <c r="H432" s="38"/>
      <c r="I432" s="108"/>
    </row>
    <row r="433">
      <c r="A433" s="38"/>
      <c r="B433" s="38"/>
      <c r="C433" s="15"/>
      <c r="D433" s="15"/>
      <c r="E433" s="38"/>
      <c r="F433" s="38"/>
      <c r="G433" s="38"/>
      <c r="H433" s="38"/>
      <c r="I433" s="108"/>
    </row>
    <row r="434">
      <c r="A434" s="38"/>
      <c r="B434" s="38"/>
      <c r="C434" s="15"/>
      <c r="D434" s="15"/>
      <c r="E434" s="38"/>
      <c r="F434" s="38"/>
      <c r="G434" s="38"/>
      <c r="H434" s="38"/>
      <c r="I434" s="108"/>
    </row>
    <row r="435">
      <c r="A435" s="38"/>
      <c r="B435" s="38"/>
      <c r="C435" s="15"/>
      <c r="D435" s="15"/>
      <c r="E435" s="38"/>
      <c r="F435" s="38"/>
      <c r="G435" s="38"/>
      <c r="H435" s="38"/>
      <c r="I435" s="108"/>
    </row>
    <row r="436">
      <c r="A436" s="38"/>
      <c r="B436" s="38"/>
      <c r="C436" s="15"/>
      <c r="D436" s="15"/>
      <c r="E436" s="38"/>
      <c r="F436" s="38"/>
      <c r="G436" s="38"/>
      <c r="H436" s="38"/>
      <c r="I436" s="108"/>
    </row>
    <row r="437">
      <c r="A437" s="38"/>
      <c r="B437" s="38"/>
      <c r="C437" s="15"/>
      <c r="D437" s="15"/>
      <c r="E437" s="38"/>
      <c r="F437" s="38"/>
      <c r="G437" s="38"/>
      <c r="H437" s="38"/>
      <c r="I437" s="108"/>
    </row>
    <row r="438">
      <c r="A438" s="38"/>
      <c r="B438" s="38"/>
      <c r="C438" s="15"/>
      <c r="D438" s="15"/>
      <c r="E438" s="38"/>
      <c r="F438" s="38"/>
      <c r="G438" s="38"/>
      <c r="H438" s="38"/>
      <c r="I438" s="108"/>
    </row>
    <row r="439">
      <c r="A439" s="38"/>
      <c r="B439" s="38"/>
      <c r="C439" s="15"/>
      <c r="D439" s="15"/>
      <c r="E439" s="38"/>
      <c r="F439" s="38"/>
      <c r="G439" s="38"/>
      <c r="H439" s="38"/>
      <c r="I439" s="108"/>
    </row>
    <row r="440">
      <c r="A440" s="38"/>
      <c r="B440" s="38"/>
      <c r="C440" s="15"/>
      <c r="D440" s="15"/>
      <c r="E440" s="38"/>
      <c r="F440" s="38"/>
      <c r="G440" s="38"/>
      <c r="H440" s="38"/>
      <c r="I440" s="108"/>
    </row>
    <row r="441">
      <c r="A441" s="38"/>
      <c r="B441" s="38"/>
      <c r="C441" s="15"/>
      <c r="D441" s="15"/>
      <c r="E441" s="38"/>
      <c r="F441" s="38"/>
      <c r="G441" s="38"/>
      <c r="H441" s="38"/>
      <c r="I441" s="108"/>
    </row>
    <row r="442">
      <c r="A442" s="38"/>
      <c r="B442" s="38"/>
      <c r="C442" s="15"/>
      <c r="D442" s="15"/>
      <c r="E442" s="38"/>
      <c r="F442" s="38"/>
      <c r="G442" s="38"/>
      <c r="H442" s="38"/>
      <c r="I442" s="108"/>
    </row>
    <row r="443">
      <c r="A443" s="38"/>
      <c r="B443" s="38"/>
      <c r="C443" s="15"/>
      <c r="D443" s="15"/>
      <c r="E443" s="38"/>
      <c r="F443" s="38"/>
      <c r="G443" s="38"/>
      <c r="H443" s="38"/>
      <c r="I443" s="108"/>
    </row>
    <row r="444">
      <c r="A444" s="38"/>
      <c r="B444" s="38"/>
      <c r="C444" s="15"/>
      <c r="D444" s="15"/>
      <c r="E444" s="38"/>
      <c r="F444" s="38"/>
      <c r="G444" s="38"/>
      <c r="H444" s="38"/>
      <c r="I444" s="108"/>
    </row>
    <row r="445">
      <c r="A445" s="38"/>
      <c r="B445" s="38"/>
      <c r="C445" s="15"/>
      <c r="D445" s="15"/>
      <c r="E445" s="38"/>
      <c r="F445" s="38"/>
      <c r="G445" s="38"/>
      <c r="H445" s="38"/>
      <c r="I445" s="108"/>
    </row>
    <row r="446">
      <c r="A446" s="38"/>
      <c r="B446" s="38"/>
      <c r="C446" s="15"/>
      <c r="D446" s="15"/>
      <c r="E446" s="38"/>
      <c r="F446" s="38"/>
      <c r="G446" s="38"/>
      <c r="H446" s="38"/>
      <c r="I446" s="108"/>
    </row>
    <row r="447">
      <c r="A447" s="38"/>
      <c r="B447" s="38"/>
      <c r="C447" s="15"/>
      <c r="D447" s="15"/>
      <c r="E447" s="38"/>
      <c r="F447" s="38"/>
      <c r="G447" s="38"/>
      <c r="H447" s="38"/>
      <c r="I447" s="108"/>
    </row>
    <row r="448">
      <c r="A448" s="38"/>
      <c r="B448" s="38"/>
      <c r="C448" s="15"/>
      <c r="D448" s="15"/>
      <c r="E448" s="38"/>
      <c r="F448" s="38"/>
      <c r="G448" s="38"/>
      <c r="H448" s="38"/>
      <c r="I448" s="108"/>
    </row>
    <row r="449">
      <c r="A449" s="38"/>
      <c r="B449" s="38"/>
      <c r="C449" s="15"/>
      <c r="D449" s="15"/>
      <c r="E449" s="38"/>
      <c r="F449" s="38"/>
      <c r="G449" s="38"/>
      <c r="H449" s="38"/>
      <c r="I449" s="108"/>
    </row>
    <row r="450">
      <c r="A450" s="38"/>
      <c r="B450" s="38"/>
      <c r="C450" s="15"/>
      <c r="D450" s="15"/>
      <c r="E450" s="38"/>
      <c r="F450" s="38"/>
      <c r="G450" s="38"/>
      <c r="H450" s="38"/>
      <c r="I450" s="108"/>
    </row>
    <row r="451">
      <c r="A451" s="38"/>
      <c r="B451" s="38"/>
      <c r="C451" s="15"/>
      <c r="D451" s="15"/>
      <c r="E451" s="38"/>
      <c r="F451" s="38"/>
      <c r="G451" s="38"/>
      <c r="H451" s="38"/>
      <c r="I451" s="108"/>
    </row>
    <row r="452">
      <c r="A452" s="38"/>
      <c r="B452" s="38"/>
      <c r="C452" s="15"/>
      <c r="D452" s="15"/>
      <c r="E452" s="38"/>
      <c r="F452" s="38"/>
      <c r="G452" s="38"/>
      <c r="H452" s="38"/>
      <c r="I452" s="108"/>
    </row>
    <row r="453">
      <c r="A453" s="38"/>
      <c r="B453" s="38"/>
      <c r="C453" s="15"/>
      <c r="D453" s="15"/>
      <c r="E453" s="38"/>
      <c r="F453" s="38"/>
      <c r="G453" s="38"/>
      <c r="H453" s="38"/>
      <c r="I453" s="108"/>
    </row>
    <row r="454">
      <c r="A454" s="38"/>
      <c r="B454" s="38"/>
      <c r="C454" s="15"/>
      <c r="D454" s="15"/>
      <c r="E454" s="38"/>
      <c r="F454" s="38"/>
      <c r="G454" s="38"/>
      <c r="H454" s="38"/>
      <c r="I454" s="108"/>
    </row>
    <row r="455">
      <c r="A455" s="38"/>
      <c r="B455" s="38"/>
      <c r="C455" s="15"/>
      <c r="D455" s="15"/>
      <c r="E455" s="38"/>
      <c r="F455" s="38"/>
      <c r="G455" s="38"/>
      <c r="H455" s="38"/>
      <c r="I455" s="108"/>
    </row>
    <row r="456">
      <c r="A456" s="38"/>
      <c r="B456" s="38"/>
      <c r="C456" s="15"/>
      <c r="D456" s="15"/>
      <c r="E456" s="38"/>
      <c r="F456" s="38"/>
      <c r="G456" s="38"/>
      <c r="H456" s="38"/>
      <c r="I456" s="108"/>
    </row>
    <row r="457">
      <c r="A457" s="38"/>
      <c r="B457" s="38"/>
      <c r="C457" s="15"/>
      <c r="D457" s="15"/>
      <c r="E457" s="38"/>
      <c r="F457" s="38"/>
      <c r="G457" s="38"/>
      <c r="H457" s="38"/>
      <c r="I457" s="108"/>
    </row>
    <row r="458">
      <c r="A458" s="38"/>
      <c r="B458" s="38"/>
      <c r="C458" s="15"/>
      <c r="D458" s="15"/>
      <c r="E458" s="38"/>
      <c r="F458" s="38"/>
      <c r="G458" s="38"/>
      <c r="H458" s="38"/>
      <c r="I458" s="108"/>
    </row>
    <row r="459">
      <c r="A459" s="38"/>
      <c r="B459" s="38"/>
      <c r="C459" s="15"/>
      <c r="D459" s="15"/>
      <c r="E459" s="38"/>
      <c r="F459" s="38"/>
      <c r="G459" s="38"/>
      <c r="H459" s="38"/>
      <c r="I459" s="108"/>
    </row>
    <row r="460">
      <c r="A460" s="38"/>
      <c r="B460" s="38"/>
      <c r="C460" s="15"/>
      <c r="D460" s="15"/>
      <c r="E460" s="38"/>
      <c r="F460" s="38"/>
      <c r="G460" s="38"/>
      <c r="H460" s="38"/>
      <c r="I460" s="108"/>
    </row>
    <row r="461">
      <c r="A461" s="38"/>
      <c r="B461" s="38"/>
      <c r="C461" s="15"/>
      <c r="D461" s="15"/>
      <c r="E461" s="38"/>
      <c r="F461" s="38"/>
      <c r="G461" s="38"/>
      <c r="H461" s="38"/>
      <c r="I461" s="108"/>
    </row>
    <row r="462">
      <c r="A462" s="38"/>
      <c r="B462" s="38"/>
      <c r="C462" s="15"/>
      <c r="D462" s="15"/>
      <c r="E462" s="38"/>
      <c r="F462" s="38"/>
      <c r="G462" s="38"/>
      <c r="H462" s="38"/>
      <c r="I462" s="108"/>
    </row>
    <row r="463">
      <c r="A463" s="38"/>
      <c r="B463" s="38"/>
      <c r="C463" s="15"/>
      <c r="D463" s="15"/>
      <c r="E463" s="38"/>
      <c r="F463" s="38"/>
      <c r="G463" s="38"/>
      <c r="H463" s="38"/>
      <c r="I463" s="108"/>
    </row>
    <row r="464">
      <c r="A464" s="38"/>
      <c r="B464" s="38"/>
      <c r="C464" s="15"/>
      <c r="D464" s="15"/>
      <c r="E464" s="38"/>
      <c r="F464" s="38"/>
      <c r="G464" s="38"/>
      <c r="H464" s="38"/>
      <c r="I464" s="108"/>
    </row>
    <row r="465">
      <c r="A465" s="38"/>
      <c r="B465" s="38"/>
      <c r="C465" s="15"/>
      <c r="D465" s="15"/>
      <c r="E465" s="38"/>
      <c r="F465" s="38"/>
      <c r="G465" s="38"/>
      <c r="H465" s="38"/>
      <c r="I465" s="108"/>
    </row>
    <row r="466">
      <c r="A466" s="38"/>
      <c r="B466" s="38"/>
      <c r="C466" s="15"/>
      <c r="D466" s="15"/>
      <c r="E466" s="38"/>
      <c r="F466" s="38"/>
      <c r="G466" s="38"/>
      <c r="H466" s="38"/>
      <c r="I466" s="108"/>
    </row>
    <row r="467">
      <c r="A467" s="38"/>
      <c r="B467" s="38"/>
      <c r="C467" s="15"/>
      <c r="D467" s="15"/>
      <c r="E467" s="38"/>
      <c r="F467" s="38"/>
      <c r="G467" s="38"/>
      <c r="H467" s="38"/>
      <c r="I467" s="108"/>
    </row>
    <row r="468">
      <c r="A468" s="38"/>
      <c r="B468" s="38"/>
      <c r="C468" s="15"/>
      <c r="D468" s="15"/>
      <c r="E468" s="38"/>
      <c r="F468" s="38"/>
      <c r="G468" s="38"/>
      <c r="H468" s="38"/>
      <c r="I468" s="108"/>
    </row>
    <row r="469">
      <c r="A469" s="38"/>
      <c r="B469" s="38"/>
      <c r="C469" s="15"/>
      <c r="D469" s="15"/>
      <c r="E469" s="38"/>
      <c r="F469" s="38"/>
      <c r="G469" s="38"/>
      <c r="H469" s="38"/>
      <c r="I469" s="108"/>
    </row>
    <row r="470">
      <c r="A470" s="38"/>
      <c r="B470" s="38"/>
      <c r="C470" s="15"/>
      <c r="D470" s="15"/>
      <c r="E470" s="38"/>
      <c r="F470" s="38"/>
      <c r="G470" s="38"/>
      <c r="H470" s="38"/>
      <c r="I470" s="108"/>
    </row>
    <row r="471">
      <c r="A471" s="38"/>
      <c r="B471" s="38"/>
      <c r="C471" s="15"/>
      <c r="D471" s="15"/>
      <c r="E471" s="38"/>
      <c r="F471" s="38"/>
      <c r="G471" s="38"/>
      <c r="H471" s="38"/>
      <c r="I471" s="108"/>
    </row>
    <row r="472">
      <c r="A472" s="38"/>
      <c r="B472" s="38"/>
      <c r="C472" s="15"/>
      <c r="D472" s="15"/>
      <c r="E472" s="38"/>
      <c r="F472" s="38"/>
      <c r="G472" s="38"/>
      <c r="H472" s="38"/>
      <c r="I472" s="108"/>
    </row>
    <row r="473">
      <c r="A473" s="38"/>
      <c r="B473" s="38"/>
      <c r="C473" s="15"/>
      <c r="D473" s="15"/>
      <c r="E473" s="38"/>
      <c r="F473" s="38"/>
      <c r="G473" s="38"/>
      <c r="H473" s="38"/>
      <c r="I473" s="108"/>
    </row>
    <row r="474">
      <c r="A474" s="38"/>
      <c r="B474" s="38"/>
      <c r="C474" s="15"/>
      <c r="D474" s="15"/>
      <c r="E474" s="38"/>
      <c r="F474" s="38"/>
      <c r="G474" s="38"/>
      <c r="H474" s="38"/>
      <c r="I474" s="108"/>
    </row>
    <row r="475">
      <c r="A475" s="38"/>
      <c r="B475" s="38"/>
      <c r="C475" s="15"/>
      <c r="D475" s="15"/>
      <c r="E475" s="38"/>
      <c r="F475" s="38"/>
      <c r="G475" s="38"/>
      <c r="H475" s="38"/>
      <c r="I475" s="108"/>
    </row>
    <row r="476">
      <c r="A476" s="38"/>
      <c r="B476" s="38"/>
      <c r="C476" s="15"/>
      <c r="D476" s="15"/>
      <c r="E476" s="38"/>
      <c r="F476" s="38"/>
      <c r="G476" s="38"/>
      <c r="H476" s="38"/>
      <c r="I476" s="108"/>
    </row>
    <row r="477">
      <c r="A477" s="38"/>
      <c r="B477" s="38"/>
      <c r="C477" s="15"/>
      <c r="D477" s="15"/>
      <c r="E477" s="38"/>
      <c r="F477" s="38"/>
      <c r="G477" s="38"/>
      <c r="H477" s="38"/>
      <c r="I477" s="108"/>
    </row>
    <row r="478">
      <c r="A478" s="38"/>
      <c r="B478" s="38"/>
      <c r="C478" s="15"/>
      <c r="D478" s="15"/>
      <c r="E478" s="38"/>
      <c r="F478" s="38"/>
      <c r="G478" s="38"/>
      <c r="H478" s="38"/>
      <c r="I478" s="108"/>
    </row>
    <row r="479">
      <c r="A479" s="38"/>
      <c r="B479" s="38"/>
      <c r="C479" s="15"/>
      <c r="D479" s="15"/>
      <c r="E479" s="38"/>
      <c r="F479" s="38"/>
      <c r="G479" s="38"/>
      <c r="H479" s="38"/>
      <c r="I479" s="108"/>
    </row>
    <row r="480">
      <c r="A480" s="38"/>
      <c r="B480" s="38"/>
      <c r="C480" s="15"/>
      <c r="D480" s="15"/>
      <c r="E480" s="38"/>
      <c r="F480" s="38"/>
      <c r="G480" s="38"/>
      <c r="H480" s="38"/>
      <c r="I480" s="108"/>
    </row>
    <row r="481">
      <c r="A481" s="38"/>
      <c r="B481" s="38"/>
      <c r="C481" s="15"/>
      <c r="D481" s="15"/>
      <c r="E481" s="38"/>
      <c r="F481" s="38"/>
      <c r="G481" s="38"/>
      <c r="H481" s="38"/>
      <c r="I481" s="108"/>
    </row>
    <row r="482">
      <c r="A482" s="38"/>
      <c r="B482" s="38"/>
      <c r="C482" s="15"/>
      <c r="D482" s="15"/>
      <c r="E482" s="38"/>
      <c r="F482" s="38"/>
      <c r="G482" s="38"/>
      <c r="H482" s="38"/>
      <c r="I482" s="108"/>
    </row>
    <row r="483">
      <c r="A483" s="38"/>
      <c r="B483" s="38"/>
      <c r="C483" s="15"/>
      <c r="D483" s="15"/>
      <c r="E483" s="38"/>
      <c r="F483" s="38"/>
      <c r="G483" s="38"/>
      <c r="H483" s="38"/>
      <c r="I483" s="108"/>
    </row>
    <row r="484">
      <c r="A484" s="38"/>
      <c r="B484" s="38"/>
      <c r="C484" s="15"/>
      <c r="D484" s="15"/>
      <c r="E484" s="38"/>
      <c r="F484" s="38"/>
      <c r="G484" s="38"/>
      <c r="H484" s="38"/>
      <c r="I484" s="108"/>
    </row>
    <row r="485">
      <c r="A485" s="38"/>
      <c r="B485" s="38"/>
      <c r="C485" s="15"/>
      <c r="D485" s="15"/>
      <c r="E485" s="38"/>
      <c r="F485" s="38"/>
      <c r="G485" s="38"/>
      <c r="H485" s="38"/>
      <c r="I485" s="108"/>
    </row>
    <row r="486">
      <c r="A486" s="38"/>
      <c r="B486" s="38"/>
      <c r="C486" s="15"/>
      <c r="D486" s="15"/>
      <c r="E486" s="38"/>
      <c r="F486" s="38"/>
      <c r="G486" s="38"/>
      <c r="H486" s="38"/>
      <c r="I486" s="108"/>
    </row>
    <row r="487">
      <c r="A487" s="38"/>
      <c r="B487" s="38"/>
      <c r="C487" s="15"/>
      <c r="D487" s="15"/>
      <c r="E487" s="38"/>
      <c r="F487" s="38"/>
      <c r="G487" s="38"/>
      <c r="H487" s="38"/>
      <c r="I487" s="108"/>
    </row>
    <row r="488">
      <c r="A488" s="38"/>
      <c r="B488" s="38"/>
      <c r="C488" s="15"/>
      <c r="D488" s="15"/>
      <c r="E488" s="38"/>
      <c r="F488" s="38"/>
      <c r="G488" s="38"/>
      <c r="H488" s="38"/>
      <c r="I488" s="108"/>
    </row>
    <row r="489">
      <c r="A489" s="38"/>
      <c r="B489" s="38"/>
      <c r="C489" s="15"/>
      <c r="D489" s="15"/>
      <c r="E489" s="38"/>
      <c r="F489" s="38"/>
      <c r="G489" s="38"/>
      <c r="H489" s="38"/>
      <c r="I489" s="108"/>
    </row>
    <row r="490">
      <c r="A490" s="38"/>
      <c r="B490" s="38"/>
      <c r="C490" s="15"/>
      <c r="D490" s="15"/>
      <c r="E490" s="38"/>
      <c r="F490" s="38"/>
      <c r="G490" s="38"/>
      <c r="H490" s="38"/>
      <c r="I490" s="108"/>
    </row>
    <row r="491">
      <c r="A491" s="38"/>
      <c r="B491" s="38"/>
      <c r="C491" s="15"/>
      <c r="D491" s="15"/>
      <c r="E491" s="38"/>
      <c r="F491" s="38"/>
      <c r="G491" s="38"/>
      <c r="H491" s="38"/>
      <c r="I491" s="108"/>
    </row>
    <row r="492">
      <c r="A492" s="38"/>
      <c r="B492" s="38"/>
      <c r="C492" s="15"/>
      <c r="D492" s="15"/>
      <c r="E492" s="38"/>
      <c r="F492" s="38"/>
      <c r="G492" s="38"/>
      <c r="H492" s="38"/>
      <c r="I492" s="108"/>
    </row>
    <row r="493">
      <c r="A493" s="38"/>
      <c r="B493" s="38"/>
      <c r="C493" s="15"/>
      <c r="D493" s="15"/>
      <c r="E493" s="38"/>
      <c r="F493" s="38"/>
      <c r="G493" s="38"/>
      <c r="H493" s="38"/>
      <c r="I493" s="108"/>
    </row>
    <row r="494">
      <c r="A494" s="38"/>
      <c r="B494" s="38"/>
      <c r="C494" s="15"/>
      <c r="D494" s="15"/>
      <c r="E494" s="38"/>
      <c r="F494" s="38"/>
      <c r="G494" s="38"/>
      <c r="H494" s="38"/>
      <c r="I494" s="108"/>
    </row>
    <row r="495">
      <c r="A495" s="38"/>
      <c r="B495" s="38"/>
      <c r="C495" s="15"/>
      <c r="D495" s="15"/>
      <c r="E495" s="38"/>
      <c r="F495" s="38"/>
      <c r="G495" s="38"/>
      <c r="H495" s="38"/>
      <c r="I495" s="108"/>
    </row>
    <row r="496">
      <c r="A496" s="38"/>
      <c r="B496" s="38"/>
      <c r="C496" s="15"/>
      <c r="D496" s="15"/>
      <c r="E496" s="38"/>
      <c r="F496" s="38"/>
      <c r="G496" s="38"/>
      <c r="H496" s="38"/>
      <c r="I496" s="108"/>
    </row>
    <row r="497">
      <c r="A497" s="38"/>
      <c r="B497" s="38"/>
      <c r="C497" s="15"/>
      <c r="D497" s="15"/>
      <c r="E497" s="38"/>
      <c r="F497" s="38"/>
      <c r="G497" s="38"/>
      <c r="H497" s="38"/>
      <c r="I497" s="108"/>
    </row>
    <row r="498">
      <c r="A498" s="38"/>
      <c r="B498" s="38"/>
      <c r="C498" s="15"/>
      <c r="D498" s="15"/>
      <c r="E498" s="38"/>
      <c r="F498" s="38"/>
      <c r="G498" s="38"/>
      <c r="H498" s="38"/>
      <c r="I498" s="108"/>
    </row>
    <row r="499">
      <c r="A499" s="38"/>
      <c r="B499" s="38"/>
      <c r="C499" s="15"/>
      <c r="D499" s="15"/>
      <c r="E499" s="38"/>
      <c r="F499" s="38"/>
      <c r="G499" s="38"/>
      <c r="H499" s="38"/>
      <c r="I499" s="108"/>
    </row>
    <row r="500">
      <c r="A500" s="38"/>
      <c r="B500" s="38"/>
      <c r="C500" s="15"/>
      <c r="D500" s="15"/>
      <c r="E500" s="38"/>
      <c r="F500" s="38"/>
      <c r="G500" s="38"/>
      <c r="H500" s="38"/>
      <c r="I500" s="108"/>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'Faubourgs' ORDER BY Z ASC"", 1)"),"Assermenté")</f>
        <v>Assermenté</v>
      </c>
      <c r="B1" s="7" t="str">
        <f>IFERROR(__xludf.DUMMYFUNCTION("""COMPUTED_VALUE"""),"Grade")</f>
        <v>Grade</v>
      </c>
      <c r="C1" s="7" t="str">
        <f>IFERROR(__xludf.DUMMYFUNCTION("""COMPUTED_VALUE"""),"Prénom")</f>
        <v>Prénom</v>
      </c>
      <c r="D1" s="7"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IFERROR(__xludf.DUMMYFUNCTION("""COMPUTED_VALUE"""),TRUE)</f>
        <v>1</v>
      </c>
      <c r="B2" s="4" t="str">
        <f>IFERROR(__xludf.DUMMYFUNCTION("""COMPUTED_VALUE"""),"Capitaine")</f>
        <v>Capitaine</v>
      </c>
      <c r="C2" s="13" t="str">
        <f>IFERROR(__xludf.DUMMYFUNCTION("""COMPUTED_VALUE"""),"Kah-Shir")</f>
        <v>Kah-Shir</v>
      </c>
      <c r="D2" s="13" t="str">
        <f>IFERROR(__xludf.DUMMYFUNCTION("""COMPUTED_VALUE"""),"Sombre Griffe")</f>
        <v>Sombre Griffe</v>
      </c>
      <c r="E2" s="4" t="str">
        <f>IFERROR(__xludf.DUMMYFUNCTION("""COMPUTED_VALUE"""),"Faubourgs de Blancherive")</f>
        <v>Faubourgs de Blancherive</v>
      </c>
      <c r="F2" s="5"/>
      <c r="G2" s="4" t="str">
        <f>IFERROR(__xludf.DUMMYFUNCTION("""COMPUTED_VALUE"""),"Radié du service actif")</f>
        <v>Radié du service actif</v>
      </c>
      <c r="H2" s="4"/>
      <c r="I2" s="106"/>
      <c r="J2" s="38"/>
      <c r="K2" s="38"/>
      <c r="L2" s="38"/>
      <c r="M2" s="38"/>
      <c r="N2" s="38"/>
      <c r="O2" s="38"/>
      <c r="P2" s="38"/>
      <c r="Q2" s="38"/>
      <c r="R2" s="38"/>
      <c r="S2" s="38"/>
      <c r="T2" s="38"/>
      <c r="U2" s="38"/>
      <c r="V2" s="38"/>
      <c r="W2" s="38"/>
      <c r="X2" s="38"/>
      <c r="Y2" s="38"/>
      <c r="Z2" s="38"/>
    </row>
    <row r="3">
      <c r="A3" s="4" t="b">
        <f>IFERROR(__xludf.DUMMYFUNCTION("""COMPUTED_VALUE"""),FALSE)</f>
        <v>0</v>
      </c>
      <c r="B3" s="4" t="str">
        <f>IFERROR(__xludf.DUMMYFUNCTION("""COMPUTED_VALUE"""),"Garde")</f>
        <v>Garde</v>
      </c>
      <c r="C3" s="13" t="str">
        <f>IFERROR(__xludf.DUMMYFUNCTION("""COMPUTED_VALUE"""),"Léonce")</f>
        <v>Léonce</v>
      </c>
      <c r="D3" s="15" t="str">
        <f>IFERROR(__xludf.DUMMYFUNCTION("""COMPUTED_VALUE"""),"Réve-épine")</f>
        <v>Réve-épine</v>
      </c>
      <c r="E3" s="4" t="str">
        <f>IFERROR(__xludf.DUMMYFUNCTION("""COMPUTED_VALUE"""),"Faubourgs de Blancherive")</f>
        <v>Faubourgs de Blancherive</v>
      </c>
      <c r="F3" s="5"/>
      <c r="G3" s="4" t="str">
        <f>IFERROR(__xludf.DUMMYFUNCTION("""COMPUTED_VALUE"""),"Radié du service actif")</f>
        <v>Radié du service actif</v>
      </c>
      <c r="H3" s="4"/>
      <c r="I3" s="106"/>
      <c r="J3" s="38"/>
      <c r="K3" s="38"/>
      <c r="L3" s="38"/>
      <c r="M3" s="38"/>
      <c r="N3" s="38"/>
      <c r="O3" s="38"/>
      <c r="P3" s="38"/>
      <c r="Q3" s="38"/>
      <c r="R3" s="38"/>
      <c r="S3" s="38"/>
      <c r="T3" s="38"/>
      <c r="U3" s="38"/>
      <c r="V3" s="38"/>
      <c r="W3" s="38"/>
      <c r="X3" s="38"/>
      <c r="Y3" s="38"/>
      <c r="Z3" s="38"/>
    </row>
    <row r="4">
      <c r="A4" s="4" t="b">
        <f>IFERROR(__xludf.DUMMYFUNCTION("""COMPUTED_VALUE"""),FALSE)</f>
        <v>0</v>
      </c>
      <c r="B4" s="4" t="str">
        <f>IFERROR(__xludf.DUMMYFUNCTION("""COMPUTED_VALUE"""),"Lieutenant-Chef")</f>
        <v>Lieutenant-Chef</v>
      </c>
      <c r="C4" s="13" t="str">
        <f>IFERROR(__xludf.DUMMYFUNCTION("""COMPUTED_VALUE"""),"Il-draz ")</f>
        <v>Il-draz </v>
      </c>
      <c r="D4" s="15" t="str">
        <f>IFERROR(__xludf.DUMMYFUNCTION("""COMPUTED_VALUE"""),"De Chasse-au-bois")</f>
        <v>De Chasse-au-bois</v>
      </c>
      <c r="E4" s="4" t="str">
        <f>IFERROR(__xludf.DUMMYFUNCTION("""COMPUTED_VALUE"""),"Faubourgs de Blancherive")</f>
        <v>Faubourgs de Blancherive</v>
      </c>
      <c r="F4" s="5"/>
      <c r="G4" s="4" t="str">
        <f>IFERROR(__xludf.DUMMYFUNCTION("""COMPUTED_VALUE"""),"Radié du service actif")</f>
        <v>Radié du service actif</v>
      </c>
      <c r="H4" s="4"/>
      <c r="I4" s="106"/>
      <c r="J4" s="38"/>
      <c r="K4" s="38"/>
      <c r="L4" s="38"/>
      <c r="M4" s="38"/>
      <c r="N4" s="38"/>
      <c r="O4" s="38"/>
      <c r="P4" s="38"/>
      <c r="Q4" s="38"/>
      <c r="R4" s="38"/>
      <c r="S4" s="38"/>
      <c r="T4" s="38"/>
      <c r="U4" s="38"/>
      <c r="V4" s="38"/>
      <c r="W4" s="38"/>
      <c r="X4" s="38"/>
      <c r="Y4" s="38"/>
      <c r="Z4" s="38"/>
    </row>
    <row r="5">
      <c r="A5" s="4" t="b">
        <f>IFERROR(__xludf.DUMMYFUNCTION("""COMPUTED_VALUE"""),FALSE)</f>
        <v>0</v>
      </c>
      <c r="B5" s="4" t="str">
        <f>IFERROR(__xludf.DUMMYFUNCTION("""COMPUTED_VALUE"""),"Lieutenant")</f>
        <v>Lieutenant</v>
      </c>
      <c r="C5" s="13" t="str">
        <f>IFERROR(__xludf.DUMMYFUNCTION("""COMPUTED_VALUE"""),"Gorvin")</f>
        <v>Gorvin</v>
      </c>
      <c r="D5" s="13" t="str">
        <f>IFERROR(__xludf.DUMMYFUNCTION("""COMPUTED_VALUE"""),"Le-Moite")</f>
        <v>Le-Moite</v>
      </c>
      <c r="E5" s="4" t="str">
        <f>IFERROR(__xludf.DUMMYFUNCTION("""COMPUTED_VALUE"""),"Faubourgs de Blancherive")</f>
        <v>Faubourgs de Blancherive</v>
      </c>
      <c r="F5" s="5"/>
      <c r="G5" s="4" t="str">
        <f>IFERROR(__xludf.DUMMYFUNCTION("""COMPUTED_VALUE"""),"Radié du service actif")</f>
        <v>Radié du service actif</v>
      </c>
      <c r="H5" s="4"/>
      <c r="I5" s="106"/>
      <c r="J5" s="38"/>
      <c r="K5" s="38"/>
      <c r="L5" s="38"/>
      <c r="M5" s="38"/>
      <c r="N5" s="38"/>
      <c r="O5" s="38"/>
      <c r="P5" s="38"/>
      <c r="Q5" s="38"/>
      <c r="R5" s="38"/>
      <c r="S5" s="38"/>
      <c r="T5" s="38"/>
      <c r="U5" s="38"/>
      <c r="V5" s="38"/>
      <c r="W5" s="38"/>
      <c r="X5" s="38"/>
      <c r="Y5" s="38"/>
      <c r="Z5" s="38"/>
    </row>
    <row r="6">
      <c r="A6" s="4" t="b">
        <f>IFERROR(__xludf.DUMMYFUNCTION("""COMPUTED_VALUE"""),FALSE)</f>
        <v>0</v>
      </c>
      <c r="B6" s="4" t="str">
        <f>IFERROR(__xludf.DUMMYFUNCTION("""COMPUTED_VALUE"""),"Garde")</f>
        <v>Garde</v>
      </c>
      <c r="C6" s="13" t="str">
        <f>IFERROR(__xludf.DUMMYFUNCTION("""COMPUTED_VALUE"""),"Smaug")</f>
        <v>Smaug</v>
      </c>
      <c r="D6" s="13"/>
      <c r="E6" s="4" t="str">
        <f>IFERROR(__xludf.DUMMYFUNCTION("""COMPUTED_VALUE"""),"Faubourgs de Blancherive")</f>
        <v>Faubourgs de Blancherive</v>
      </c>
      <c r="F6" s="5"/>
      <c r="G6" s="4" t="str">
        <f>IFERROR(__xludf.DUMMYFUNCTION("""COMPUTED_VALUE"""),"Radié du service actif")</f>
        <v>Radié du service actif</v>
      </c>
      <c r="H6" s="4"/>
      <c r="I6" s="106"/>
      <c r="J6" s="38"/>
      <c r="K6" s="38"/>
      <c r="L6" s="38"/>
      <c r="M6" s="38"/>
      <c r="N6" s="38"/>
      <c r="O6" s="38"/>
      <c r="P6" s="38"/>
      <c r="Q6" s="38"/>
      <c r="R6" s="38"/>
      <c r="S6" s="38"/>
      <c r="T6" s="38"/>
      <c r="U6" s="38"/>
      <c r="V6" s="38"/>
      <c r="W6" s="38"/>
      <c r="X6" s="38"/>
      <c r="Y6" s="38"/>
      <c r="Z6" s="38"/>
    </row>
    <row r="7">
      <c r="A7" s="4" t="b">
        <f>IFERROR(__xludf.DUMMYFUNCTION("""COMPUTED_VALUE"""),FALSE)</f>
        <v>0</v>
      </c>
      <c r="B7" s="4" t="str">
        <f>IFERROR(__xludf.DUMMYFUNCTION("""COMPUTED_VALUE"""),"Garde")</f>
        <v>Garde</v>
      </c>
      <c r="C7" s="13" t="str">
        <f>IFERROR(__xludf.DUMMYFUNCTION("""COMPUTED_VALUE"""),"Njalda")</f>
        <v>Njalda</v>
      </c>
      <c r="D7" s="13"/>
      <c r="E7" s="4" t="str">
        <f>IFERROR(__xludf.DUMMYFUNCTION("""COMPUTED_VALUE"""),"Faubourgs de Blancherive")</f>
        <v>Faubourgs de Blancherive</v>
      </c>
      <c r="F7" s="5"/>
      <c r="G7" s="4" t="str">
        <f>IFERROR(__xludf.DUMMYFUNCTION("""COMPUTED_VALUE"""),"Radié du service actif")</f>
        <v>Radié du service actif</v>
      </c>
      <c r="H7" s="38"/>
      <c r="I7" s="106"/>
      <c r="J7" s="38"/>
      <c r="K7" s="38"/>
      <c r="L7" s="38"/>
      <c r="M7" s="38"/>
      <c r="N7" s="38"/>
      <c r="O7" s="38"/>
      <c r="P7" s="38"/>
      <c r="Q7" s="38"/>
      <c r="R7" s="38"/>
      <c r="S7" s="38"/>
      <c r="T7" s="38"/>
      <c r="U7" s="38"/>
      <c r="V7" s="38"/>
      <c r="W7" s="38"/>
      <c r="X7" s="38"/>
      <c r="Y7" s="38"/>
      <c r="Z7" s="38"/>
    </row>
    <row r="8">
      <c r="A8" s="4" t="b">
        <f>IFERROR(__xludf.DUMMYFUNCTION("""COMPUTED_VALUE"""),FALSE)</f>
        <v>0</v>
      </c>
      <c r="B8" s="4" t="str">
        <f>IFERROR(__xludf.DUMMYFUNCTION("""COMPUTED_VALUE"""),"Garde")</f>
        <v>Garde</v>
      </c>
      <c r="C8" s="13" t="str">
        <f>IFERROR(__xludf.DUMMYFUNCTION("""COMPUTED_VALUE"""),"Darina")</f>
        <v>Darina</v>
      </c>
      <c r="D8" s="13"/>
      <c r="E8" s="4" t="str">
        <f>IFERROR(__xludf.DUMMYFUNCTION("""COMPUTED_VALUE"""),"Faubourgs de Blancherive")</f>
        <v>Faubourgs de Blancherive</v>
      </c>
      <c r="F8" s="5"/>
      <c r="G8" s="4" t="str">
        <f>IFERROR(__xludf.DUMMYFUNCTION("""COMPUTED_VALUE"""),"Radié du service actif")</f>
        <v>Radié du service actif</v>
      </c>
      <c r="H8" s="38"/>
      <c r="I8" s="106"/>
      <c r="J8" s="38"/>
      <c r="K8" s="38"/>
      <c r="L8" s="38"/>
      <c r="M8" s="38"/>
      <c r="N8" s="38"/>
      <c r="O8" s="38"/>
      <c r="P8" s="38"/>
      <c r="Q8" s="38"/>
      <c r="R8" s="38"/>
      <c r="S8" s="38"/>
      <c r="T8" s="38"/>
      <c r="U8" s="38"/>
      <c r="V8" s="38"/>
      <c r="W8" s="38"/>
      <c r="X8" s="38"/>
      <c r="Y8" s="38"/>
      <c r="Z8" s="38"/>
    </row>
    <row r="9">
      <c r="A9" s="4" t="b">
        <f>IFERROR(__xludf.DUMMYFUNCTION("""COMPUTED_VALUE"""),FALSE)</f>
        <v>0</v>
      </c>
      <c r="B9" s="4" t="str">
        <f>IFERROR(__xludf.DUMMYFUNCTION("""COMPUTED_VALUE"""),"Sergent")</f>
        <v>Sergent</v>
      </c>
      <c r="C9" s="13" t="str">
        <f>IFERROR(__xludf.DUMMYFUNCTION("""COMPUTED_VALUE"""),"Jeebam-dee")</f>
        <v>Jeebam-dee</v>
      </c>
      <c r="D9" s="107"/>
      <c r="E9" s="4" t="str">
        <f>IFERROR(__xludf.DUMMYFUNCTION("""COMPUTED_VALUE"""),"Faubourgs de Blancherive")</f>
        <v>Faubourgs de Blancherive</v>
      </c>
      <c r="F9" s="5"/>
      <c r="G9" s="4" t="str">
        <f>IFERROR(__xludf.DUMMYFUNCTION("""COMPUTED_VALUE"""),"Radié du service actif")</f>
        <v>Radié du service actif</v>
      </c>
      <c r="H9" s="4"/>
      <c r="I9" s="106"/>
      <c r="J9" s="38"/>
      <c r="K9" s="38"/>
      <c r="L9" s="38"/>
      <c r="M9" s="38"/>
      <c r="N9" s="38"/>
      <c r="O9" s="38"/>
      <c r="P9" s="38"/>
      <c r="Q9" s="38"/>
      <c r="R9" s="38"/>
      <c r="S9" s="38"/>
      <c r="T9" s="38"/>
      <c r="U9" s="38"/>
      <c r="V9" s="38"/>
      <c r="W9" s="38"/>
      <c r="X9" s="38"/>
      <c r="Y9" s="38"/>
      <c r="Z9" s="38"/>
    </row>
    <row r="10">
      <c r="A10" s="38" t="b">
        <f>IFERROR(__xludf.DUMMYFUNCTION("""COMPUTED_VALUE"""),FALSE)</f>
        <v>0</v>
      </c>
      <c r="B10" s="4" t="str">
        <f>IFERROR(__xludf.DUMMYFUNCTION("""COMPUTED_VALUE"""),"Garde")</f>
        <v>Garde</v>
      </c>
      <c r="C10" s="13" t="str">
        <f>IFERROR(__xludf.DUMMYFUNCTION("""COMPUTED_VALUE"""),"Torald")</f>
        <v>Torald</v>
      </c>
      <c r="D10" s="13" t="str">
        <f>IFERROR(__xludf.DUMMYFUNCTION("""COMPUTED_VALUE"""),"Brise-Roche")</f>
        <v>Brise-Roche</v>
      </c>
      <c r="E10" s="4" t="str">
        <f>IFERROR(__xludf.DUMMYFUNCTION("""COMPUTED_VALUE"""),"Faubourgs de Blancherive")</f>
        <v>Faubourgs de Blancherive</v>
      </c>
      <c r="F10" s="5"/>
      <c r="G10" s="4" t="str">
        <f>IFERROR(__xludf.DUMMYFUNCTION("""COMPUTED_VALUE"""),"Radié du service actif")</f>
        <v>Radié du service actif</v>
      </c>
      <c r="H10" s="38"/>
      <c r="I10" s="106"/>
      <c r="J10" s="38"/>
      <c r="K10" s="38"/>
      <c r="L10" s="38"/>
      <c r="M10" s="38"/>
      <c r="N10" s="38"/>
      <c r="O10" s="38"/>
      <c r="P10" s="38"/>
      <c r="Q10" s="38"/>
      <c r="R10" s="38"/>
      <c r="S10" s="38"/>
      <c r="T10" s="38"/>
      <c r="U10" s="38"/>
      <c r="V10" s="38"/>
      <c r="W10" s="38"/>
      <c r="X10" s="38"/>
      <c r="Y10" s="38"/>
      <c r="Z10" s="38"/>
    </row>
    <row r="11">
      <c r="A11" s="38" t="b">
        <f>IFERROR(__xludf.DUMMYFUNCTION("""COMPUTED_VALUE"""),FALSE)</f>
        <v>0</v>
      </c>
      <c r="B11" s="4" t="str">
        <f>IFERROR(__xludf.DUMMYFUNCTION("""COMPUTED_VALUE"""),"Garde")</f>
        <v>Garde</v>
      </c>
      <c r="C11" s="13" t="str">
        <f>IFERROR(__xludf.DUMMYFUNCTION("""COMPUTED_VALUE"""),"Bernis")</f>
        <v>Bernis</v>
      </c>
      <c r="D11" s="15"/>
      <c r="E11" s="4" t="str">
        <f>IFERROR(__xludf.DUMMYFUNCTION("""COMPUTED_VALUE"""),"Faubourgs de Blancherive")</f>
        <v>Faubourgs de Blancherive</v>
      </c>
      <c r="F11" s="5" t="str">
        <f>IFERROR(__xludf.DUMMYFUNCTION("""COMPUTED_VALUE"""),"Garde")</f>
        <v>Garde</v>
      </c>
      <c r="G11" s="4" t="str">
        <f>IFERROR(__xludf.DUMMYFUNCTION("""COMPUTED_VALUE"""),"Radié du service actif")</f>
        <v>Radié du service actif</v>
      </c>
      <c r="H11" s="38"/>
      <c r="I11" s="106"/>
      <c r="J11" s="38"/>
      <c r="K11" s="38"/>
      <c r="L11" s="38"/>
      <c r="M11" s="38"/>
      <c r="N11" s="38"/>
      <c r="O11" s="38"/>
      <c r="P11" s="38"/>
      <c r="Q11" s="38"/>
      <c r="R11" s="38"/>
      <c r="S11" s="38"/>
      <c r="T11" s="38"/>
      <c r="U11" s="38"/>
      <c r="V11" s="38"/>
      <c r="W11" s="38"/>
      <c r="X11" s="38"/>
      <c r="Y11" s="38"/>
      <c r="Z11" s="38"/>
    </row>
    <row r="12">
      <c r="A12" s="4" t="b">
        <f>IFERROR(__xludf.DUMMYFUNCTION("""COMPUTED_VALUE"""),FALSE)</f>
        <v>0</v>
      </c>
      <c r="B12" s="4" t="str">
        <f>IFERROR(__xludf.DUMMYFUNCTION("""COMPUTED_VALUE"""),"Cadet")</f>
        <v>Cadet</v>
      </c>
      <c r="C12" s="13" t="str">
        <f>IFERROR(__xludf.DUMMYFUNCTION("""COMPUTED_VALUE"""),"Ina'ra")</f>
        <v>Ina'ra</v>
      </c>
      <c r="D12" s="15"/>
      <c r="E12" s="4" t="str">
        <f>IFERROR(__xludf.DUMMYFUNCTION("""COMPUTED_VALUE"""),"Faubourgs de Blancherive")</f>
        <v>Faubourgs de Blancherive</v>
      </c>
      <c r="F12" s="5"/>
      <c r="G12" s="4" t="str">
        <f>IFERROR(__xludf.DUMMYFUNCTION("""COMPUTED_VALUE"""),"Radié du service actif")</f>
        <v>Radié du service actif</v>
      </c>
      <c r="H12" s="4"/>
      <c r="I12" s="106"/>
      <c r="J12" s="38"/>
      <c r="K12" s="38"/>
      <c r="L12" s="38"/>
      <c r="M12" s="38"/>
      <c r="N12" s="38"/>
      <c r="O12" s="38"/>
      <c r="P12" s="38"/>
      <c r="Q12" s="38"/>
      <c r="R12" s="38"/>
      <c r="S12" s="38"/>
      <c r="T12" s="38"/>
      <c r="U12" s="38"/>
      <c r="V12" s="38"/>
      <c r="W12" s="38"/>
      <c r="X12" s="38"/>
      <c r="Y12" s="38"/>
      <c r="Z12" s="38"/>
    </row>
    <row r="13">
      <c r="A13" s="4" t="b">
        <f>IFERROR(__xludf.DUMMYFUNCTION("""COMPUTED_VALUE"""),FALSE)</f>
        <v>0</v>
      </c>
      <c r="B13" s="4" t="str">
        <f>IFERROR(__xludf.DUMMYFUNCTION("""COMPUTED_VALUE"""),"Sergent")</f>
        <v>Sergent</v>
      </c>
      <c r="C13" s="13" t="str">
        <f>IFERROR(__xludf.DUMMYFUNCTION("""COMPUTED_VALUE"""),"Ja'Shanir")</f>
        <v>Ja'Shanir</v>
      </c>
      <c r="D13" s="15"/>
      <c r="E13" s="4" t="str">
        <f>IFERROR(__xludf.DUMMYFUNCTION("""COMPUTED_VALUE"""),"Faubourgs de Blancherive")</f>
        <v>Faubourgs de Blancherive</v>
      </c>
      <c r="F13" s="5" t="str">
        <f>IFERROR(__xludf.DUMMYFUNCTION("""COMPUTED_VALUE"""),"Garde")</f>
        <v>Garde</v>
      </c>
      <c r="G13" s="4" t="str">
        <f>IFERROR(__xludf.DUMMYFUNCTION("""COMPUTED_VALUE"""),"Démissionnaire")</f>
        <v>Démissionnaire</v>
      </c>
      <c r="H13" s="4"/>
      <c r="I13" s="106"/>
      <c r="J13" s="38"/>
      <c r="K13" s="38"/>
      <c r="L13" s="38"/>
      <c r="M13" s="38"/>
      <c r="N13" s="38"/>
      <c r="O13" s="38"/>
      <c r="P13" s="38"/>
      <c r="Q13" s="38"/>
      <c r="R13" s="38"/>
      <c r="S13" s="38"/>
      <c r="T13" s="38"/>
      <c r="U13" s="38"/>
      <c r="V13" s="38"/>
      <c r="W13" s="38"/>
      <c r="X13" s="38"/>
      <c r="Y13" s="38"/>
      <c r="Z13" s="38"/>
    </row>
    <row r="14">
      <c r="A14" s="4" t="b">
        <f>IFERROR(__xludf.DUMMYFUNCTION("""COMPUTED_VALUE"""),FALSE)</f>
        <v>0</v>
      </c>
      <c r="B14" s="4" t="str">
        <f>IFERROR(__xludf.DUMMYFUNCTION("""COMPUTED_VALUE"""),"Garde")</f>
        <v>Garde</v>
      </c>
      <c r="C14" s="13" t="str">
        <f>IFERROR(__xludf.DUMMYFUNCTION("""COMPUTED_VALUE"""),"Meta Peau de Braise")</f>
        <v>Meta Peau de Braise</v>
      </c>
      <c r="D14" s="13"/>
      <c r="E14" s="4" t="str">
        <f>IFERROR(__xludf.DUMMYFUNCTION("""COMPUTED_VALUE"""),"Faubourgs de Blancherive")</f>
        <v>Faubourgs de Blancherive</v>
      </c>
      <c r="F14" s="5"/>
      <c r="G14" s="4" t="str">
        <f>IFERROR(__xludf.DUMMYFUNCTION("""COMPUTED_VALUE"""),"Radié du service actif")</f>
        <v>Radié du service actif</v>
      </c>
      <c r="H14" s="38"/>
      <c r="I14" s="106"/>
      <c r="J14" s="38"/>
      <c r="K14" s="38"/>
      <c r="L14" s="38"/>
      <c r="M14" s="38"/>
      <c r="N14" s="38"/>
      <c r="O14" s="38"/>
      <c r="P14" s="38"/>
      <c r="Q14" s="38"/>
      <c r="R14" s="38"/>
      <c r="S14" s="38"/>
      <c r="T14" s="38"/>
      <c r="U14" s="38"/>
      <c r="V14" s="38"/>
      <c r="W14" s="38"/>
      <c r="X14" s="38"/>
      <c r="Y14" s="38"/>
      <c r="Z14" s="38"/>
    </row>
    <row r="15">
      <c r="A15" s="4" t="b">
        <f>IFERROR(__xludf.DUMMYFUNCTION("""COMPUTED_VALUE"""),TRUE)</f>
        <v>1</v>
      </c>
      <c r="B15" s="4" t="str">
        <f>IFERROR(__xludf.DUMMYFUNCTION("""COMPUTED_VALUE"""),"Lieutenant-Chef")</f>
        <v>Lieutenant-Chef</v>
      </c>
      <c r="C15" s="13" t="str">
        <f>IFERROR(__xludf.DUMMYFUNCTION("""COMPUTED_VALUE"""),"Thov")</f>
        <v>Thov</v>
      </c>
      <c r="D15" s="13" t="str">
        <f>IFERROR(__xludf.DUMMYFUNCTION("""COMPUTED_VALUE"""),"Lémartes")</f>
        <v>Lémartes</v>
      </c>
      <c r="E15" s="4" t="str">
        <f>IFERROR(__xludf.DUMMYFUNCTION("""COMPUTED_VALUE"""),"Faubourgs de Blancherive")</f>
        <v>Faubourgs de Blancherive</v>
      </c>
      <c r="F15" s="5" t="str">
        <f>IFERROR(__xludf.DUMMYFUNCTION("""COMPUTED_VALUE"""),"Garde")</f>
        <v>Garde</v>
      </c>
      <c r="G15" s="4" t="str">
        <f>IFERROR(__xludf.DUMMYFUNCTION("""COMPUTED_VALUE"""),"En service actif")</f>
        <v>En service actif</v>
      </c>
      <c r="H15" s="38"/>
      <c r="I15" s="106"/>
      <c r="J15" s="38"/>
      <c r="K15" s="38"/>
      <c r="L15" s="38"/>
      <c r="M15" s="38"/>
      <c r="N15" s="38"/>
      <c r="O15" s="38"/>
      <c r="P15" s="38"/>
      <c r="Q15" s="38"/>
      <c r="R15" s="38"/>
      <c r="S15" s="38"/>
      <c r="T15" s="38"/>
      <c r="U15" s="38"/>
      <c r="V15" s="38"/>
      <c r="W15" s="38"/>
      <c r="X15" s="38"/>
      <c r="Y15" s="38"/>
      <c r="Z15" s="38"/>
    </row>
    <row r="16">
      <c r="A16" s="4" t="b">
        <f>IFERROR(__xludf.DUMMYFUNCTION("""COMPUTED_VALUE"""),FALSE)</f>
        <v>0</v>
      </c>
      <c r="B16" s="4" t="str">
        <f>IFERROR(__xludf.DUMMYFUNCTION("""COMPUTED_VALUE"""),"Garde")</f>
        <v>Garde</v>
      </c>
      <c r="C16" s="13" t="str">
        <f>IFERROR(__xludf.DUMMYFUNCTION("""COMPUTED_VALUE"""),"Asvald'ur")</f>
        <v>Asvald'ur</v>
      </c>
      <c r="D16" s="13"/>
      <c r="E16" s="4" t="str">
        <f>IFERROR(__xludf.DUMMYFUNCTION("""COMPUTED_VALUE"""),"Faubourgs de Blancherive")</f>
        <v>Faubourgs de Blancherive</v>
      </c>
      <c r="F16" s="5"/>
      <c r="G16" s="4" t="str">
        <f>IFERROR(__xludf.DUMMYFUNCTION("""COMPUTED_VALUE"""),"Démissionnaire")</f>
        <v>Démissionnaire</v>
      </c>
      <c r="H16" s="38"/>
      <c r="I16" s="106"/>
      <c r="J16" s="38"/>
      <c r="K16" s="38"/>
      <c r="L16" s="38"/>
      <c r="M16" s="38"/>
      <c r="N16" s="38"/>
      <c r="O16" s="38"/>
      <c r="P16" s="38"/>
      <c r="Q16" s="38"/>
      <c r="R16" s="38"/>
      <c r="S16" s="38"/>
      <c r="T16" s="38"/>
      <c r="U16" s="38"/>
      <c r="V16" s="38"/>
      <c r="W16" s="38"/>
      <c r="X16" s="38"/>
      <c r="Y16" s="38"/>
      <c r="Z16" s="38"/>
    </row>
    <row r="17">
      <c r="A17" s="4" t="b">
        <f>IFERROR(__xludf.DUMMYFUNCTION("""COMPUTED_VALUE"""),TRUE)</f>
        <v>1</v>
      </c>
      <c r="B17" s="4" t="str">
        <f>IFERROR(__xludf.DUMMYFUNCTION("""COMPUTED_VALUE"""),"Lieutenant")</f>
        <v>Lieutenant</v>
      </c>
      <c r="C17" s="13" t="str">
        <f>IFERROR(__xludf.DUMMYFUNCTION("""COMPUTED_VALUE"""),"Claudus")</f>
        <v>Claudus</v>
      </c>
      <c r="D17" s="13"/>
      <c r="E17" s="4" t="str">
        <f>IFERROR(__xludf.DUMMYFUNCTION("""COMPUTED_VALUE"""),"Faubourgs de Blancherive")</f>
        <v>Faubourgs de Blancherive</v>
      </c>
      <c r="F17" s="5" t="str">
        <f>IFERROR(__xludf.DUMMYFUNCTION("""COMPUTED_VALUE"""),"Garde")</f>
        <v>Garde</v>
      </c>
      <c r="G17" s="4" t="str">
        <f>IFERROR(__xludf.DUMMYFUNCTION("""COMPUTED_VALUE"""),"En service actif")</f>
        <v>En service actif</v>
      </c>
      <c r="H17" s="38"/>
      <c r="I17" s="106"/>
      <c r="J17" s="38"/>
      <c r="K17" s="38"/>
      <c r="L17" s="38"/>
      <c r="M17" s="38"/>
      <c r="N17" s="38"/>
      <c r="O17" s="38"/>
      <c r="P17" s="38"/>
      <c r="Q17" s="38"/>
      <c r="R17" s="38"/>
      <c r="S17" s="38"/>
      <c r="T17" s="38"/>
      <c r="U17" s="38"/>
      <c r="V17" s="38"/>
      <c r="W17" s="38"/>
      <c r="X17" s="38"/>
      <c r="Y17" s="38"/>
      <c r="Z17" s="38"/>
    </row>
    <row r="18">
      <c r="A18" s="4" t="b">
        <f>IFERROR(__xludf.DUMMYFUNCTION("""COMPUTED_VALUE"""),TRUE)</f>
        <v>1</v>
      </c>
      <c r="B18" s="4" t="str">
        <f>IFERROR(__xludf.DUMMYFUNCTION("""COMPUTED_VALUE"""),"Capitaine")</f>
        <v>Capitaine</v>
      </c>
      <c r="C18" s="13" t="str">
        <f>IFERROR(__xludf.DUMMYFUNCTION("""COMPUTED_VALUE"""),"Harald le hardi")</f>
        <v>Harald le hardi</v>
      </c>
      <c r="D18" s="15"/>
      <c r="E18" s="4" t="str">
        <f>IFERROR(__xludf.DUMMYFUNCTION("""COMPUTED_VALUE"""),"Faubourgs de Blancherive")</f>
        <v>Faubourgs de Blancherive</v>
      </c>
      <c r="F18" s="5" t="str">
        <f>IFERROR(__xludf.DUMMYFUNCTION("""COMPUTED_VALUE"""),"Garde")</f>
        <v>Garde</v>
      </c>
      <c r="G18" s="4" t="str">
        <f>IFERROR(__xludf.DUMMYFUNCTION("""COMPUTED_VALUE"""),"En service actif")</f>
        <v>En service actif</v>
      </c>
      <c r="H18" s="38"/>
      <c r="I18" s="106"/>
      <c r="J18" s="38"/>
      <c r="K18" s="38"/>
      <c r="L18" s="38"/>
      <c r="M18" s="38"/>
      <c r="N18" s="38"/>
      <c r="O18" s="38"/>
      <c r="P18" s="38"/>
      <c r="Q18" s="38"/>
      <c r="R18" s="38"/>
      <c r="S18" s="38"/>
      <c r="T18" s="38"/>
      <c r="U18" s="38"/>
      <c r="V18" s="38"/>
      <c r="W18" s="38"/>
      <c r="X18" s="38"/>
      <c r="Y18" s="38"/>
      <c r="Z18" s="38"/>
    </row>
    <row r="19">
      <c r="A19" s="4" t="b">
        <f>IFERROR(__xludf.DUMMYFUNCTION("""COMPUTED_VALUE"""),TRUE)</f>
        <v>1</v>
      </c>
      <c r="B19" s="4" t="str">
        <f>IFERROR(__xludf.DUMMYFUNCTION("""COMPUTED_VALUE"""),"Lieutenant-Chef")</f>
        <v>Lieutenant-Chef</v>
      </c>
      <c r="C19" s="13" t="str">
        <f>IFERROR(__xludf.DUMMYFUNCTION("""COMPUTED_VALUE"""),"Knut")</f>
        <v>Knut</v>
      </c>
      <c r="D19" s="15" t="str">
        <f>IFERROR(__xludf.DUMMYFUNCTION("""COMPUTED_VALUE"""),"Crâne-fou")</f>
        <v>Crâne-fou</v>
      </c>
      <c r="E19" s="4" t="str">
        <f>IFERROR(__xludf.DUMMYFUNCTION("""COMPUTED_VALUE"""),"Faubourgs de Blancherive")</f>
        <v>Faubourgs de Blancherive</v>
      </c>
      <c r="F19" s="5" t="str">
        <f>IFERROR(__xludf.DUMMYFUNCTION("""COMPUTED_VALUE"""),"Garde")</f>
        <v>Garde</v>
      </c>
      <c r="G19" s="4" t="str">
        <f>IFERROR(__xludf.DUMMYFUNCTION("""COMPUTED_VALUE"""),"Mis en réserve")</f>
        <v>Mis en réserve</v>
      </c>
      <c r="H19" s="38"/>
      <c r="I19" s="106"/>
      <c r="J19" s="38"/>
      <c r="K19" s="38"/>
      <c r="L19" s="38"/>
      <c r="M19" s="38"/>
      <c r="N19" s="38"/>
      <c r="O19" s="38"/>
      <c r="P19" s="38"/>
      <c r="Q19" s="38"/>
      <c r="R19" s="38"/>
      <c r="S19" s="38"/>
      <c r="T19" s="38"/>
      <c r="U19" s="38"/>
      <c r="V19" s="38"/>
      <c r="W19" s="38"/>
      <c r="X19" s="38"/>
      <c r="Y19" s="38"/>
      <c r="Z19" s="38"/>
    </row>
    <row r="20">
      <c r="A20" s="4" t="b">
        <f>IFERROR(__xludf.DUMMYFUNCTION("""COMPUTED_VALUE"""),TRUE)</f>
        <v>1</v>
      </c>
      <c r="B20" s="4" t="str">
        <f>IFERROR(__xludf.DUMMYFUNCTION("""COMPUTED_VALUE"""),"Lieutenant")</f>
        <v>Lieutenant</v>
      </c>
      <c r="C20" s="13" t="str">
        <f>IFERROR(__xludf.DUMMYFUNCTION("""COMPUTED_VALUE"""),"Asvaldur")</f>
        <v>Asvaldur</v>
      </c>
      <c r="D20" s="15"/>
      <c r="E20" s="4" t="str">
        <f>IFERROR(__xludf.DUMMYFUNCTION("""COMPUTED_VALUE"""),"Faubourgs de Blancherive")</f>
        <v>Faubourgs de Blancherive</v>
      </c>
      <c r="F20" s="5" t="str">
        <f>IFERROR(__xludf.DUMMYFUNCTION("""COMPUTED_VALUE"""),"Garde")</f>
        <v>Garde</v>
      </c>
      <c r="G20" s="4" t="str">
        <f>IFERROR(__xludf.DUMMYFUNCTION("""COMPUTED_VALUE"""),"En service actif")</f>
        <v>En service actif</v>
      </c>
      <c r="H20" s="38"/>
      <c r="I20" s="106"/>
      <c r="J20" s="38"/>
      <c r="K20" s="38"/>
      <c r="L20" s="38"/>
      <c r="M20" s="38"/>
      <c r="N20" s="38"/>
      <c r="O20" s="38"/>
      <c r="P20" s="38"/>
      <c r="Q20" s="38"/>
      <c r="R20" s="38"/>
      <c r="S20" s="38"/>
      <c r="T20" s="38"/>
      <c r="U20" s="38"/>
      <c r="V20" s="38"/>
      <c r="W20" s="38"/>
      <c r="X20" s="38"/>
      <c r="Y20" s="38"/>
      <c r="Z20" s="38"/>
    </row>
    <row r="21">
      <c r="A21" s="4" t="b">
        <f>IFERROR(__xludf.DUMMYFUNCTION("""COMPUTED_VALUE"""),FALSE)</f>
        <v>0</v>
      </c>
      <c r="B21" s="4" t="str">
        <f>IFERROR(__xludf.DUMMYFUNCTION("""COMPUTED_VALUE"""),"Recrue")</f>
        <v>Recrue</v>
      </c>
      <c r="C21" s="13" t="str">
        <f>IFERROR(__xludf.DUMMYFUNCTION("""COMPUTED_VALUE"""),"Vaegon")</f>
        <v>Vaegon</v>
      </c>
      <c r="D21" s="13"/>
      <c r="E21" s="4" t="str">
        <f>IFERROR(__xludf.DUMMYFUNCTION("""COMPUTED_VALUE"""),"Faubourgs de Blancherive")</f>
        <v>Faubourgs de Blancherive</v>
      </c>
      <c r="F21" s="5" t="str">
        <f>IFERROR(__xludf.DUMMYFUNCTION("""COMPUTED_VALUE"""),"Garde")</f>
        <v>Garde</v>
      </c>
      <c r="G21" s="4" t="str">
        <f>IFERROR(__xludf.DUMMYFUNCTION("""COMPUTED_VALUE"""),"En service actif")</f>
        <v>En service actif</v>
      </c>
      <c r="H21" s="4"/>
      <c r="I21" s="106"/>
      <c r="J21" s="38"/>
      <c r="K21" s="38"/>
      <c r="L21" s="38"/>
      <c r="M21" s="38"/>
      <c r="N21" s="38"/>
      <c r="O21" s="38"/>
      <c r="P21" s="38"/>
      <c r="Q21" s="38"/>
      <c r="R21" s="38"/>
      <c r="S21" s="38"/>
      <c r="T21" s="38"/>
      <c r="U21" s="38"/>
      <c r="V21" s="38"/>
      <c r="W21" s="38"/>
      <c r="X21" s="38"/>
      <c r="Y21" s="38"/>
      <c r="Z21" s="38"/>
    </row>
    <row r="22">
      <c r="A22" s="4" t="b">
        <f>IFERROR(__xludf.DUMMYFUNCTION("""COMPUTED_VALUE"""),FALSE)</f>
        <v>0</v>
      </c>
      <c r="B22" s="4" t="str">
        <f>IFERROR(__xludf.DUMMYFUNCTION("""COMPUTED_VALUE"""),"Recrue")</f>
        <v>Recrue</v>
      </c>
      <c r="C22" s="13" t="str">
        <f>IFERROR(__xludf.DUMMYFUNCTION("""COMPUTED_VALUE"""),"Nymor")</f>
        <v>Nymor</v>
      </c>
      <c r="D22" s="13"/>
      <c r="E22" s="4" t="str">
        <f>IFERROR(__xludf.DUMMYFUNCTION("""COMPUTED_VALUE"""),"Faubourgs de Blancherive")</f>
        <v>Faubourgs de Blancherive</v>
      </c>
      <c r="F22" s="5" t="str">
        <f>IFERROR(__xludf.DUMMYFUNCTION("""COMPUTED_VALUE"""),"Garde")</f>
        <v>Garde</v>
      </c>
      <c r="G22" s="4" t="str">
        <f>IFERROR(__xludf.DUMMYFUNCTION("""COMPUTED_VALUE"""),"En service actif")</f>
        <v>En service actif</v>
      </c>
      <c r="H22" s="4"/>
      <c r="I22" s="106"/>
      <c r="J22" s="38"/>
      <c r="K22" s="38"/>
      <c r="L22" s="38"/>
      <c r="M22" s="38"/>
      <c r="N22" s="38"/>
      <c r="O22" s="38"/>
      <c r="P22" s="38"/>
      <c r="Q22" s="38"/>
      <c r="R22" s="38"/>
      <c r="S22" s="38"/>
      <c r="T22" s="38"/>
      <c r="U22" s="38"/>
      <c r="V22" s="38"/>
      <c r="W22" s="38"/>
      <c r="X22" s="38"/>
      <c r="Y22" s="38"/>
      <c r="Z22" s="38"/>
    </row>
    <row r="23">
      <c r="A23" s="4" t="b">
        <f>IFERROR(__xludf.DUMMYFUNCTION("""COMPUTED_VALUE"""),TRUE)</f>
        <v>1</v>
      </c>
      <c r="B23" s="4" t="str">
        <f>IFERROR(__xludf.DUMMYFUNCTION("""COMPUTED_VALUE"""),"Recrue")</f>
        <v>Recrue</v>
      </c>
      <c r="C23" s="13" t="str">
        <f>IFERROR(__xludf.DUMMYFUNCTION("""COMPUTED_VALUE"""),"Vahne")</f>
        <v>Vahne</v>
      </c>
      <c r="D23" s="13"/>
      <c r="E23" s="4" t="str">
        <f>IFERROR(__xludf.DUMMYFUNCTION("""COMPUTED_VALUE"""),"Faubourgs de Blancherive")</f>
        <v>Faubourgs de Blancherive</v>
      </c>
      <c r="F23" s="5" t="str">
        <f>IFERROR(__xludf.DUMMYFUNCTION("""COMPUTED_VALUE"""),"Garde")</f>
        <v>Garde</v>
      </c>
      <c r="G23" s="4" t="str">
        <f>IFERROR(__xludf.DUMMYFUNCTION("""COMPUTED_VALUE"""),"En service actif")</f>
        <v>En service actif</v>
      </c>
      <c r="H23" s="4"/>
      <c r="I23" s="106"/>
      <c r="J23" s="38"/>
      <c r="K23" s="38"/>
      <c r="L23" s="38"/>
      <c r="M23" s="38"/>
      <c r="N23" s="38"/>
      <c r="O23" s="38"/>
      <c r="P23" s="38"/>
      <c r="Q23" s="38"/>
      <c r="R23" s="38"/>
      <c r="S23" s="38"/>
      <c r="T23" s="38"/>
      <c r="U23" s="38"/>
      <c r="V23" s="38"/>
      <c r="W23" s="38"/>
      <c r="X23" s="38"/>
      <c r="Y23" s="38"/>
      <c r="Z23" s="38"/>
    </row>
    <row r="24">
      <c r="A24" s="4"/>
      <c r="B24" s="4"/>
      <c r="C24" s="13"/>
      <c r="D24" s="15"/>
      <c r="E24" s="4"/>
      <c r="F24" s="5"/>
      <c r="G24" s="4"/>
      <c r="H24" s="4"/>
      <c r="I24" s="106"/>
    </row>
    <row r="25">
      <c r="A25" s="4"/>
      <c r="B25" s="4"/>
      <c r="C25" s="13"/>
      <c r="D25" s="13"/>
      <c r="E25" s="4"/>
      <c r="F25" s="5"/>
      <c r="G25" s="4"/>
      <c r="H25" s="38"/>
      <c r="I25" s="106"/>
    </row>
    <row r="26">
      <c r="A26" s="4"/>
      <c r="B26" s="4"/>
      <c r="C26" s="13"/>
      <c r="D26" s="15"/>
      <c r="E26" s="4"/>
      <c r="F26" s="5"/>
      <c r="G26" s="4"/>
      <c r="H26" s="38"/>
      <c r="I26" s="106"/>
    </row>
    <row r="27">
      <c r="A27" s="4"/>
      <c r="B27" s="4"/>
      <c r="C27" s="13"/>
      <c r="D27" s="15"/>
      <c r="E27" s="4"/>
      <c r="F27" s="5"/>
      <c r="G27" s="4"/>
      <c r="H27" s="38"/>
      <c r="I27" s="106"/>
    </row>
    <row r="28">
      <c r="A28" s="4"/>
      <c r="B28" s="4"/>
      <c r="C28" s="13"/>
      <c r="D28" s="13"/>
      <c r="E28" s="4"/>
      <c r="F28" s="5"/>
      <c r="G28" s="4"/>
      <c r="H28" s="38"/>
      <c r="I28" s="106"/>
    </row>
    <row r="29">
      <c r="A29" s="4"/>
      <c r="B29" s="4"/>
      <c r="C29" s="13"/>
      <c r="D29" s="13"/>
      <c r="E29" s="4"/>
      <c r="F29" s="5"/>
      <c r="G29" s="4"/>
      <c r="H29" s="38"/>
      <c r="I29" s="106"/>
    </row>
    <row r="30">
      <c r="A30" s="4"/>
      <c r="B30" s="4"/>
      <c r="C30" s="13"/>
      <c r="D30" s="15"/>
      <c r="E30" s="4"/>
      <c r="F30" s="5"/>
      <c r="G30" s="4"/>
      <c r="H30" s="38"/>
      <c r="I30" s="106"/>
    </row>
    <row r="31">
      <c r="A31" s="4"/>
      <c r="B31" s="4"/>
      <c r="C31" s="13"/>
      <c r="D31" s="15"/>
      <c r="E31" s="4"/>
      <c r="F31" s="5"/>
      <c r="G31" s="4"/>
      <c r="H31" s="38"/>
      <c r="I31" s="106"/>
    </row>
    <row r="32">
      <c r="A32" s="4"/>
      <c r="B32" s="4"/>
      <c r="C32" s="13"/>
      <c r="D32" s="13"/>
      <c r="E32" s="4"/>
      <c r="F32" s="5"/>
      <c r="G32" s="4"/>
      <c r="H32" s="38"/>
      <c r="I32" s="106"/>
    </row>
    <row r="33">
      <c r="A33" s="4"/>
      <c r="B33" s="4"/>
      <c r="C33" s="13"/>
      <c r="D33" s="13"/>
      <c r="E33" s="4"/>
      <c r="F33" s="5"/>
      <c r="G33" s="4"/>
      <c r="H33" s="38"/>
      <c r="I33" s="106"/>
    </row>
    <row r="34">
      <c r="A34" s="38"/>
      <c r="B34" s="4"/>
      <c r="C34" s="13"/>
      <c r="D34" s="15"/>
      <c r="E34" s="4"/>
      <c r="F34" s="5"/>
      <c r="G34" s="4"/>
      <c r="H34" s="38"/>
      <c r="I34" s="106"/>
    </row>
    <row r="35">
      <c r="A35" s="4"/>
      <c r="B35" s="4"/>
      <c r="C35" s="13"/>
      <c r="D35" s="15"/>
      <c r="E35" s="4"/>
      <c r="F35" s="5"/>
      <c r="G35" s="4"/>
      <c r="H35" s="38"/>
      <c r="I35" s="106"/>
    </row>
    <row r="36">
      <c r="A36" s="4"/>
      <c r="B36" s="4"/>
      <c r="C36" s="13"/>
      <c r="D36" s="13"/>
      <c r="E36" s="4"/>
      <c r="F36" s="5"/>
      <c r="G36" s="4"/>
      <c r="H36" s="38"/>
      <c r="I36" s="106"/>
    </row>
    <row r="37">
      <c r="A37" s="38"/>
      <c r="B37" s="4"/>
      <c r="C37" s="13"/>
      <c r="D37" s="13"/>
      <c r="E37" s="4"/>
      <c r="F37" s="5"/>
      <c r="G37" s="4"/>
      <c r="H37" s="38"/>
      <c r="I37" s="106"/>
    </row>
    <row r="38">
      <c r="A38" s="38"/>
      <c r="B38" s="4"/>
      <c r="C38" s="13"/>
      <c r="D38" s="13"/>
      <c r="E38" s="4"/>
      <c r="F38" s="5"/>
      <c r="G38" s="4"/>
      <c r="H38" s="38"/>
      <c r="I38" s="106"/>
    </row>
    <row r="39">
      <c r="A39" s="38"/>
      <c r="B39" s="4"/>
      <c r="C39" s="13"/>
      <c r="D39" s="15"/>
      <c r="E39" s="4"/>
      <c r="F39" s="5"/>
      <c r="G39" s="4"/>
      <c r="H39" s="38"/>
      <c r="I39" s="106"/>
    </row>
    <row r="40">
      <c r="A40" s="38"/>
      <c r="B40" s="4"/>
      <c r="C40" s="13"/>
      <c r="D40" s="15"/>
      <c r="E40" s="4"/>
      <c r="F40" s="5"/>
      <c r="G40" s="4"/>
      <c r="H40" s="4"/>
      <c r="I40" s="106"/>
    </row>
    <row r="41">
      <c r="A41" s="38"/>
      <c r="B41" s="38"/>
      <c r="C41" s="15"/>
      <c r="D41" s="15"/>
      <c r="E41" s="38"/>
      <c r="F41" s="38"/>
      <c r="G41" s="38"/>
      <c r="H41" s="38"/>
      <c r="I41" s="106"/>
    </row>
    <row r="42">
      <c r="A42" s="38"/>
      <c r="B42" s="38"/>
      <c r="C42" s="15"/>
      <c r="D42" s="15"/>
      <c r="E42" s="38"/>
      <c r="F42" s="38"/>
      <c r="G42" s="38"/>
      <c r="H42" s="38"/>
      <c r="I42" s="106"/>
    </row>
    <row r="43">
      <c r="A43" s="38"/>
      <c r="B43" s="38"/>
      <c r="C43" s="15"/>
      <c r="D43" s="15"/>
      <c r="E43" s="38"/>
      <c r="F43" s="38"/>
      <c r="G43" s="38"/>
      <c r="H43" s="38"/>
      <c r="I43" s="106"/>
    </row>
    <row r="44">
      <c r="A44" s="38"/>
      <c r="B44" s="38"/>
      <c r="C44" s="15"/>
      <c r="D44" s="15"/>
      <c r="E44" s="38"/>
      <c r="F44" s="38"/>
      <c r="G44" s="38"/>
      <c r="H44" s="38"/>
      <c r="I44" s="106"/>
    </row>
    <row r="45">
      <c r="A45" s="38"/>
      <c r="B45" s="38"/>
      <c r="C45" s="15"/>
      <c r="D45" s="15"/>
      <c r="E45" s="38"/>
      <c r="F45" s="38"/>
      <c r="G45" s="38"/>
      <c r="H45" s="38"/>
      <c r="I45" s="106"/>
    </row>
    <row r="46">
      <c r="A46" s="38"/>
      <c r="B46" s="38"/>
      <c r="C46" s="15"/>
      <c r="D46" s="15"/>
      <c r="E46" s="38"/>
      <c r="F46" s="38"/>
      <c r="G46" s="38"/>
      <c r="H46" s="38"/>
      <c r="I46" s="108"/>
    </row>
    <row r="47">
      <c r="A47" s="38"/>
      <c r="B47" s="38"/>
      <c r="C47" s="15"/>
      <c r="D47" s="15"/>
      <c r="E47" s="38"/>
      <c r="F47" s="38"/>
      <c r="G47" s="38"/>
      <c r="H47" s="38"/>
      <c r="I47" s="108"/>
    </row>
    <row r="48">
      <c r="A48" s="38"/>
      <c r="B48" s="38"/>
      <c r="C48" s="15"/>
      <c r="D48" s="15"/>
      <c r="E48" s="38"/>
      <c r="F48" s="38"/>
      <c r="G48" s="38"/>
      <c r="H48" s="38"/>
      <c r="I48" s="108"/>
    </row>
    <row r="49">
      <c r="A49" s="38"/>
      <c r="B49" s="38"/>
      <c r="C49" s="15"/>
      <c r="D49" s="15"/>
      <c r="E49" s="38"/>
      <c r="F49" s="38"/>
      <c r="G49" s="38"/>
      <c r="H49" s="38"/>
      <c r="I49" s="108"/>
    </row>
    <row r="50">
      <c r="A50" s="38"/>
      <c r="B50" s="38"/>
      <c r="C50" s="15"/>
      <c r="D50" s="15"/>
      <c r="E50" s="38"/>
      <c r="F50" s="38"/>
      <c r="G50" s="38"/>
      <c r="H50" s="38"/>
      <c r="I50" s="108"/>
    </row>
    <row r="51">
      <c r="A51" s="38"/>
      <c r="B51" s="38"/>
      <c r="C51" s="15"/>
      <c r="D51" s="15"/>
      <c r="E51" s="38"/>
      <c r="F51" s="38"/>
      <c r="G51" s="38"/>
      <c r="H51" s="38"/>
      <c r="I51" s="108"/>
    </row>
    <row r="52">
      <c r="A52" s="38"/>
      <c r="B52" s="38"/>
      <c r="C52" s="15"/>
      <c r="D52" s="15"/>
      <c r="E52" s="38"/>
      <c r="F52" s="38"/>
      <c r="G52" s="38"/>
      <c r="H52" s="38"/>
      <c r="I52" s="108"/>
    </row>
    <row r="53">
      <c r="A53" s="38"/>
      <c r="B53" s="38"/>
      <c r="C53" s="15"/>
      <c r="D53" s="15"/>
      <c r="E53" s="38"/>
      <c r="F53" s="38"/>
      <c r="G53" s="38"/>
      <c r="H53" s="38"/>
      <c r="I53" s="108"/>
    </row>
    <row r="54">
      <c r="A54" s="38"/>
      <c r="B54" s="38"/>
      <c r="C54" s="15"/>
      <c r="D54" s="15"/>
      <c r="E54" s="38"/>
      <c r="F54" s="38"/>
      <c r="G54" s="38"/>
      <c r="H54" s="38"/>
      <c r="I54" s="108"/>
    </row>
    <row r="55">
      <c r="A55" s="38"/>
      <c r="B55" s="38"/>
      <c r="C55" s="15"/>
      <c r="D55" s="15"/>
      <c r="E55" s="38"/>
      <c r="F55" s="38"/>
      <c r="G55" s="38"/>
      <c r="H55" s="38"/>
      <c r="I55" s="108"/>
    </row>
    <row r="56">
      <c r="A56" s="38"/>
      <c r="B56" s="38"/>
      <c r="C56" s="15"/>
      <c r="D56" s="15"/>
      <c r="E56" s="38"/>
      <c r="F56" s="38"/>
      <c r="G56" s="38"/>
      <c r="H56" s="38"/>
      <c r="I56" s="108"/>
    </row>
    <row r="57">
      <c r="A57" s="38"/>
      <c r="B57" s="38"/>
      <c r="C57" s="15"/>
      <c r="D57" s="15"/>
      <c r="E57" s="38"/>
      <c r="F57" s="38"/>
      <c r="G57" s="38"/>
      <c r="H57" s="38"/>
      <c r="I57" s="108"/>
    </row>
    <row r="58">
      <c r="A58" s="38"/>
      <c r="B58" s="38"/>
      <c r="C58" s="15"/>
      <c r="D58" s="15"/>
      <c r="E58" s="38"/>
      <c r="F58" s="38"/>
      <c r="G58" s="38"/>
      <c r="H58" s="38"/>
      <c r="I58" s="108"/>
    </row>
    <row r="59">
      <c r="A59" s="38"/>
      <c r="B59" s="38"/>
      <c r="C59" s="15"/>
      <c r="D59" s="15"/>
      <c r="E59" s="38"/>
      <c r="F59" s="38"/>
      <c r="G59" s="38"/>
      <c r="H59" s="38"/>
      <c r="I59" s="108"/>
    </row>
    <row r="60">
      <c r="A60" s="38"/>
      <c r="B60" s="38"/>
      <c r="C60" s="15"/>
      <c r="D60" s="15"/>
      <c r="E60" s="38"/>
      <c r="F60" s="38"/>
      <c r="G60" s="38"/>
      <c r="H60" s="38"/>
      <c r="I60" s="108"/>
    </row>
    <row r="61">
      <c r="A61" s="38"/>
      <c r="B61" s="38"/>
      <c r="C61" s="15"/>
      <c r="D61" s="15"/>
      <c r="E61" s="38"/>
      <c r="F61" s="38"/>
      <c r="G61" s="38"/>
      <c r="H61" s="38"/>
      <c r="I61" s="108"/>
    </row>
    <row r="62">
      <c r="A62" s="38"/>
      <c r="B62" s="38"/>
      <c r="C62" s="15"/>
      <c r="D62" s="15"/>
      <c r="E62" s="38"/>
      <c r="F62" s="38"/>
      <c r="G62" s="38"/>
      <c r="H62" s="38"/>
      <c r="I62" s="108"/>
    </row>
    <row r="63">
      <c r="A63" s="38"/>
      <c r="B63" s="38"/>
      <c r="C63" s="15"/>
      <c r="D63" s="15"/>
      <c r="E63" s="38"/>
      <c r="F63" s="38"/>
      <c r="G63" s="38"/>
      <c r="H63" s="38"/>
      <c r="I63" s="108"/>
    </row>
    <row r="64">
      <c r="A64" s="38"/>
      <c r="B64" s="38"/>
      <c r="C64" s="15"/>
      <c r="D64" s="15"/>
      <c r="E64" s="38"/>
      <c r="F64" s="38"/>
      <c r="G64" s="38"/>
      <c r="H64" s="38"/>
      <c r="I64" s="108"/>
    </row>
    <row r="65">
      <c r="A65" s="38"/>
      <c r="B65" s="38"/>
      <c r="C65" s="15"/>
      <c r="D65" s="15"/>
      <c r="E65" s="38"/>
      <c r="F65" s="38"/>
      <c r="G65" s="38"/>
      <c r="H65" s="38"/>
      <c r="I65" s="108"/>
    </row>
    <row r="66">
      <c r="A66" s="38"/>
      <c r="B66" s="38"/>
      <c r="C66" s="15"/>
      <c r="D66" s="15"/>
      <c r="E66" s="38"/>
      <c r="F66" s="38"/>
      <c r="G66" s="38"/>
      <c r="H66" s="38"/>
      <c r="I66" s="108"/>
    </row>
    <row r="67">
      <c r="A67" s="38"/>
      <c r="B67" s="38"/>
      <c r="C67" s="15"/>
      <c r="D67" s="15"/>
      <c r="E67" s="38"/>
      <c r="F67" s="38"/>
      <c r="G67" s="38"/>
      <c r="H67" s="38"/>
      <c r="I67" s="108"/>
    </row>
    <row r="68">
      <c r="A68" s="38"/>
      <c r="B68" s="38"/>
      <c r="C68" s="15"/>
      <c r="D68" s="15"/>
      <c r="E68" s="38"/>
      <c r="F68" s="38"/>
      <c r="G68" s="38"/>
      <c r="H68" s="38"/>
      <c r="I68" s="108"/>
    </row>
    <row r="69">
      <c r="A69" s="38"/>
      <c r="B69" s="38"/>
      <c r="C69" s="15"/>
      <c r="D69" s="15"/>
      <c r="E69" s="38"/>
      <c r="F69" s="38"/>
      <c r="G69" s="38"/>
      <c r="H69" s="38"/>
      <c r="I69" s="108"/>
    </row>
    <row r="70">
      <c r="A70" s="38"/>
      <c r="B70" s="38"/>
      <c r="C70" s="15"/>
      <c r="D70" s="15"/>
      <c r="E70" s="38"/>
      <c r="F70" s="38"/>
      <c r="G70" s="38"/>
      <c r="H70" s="38"/>
      <c r="I70" s="108"/>
    </row>
    <row r="71">
      <c r="A71" s="38"/>
      <c r="B71" s="38"/>
      <c r="C71" s="15"/>
      <c r="D71" s="15"/>
      <c r="E71" s="38"/>
      <c r="F71" s="38"/>
      <c r="G71" s="38"/>
      <c r="H71" s="38"/>
      <c r="I71" s="108"/>
    </row>
    <row r="72">
      <c r="A72" s="38"/>
      <c r="B72" s="38"/>
      <c r="C72" s="15"/>
      <c r="D72" s="15"/>
      <c r="E72" s="38"/>
      <c r="F72" s="38"/>
      <c r="G72" s="38"/>
      <c r="H72" s="38"/>
      <c r="I72" s="108"/>
    </row>
    <row r="73">
      <c r="A73" s="38"/>
      <c r="B73" s="38"/>
      <c r="C73" s="15"/>
      <c r="D73" s="15"/>
      <c r="E73" s="38"/>
      <c r="F73" s="38"/>
      <c r="G73" s="38"/>
      <c r="H73" s="38"/>
      <c r="I73" s="108"/>
    </row>
    <row r="74">
      <c r="A74" s="38"/>
      <c r="B74" s="38"/>
      <c r="C74" s="15"/>
      <c r="D74" s="15"/>
      <c r="E74" s="38"/>
      <c r="F74" s="38"/>
      <c r="G74" s="38"/>
      <c r="H74" s="38"/>
      <c r="I74" s="108"/>
    </row>
    <row r="75">
      <c r="A75" s="38"/>
      <c r="B75" s="38"/>
      <c r="C75" s="15"/>
      <c r="D75" s="15"/>
      <c r="E75" s="38"/>
      <c r="F75" s="38"/>
      <c r="G75" s="38"/>
      <c r="H75" s="38"/>
      <c r="I75" s="108"/>
    </row>
    <row r="76">
      <c r="A76" s="38"/>
      <c r="B76" s="38"/>
      <c r="C76" s="15"/>
      <c r="D76" s="15"/>
      <c r="E76" s="38"/>
      <c r="F76" s="38"/>
      <c r="G76" s="38"/>
      <c r="H76" s="38"/>
      <c r="I76" s="108"/>
    </row>
    <row r="77">
      <c r="A77" s="38"/>
      <c r="B77" s="38"/>
      <c r="C77" s="15"/>
      <c r="D77" s="15"/>
      <c r="E77" s="38"/>
      <c r="F77" s="38"/>
      <c r="G77" s="38"/>
      <c r="H77" s="38"/>
      <c r="I77" s="108"/>
    </row>
    <row r="78">
      <c r="A78" s="38"/>
      <c r="B78" s="38"/>
      <c r="C78" s="15"/>
      <c r="D78" s="15"/>
      <c r="E78" s="38"/>
      <c r="F78" s="38"/>
      <c r="G78" s="38"/>
      <c r="H78" s="38"/>
      <c r="I78" s="108"/>
    </row>
    <row r="79">
      <c r="A79" s="38"/>
      <c r="B79" s="38"/>
      <c r="C79" s="15"/>
      <c r="D79" s="15"/>
      <c r="E79" s="38"/>
      <c r="F79" s="38"/>
      <c r="G79" s="38"/>
      <c r="H79" s="38"/>
      <c r="I79" s="108"/>
    </row>
    <row r="80">
      <c r="A80" s="38"/>
      <c r="B80" s="38"/>
      <c r="C80" s="15"/>
      <c r="D80" s="15"/>
      <c r="E80" s="38"/>
      <c r="F80" s="38"/>
      <c r="G80" s="38"/>
      <c r="H80" s="38"/>
      <c r="I80" s="108"/>
    </row>
    <row r="81">
      <c r="A81" s="38"/>
      <c r="B81" s="38"/>
      <c r="C81" s="15"/>
      <c r="D81" s="15"/>
      <c r="E81" s="38"/>
      <c r="F81" s="38"/>
      <c r="G81" s="38"/>
      <c r="H81" s="38"/>
      <c r="I81" s="108"/>
    </row>
    <row r="82">
      <c r="A82" s="38"/>
      <c r="B82" s="38"/>
      <c r="C82" s="15"/>
      <c r="D82" s="15"/>
      <c r="E82" s="38"/>
      <c r="F82" s="38"/>
      <c r="G82" s="38"/>
      <c r="H82" s="38"/>
      <c r="I82" s="108"/>
    </row>
    <row r="83">
      <c r="A83" s="38"/>
      <c r="B83" s="38"/>
      <c r="C83" s="15"/>
      <c r="D83" s="15"/>
      <c r="E83" s="38"/>
      <c r="F83" s="38"/>
      <c r="G83" s="38"/>
      <c r="H83" s="38"/>
      <c r="I83" s="108"/>
    </row>
    <row r="84">
      <c r="A84" s="38"/>
      <c r="B84" s="38"/>
      <c r="C84" s="15"/>
      <c r="D84" s="15"/>
      <c r="E84" s="38"/>
      <c r="F84" s="38"/>
      <c r="G84" s="38"/>
      <c r="H84" s="38"/>
      <c r="I84" s="108"/>
    </row>
    <row r="85">
      <c r="A85" s="38"/>
      <c r="B85" s="38"/>
      <c r="C85" s="15"/>
      <c r="D85" s="15"/>
      <c r="E85" s="38"/>
      <c r="F85" s="38"/>
      <c r="G85" s="38"/>
      <c r="H85" s="38"/>
      <c r="I85" s="108"/>
    </row>
    <row r="86">
      <c r="A86" s="38"/>
      <c r="B86" s="38"/>
      <c r="C86" s="15"/>
      <c r="D86" s="15"/>
      <c r="E86" s="38"/>
      <c r="F86" s="38"/>
      <c r="G86" s="38"/>
      <c r="H86" s="38"/>
      <c r="I86" s="108"/>
    </row>
    <row r="87">
      <c r="A87" s="38"/>
      <c r="B87" s="38"/>
      <c r="C87" s="15"/>
      <c r="D87" s="15"/>
      <c r="E87" s="38"/>
      <c r="F87" s="38"/>
      <c r="G87" s="38"/>
      <c r="H87" s="38"/>
      <c r="I87" s="108"/>
    </row>
    <row r="88">
      <c r="A88" s="38"/>
      <c r="B88" s="38"/>
      <c r="C88" s="15"/>
      <c r="D88" s="15"/>
      <c r="E88" s="38"/>
      <c r="F88" s="38"/>
      <c r="G88" s="38"/>
      <c r="H88" s="38"/>
      <c r="I88" s="108"/>
    </row>
    <row r="89">
      <c r="A89" s="38"/>
      <c r="B89" s="38"/>
      <c r="C89" s="15"/>
      <c r="D89" s="15"/>
      <c r="E89" s="38"/>
      <c r="F89" s="38"/>
      <c r="G89" s="38"/>
      <c r="H89" s="38"/>
      <c r="I89" s="108"/>
    </row>
    <row r="90">
      <c r="A90" s="38"/>
      <c r="B90" s="38"/>
      <c r="C90" s="15"/>
      <c r="D90" s="15"/>
      <c r="E90" s="38"/>
      <c r="F90" s="38"/>
      <c r="G90" s="38"/>
      <c r="H90" s="38"/>
      <c r="I90" s="108"/>
    </row>
    <row r="91">
      <c r="A91" s="38"/>
      <c r="B91" s="38"/>
      <c r="C91" s="15"/>
      <c r="D91" s="15"/>
      <c r="E91" s="38"/>
      <c r="F91" s="38"/>
      <c r="G91" s="38"/>
      <c r="H91" s="38"/>
      <c r="I91" s="108"/>
    </row>
    <row r="92">
      <c r="A92" s="38"/>
      <c r="B92" s="38"/>
      <c r="C92" s="15"/>
      <c r="D92" s="15"/>
      <c r="E92" s="38"/>
      <c r="F92" s="38"/>
      <c r="G92" s="38"/>
      <c r="H92" s="38"/>
      <c r="I92" s="108"/>
    </row>
    <row r="93">
      <c r="A93" s="38"/>
      <c r="B93" s="38"/>
      <c r="C93" s="15"/>
      <c r="D93" s="15"/>
      <c r="E93" s="38"/>
      <c r="F93" s="38"/>
      <c r="G93" s="38"/>
      <c r="H93" s="38"/>
      <c r="I93" s="108"/>
    </row>
    <row r="94">
      <c r="A94" s="38"/>
      <c r="B94" s="38"/>
      <c r="C94" s="15"/>
      <c r="D94" s="15"/>
      <c r="E94" s="38"/>
      <c r="F94" s="38"/>
      <c r="G94" s="38"/>
      <c r="H94" s="38"/>
      <c r="I94" s="108"/>
    </row>
    <row r="95">
      <c r="A95" s="38"/>
      <c r="B95" s="38"/>
      <c r="C95" s="15"/>
      <c r="D95" s="15"/>
      <c r="E95" s="38"/>
      <c r="F95" s="38"/>
      <c r="G95" s="38"/>
      <c r="H95" s="38"/>
      <c r="I95" s="108"/>
    </row>
    <row r="96">
      <c r="A96" s="38"/>
      <c r="B96" s="38"/>
      <c r="C96" s="15"/>
      <c r="D96" s="15"/>
      <c r="E96" s="38"/>
      <c r="F96" s="38"/>
      <c r="G96" s="38"/>
      <c r="H96" s="38"/>
      <c r="I96" s="108"/>
    </row>
    <row r="97">
      <c r="A97" s="38"/>
      <c r="B97" s="38"/>
      <c r="C97" s="15"/>
      <c r="D97" s="15"/>
      <c r="E97" s="38"/>
      <c r="F97" s="38"/>
      <c r="G97" s="38"/>
      <c r="H97" s="38"/>
      <c r="I97" s="108"/>
    </row>
    <row r="98">
      <c r="A98" s="38"/>
      <c r="B98" s="38"/>
      <c r="C98" s="15"/>
      <c r="D98" s="15"/>
      <c r="E98" s="38"/>
      <c r="F98" s="38"/>
      <c r="G98" s="38"/>
      <c r="H98" s="38"/>
      <c r="I98" s="108"/>
    </row>
    <row r="99">
      <c r="A99" s="38"/>
      <c r="B99" s="38"/>
      <c r="C99" s="15"/>
      <c r="D99" s="15"/>
      <c r="E99" s="38"/>
      <c r="F99" s="38"/>
      <c r="G99" s="38"/>
      <c r="H99" s="38"/>
      <c r="I99" s="108"/>
    </row>
    <row r="100">
      <c r="A100" s="38"/>
      <c r="B100" s="38"/>
      <c r="C100" s="15"/>
      <c r="D100" s="15"/>
      <c r="E100" s="38"/>
      <c r="F100" s="38"/>
      <c r="G100" s="38"/>
      <c r="H100" s="38"/>
      <c r="I100" s="108"/>
    </row>
    <row r="101">
      <c r="A101" s="38"/>
      <c r="B101" s="38"/>
      <c r="C101" s="15"/>
      <c r="D101" s="15"/>
      <c r="E101" s="38"/>
      <c r="F101" s="38"/>
      <c r="G101" s="38"/>
      <c r="H101" s="38"/>
      <c r="I101" s="108"/>
    </row>
    <row r="102">
      <c r="A102" s="38"/>
      <c r="B102" s="38"/>
      <c r="C102" s="15"/>
      <c r="D102" s="15"/>
      <c r="E102" s="38"/>
      <c r="F102" s="38"/>
      <c r="G102" s="38"/>
      <c r="H102" s="38"/>
      <c r="I102" s="108"/>
    </row>
    <row r="103">
      <c r="A103" s="38"/>
      <c r="B103" s="38"/>
      <c r="C103" s="15"/>
      <c r="D103" s="15"/>
      <c r="E103" s="38"/>
      <c r="F103" s="38"/>
      <c r="G103" s="38"/>
      <c r="H103" s="38"/>
      <c r="I103" s="108"/>
    </row>
    <row r="104">
      <c r="A104" s="38"/>
      <c r="B104" s="38"/>
      <c r="C104" s="15"/>
      <c r="D104" s="15"/>
      <c r="E104" s="38"/>
      <c r="F104" s="38"/>
      <c r="G104" s="38"/>
      <c r="H104" s="38"/>
      <c r="I104" s="108"/>
    </row>
    <row r="105">
      <c r="A105" s="38"/>
      <c r="B105" s="38"/>
      <c r="C105" s="15"/>
      <c r="D105" s="15"/>
      <c r="E105" s="38"/>
      <c r="F105" s="38"/>
      <c r="G105" s="38"/>
      <c r="H105" s="38"/>
      <c r="I105" s="108"/>
    </row>
    <row r="106">
      <c r="A106" s="38"/>
      <c r="B106" s="38"/>
      <c r="C106" s="15"/>
      <c r="D106" s="15"/>
      <c r="E106" s="38"/>
      <c r="F106" s="38"/>
      <c r="G106" s="38"/>
      <c r="H106" s="38"/>
      <c r="I106" s="108"/>
    </row>
    <row r="107">
      <c r="A107" s="38"/>
      <c r="B107" s="38"/>
      <c r="C107" s="15"/>
      <c r="D107" s="15"/>
      <c r="E107" s="38"/>
      <c r="F107" s="38"/>
      <c r="G107" s="38"/>
      <c r="H107" s="38"/>
      <c r="I107" s="108"/>
    </row>
    <row r="108">
      <c r="A108" s="38"/>
      <c r="B108" s="38"/>
      <c r="C108" s="15"/>
      <c r="D108" s="15"/>
      <c r="E108" s="38"/>
      <c r="F108" s="38"/>
      <c r="G108" s="38"/>
      <c r="H108" s="38"/>
      <c r="I108" s="108"/>
    </row>
    <row r="109">
      <c r="A109" s="38"/>
      <c r="B109" s="38"/>
      <c r="C109" s="15"/>
      <c r="D109" s="15"/>
      <c r="E109" s="38"/>
      <c r="F109" s="38"/>
      <c r="G109" s="38"/>
      <c r="H109" s="38"/>
      <c r="I109" s="108"/>
    </row>
    <row r="110">
      <c r="A110" s="38"/>
      <c r="B110" s="38"/>
      <c r="C110" s="15"/>
      <c r="D110" s="15"/>
      <c r="E110" s="38"/>
      <c r="F110" s="38"/>
      <c r="G110" s="38"/>
      <c r="H110" s="38"/>
      <c r="I110" s="108"/>
    </row>
    <row r="111">
      <c r="A111" s="38"/>
      <c r="B111" s="38"/>
      <c r="C111" s="15"/>
      <c r="D111" s="15"/>
      <c r="E111" s="38"/>
      <c r="F111" s="38"/>
      <c r="G111" s="38"/>
      <c r="H111" s="38"/>
      <c r="I111" s="108"/>
    </row>
    <row r="112">
      <c r="A112" s="38"/>
      <c r="B112" s="38"/>
      <c r="C112" s="15"/>
      <c r="D112" s="15"/>
      <c r="E112" s="38"/>
      <c r="F112" s="38"/>
      <c r="G112" s="38"/>
      <c r="H112" s="38"/>
      <c r="I112" s="108"/>
    </row>
    <row r="113">
      <c r="A113" s="38"/>
      <c r="B113" s="38"/>
      <c r="C113" s="15"/>
      <c r="D113" s="15"/>
      <c r="E113" s="38"/>
      <c r="F113" s="38"/>
      <c r="G113" s="38"/>
      <c r="H113" s="38"/>
      <c r="I113" s="108"/>
    </row>
    <row r="114">
      <c r="A114" s="38"/>
      <c r="B114" s="38"/>
      <c r="C114" s="15"/>
      <c r="D114" s="15"/>
      <c r="E114" s="38"/>
      <c r="F114" s="38"/>
      <c r="G114" s="38"/>
      <c r="H114" s="38"/>
      <c r="I114" s="108"/>
    </row>
    <row r="115">
      <c r="A115" s="38"/>
      <c r="B115" s="38"/>
      <c r="C115" s="15"/>
      <c r="D115" s="15"/>
      <c r="E115" s="38"/>
      <c r="F115" s="38"/>
      <c r="G115" s="38"/>
      <c r="H115" s="38"/>
      <c r="I115" s="108"/>
    </row>
    <row r="116">
      <c r="A116" s="38"/>
      <c r="B116" s="38"/>
      <c r="C116" s="15"/>
      <c r="D116" s="15"/>
      <c r="E116" s="38"/>
      <c r="F116" s="38"/>
      <c r="G116" s="38"/>
      <c r="H116" s="38"/>
      <c r="I116" s="108"/>
    </row>
    <row r="117">
      <c r="A117" s="38"/>
      <c r="B117" s="38"/>
      <c r="C117" s="15"/>
      <c r="D117" s="15"/>
      <c r="E117" s="38"/>
      <c r="F117" s="38"/>
      <c r="G117" s="38"/>
      <c r="H117" s="38"/>
      <c r="I117" s="108"/>
    </row>
    <row r="118">
      <c r="A118" s="38"/>
      <c r="B118" s="38"/>
      <c r="C118" s="15"/>
      <c r="D118" s="15"/>
      <c r="E118" s="38"/>
      <c r="F118" s="38"/>
      <c r="G118" s="38"/>
      <c r="H118" s="38"/>
      <c r="I118" s="108"/>
    </row>
    <row r="119">
      <c r="A119" s="38"/>
      <c r="B119" s="38"/>
      <c r="C119" s="15"/>
      <c r="D119" s="15"/>
      <c r="E119" s="38"/>
      <c r="F119" s="38"/>
      <c r="G119" s="38"/>
      <c r="H119" s="38"/>
      <c r="I119" s="108"/>
    </row>
    <row r="120">
      <c r="A120" s="38"/>
      <c r="B120" s="38"/>
      <c r="C120" s="15"/>
      <c r="D120" s="15"/>
      <c r="E120" s="38"/>
      <c r="F120" s="38"/>
      <c r="G120" s="38"/>
      <c r="H120" s="38"/>
      <c r="I120" s="108"/>
    </row>
    <row r="121">
      <c r="A121" s="38"/>
      <c r="B121" s="38"/>
      <c r="C121" s="15"/>
      <c r="D121" s="15"/>
      <c r="E121" s="38"/>
      <c r="F121" s="38"/>
      <c r="G121" s="38"/>
      <c r="H121" s="38"/>
      <c r="I121" s="108"/>
    </row>
    <row r="122">
      <c r="A122" s="38"/>
      <c r="B122" s="38"/>
      <c r="C122" s="15"/>
      <c r="D122" s="15"/>
      <c r="E122" s="38"/>
      <c r="F122" s="38"/>
      <c r="G122" s="38"/>
      <c r="H122" s="38"/>
      <c r="I122" s="108"/>
    </row>
    <row r="123">
      <c r="A123" s="38"/>
      <c r="B123" s="38"/>
      <c r="C123" s="15"/>
      <c r="D123" s="15"/>
      <c r="E123" s="38"/>
      <c r="F123" s="38"/>
      <c r="G123" s="38"/>
      <c r="H123" s="38"/>
      <c r="I123" s="108"/>
    </row>
    <row r="124">
      <c r="A124" s="38"/>
      <c r="B124" s="38"/>
      <c r="C124" s="15"/>
      <c r="D124" s="15"/>
      <c r="E124" s="38"/>
      <c r="F124" s="38"/>
      <c r="G124" s="38"/>
      <c r="H124" s="38"/>
      <c r="I124" s="108"/>
    </row>
    <row r="125">
      <c r="A125" s="38"/>
      <c r="B125" s="38"/>
      <c r="C125" s="15"/>
      <c r="D125" s="15"/>
      <c r="E125" s="38"/>
      <c r="F125" s="38"/>
      <c r="G125" s="38"/>
      <c r="H125" s="38"/>
      <c r="I125" s="108"/>
    </row>
    <row r="126">
      <c r="A126" s="38"/>
      <c r="B126" s="38"/>
      <c r="C126" s="15"/>
      <c r="D126" s="15"/>
      <c r="E126" s="38"/>
      <c r="F126" s="38"/>
      <c r="G126" s="38"/>
      <c r="H126" s="38"/>
      <c r="I126" s="108"/>
    </row>
    <row r="127">
      <c r="A127" s="38"/>
      <c r="B127" s="38"/>
      <c r="C127" s="15"/>
      <c r="D127" s="15"/>
      <c r="E127" s="38"/>
      <c r="F127" s="38"/>
      <c r="G127" s="38"/>
      <c r="H127" s="38"/>
      <c r="I127" s="108"/>
    </row>
    <row r="128">
      <c r="A128" s="38"/>
      <c r="B128" s="38"/>
      <c r="C128" s="15"/>
      <c r="D128" s="15"/>
      <c r="E128" s="38"/>
      <c r="F128" s="38"/>
      <c r="G128" s="38"/>
      <c r="H128" s="38"/>
      <c r="I128" s="108"/>
    </row>
    <row r="129">
      <c r="A129" s="38"/>
      <c r="B129" s="38"/>
      <c r="C129" s="15"/>
      <c r="D129" s="15"/>
      <c r="E129" s="38"/>
      <c r="F129" s="38"/>
      <c r="G129" s="38"/>
      <c r="H129" s="38"/>
      <c r="I129" s="108"/>
    </row>
    <row r="130">
      <c r="A130" s="38"/>
      <c r="B130" s="38"/>
      <c r="C130" s="15"/>
      <c r="D130" s="15"/>
      <c r="E130" s="38"/>
      <c r="F130" s="38"/>
      <c r="G130" s="38"/>
      <c r="H130" s="38"/>
      <c r="I130" s="108"/>
    </row>
    <row r="131">
      <c r="A131" s="38"/>
      <c r="B131" s="38"/>
      <c r="C131" s="15"/>
      <c r="D131" s="15"/>
      <c r="E131" s="38"/>
      <c r="F131" s="38"/>
      <c r="G131" s="38"/>
      <c r="H131" s="38"/>
      <c r="I131" s="108"/>
    </row>
    <row r="132">
      <c r="A132" s="38"/>
      <c r="B132" s="38"/>
      <c r="C132" s="15"/>
      <c r="D132" s="15"/>
      <c r="E132" s="38"/>
      <c r="F132" s="38"/>
      <c r="G132" s="38"/>
      <c r="H132" s="38"/>
      <c r="I132" s="108"/>
    </row>
    <row r="133">
      <c r="A133" s="38"/>
      <c r="B133" s="38"/>
      <c r="C133" s="15"/>
      <c r="D133" s="15"/>
      <c r="E133" s="38"/>
      <c r="F133" s="38"/>
      <c r="G133" s="38"/>
      <c r="H133" s="38"/>
      <c r="I133" s="108"/>
    </row>
    <row r="134">
      <c r="A134" s="38"/>
      <c r="B134" s="38"/>
      <c r="C134" s="15"/>
      <c r="D134" s="15"/>
      <c r="E134" s="38"/>
      <c r="F134" s="38"/>
      <c r="G134" s="38"/>
      <c r="H134" s="38"/>
      <c r="I134" s="108"/>
    </row>
    <row r="135">
      <c r="A135" s="38"/>
      <c r="B135" s="38"/>
      <c r="C135" s="15"/>
      <c r="D135" s="15"/>
      <c r="E135" s="38"/>
      <c r="F135" s="38"/>
      <c r="G135" s="38"/>
      <c r="H135" s="38"/>
      <c r="I135" s="108"/>
    </row>
    <row r="136">
      <c r="A136" s="38"/>
      <c r="B136" s="38"/>
      <c r="C136" s="15"/>
      <c r="D136" s="15"/>
      <c r="E136" s="38"/>
      <c r="F136" s="38"/>
      <c r="G136" s="38"/>
      <c r="H136" s="38"/>
      <c r="I136" s="108"/>
    </row>
    <row r="137">
      <c r="A137" s="38"/>
      <c r="B137" s="38"/>
      <c r="C137" s="15"/>
      <c r="D137" s="15"/>
      <c r="E137" s="38"/>
      <c r="F137" s="38"/>
      <c r="G137" s="38"/>
      <c r="H137" s="38"/>
      <c r="I137" s="108"/>
    </row>
    <row r="138">
      <c r="A138" s="38"/>
      <c r="B138" s="38"/>
      <c r="C138" s="15"/>
      <c r="D138" s="15"/>
      <c r="E138" s="38"/>
      <c r="F138" s="38"/>
      <c r="G138" s="38"/>
      <c r="H138" s="38"/>
      <c r="I138" s="108"/>
    </row>
    <row r="139">
      <c r="A139" s="38"/>
      <c r="B139" s="38"/>
      <c r="C139" s="15"/>
      <c r="D139" s="15"/>
      <c r="E139" s="38"/>
      <c r="F139" s="38"/>
      <c r="G139" s="38"/>
      <c r="H139" s="38"/>
      <c r="I139" s="108"/>
    </row>
    <row r="140">
      <c r="A140" s="38"/>
      <c r="B140" s="38"/>
      <c r="C140" s="15"/>
      <c r="D140" s="15"/>
      <c r="E140" s="38"/>
      <c r="F140" s="38"/>
      <c r="G140" s="38"/>
      <c r="H140" s="38"/>
      <c r="I140" s="108"/>
    </row>
    <row r="141">
      <c r="A141" s="38"/>
      <c r="B141" s="38"/>
      <c r="C141" s="15"/>
      <c r="D141" s="15"/>
      <c r="E141" s="38"/>
      <c r="F141" s="38"/>
      <c r="G141" s="38"/>
      <c r="H141" s="38"/>
      <c r="I141" s="108"/>
    </row>
    <row r="142">
      <c r="A142" s="38"/>
      <c r="B142" s="38"/>
      <c r="C142" s="15"/>
      <c r="D142" s="15"/>
      <c r="E142" s="38"/>
      <c r="F142" s="38"/>
      <c r="G142" s="38"/>
      <c r="H142" s="38"/>
      <c r="I142" s="108"/>
    </row>
    <row r="143">
      <c r="A143" s="38"/>
      <c r="B143" s="38"/>
      <c r="C143" s="15"/>
      <c r="D143" s="15"/>
      <c r="E143" s="38"/>
      <c r="F143" s="38"/>
      <c r="G143" s="38"/>
      <c r="H143" s="38"/>
      <c r="I143" s="108"/>
    </row>
    <row r="144">
      <c r="A144" s="38"/>
      <c r="B144" s="38"/>
      <c r="C144" s="15"/>
      <c r="D144" s="15"/>
      <c r="E144" s="38"/>
      <c r="F144" s="38"/>
      <c r="G144" s="38"/>
      <c r="H144" s="38"/>
      <c r="I144" s="108"/>
    </row>
    <row r="145">
      <c r="A145" s="38"/>
      <c r="B145" s="38"/>
      <c r="C145" s="15"/>
      <c r="D145" s="15"/>
      <c r="E145" s="38"/>
      <c r="F145" s="38"/>
      <c r="G145" s="38"/>
      <c r="H145" s="38"/>
      <c r="I145" s="108"/>
    </row>
    <row r="146">
      <c r="A146" s="38"/>
      <c r="B146" s="38"/>
      <c r="C146" s="15"/>
      <c r="D146" s="15"/>
      <c r="E146" s="38"/>
      <c r="F146" s="38"/>
      <c r="G146" s="38"/>
      <c r="H146" s="38"/>
      <c r="I146" s="108"/>
    </row>
    <row r="147">
      <c r="A147" s="38"/>
      <c r="B147" s="38"/>
      <c r="C147" s="15"/>
      <c r="D147" s="15"/>
      <c r="E147" s="38"/>
      <c r="F147" s="38"/>
      <c r="G147" s="38"/>
      <c r="H147" s="38"/>
      <c r="I147" s="108"/>
    </row>
    <row r="148">
      <c r="A148" s="38"/>
      <c r="B148" s="38"/>
      <c r="C148" s="15"/>
      <c r="D148" s="15"/>
      <c r="E148" s="38"/>
      <c r="F148" s="38"/>
      <c r="G148" s="38"/>
      <c r="H148" s="38"/>
      <c r="I148" s="108"/>
    </row>
    <row r="149">
      <c r="A149" s="38"/>
      <c r="B149" s="38"/>
      <c r="C149" s="15"/>
      <c r="D149" s="15"/>
      <c r="E149" s="38"/>
      <c r="F149" s="38"/>
      <c r="G149" s="38"/>
      <c r="H149" s="38"/>
      <c r="I149" s="108"/>
    </row>
    <row r="150">
      <c r="A150" s="38"/>
      <c r="B150" s="38"/>
      <c r="C150" s="15"/>
      <c r="D150" s="15"/>
      <c r="E150" s="38"/>
      <c r="F150" s="38"/>
      <c r="G150" s="38"/>
      <c r="H150" s="38"/>
      <c r="I150" s="108"/>
    </row>
    <row r="151">
      <c r="A151" s="38"/>
      <c r="B151" s="38"/>
      <c r="C151" s="15"/>
      <c r="D151" s="15"/>
      <c r="E151" s="38"/>
      <c r="F151" s="38"/>
      <c r="G151" s="38"/>
      <c r="H151" s="38"/>
      <c r="I151" s="108"/>
    </row>
    <row r="152">
      <c r="A152" s="38"/>
      <c r="B152" s="38"/>
      <c r="C152" s="15"/>
      <c r="D152" s="15"/>
      <c r="E152" s="38"/>
      <c r="F152" s="38"/>
      <c r="G152" s="38"/>
      <c r="H152" s="38"/>
      <c r="I152" s="108"/>
    </row>
    <row r="153">
      <c r="A153" s="38"/>
      <c r="B153" s="38"/>
      <c r="C153" s="15"/>
      <c r="D153" s="15"/>
      <c r="E153" s="38"/>
      <c r="F153" s="38"/>
      <c r="G153" s="38"/>
      <c r="H153" s="38"/>
      <c r="I153" s="108"/>
    </row>
    <row r="154">
      <c r="A154" s="38"/>
      <c r="B154" s="38"/>
      <c r="C154" s="15"/>
      <c r="D154" s="15"/>
      <c r="E154" s="38"/>
      <c r="F154" s="38"/>
      <c r="G154" s="38"/>
      <c r="H154" s="38"/>
      <c r="I154" s="108"/>
    </row>
    <row r="155">
      <c r="A155" s="38"/>
      <c r="B155" s="38"/>
      <c r="C155" s="15"/>
      <c r="D155" s="15"/>
      <c r="E155" s="38"/>
      <c r="F155" s="38"/>
      <c r="G155" s="38"/>
      <c r="H155" s="38"/>
      <c r="I155" s="108"/>
    </row>
    <row r="156">
      <c r="A156" s="38"/>
      <c r="B156" s="38"/>
      <c r="C156" s="15"/>
      <c r="D156" s="15"/>
      <c r="E156" s="38"/>
      <c r="F156" s="38"/>
      <c r="G156" s="38"/>
      <c r="H156" s="38"/>
      <c r="I156" s="108"/>
    </row>
    <row r="157">
      <c r="A157" s="38"/>
      <c r="B157" s="38"/>
      <c r="C157" s="15"/>
      <c r="D157" s="15"/>
      <c r="E157" s="38"/>
      <c r="F157" s="38"/>
      <c r="G157" s="38"/>
      <c r="H157" s="38"/>
      <c r="I157" s="108"/>
    </row>
    <row r="158">
      <c r="A158" s="38"/>
      <c r="B158" s="38"/>
      <c r="C158" s="15"/>
      <c r="D158" s="15"/>
      <c r="E158" s="38"/>
      <c r="F158" s="38"/>
      <c r="G158" s="38"/>
      <c r="H158" s="38"/>
      <c r="I158" s="108"/>
    </row>
    <row r="159">
      <c r="A159" s="38"/>
      <c r="B159" s="38"/>
      <c r="C159" s="15"/>
      <c r="D159" s="15"/>
      <c r="E159" s="38"/>
      <c r="F159" s="38"/>
      <c r="G159" s="38"/>
      <c r="H159" s="38"/>
      <c r="I159" s="108"/>
    </row>
    <row r="160">
      <c r="A160" s="38"/>
      <c r="B160" s="38"/>
      <c r="C160" s="15"/>
      <c r="D160" s="15"/>
      <c r="E160" s="38"/>
      <c r="F160" s="38"/>
      <c r="G160" s="38"/>
      <c r="H160" s="38"/>
      <c r="I160" s="108"/>
    </row>
    <row r="161">
      <c r="A161" s="38"/>
      <c r="B161" s="38"/>
      <c r="C161" s="15"/>
      <c r="D161" s="15"/>
      <c r="E161" s="38"/>
      <c r="F161" s="38"/>
      <c r="G161" s="38"/>
      <c r="H161" s="38"/>
      <c r="I161" s="108"/>
    </row>
    <row r="162">
      <c r="A162" s="38"/>
      <c r="B162" s="38"/>
      <c r="C162" s="15"/>
      <c r="D162" s="15"/>
      <c r="E162" s="38"/>
      <c r="F162" s="38"/>
      <c r="G162" s="38"/>
      <c r="H162" s="38"/>
      <c r="I162" s="108"/>
    </row>
    <row r="163">
      <c r="A163" s="38"/>
      <c r="B163" s="38"/>
      <c r="C163" s="15"/>
      <c r="D163" s="15"/>
      <c r="E163" s="38"/>
      <c r="F163" s="38"/>
      <c r="G163" s="38"/>
      <c r="H163" s="38"/>
      <c r="I163" s="108"/>
    </row>
    <row r="164">
      <c r="A164" s="38"/>
      <c r="B164" s="38"/>
      <c r="C164" s="15"/>
      <c r="D164" s="15"/>
      <c r="E164" s="38"/>
      <c r="F164" s="38"/>
      <c r="G164" s="38"/>
      <c r="H164" s="38"/>
      <c r="I164" s="108"/>
    </row>
    <row r="165">
      <c r="A165" s="38"/>
      <c r="B165" s="38"/>
      <c r="C165" s="15"/>
      <c r="D165" s="15"/>
      <c r="E165" s="38"/>
      <c r="F165" s="38"/>
      <c r="G165" s="38"/>
      <c r="H165" s="38"/>
      <c r="I165" s="108"/>
    </row>
    <row r="166">
      <c r="A166" s="38"/>
      <c r="B166" s="38"/>
      <c r="C166" s="15"/>
      <c r="D166" s="15"/>
      <c r="E166" s="38"/>
      <c r="F166" s="38"/>
      <c r="G166" s="38"/>
      <c r="H166" s="38"/>
      <c r="I166" s="108"/>
    </row>
    <row r="167">
      <c r="A167" s="38"/>
      <c r="B167" s="38"/>
      <c r="C167" s="15"/>
      <c r="D167" s="15"/>
      <c r="E167" s="38"/>
      <c r="F167" s="38"/>
      <c r="G167" s="38"/>
      <c r="H167" s="38"/>
      <c r="I167" s="108"/>
    </row>
    <row r="168">
      <c r="A168" s="38"/>
      <c r="B168" s="38"/>
      <c r="C168" s="15"/>
      <c r="D168" s="15"/>
      <c r="E168" s="38"/>
      <c r="F168" s="38"/>
      <c r="G168" s="38"/>
      <c r="H168" s="38"/>
      <c r="I168" s="108"/>
    </row>
    <row r="169">
      <c r="A169" s="38"/>
      <c r="B169" s="38"/>
      <c r="C169" s="15"/>
      <c r="D169" s="15"/>
      <c r="E169" s="38"/>
      <c r="F169" s="38"/>
      <c r="G169" s="38"/>
      <c r="H169" s="38"/>
      <c r="I169" s="108"/>
    </row>
    <row r="170">
      <c r="A170" s="38"/>
      <c r="B170" s="38"/>
      <c r="C170" s="15"/>
      <c r="D170" s="15"/>
      <c r="E170" s="38"/>
      <c r="F170" s="38"/>
      <c r="G170" s="38"/>
      <c r="H170" s="38"/>
      <c r="I170" s="108"/>
    </row>
    <row r="171">
      <c r="A171" s="38"/>
      <c r="B171" s="38"/>
      <c r="C171" s="15"/>
      <c r="D171" s="15"/>
      <c r="E171" s="38"/>
      <c r="F171" s="38"/>
      <c r="G171" s="38"/>
      <c r="H171" s="38"/>
      <c r="I171" s="108"/>
    </row>
    <row r="172">
      <c r="A172" s="38"/>
      <c r="B172" s="38"/>
      <c r="C172" s="15"/>
      <c r="D172" s="15"/>
      <c r="E172" s="38"/>
      <c r="F172" s="38"/>
      <c r="G172" s="38"/>
      <c r="H172" s="38"/>
      <c r="I172" s="108"/>
    </row>
    <row r="173">
      <c r="A173" s="38"/>
      <c r="B173" s="38"/>
      <c r="C173" s="15"/>
      <c r="D173" s="15"/>
      <c r="E173" s="38"/>
      <c r="F173" s="38"/>
      <c r="G173" s="38"/>
      <c r="H173" s="38"/>
      <c r="I173" s="108"/>
    </row>
    <row r="174">
      <c r="A174" s="38"/>
      <c r="B174" s="38"/>
      <c r="C174" s="15"/>
      <c r="D174" s="15"/>
      <c r="E174" s="38"/>
      <c r="F174" s="38"/>
      <c r="G174" s="38"/>
      <c r="H174" s="38"/>
      <c r="I174" s="108"/>
    </row>
    <row r="175">
      <c r="A175" s="38"/>
      <c r="B175" s="38"/>
      <c r="C175" s="15"/>
      <c r="D175" s="15"/>
      <c r="E175" s="38"/>
      <c r="F175" s="38"/>
      <c r="G175" s="38"/>
      <c r="H175" s="38"/>
      <c r="I175" s="108"/>
    </row>
    <row r="176">
      <c r="A176" s="38"/>
      <c r="B176" s="38"/>
      <c r="C176" s="15"/>
      <c r="D176" s="15"/>
      <c r="E176" s="38"/>
      <c r="F176" s="38"/>
      <c r="G176" s="38"/>
      <c r="H176" s="38"/>
      <c r="I176" s="108"/>
    </row>
    <row r="177">
      <c r="A177" s="38"/>
      <c r="B177" s="38"/>
      <c r="C177" s="15"/>
      <c r="D177" s="15"/>
      <c r="E177" s="38"/>
      <c r="F177" s="38"/>
      <c r="G177" s="38"/>
      <c r="H177" s="38"/>
      <c r="I177" s="108"/>
    </row>
    <row r="178">
      <c r="A178" s="38"/>
      <c r="B178" s="38"/>
      <c r="C178" s="15"/>
      <c r="D178" s="15"/>
      <c r="E178" s="38"/>
      <c r="F178" s="38"/>
      <c r="G178" s="38"/>
      <c r="H178" s="38"/>
      <c r="I178" s="108"/>
    </row>
    <row r="179">
      <c r="A179" s="38"/>
      <c r="B179" s="38"/>
      <c r="C179" s="15"/>
      <c r="D179" s="15"/>
      <c r="E179" s="38"/>
      <c r="F179" s="38"/>
      <c r="G179" s="38"/>
      <c r="H179" s="38"/>
      <c r="I179" s="108"/>
    </row>
    <row r="180">
      <c r="A180" s="38"/>
      <c r="B180" s="38"/>
      <c r="C180" s="15"/>
      <c r="D180" s="15"/>
      <c r="E180" s="38"/>
      <c r="F180" s="38"/>
      <c r="G180" s="38"/>
      <c r="H180" s="38"/>
      <c r="I180" s="108"/>
    </row>
    <row r="181">
      <c r="A181" s="38"/>
      <c r="B181" s="38"/>
      <c r="C181" s="15"/>
      <c r="D181" s="15"/>
      <c r="E181" s="38"/>
      <c r="F181" s="38"/>
      <c r="G181" s="38"/>
      <c r="H181" s="38"/>
      <c r="I181" s="108"/>
    </row>
    <row r="182">
      <c r="A182" s="38"/>
      <c r="B182" s="38"/>
      <c r="C182" s="15"/>
      <c r="D182" s="15"/>
      <c r="E182" s="38"/>
      <c r="F182" s="38"/>
      <c r="G182" s="38"/>
      <c r="H182" s="38"/>
      <c r="I182" s="108"/>
    </row>
    <row r="183">
      <c r="A183" s="38"/>
      <c r="B183" s="38"/>
      <c r="C183" s="15"/>
      <c r="D183" s="15"/>
      <c r="E183" s="38"/>
      <c r="F183" s="38"/>
      <c r="G183" s="38"/>
      <c r="H183" s="38"/>
      <c r="I183" s="108"/>
    </row>
    <row r="184">
      <c r="A184" s="38"/>
      <c r="B184" s="38"/>
      <c r="C184" s="15"/>
      <c r="D184" s="15"/>
      <c r="E184" s="38"/>
      <c r="F184" s="38"/>
      <c r="G184" s="38"/>
      <c r="H184" s="38"/>
      <c r="I184" s="108"/>
    </row>
    <row r="185">
      <c r="A185" s="38"/>
      <c r="B185" s="38"/>
      <c r="C185" s="15"/>
      <c r="D185" s="15"/>
      <c r="E185" s="38"/>
      <c r="F185" s="38"/>
      <c r="G185" s="38"/>
      <c r="H185" s="38"/>
      <c r="I185" s="108"/>
    </row>
    <row r="186">
      <c r="A186" s="38"/>
      <c r="B186" s="38"/>
      <c r="C186" s="15"/>
      <c r="D186" s="15"/>
      <c r="E186" s="38"/>
      <c r="F186" s="38"/>
      <c r="G186" s="38"/>
      <c r="H186" s="38"/>
      <c r="I186" s="108"/>
    </row>
    <row r="187">
      <c r="A187" s="38"/>
      <c r="B187" s="38"/>
      <c r="C187" s="15"/>
      <c r="D187" s="15"/>
      <c r="E187" s="38"/>
      <c r="F187" s="38"/>
      <c r="G187" s="38"/>
      <c r="H187" s="38"/>
      <c r="I187" s="108"/>
    </row>
    <row r="188">
      <c r="A188" s="38"/>
      <c r="B188" s="38"/>
      <c r="C188" s="15"/>
      <c r="D188" s="15"/>
      <c r="E188" s="38"/>
      <c r="F188" s="38"/>
      <c r="G188" s="38"/>
      <c r="H188" s="38"/>
      <c r="I188" s="108"/>
    </row>
    <row r="189">
      <c r="A189" s="38"/>
      <c r="B189" s="38"/>
      <c r="C189" s="15"/>
      <c r="D189" s="15"/>
      <c r="E189" s="38"/>
      <c r="F189" s="38"/>
      <c r="G189" s="38"/>
      <c r="H189" s="38"/>
      <c r="I189" s="108"/>
    </row>
    <row r="190">
      <c r="A190" s="38"/>
      <c r="B190" s="38"/>
      <c r="C190" s="15"/>
      <c r="D190" s="15"/>
      <c r="E190" s="38"/>
      <c r="F190" s="38"/>
      <c r="G190" s="38"/>
      <c r="H190" s="38"/>
      <c r="I190" s="108"/>
    </row>
    <row r="191">
      <c r="A191" s="38"/>
      <c r="B191" s="38"/>
      <c r="C191" s="15"/>
      <c r="D191" s="15"/>
      <c r="E191" s="38"/>
      <c r="F191" s="38"/>
      <c r="G191" s="38"/>
      <c r="H191" s="38"/>
      <c r="I191" s="108"/>
    </row>
    <row r="192">
      <c r="A192" s="38"/>
      <c r="B192" s="38"/>
      <c r="C192" s="15"/>
      <c r="D192" s="15"/>
      <c r="E192" s="38"/>
      <c r="F192" s="38"/>
      <c r="G192" s="38"/>
      <c r="H192" s="38"/>
      <c r="I192" s="108"/>
    </row>
    <row r="193">
      <c r="A193" s="38"/>
      <c r="B193" s="38"/>
      <c r="C193" s="15"/>
      <c r="D193" s="15"/>
      <c r="E193" s="38"/>
      <c r="F193" s="38"/>
      <c r="G193" s="38"/>
      <c r="H193" s="38"/>
      <c r="I193" s="108"/>
    </row>
    <row r="194">
      <c r="A194" s="38"/>
      <c r="B194" s="38"/>
      <c r="C194" s="15"/>
      <c r="D194" s="15"/>
      <c r="E194" s="38"/>
      <c r="F194" s="38"/>
      <c r="G194" s="38"/>
      <c r="H194" s="38"/>
      <c r="I194" s="108"/>
    </row>
    <row r="195">
      <c r="A195" s="38"/>
      <c r="B195" s="38"/>
      <c r="C195" s="15"/>
      <c r="D195" s="15"/>
      <c r="E195" s="38"/>
      <c r="F195" s="38"/>
      <c r="G195" s="38"/>
      <c r="H195" s="38"/>
      <c r="I195" s="108"/>
    </row>
    <row r="196">
      <c r="A196" s="38"/>
      <c r="B196" s="38"/>
      <c r="C196" s="15"/>
      <c r="D196" s="15"/>
      <c r="E196" s="38"/>
      <c r="F196" s="38"/>
      <c r="G196" s="38"/>
      <c r="H196" s="38"/>
      <c r="I196" s="108"/>
    </row>
    <row r="197">
      <c r="A197" s="38"/>
      <c r="B197" s="38"/>
      <c r="C197" s="15"/>
      <c r="D197" s="15"/>
      <c r="E197" s="38"/>
      <c r="F197" s="38"/>
      <c r="G197" s="38"/>
      <c r="H197" s="38"/>
      <c r="I197" s="108"/>
    </row>
    <row r="198">
      <c r="A198" s="38"/>
      <c r="B198" s="38"/>
      <c r="C198" s="15"/>
      <c r="D198" s="15"/>
      <c r="E198" s="38"/>
      <c r="F198" s="38"/>
      <c r="G198" s="38"/>
      <c r="H198" s="38"/>
      <c r="I198" s="108"/>
    </row>
    <row r="199">
      <c r="A199" s="38"/>
      <c r="B199" s="38"/>
      <c r="C199" s="15"/>
      <c r="D199" s="15"/>
      <c r="E199" s="38"/>
      <c r="F199" s="38"/>
      <c r="G199" s="38"/>
      <c r="H199" s="38"/>
      <c r="I199" s="108"/>
    </row>
    <row r="200">
      <c r="A200" s="38"/>
      <c r="B200" s="38"/>
      <c r="C200" s="15"/>
      <c r="D200" s="15"/>
      <c r="E200" s="38"/>
      <c r="F200" s="38"/>
      <c r="G200" s="38"/>
      <c r="H200" s="38"/>
      <c r="I200" s="108"/>
    </row>
    <row r="201">
      <c r="A201" s="38"/>
      <c r="B201" s="38"/>
      <c r="C201" s="15"/>
      <c r="D201" s="15"/>
      <c r="E201" s="38"/>
      <c r="F201" s="38"/>
      <c r="G201" s="38"/>
      <c r="H201" s="38"/>
      <c r="I201" s="108"/>
    </row>
    <row r="202">
      <c r="A202" s="38"/>
      <c r="B202" s="38"/>
      <c r="C202" s="15"/>
      <c r="D202" s="15"/>
      <c r="E202" s="38"/>
      <c r="F202" s="38"/>
      <c r="G202" s="38"/>
      <c r="H202" s="38"/>
      <c r="I202" s="108"/>
    </row>
    <row r="203">
      <c r="A203" s="38"/>
      <c r="B203" s="38"/>
      <c r="C203" s="15"/>
      <c r="D203" s="15"/>
      <c r="E203" s="38"/>
      <c r="F203" s="38"/>
      <c r="G203" s="38"/>
      <c r="H203" s="38"/>
      <c r="I203" s="108"/>
    </row>
    <row r="204">
      <c r="A204" s="38"/>
      <c r="B204" s="38"/>
      <c r="C204" s="15"/>
      <c r="D204" s="15"/>
      <c r="E204" s="38"/>
      <c r="F204" s="38"/>
      <c r="G204" s="38"/>
      <c r="H204" s="38"/>
      <c r="I204" s="108"/>
    </row>
    <row r="205">
      <c r="A205" s="38"/>
      <c r="B205" s="38"/>
      <c r="C205" s="15"/>
      <c r="D205" s="15"/>
      <c r="E205" s="38"/>
      <c r="F205" s="38"/>
      <c r="G205" s="38"/>
      <c r="H205" s="38"/>
      <c r="I205" s="108"/>
    </row>
    <row r="206">
      <c r="A206" s="38"/>
      <c r="B206" s="38"/>
      <c r="C206" s="15"/>
      <c r="D206" s="15"/>
      <c r="E206" s="38"/>
      <c r="F206" s="38"/>
      <c r="G206" s="38"/>
      <c r="H206" s="38"/>
      <c r="I206" s="108"/>
    </row>
    <row r="207">
      <c r="A207" s="38"/>
      <c r="B207" s="38"/>
      <c r="C207" s="15"/>
      <c r="D207" s="15"/>
      <c r="E207" s="38"/>
      <c r="F207" s="38"/>
      <c r="G207" s="38"/>
      <c r="H207" s="38"/>
      <c r="I207" s="108"/>
    </row>
    <row r="208">
      <c r="A208" s="38"/>
      <c r="B208" s="38"/>
      <c r="C208" s="15"/>
      <c r="D208" s="15"/>
      <c r="E208" s="38"/>
      <c r="F208" s="38"/>
      <c r="G208" s="38"/>
      <c r="H208" s="38"/>
      <c r="I208" s="108"/>
    </row>
    <row r="209">
      <c r="A209" s="38"/>
      <c r="B209" s="38"/>
      <c r="C209" s="15"/>
      <c r="D209" s="15"/>
      <c r="E209" s="38"/>
      <c r="F209" s="38"/>
      <c r="G209" s="38"/>
      <c r="H209" s="38"/>
      <c r="I209" s="108"/>
    </row>
    <row r="210">
      <c r="A210" s="38"/>
      <c r="B210" s="38"/>
      <c r="C210" s="15"/>
      <c r="D210" s="15"/>
      <c r="E210" s="38"/>
      <c r="F210" s="38"/>
      <c r="G210" s="38"/>
      <c r="H210" s="38"/>
      <c r="I210" s="108"/>
    </row>
    <row r="211">
      <c r="A211" s="38"/>
      <c r="B211" s="38"/>
      <c r="C211" s="15"/>
      <c r="D211" s="15"/>
      <c r="E211" s="38"/>
      <c r="F211" s="38"/>
      <c r="G211" s="38"/>
      <c r="H211" s="38"/>
      <c r="I211" s="108"/>
    </row>
    <row r="212">
      <c r="A212" s="38"/>
      <c r="B212" s="38"/>
      <c r="C212" s="15"/>
      <c r="D212" s="15"/>
      <c r="E212" s="38"/>
      <c r="F212" s="38"/>
      <c r="G212" s="38"/>
      <c r="H212" s="38"/>
      <c r="I212" s="108"/>
    </row>
    <row r="213">
      <c r="A213" s="38"/>
      <c r="B213" s="38"/>
      <c r="C213" s="15"/>
      <c r="D213" s="15"/>
      <c r="E213" s="38"/>
      <c r="F213" s="38"/>
      <c r="G213" s="38"/>
      <c r="H213" s="38"/>
      <c r="I213" s="108"/>
    </row>
    <row r="214">
      <c r="A214" s="38"/>
      <c r="B214" s="38"/>
      <c r="C214" s="15"/>
      <c r="D214" s="15"/>
      <c r="E214" s="38"/>
      <c r="F214" s="38"/>
      <c r="G214" s="38"/>
      <c r="H214" s="38"/>
      <c r="I214" s="108"/>
    </row>
    <row r="215">
      <c r="A215" s="38"/>
      <c r="B215" s="38"/>
      <c r="C215" s="15"/>
      <c r="D215" s="15"/>
      <c r="E215" s="38"/>
      <c r="F215" s="38"/>
      <c r="G215" s="38"/>
      <c r="H215" s="38"/>
      <c r="I215" s="108"/>
    </row>
    <row r="216">
      <c r="A216" s="38"/>
      <c r="B216" s="38"/>
      <c r="C216" s="15"/>
      <c r="D216" s="15"/>
      <c r="E216" s="38"/>
      <c r="F216" s="38"/>
      <c r="G216" s="38"/>
      <c r="H216" s="38"/>
      <c r="I216" s="108"/>
    </row>
    <row r="217">
      <c r="A217" s="38"/>
      <c r="B217" s="38"/>
      <c r="C217" s="15"/>
      <c r="D217" s="15"/>
      <c r="E217" s="38"/>
      <c r="F217" s="38"/>
      <c r="G217" s="38"/>
      <c r="H217" s="38"/>
      <c r="I217" s="108"/>
    </row>
    <row r="218">
      <c r="A218" s="38"/>
      <c r="B218" s="38"/>
      <c r="C218" s="15"/>
      <c r="D218" s="15"/>
      <c r="E218" s="38"/>
      <c r="F218" s="38"/>
      <c r="G218" s="38"/>
      <c r="H218" s="38"/>
      <c r="I218" s="108"/>
    </row>
    <row r="219">
      <c r="A219" s="38"/>
      <c r="B219" s="38"/>
      <c r="C219" s="15"/>
      <c r="D219" s="15"/>
      <c r="E219" s="38"/>
      <c r="F219" s="38"/>
      <c r="G219" s="38"/>
      <c r="H219" s="38"/>
      <c r="I219" s="108"/>
    </row>
    <row r="220">
      <c r="A220" s="38"/>
      <c r="B220" s="38"/>
      <c r="C220" s="15"/>
      <c r="D220" s="15"/>
      <c r="E220" s="38"/>
      <c r="F220" s="38"/>
      <c r="G220" s="38"/>
      <c r="H220" s="38"/>
      <c r="I220" s="108"/>
    </row>
    <row r="221">
      <c r="A221" s="38"/>
      <c r="B221" s="38"/>
      <c r="C221" s="15"/>
      <c r="D221" s="15"/>
      <c r="E221" s="38"/>
      <c r="F221" s="38"/>
      <c r="G221" s="38"/>
      <c r="H221" s="38"/>
      <c r="I221" s="108"/>
    </row>
    <row r="222">
      <c r="A222" s="38"/>
      <c r="B222" s="38"/>
      <c r="C222" s="15"/>
      <c r="D222" s="15"/>
      <c r="E222" s="38"/>
      <c r="F222" s="38"/>
      <c r="G222" s="38"/>
      <c r="H222" s="38"/>
      <c r="I222" s="108"/>
    </row>
    <row r="223">
      <c r="A223" s="38"/>
      <c r="B223" s="38"/>
      <c r="C223" s="15"/>
      <c r="D223" s="15"/>
      <c r="E223" s="38"/>
      <c r="F223" s="38"/>
      <c r="G223" s="38"/>
      <c r="H223" s="38"/>
      <c r="I223" s="108"/>
    </row>
    <row r="224">
      <c r="A224" s="38"/>
      <c r="B224" s="38"/>
      <c r="C224" s="15"/>
      <c r="D224" s="15"/>
      <c r="E224" s="38"/>
      <c r="F224" s="38"/>
      <c r="G224" s="38"/>
      <c r="H224" s="38"/>
      <c r="I224" s="108"/>
    </row>
    <row r="225">
      <c r="A225" s="38"/>
      <c r="B225" s="38"/>
      <c r="C225" s="15"/>
      <c r="D225" s="15"/>
      <c r="E225" s="38"/>
      <c r="F225" s="38"/>
      <c r="G225" s="38"/>
      <c r="H225" s="38"/>
      <c r="I225" s="108"/>
    </row>
    <row r="226">
      <c r="A226" s="38"/>
      <c r="B226" s="38"/>
      <c r="C226" s="15"/>
      <c r="D226" s="15"/>
      <c r="E226" s="38"/>
      <c r="F226" s="38"/>
      <c r="G226" s="38"/>
      <c r="H226" s="38"/>
      <c r="I226" s="108"/>
    </row>
    <row r="227">
      <c r="A227" s="38"/>
      <c r="B227" s="38"/>
      <c r="C227" s="15"/>
      <c r="D227" s="15"/>
      <c r="E227" s="38"/>
      <c r="F227" s="38"/>
      <c r="G227" s="38"/>
      <c r="H227" s="38"/>
      <c r="I227" s="108"/>
    </row>
    <row r="228">
      <c r="A228" s="38"/>
      <c r="B228" s="38"/>
      <c r="C228" s="15"/>
      <c r="D228" s="15"/>
      <c r="E228" s="38"/>
      <c r="F228" s="38"/>
      <c r="G228" s="38"/>
      <c r="H228" s="38"/>
      <c r="I228" s="108"/>
    </row>
    <row r="229">
      <c r="A229" s="38"/>
      <c r="B229" s="38"/>
      <c r="C229" s="15"/>
      <c r="D229" s="15"/>
      <c r="E229" s="38"/>
      <c r="F229" s="38"/>
      <c r="G229" s="38"/>
      <c r="H229" s="38"/>
      <c r="I229" s="108"/>
    </row>
    <row r="230">
      <c r="A230" s="38"/>
      <c r="B230" s="38"/>
      <c r="C230" s="15"/>
      <c r="D230" s="15"/>
      <c r="E230" s="38"/>
      <c r="F230" s="38"/>
      <c r="G230" s="38"/>
      <c r="H230" s="38"/>
      <c r="I230" s="108"/>
    </row>
    <row r="231">
      <c r="A231" s="38"/>
      <c r="B231" s="38"/>
      <c r="C231" s="15"/>
      <c r="D231" s="15"/>
      <c r="E231" s="38"/>
      <c r="F231" s="38"/>
      <c r="G231" s="38"/>
      <c r="H231" s="38"/>
      <c r="I231" s="108"/>
    </row>
    <row r="232">
      <c r="A232" s="38"/>
      <c r="B232" s="38"/>
      <c r="C232" s="15"/>
      <c r="D232" s="15"/>
      <c r="E232" s="38"/>
      <c r="F232" s="38"/>
      <c r="G232" s="38"/>
      <c r="H232" s="38"/>
      <c r="I232" s="108"/>
    </row>
    <row r="233">
      <c r="A233" s="38"/>
      <c r="B233" s="38"/>
      <c r="C233" s="15"/>
      <c r="D233" s="15"/>
      <c r="E233" s="38"/>
      <c r="F233" s="38"/>
      <c r="G233" s="38"/>
      <c r="H233" s="38"/>
      <c r="I233" s="108"/>
    </row>
    <row r="234">
      <c r="A234" s="38"/>
      <c r="B234" s="38"/>
      <c r="C234" s="15"/>
      <c r="D234" s="15"/>
      <c r="E234" s="38"/>
      <c r="F234" s="38"/>
      <c r="G234" s="38"/>
      <c r="H234" s="38"/>
      <c r="I234" s="108"/>
    </row>
    <row r="235">
      <c r="A235" s="38"/>
      <c r="B235" s="38"/>
      <c r="C235" s="15"/>
      <c r="D235" s="15"/>
      <c r="E235" s="38"/>
      <c r="F235" s="38"/>
      <c r="G235" s="38"/>
      <c r="H235" s="38"/>
      <c r="I235" s="108"/>
    </row>
    <row r="236">
      <c r="A236" s="38"/>
      <c r="B236" s="38"/>
      <c r="C236" s="15"/>
      <c r="D236" s="15"/>
      <c r="E236" s="38"/>
      <c r="F236" s="38"/>
      <c r="G236" s="38"/>
      <c r="H236" s="38"/>
      <c r="I236" s="108"/>
    </row>
    <row r="237">
      <c r="A237" s="38"/>
      <c r="B237" s="38"/>
      <c r="C237" s="15"/>
      <c r="D237" s="15"/>
      <c r="E237" s="38"/>
      <c r="F237" s="38"/>
      <c r="G237" s="38"/>
      <c r="H237" s="38"/>
      <c r="I237" s="108"/>
    </row>
    <row r="238">
      <c r="A238" s="38"/>
      <c r="B238" s="38"/>
      <c r="C238" s="15"/>
      <c r="D238" s="15"/>
      <c r="E238" s="38"/>
      <c r="F238" s="38"/>
      <c r="G238" s="38"/>
      <c r="H238" s="38"/>
      <c r="I238" s="108"/>
    </row>
    <row r="239">
      <c r="A239" s="38"/>
      <c r="B239" s="38"/>
      <c r="C239" s="15"/>
      <c r="D239" s="15"/>
      <c r="E239" s="38"/>
      <c r="F239" s="38"/>
      <c r="G239" s="38"/>
      <c r="H239" s="38"/>
      <c r="I239" s="108"/>
    </row>
    <row r="240">
      <c r="A240" s="38"/>
      <c r="B240" s="38"/>
      <c r="C240" s="15"/>
      <c r="D240" s="15"/>
      <c r="E240" s="38"/>
      <c r="F240" s="38"/>
      <c r="G240" s="38"/>
      <c r="H240" s="38"/>
      <c r="I240" s="108"/>
    </row>
    <row r="241">
      <c r="A241" s="38"/>
      <c r="B241" s="38"/>
      <c r="C241" s="15"/>
      <c r="D241" s="15"/>
      <c r="E241" s="38"/>
      <c r="F241" s="38"/>
      <c r="G241" s="38"/>
      <c r="H241" s="38"/>
      <c r="I241" s="108"/>
    </row>
    <row r="242">
      <c r="A242" s="38"/>
      <c r="B242" s="38"/>
      <c r="C242" s="15"/>
      <c r="D242" s="15"/>
      <c r="E242" s="38"/>
      <c r="F242" s="38"/>
      <c r="G242" s="38"/>
      <c r="H242" s="38"/>
      <c r="I242" s="108"/>
    </row>
    <row r="243">
      <c r="A243" s="38"/>
      <c r="B243" s="38"/>
      <c r="C243" s="15"/>
      <c r="D243" s="15"/>
      <c r="E243" s="38"/>
      <c r="F243" s="38"/>
      <c r="G243" s="38"/>
      <c r="H243" s="38"/>
      <c r="I243" s="108"/>
    </row>
    <row r="244">
      <c r="A244" s="38"/>
      <c r="B244" s="38"/>
      <c r="C244" s="15"/>
      <c r="D244" s="15"/>
      <c r="E244" s="38"/>
      <c r="F244" s="38"/>
      <c r="G244" s="38"/>
      <c r="H244" s="38"/>
      <c r="I244" s="108"/>
    </row>
    <row r="245">
      <c r="A245" s="38"/>
      <c r="B245" s="38"/>
      <c r="C245" s="15"/>
      <c r="D245" s="15"/>
      <c r="E245" s="38"/>
      <c r="F245" s="38"/>
      <c r="G245" s="38"/>
      <c r="H245" s="38"/>
      <c r="I245" s="108"/>
    </row>
    <row r="246">
      <c r="A246" s="38"/>
      <c r="B246" s="38"/>
      <c r="C246" s="15"/>
      <c r="D246" s="15"/>
      <c r="E246" s="38"/>
      <c r="F246" s="38"/>
      <c r="G246" s="38"/>
      <c r="H246" s="38"/>
      <c r="I246" s="108"/>
    </row>
    <row r="247">
      <c r="A247" s="38"/>
      <c r="B247" s="38"/>
      <c r="C247" s="15"/>
      <c r="D247" s="15"/>
      <c r="E247" s="38"/>
      <c r="F247" s="38"/>
      <c r="G247" s="38"/>
      <c r="H247" s="38"/>
      <c r="I247" s="108"/>
    </row>
    <row r="248">
      <c r="A248" s="38"/>
      <c r="B248" s="38"/>
      <c r="C248" s="15"/>
      <c r="D248" s="15"/>
      <c r="E248" s="38"/>
      <c r="F248" s="38"/>
      <c r="G248" s="38"/>
      <c r="H248" s="38"/>
      <c r="I248" s="108"/>
    </row>
    <row r="249">
      <c r="A249" s="38"/>
      <c r="B249" s="38"/>
      <c r="C249" s="15"/>
      <c r="D249" s="15"/>
      <c r="E249" s="38"/>
      <c r="F249" s="38"/>
      <c r="G249" s="38"/>
      <c r="H249" s="38"/>
      <c r="I249" s="108"/>
    </row>
    <row r="250">
      <c r="A250" s="38"/>
      <c r="B250" s="38"/>
      <c r="C250" s="15"/>
      <c r="D250" s="15"/>
      <c r="E250" s="38"/>
      <c r="F250" s="38"/>
      <c r="G250" s="38"/>
      <c r="H250" s="38"/>
      <c r="I250" s="108"/>
    </row>
    <row r="251">
      <c r="A251" s="38"/>
      <c r="B251" s="38"/>
      <c r="C251" s="15"/>
      <c r="D251" s="15"/>
      <c r="E251" s="38"/>
      <c r="F251" s="38"/>
      <c r="G251" s="38"/>
      <c r="H251" s="38"/>
      <c r="I251" s="108"/>
    </row>
    <row r="252">
      <c r="A252" s="38"/>
      <c r="B252" s="38"/>
      <c r="C252" s="15"/>
      <c r="D252" s="15"/>
      <c r="E252" s="38"/>
      <c r="F252" s="38"/>
      <c r="G252" s="38"/>
      <c r="H252" s="38"/>
      <c r="I252" s="108"/>
    </row>
    <row r="253">
      <c r="A253" s="38"/>
      <c r="B253" s="38"/>
      <c r="C253" s="15"/>
      <c r="D253" s="15"/>
      <c r="E253" s="38"/>
      <c r="F253" s="38"/>
      <c r="G253" s="38"/>
      <c r="H253" s="38"/>
      <c r="I253" s="108"/>
    </row>
    <row r="254">
      <c r="A254" s="38"/>
      <c r="B254" s="38"/>
      <c r="C254" s="15"/>
      <c r="D254" s="15"/>
      <c r="E254" s="38"/>
      <c r="F254" s="38"/>
      <c r="G254" s="38"/>
      <c r="H254" s="38"/>
      <c r="I254" s="108"/>
    </row>
    <row r="255">
      <c r="A255" s="38"/>
      <c r="B255" s="38"/>
      <c r="C255" s="15"/>
      <c r="D255" s="15"/>
      <c r="E255" s="38"/>
      <c r="F255" s="38"/>
      <c r="G255" s="38"/>
      <c r="H255" s="38"/>
      <c r="I255" s="108"/>
    </row>
    <row r="256">
      <c r="A256" s="38"/>
      <c r="B256" s="38"/>
      <c r="C256" s="15"/>
      <c r="D256" s="15"/>
      <c r="E256" s="38"/>
      <c r="F256" s="38"/>
      <c r="G256" s="38"/>
      <c r="H256" s="38"/>
      <c r="I256" s="108"/>
    </row>
    <row r="257">
      <c r="A257" s="38"/>
      <c r="B257" s="38"/>
      <c r="C257" s="15"/>
      <c r="D257" s="15"/>
      <c r="E257" s="38"/>
      <c r="F257" s="38"/>
      <c r="G257" s="38"/>
      <c r="H257" s="38"/>
      <c r="I257" s="108"/>
    </row>
    <row r="258">
      <c r="A258" s="38"/>
      <c r="B258" s="38"/>
      <c r="C258" s="15"/>
      <c r="D258" s="15"/>
      <c r="E258" s="38"/>
      <c r="F258" s="38"/>
      <c r="G258" s="38"/>
      <c r="H258" s="38"/>
      <c r="I258" s="108"/>
    </row>
    <row r="259">
      <c r="A259" s="38"/>
      <c r="B259" s="38"/>
      <c r="C259" s="15"/>
      <c r="D259" s="15"/>
      <c r="E259" s="38"/>
      <c r="F259" s="38"/>
      <c r="G259" s="38"/>
      <c r="H259" s="38"/>
      <c r="I259" s="108"/>
    </row>
    <row r="260">
      <c r="A260" s="38"/>
      <c r="B260" s="38"/>
      <c r="C260" s="15"/>
      <c r="D260" s="15"/>
      <c r="E260" s="38"/>
      <c r="F260" s="38"/>
      <c r="G260" s="38"/>
      <c r="H260" s="38"/>
      <c r="I260" s="108"/>
    </row>
    <row r="261">
      <c r="A261" s="38"/>
      <c r="B261" s="38"/>
      <c r="C261" s="15"/>
      <c r="D261" s="15"/>
      <c r="E261" s="38"/>
      <c r="F261" s="38"/>
      <c r="G261" s="38"/>
      <c r="H261" s="38"/>
      <c r="I261" s="108"/>
    </row>
    <row r="262">
      <c r="A262" s="38"/>
      <c r="B262" s="38"/>
      <c r="C262" s="15"/>
      <c r="D262" s="15"/>
      <c r="E262" s="38"/>
      <c r="F262" s="38"/>
      <c r="G262" s="38"/>
      <c r="H262" s="38"/>
      <c r="I262" s="108"/>
    </row>
    <row r="263">
      <c r="A263" s="38"/>
      <c r="B263" s="38"/>
      <c r="C263" s="15"/>
      <c r="D263" s="15"/>
      <c r="E263" s="38"/>
      <c r="F263" s="38"/>
      <c r="G263" s="38"/>
      <c r="H263" s="38"/>
      <c r="I263" s="108"/>
    </row>
    <row r="264">
      <c r="A264" s="38"/>
      <c r="B264" s="38"/>
      <c r="C264" s="15"/>
      <c r="D264" s="15"/>
      <c r="E264" s="38"/>
      <c r="F264" s="38"/>
      <c r="G264" s="38"/>
      <c r="H264" s="38"/>
      <c r="I264" s="108"/>
    </row>
    <row r="265">
      <c r="A265" s="38"/>
      <c r="B265" s="38"/>
      <c r="C265" s="15"/>
      <c r="D265" s="15"/>
      <c r="E265" s="38"/>
      <c r="F265" s="38"/>
      <c r="G265" s="38"/>
      <c r="H265" s="38"/>
      <c r="I265" s="108"/>
    </row>
    <row r="266">
      <c r="A266" s="38"/>
      <c r="B266" s="38"/>
      <c r="C266" s="15"/>
      <c r="D266" s="15"/>
      <c r="E266" s="38"/>
      <c r="F266" s="38"/>
      <c r="G266" s="38"/>
      <c r="H266" s="38"/>
      <c r="I266" s="108"/>
    </row>
    <row r="267">
      <c r="A267" s="38"/>
      <c r="B267" s="38"/>
      <c r="C267" s="15"/>
      <c r="D267" s="15"/>
      <c r="E267" s="38"/>
      <c r="F267" s="38"/>
      <c r="G267" s="38"/>
      <c r="H267" s="38"/>
      <c r="I267" s="108"/>
    </row>
    <row r="268">
      <c r="A268" s="38"/>
      <c r="B268" s="38"/>
      <c r="C268" s="15"/>
      <c r="D268" s="15"/>
      <c r="E268" s="38"/>
      <c r="F268" s="38"/>
      <c r="G268" s="38"/>
      <c r="H268" s="38"/>
      <c r="I268" s="108"/>
    </row>
    <row r="269">
      <c r="A269" s="38"/>
      <c r="B269" s="38"/>
      <c r="C269" s="15"/>
      <c r="D269" s="15"/>
      <c r="E269" s="38"/>
      <c r="F269" s="38"/>
      <c r="G269" s="38"/>
      <c r="H269" s="38"/>
      <c r="I269" s="108"/>
    </row>
    <row r="270">
      <c r="A270" s="38"/>
      <c r="B270" s="38"/>
      <c r="C270" s="15"/>
      <c r="D270" s="15"/>
      <c r="E270" s="38"/>
      <c r="F270" s="38"/>
      <c r="G270" s="38"/>
      <c r="H270" s="38"/>
      <c r="I270" s="108"/>
    </row>
    <row r="271">
      <c r="A271" s="38"/>
      <c r="B271" s="38"/>
      <c r="C271" s="15"/>
      <c r="D271" s="15"/>
      <c r="E271" s="38"/>
      <c r="F271" s="38"/>
      <c r="G271" s="38"/>
      <c r="H271" s="38"/>
      <c r="I271" s="108"/>
    </row>
    <row r="272">
      <c r="A272" s="38"/>
      <c r="B272" s="38"/>
      <c r="C272" s="15"/>
      <c r="D272" s="15"/>
      <c r="E272" s="38"/>
      <c r="F272" s="38"/>
      <c r="G272" s="38"/>
      <c r="H272" s="38"/>
      <c r="I272" s="108"/>
    </row>
    <row r="273">
      <c r="A273" s="38"/>
      <c r="B273" s="38"/>
      <c r="C273" s="15"/>
      <c r="D273" s="15"/>
      <c r="E273" s="38"/>
      <c r="F273" s="38"/>
      <c r="G273" s="38"/>
      <c r="H273" s="38"/>
      <c r="I273" s="108"/>
    </row>
    <row r="274">
      <c r="A274" s="38"/>
      <c r="B274" s="38"/>
      <c r="C274" s="15"/>
      <c r="D274" s="15"/>
      <c r="E274" s="38"/>
      <c r="F274" s="38"/>
      <c r="G274" s="38"/>
      <c r="H274" s="38"/>
      <c r="I274" s="108"/>
    </row>
    <row r="275">
      <c r="A275" s="38"/>
      <c r="B275" s="38"/>
      <c r="C275" s="15"/>
      <c r="D275" s="15"/>
      <c r="E275" s="38"/>
      <c r="F275" s="38"/>
      <c r="G275" s="38"/>
      <c r="H275" s="38"/>
      <c r="I275" s="108"/>
    </row>
    <row r="276">
      <c r="A276" s="38"/>
      <c r="B276" s="38"/>
      <c r="C276" s="15"/>
      <c r="D276" s="15"/>
      <c r="E276" s="38"/>
      <c r="F276" s="38"/>
      <c r="G276" s="38"/>
      <c r="H276" s="38"/>
      <c r="I276" s="108"/>
    </row>
    <row r="277">
      <c r="A277" s="38"/>
      <c r="B277" s="38"/>
      <c r="C277" s="15"/>
      <c r="D277" s="15"/>
      <c r="E277" s="38"/>
      <c r="F277" s="38"/>
      <c r="G277" s="38"/>
      <c r="H277" s="38"/>
      <c r="I277" s="108"/>
    </row>
    <row r="278">
      <c r="A278" s="38"/>
      <c r="B278" s="38"/>
      <c r="C278" s="15"/>
      <c r="D278" s="15"/>
      <c r="E278" s="38"/>
      <c r="F278" s="38"/>
      <c r="G278" s="38"/>
      <c r="H278" s="38"/>
      <c r="I278" s="108"/>
    </row>
    <row r="279">
      <c r="A279" s="38"/>
      <c r="B279" s="38"/>
      <c r="C279" s="15"/>
      <c r="D279" s="15"/>
      <c r="E279" s="38"/>
      <c r="F279" s="38"/>
      <c r="G279" s="38"/>
      <c r="H279" s="38"/>
      <c r="I279" s="108"/>
    </row>
    <row r="280">
      <c r="A280" s="38"/>
      <c r="B280" s="38"/>
      <c r="C280" s="15"/>
      <c r="D280" s="15"/>
      <c r="E280" s="38"/>
      <c r="F280" s="38"/>
      <c r="G280" s="38"/>
      <c r="H280" s="38"/>
      <c r="I280" s="108"/>
    </row>
    <row r="281">
      <c r="A281" s="38"/>
      <c r="B281" s="38"/>
      <c r="C281" s="15"/>
      <c r="D281" s="15"/>
      <c r="E281" s="38"/>
      <c r="F281" s="38"/>
      <c r="G281" s="38"/>
      <c r="H281" s="38"/>
      <c r="I281" s="108"/>
    </row>
    <row r="282">
      <c r="A282" s="38"/>
      <c r="B282" s="38"/>
      <c r="C282" s="15"/>
      <c r="D282" s="15"/>
      <c r="E282" s="38"/>
      <c r="F282" s="38"/>
      <c r="G282" s="38"/>
      <c r="H282" s="38"/>
      <c r="I282" s="108"/>
    </row>
    <row r="283">
      <c r="A283" s="38"/>
      <c r="B283" s="38"/>
      <c r="C283" s="15"/>
      <c r="D283" s="15"/>
      <c r="E283" s="38"/>
      <c r="F283" s="38"/>
      <c r="G283" s="38"/>
      <c r="H283" s="38"/>
      <c r="I283" s="108"/>
    </row>
    <row r="284">
      <c r="A284" s="38"/>
      <c r="B284" s="38"/>
      <c r="C284" s="15"/>
      <c r="D284" s="15"/>
      <c r="E284" s="38"/>
      <c r="F284" s="38"/>
      <c r="G284" s="38"/>
      <c r="H284" s="38"/>
      <c r="I284" s="108"/>
    </row>
    <row r="285">
      <c r="A285" s="38"/>
      <c r="B285" s="38"/>
      <c r="C285" s="15"/>
      <c r="D285" s="15"/>
      <c r="E285" s="38"/>
      <c r="F285" s="38"/>
      <c r="G285" s="38"/>
      <c r="H285" s="38"/>
      <c r="I285" s="108"/>
    </row>
    <row r="286">
      <c r="A286" s="38"/>
      <c r="B286" s="38"/>
      <c r="C286" s="15"/>
      <c r="D286" s="15"/>
      <c r="E286" s="38"/>
      <c r="F286" s="38"/>
      <c r="G286" s="38"/>
      <c r="H286" s="38"/>
      <c r="I286" s="108"/>
    </row>
    <row r="287">
      <c r="A287" s="38"/>
      <c r="B287" s="38"/>
      <c r="C287" s="15"/>
      <c r="D287" s="15"/>
      <c r="E287" s="38"/>
      <c r="F287" s="38"/>
      <c r="G287" s="38"/>
      <c r="H287" s="38"/>
      <c r="I287" s="108"/>
    </row>
    <row r="288">
      <c r="A288" s="38"/>
      <c r="B288" s="38"/>
      <c r="C288" s="15"/>
      <c r="D288" s="15"/>
      <c r="E288" s="38"/>
      <c r="F288" s="38"/>
      <c r="G288" s="38"/>
      <c r="H288" s="38"/>
      <c r="I288" s="108"/>
    </row>
    <row r="289">
      <c r="A289" s="38"/>
      <c r="B289" s="38"/>
      <c r="C289" s="15"/>
      <c r="D289" s="15"/>
      <c r="E289" s="38"/>
      <c r="F289" s="38"/>
      <c r="G289" s="38"/>
      <c r="H289" s="38"/>
      <c r="I289" s="108"/>
    </row>
    <row r="290">
      <c r="A290" s="38"/>
      <c r="B290" s="38"/>
      <c r="C290" s="15"/>
      <c r="D290" s="15"/>
      <c r="E290" s="38"/>
      <c r="F290" s="38"/>
      <c r="G290" s="38"/>
      <c r="H290" s="38"/>
      <c r="I290" s="108"/>
    </row>
    <row r="291">
      <c r="A291" s="38"/>
      <c r="B291" s="38"/>
      <c r="C291" s="15"/>
      <c r="D291" s="15"/>
      <c r="E291" s="38"/>
      <c r="F291" s="38"/>
      <c r="G291" s="38"/>
      <c r="H291" s="38"/>
      <c r="I291" s="108"/>
    </row>
    <row r="292">
      <c r="A292" s="38"/>
      <c r="B292" s="38"/>
      <c r="C292" s="15"/>
      <c r="D292" s="15"/>
      <c r="E292" s="38"/>
      <c r="F292" s="38"/>
      <c r="G292" s="38"/>
      <c r="H292" s="38"/>
      <c r="I292" s="108"/>
    </row>
    <row r="293">
      <c r="A293" s="38"/>
      <c r="B293" s="38"/>
      <c r="C293" s="15"/>
      <c r="D293" s="15"/>
      <c r="E293" s="38"/>
      <c r="F293" s="38"/>
      <c r="G293" s="38"/>
      <c r="H293" s="38"/>
      <c r="I293" s="108"/>
    </row>
    <row r="294">
      <c r="A294" s="38"/>
      <c r="B294" s="38"/>
      <c r="C294" s="15"/>
      <c r="D294" s="15"/>
      <c r="E294" s="38"/>
      <c r="F294" s="38"/>
      <c r="G294" s="38"/>
      <c r="H294" s="38"/>
      <c r="I294" s="108"/>
    </row>
    <row r="295">
      <c r="A295" s="38"/>
      <c r="B295" s="38"/>
      <c r="C295" s="15"/>
      <c r="D295" s="15"/>
      <c r="E295" s="38"/>
      <c r="F295" s="38"/>
      <c r="G295" s="38"/>
      <c r="H295" s="38"/>
      <c r="I295" s="108"/>
    </row>
    <row r="296">
      <c r="A296" s="38"/>
      <c r="B296" s="38"/>
      <c r="C296" s="15"/>
      <c r="D296" s="15"/>
      <c r="E296" s="38"/>
      <c r="F296" s="38"/>
      <c r="G296" s="38"/>
      <c r="H296" s="38"/>
      <c r="I296" s="108"/>
    </row>
    <row r="297">
      <c r="A297" s="38"/>
      <c r="B297" s="38"/>
      <c r="C297" s="15"/>
      <c r="D297" s="15"/>
      <c r="E297" s="38"/>
      <c r="F297" s="38"/>
      <c r="G297" s="38"/>
      <c r="H297" s="38"/>
      <c r="I297" s="108"/>
    </row>
    <row r="298">
      <c r="A298" s="38"/>
      <c r="B298" s="38"/>
      <c r="C298" s="15"/>
      <c r="D298" s="15"/>
      <c r="E298" s="38"/>
      <c r="F298" s="38"/>
      <c r="G298" s="38"/>
      <c r="H298" s="38"/>
      <c r="I298" s="108"/>
    </row>
    <row r="299">
      <c r="A299" s="38"/>
      <c r="B299" s="38"/>
      <c r="C299" s="15"/>
      <c r="D299" s="15"/>
      <c r="E299" s="38"/>
      <c r="F299" s="38"/>
      <c r="G299" s="38"/>
      <c r="H299" s="38"/>
      <c r="I299" s="108"/>
    </row>
    <row r="300">
      <c r="A300" s="38"/>
      <c r="B300" s="38"/>
      <c r="C300" s="15"/>
      <c r="D300" s="15"/>
      <c r="E300" s="38"/>
      <c r="F300" s="38"/>
      <c r="G300" s="38"/>
      <c r="H300" s="38"/>
      <c r="I300" s="108"/>
    </row>
    <row r="301">
      <c r="A301" s="38"/>
      <c r="B301" s="38"/>
      <c r="C301" s="15"/>
      <c r="D301" s="15"/>
      <c r="E301" s="38"/>
      <c r="F301" s="38"/>
      <c r="G301" s="38"/>
      <c r="H301" s="38"/>
      <c r="I301" s="108"/>
    </row>
    <row r="302">
      <c r="A302" s="38"/>
      <c r="B302" s="38"/>
      <c r="C302" s="15"/>
      <c r="D302" s="15"/>
      <c r="E302" s="38"/>
      <c r="F302" s="38"/>
      <c r="G302" s="38"/>
      <c r="H302" s="38"/>
      <c r="I302" s="108"/>
    </row>
    <row r="303">
      <c r="A303" s="38"/>
      <c r="B303" s="38"/>
      <c r="C303" s="15"/>
      <c r="D303" s="15"/>
      <c r="E303" s="38"/>
      <c r="F303" s="38"/>
      <c r="G303" s="38"/>
      <c r="H303" s="38"/>
      <c r="I303" s="108"/>
    </row>
    <row r="304">
      <c r="A304" s="38"/>
      <c r="B304" s="38"/>
      <c r="C304" s="15"/>
      <c r="D304" s="15"/>
      <c r="E304" s="38"/>
      <c r="F304" s="38"/>
      <c r="G304" s="38"/>
      <c r="H304" s="38"/>
      <c r="I304" s="108"/>
    </row>
    <row r="305">
      <c r="A305" s="38"/>
      <c r="B305" s="38"/>
      <c r="C305" s="15"/>
      <c r="D305" s="15"/>
      <c r="E305" s="38"/>
      <c r="F305" s="38"/>
      <c r="G305" s="38"/>
      <c r="H305" s="38"/>
      <c r="I305" s="108"/>
    </row>
    <row r="306">
      <c r="A306" s="38"/>
      <c r="B306" s="38"/>
      <c r="C306" s="15"/>
      <c r="D306" s="15"/>
      <c r="E306" s="38"/>
      <c r="F306" s="38"/>
      <c r="G306" s="38"/>
      <c r="H306" s="38"/>
      <c r="I306" s="108"/>
    </row>
    <row r="307">
      <c r="A307" s="38"/>
      <c r="B307" s="38"/>
      <c r="C307" s="15"/>
      <c r="D307" s="15"/>
      <c r="E307" s="38"/>
      <c r="F307" s="38"/>
      <c r="G307" s="38"/>
      <c r="H307" s="38"/>
      <c r="I307" s="108"/>
    </row>
    <row r="308">
      <c r="A308" s="38"/>
      <c r="B308" s="38"/>
      <c r="C308" s="15"/>
      <c r="D308" s="15"/>
      <c r="E308" s="38"/>
      <c r="F308" s="38"/>
      <c r="G308" s="38"/>
      <c r="H308" s="38"/>
      <c r="I308" s="108"/>
    </row>
    <row r="309">
      <c r="A309" s="38"/>
      <c r="B309" s="38"/>
      <c r="C309" s="15"/>
      <c r="D309" s="15"/>
      <c r="E309" s="38"/>
      <c r="F309" s="38"/>
      <c r="G309" s="38"/>
      <c r="H309" s="38"/>
      <c r="I309" s="108"/>
    </row>
    <row r="310">
      <c r="A310" s="38"/>
      <c r="B310" s="38"/>
      <c r="C310" s="15"/>
      <c r="D310" s="15"/>
      <c r="E310" s="38"/>
      <c r="F310" s="38"/>
      <c r="G310" s="38"/>
      <c r="H310" s="38"/>
      <c r="I310" s="108"/>
    </row>
    <row r="311">
      <c r="A311" s="38"/>
      <c r="B311" s="38"/>
      <c r="C311" s="15"/>
      <c r="D311" s="15"/>
      <c r="E311" s="38"/>
      <c r="F311" s="38"/>
      <c r="G311" s="38"/>
      <c r="H311" s="38"/>
      <c r="I311" s="108"/>
    </row>
    <row r="312">
      <c r="A312" s="38"/>
      <c r="B312" s="38"/>
      <c r="C312" s="15"/>
      <c r="D312" s="15"/>
      <c r="E312" s="38"/>
      <c r="F312" s="38"/>
      <c r="G312" s="38"/>
      <c r="H312" s="38"/>
      <c r="I312" s="108"/>
    </row>
    <row r="313">
      <c r="A313" s="38"/>
      <c r="B313" s="38"/>
      <c r="C313" s="15"/>
      <c r="D313" s="15"/>
      <c r="E313" s="38"/>
      <c r="F313" s="38"/>
      <c r="G313" s="38"/>
      <c r="H313" s="38"/>
      <c r="I313" s="108"/>
    </row>
    <row r="314">
      <c r="A314" s="38"/>
      <c r="B314" s="38"/>
      <c r="C314" s="15"/>
      <c r="D314" s="15"/>
      <c r="E314" s="38"/>
      <c r="F314" s="38"/>
      <c r="G314" s="38"/>
      <c r="H314" s="38"/>
      <c r="I314" s="108"/>
    </row>
    <row r="315">
      <c r="A315" s="38"/>
      <c r="B315" s="38"/>
      <c r="C315" s="15"/>
      <c r="D315" s="15"/>
      <c r="E315" s="38"/>
      <c r="F315" s="38"/>
      <c r="G315" s="38"/>
      <c r="H315" s="38"/>
      <c r="I315" s="108"/>
    </row>
    <row r="316">
      <c r="A316" s="38"/>
      <c r="B316" s="38"/>
      <c r="C316" s="15"/>
      <c r="D316" s="15"/>
      <c r="E316" s="38"/>
      <c r="F316" s="38"/>
      <c r="G316" s="38"/>
      <c r="H316" s="38"/>
      <c r="I316" s="108"/>
    </row>
    <row r="317">
      <c r="A317" s="38"/>
      <c r="B317" s="38"/>
      <c r="C317" s="15"/>
      <c r="D317" s="15"/>
      <c r="E317" s="38"/>
      <c r="F317" s="38"/>
      <c r="G317" s="38"/>
      <c r="H317" s="38"/>
      <c r="I317" s="108"/>
    </row>
    <row r="318">
      <c r="A318" s="38"/>
      <c r="B318" s="38"/>
      <c r="C318" s="15"/>
      <c r="D318" s="15"/>
      <c r="E318" s="38"/>
      <c r="F318" s="38"/>
      <c r="G318" s="38"/>
      <c r="H318" s="38"/>
      <c r="I318" s="108"/>
    </row>
    <row r="319">
      <c r="A319" s="38"/>
      <c r="B319" s="38"/>
      <c r="C319" s="15"/>
      <c r="D319" s="15"/>
      <c r="E319" s="38"/>
      <c r="F319" s="38"/>
      <c r="G319" s="38"/>
      <c r="H319" s="38"/>
      <c r="I319" s="108"/>
    </row>
    <row r="320">
      <c r="A320" s="38"/>
      <c r="B320" s="38"/>
      <c r="C320" s="15"/>
      <c r="D320" s="15"/>
      <c r="E320" s="38"/>
      <c r="F320" s="38"/>
      <c r="G320" s="38"/>
      <c r="H320" s="38"/>
      <c r="I320" s="108"/>
    </row>
    <row r="321">
      <c r="A321" s="38"/>
      <c r="B321" s="38"/>
      <c r="C321" s="15"/>
      <c r="D321" s="15"/>
      <c r="E321" s="38"/>
      <c r="F321" s="38"/>
      <c r="G321" s="38"/>
      <c r="H321" s="38"/>
      <c r="I321" s="108"/>
    </row>
    <row r="322">
      <c r="A322" s="38"/>
      <c r="B322" s="38"/>
      <c r="C322" s="15"/>
      <c r="D322" s="15"/>
      <c r="E322" s="38"/>
      <c r="F322" s="38"/>
      <c r="G322" s="38"/>
      <c r="H322" s="38"/>
      <c r="I322" s="108"/>
    </row>
    <row r="323">
      <c r="A323" s="38"/>
      <c r="B323" s="38"/>
      <c r="C323" s="15"/>
      <c r="D323" s="15"/>
      <c r="E323" s="38"/>
      <c r="F323" s="38"/>
      <c r="G323" s="38"/>
      <c r="H323" s="38"/>
      <c r="I323" s="108"/>
    </row>
    <row r="324">
      <c r="A324" s="38"/>
      <c r="B324" s="38"/>
      <c r="C324" s="15"/>
      <c r="D324" s="15"/>
      <c r="E324" s="38"/>
      <c r="F324" s="38"/>
      <c r="G324" s="38"/>
      <c r="H324" s="38"/>
      <c r="I324" s="108"/>
    </row>
    <row r="325">
      <c r="A325" s="38"/>
      <c r="B325" s="38"/>
      <c r="C325" s="15"/>
      <c r="D325" s="15"/>
      <c r="E325" s="38"/>
      <c r="F325" s="38"/>
      <c r="G325" s="38"/>
      <c r="H325" s="38"/>
      <c r="I325" s="108"/>
    </row>
    <row r="326">
      <c r="A326" s="38"/>
      <c r="B326" s="38"/>
      <c r="C326" s="15"/>
      <c r="D326" s="15"/>
      <c r="E326" s="38"/>
      <c r="F326" s="38"/>
      <c r="G326" s="38"/>
      <c r="H326" s="38"/>
      <c r="I326" s="108"/>
    </row>
    <row r="327">
      <c r="A327" s="38"/>
      <c r="B327" s="38"/>
      <c r="C327" s="15"/>
      <c r="D327" s="15"/>
      <c r="E327" s="38"/>
      <c r="F327" s="38"/>
      <c r="G327" s="38"/>
      <c r="H327" s="38"/>
      <c r="I327" s="108"/>
    </row>
    <row r="328">
      <c r="A328" s="38"/>
      <c r="B328" s="38"/>
      <c r="C328" s="15"/>
      <c r="D328" s="15"/>
      <c r="E328" s="38"/>
      <c r="F328" s="38"/>
      <c r="G328" s="38"/>
      <c r="H328" s="38"/>
      <c r="I328" s="108"/>
    </row>
    <row r="329">
      <c r="A329" s="38"/>
      <c r="B329" s="38"/>
      <c r="C329" s="15"/>
      <c r="D329" s="15"/>
      <c r="E329" s="38"/>
      <c r="F329" s="38"/>
      <c r="G329" s="38"/>
      <c r="H329" s="38"/>
      <c r="I329" s="108"/>
    </row>
    <row r="330">
      <c r="A330" s="38"/>
      <c r="B330" s="38"/>
      <c r="C330" s="15"/>
      <c r="D330" s="15"/>
      <c r="E330" s="38"/>
      <c r="F330" s="38"/>
      <c r="G330" s="38"/>
      <c r="H330" s="38"/>
      <c r="I330" s="108"/>
    </row>
    <row r="331">
      <c r="A331" s="38"/>
      <c r="B331" s="38"/>
      <c r="C331" s="15"/>
      <c r="D331" s="15"/>
      <c r="E331" s="38"/>
      <c r="F331" s="38"/>
      <c r="G331" s="38"/>
      <c r="H331" s="38"/>
      <c r="I331" s="108"/>
    </row>
    <row r="332">
      <c r="A332" s="38"/>
      <c r="B332" s="38"/>
      <c r="C332" s="15"/>
      <c r="D332" s="15"/>
      <c r="E332" s="38"/>
      <c r="F332" s="38"/>
      <c r="G332" s="38"/>
      <c r="H332" s="38"/>
      <c r="I332" s="108"/>
    </row>
    <row r="333">
      <c r="A333" s="38"/>
      <c r="B333" s="38"/>
      <c r="C333" s="15"/>
      <c r="D333" s="15"/>
      <c r="E333" s="38"/>
      <c r="F333" s="38"/>
      <c r="G333" s="38"/>
      <c r="H333" s="38"/>
      <c r="I333" s="108"/>
    </row>
    <row r="334">
      <c r="A334" s="38"/>
      <c r="B334" s="38"/>
      <c r="C334" s="15"/>
      <c r="D334" s="15"/>
      <c r="E334" s="38"/>
      <c r="F334" s="38"/>
      <c r="G334" s="38"/>
      <c r="H334" s="38"/>
      <c r="I334" s="108"/>
    </row>
    <row r="335">
      <c r="A335" s="38"/>
      <c r="B335" s="38"/>
      <c r="C335" s="15"/>
      <c r="D335" s="15"/>
      <c r="E335" s="38"/>
      <c r="F335" s="38"/>
      <c r="G335" s="38"/>
      <c r="H335" s="38"/>
      <c r="I335" s="108"/>
    </row>
    <row r="336">
      <c r="A336" s="38"/>
      <c r="B336" s="38"/>
      <c r="C336" s="15"/>
      <c r="D336" s="15"/>
      <c r="E336" s="38"/>
      <c r="F336" s="38"/>
      <c r="G336" s="38"/>
      <c r="H336" s="38"/>
      <c r="I336" s="108"/>
    </row>
    <row r="337">
      <c r="A337" s="38"/>
      <c r="B337" s="38"/>
      <c r="C337" s="15"/>
      <c r="D337" s="15"/>
      <c r="E337" s="38"/>
      <c r="F337" s="38"/>
      <c r="G337" s="38"/>
      <c r="H337" s="38"/>
      <c r="I337" s="108"/>
    </row>
    <row r="338">
      <c r="A338" s="38"/>
      <c r="B338" s="38"/>
      <c r="C338" s="15"/>
      <c r="D338" s="15"/>
      <c r="E338" s="38"/>
      <c r="F338" s="38"/>
      <c r="G338" s="38"/>
      <c r="H338" s="38"/>
      <c r="I338" s="108"/>
    </row>
    <row r="339">
      <c r="A339" s="38"/>
      <c r="B339" s="38"/>
      <c r="C339" s="15"/>
      <c r="D339" s="15"/>
      <c r="E339" s="38"/>
      <c r="F339" s="38"/>
      <c r="G339" s="38"/>
      <c r="H339" s="38"/>
      <c r="I339" s="108"/>
    </row>
    <row r="340">
      <c r="A340" s="38"/>
      <c r="B340" s="38"/>
      <c r="C340" s="15"/>
      <c r="D340" s="15"/>
      <c r="E340" s="38"/>
      <c r="F340" s="38"/>
      <c r="G340" s="38"/>
      <c r="H340" s="38"/>
      <c r="I340" s="108"/>
    </row>
    <row r="341">
      <c r="A341" s="38"/>
      <c r="B341" s="38"/>
      <c r="C341" s="15"/>
      <c r="D341" s="15"/>
      <c r="E341" s="38"/>
      <c r="F341" s="38"/>
      <c r="G341" s="38"/>
      <c r="H341" s="38"/>
      <c r="I341" s="108"/>
    </row>
    <row r="342">
      <c r="A342" s="38"/>
      <c r="B342" s="38"/>
      <c r="C342" s="15"/>
      <c r="D342" s="15"/>
      <c r="E342" s="38"/>
      <c r="F342" s="38"/>
      <c r="G342" s="38"/>
      <c r="H342" s="38"/>
      <c r="I342" s="108"/>
    </row>
    <row r="343">
      <c r="A343" s="38"/>
      <c r="B343" s="38"/>
      <c r="C343" s="15"/>
      <c r="D343" s="15"/>
      <c r="E343" s="38"/>
      <c r="F343" s="38"/>
      <c r="G343" s="38"/>
      <c r="H343" s="38"/>
      <c r="I343" s="108"/>
    </row>
    <row r="344">
      <c r="A344" s="38"/>
      <c r="B344" s="38"/>
      <c r="C344" s="15"/>
      <c r="D344" s="15"/>
      <c r="E344" s="38"/>
      <c r="F344" s="38"/>
      <c r="G344" s="38"/>
      <c r="H344" s="38"/>
      <c r="I344" s="108"/>
    </row>
    <row r="345">
      <c r="A345" s="38"/>
      <c r="B345" s="38"/>
      <c r="C345" s="15"/>
      <c r="D345" s="15"/>
      <c r="E345" s="38"/>
      <c r="F345" s="38"/>
      <c r="G345" s="38"/>
      <c r="H345" s="38"/>
      <c r="I345" s="108"/>
    </row>
    <row r="346">
      <c r="A346" s="38"/>
      <c r="B346" s="38"/>
      <c r="C346" s="15"/>
      <c r="D346" s="15"/>
      <c r="E346" s="38"/>
      <c r="F346" s="38"/>
      <c r="G346" s="38"/>
      <c r="H346" s="38"/>
      <c r="I346" s="108"/>
    </row>
    <row r="347">
      <c r="A347" s="38"/>
      <c r="B347" s="38"/>
      <c r="C347" s="15"/>
      <c r="D347" s="15"/>
      <c r="E347" s="38"/>
      <c r="F347" s="38"/>
      <c r="G347" s="38"/>
      <c r="H347" s="38"/>
      <c r="I347" s="108"/>
    </row>
    <row r="348">
      <c r="A348" s="38"/>
      <c r="B348" s="38"/>
      <c r="C348" s="15"/>
      <c r="D348" s="15"/>
      <c r="E348" s="38"/>
      <c r="F348" s="38"/>
      <c r="G348" s="38"/>
      <c r="H348" s="38"/>
      <c r="I348" s="108"/>
    </row>
    <row r="349">
      <c r="A349" s="38"/>
      <c r="B349" s="38"/>
      <c r="C349" s="15"/>
      <c r="D349" s="15"/>
      <c r="E349" s="38"/>
      <c r="F349" s="38"/>
      <c r="G349" s="38"/>
      <c r="H349" s="38"/>
      <c r="I349" s="108"/>
    </row>
    <row r="350">
      <c r="A350" s="38"/>
      <c r="B350" s="38"/>
      <c r="C350" s="15"/>
      <c r="D350" s="15"/>
      <c r="E350" s="38"/>
      <c r="F350" s="38"/>
      <c r="G350" s="38"/>
      <c r="H350" s="38"/>
      <c r="I350" s="108"/>
    </row>
    <row r="351">
      <c r="A351" s="38"/>
      <c r="B351" s="38"/>
      <c r="C351" s="15"/>
      <c r="D351" s="15"/>
      <c r="E351" s="38"/>
      <c r="F351" s="38"/>
      <c r="G351" s="38"/>
      <c r="H351" s="38"/>
      <c r="I351" s="108"/>
    </row>
    <row r="352">
      <c r="A352" s="38"/>
      <c r="B352" s="38"/>
      <c r="C352" s="15"/>
      <c r="D352" s="15"/>
      <c r="E352" s="38"/>
      <c r="F352" s="38"/>
      <c r="G352" s="38"/>
      <c r="H352" s="38"/>
      <c r="I352" s="108"/>
    </row>
    <row r="353">
      <c r="A353" s="38"/>
      <c r="B353" s="38"/>
      <c r="C353" s="15"/>
      <c r="D353" s="15"/>
      <c r="E353" s="38"/>
      <c r="F353" s="38"/>
      <c r="G353" s="38"/>
      <c r="H353" s="38"/>
      <c r="I353" s="108"/>
    </row>
    <row r="354">
      <c r="A354" s="38"/>
      <c r="B354" s="38"/>
      <c r="C354" s="15"/>
      <c r="D354" s="15"/>
      <c r="E354" s="38"/>
      <c r="F354" s="38"/>
      <c r="G354" s="38"/>
      <c r="H354" s="38"/>
      <c r="I354" s="108"/>
    </row>
    <row r="355">
      <c r="A355" s="38"/>
      <c r="B355" s="38"/>
      <c r="C355" s="15"/>
      <c r="D355" s="15"/>
      <c r="E355" s="38"/>
      <c r="F355" s="38"/>
      <c r="G355" s="38"/>
      <c r="H355" s="38"/>
      <c r="I355" s="108"/>
    </row>
    <row r="356">
      <c r="A356" s="38"/>
      <c r="B356" s="38"/>
      <c r="C356" s="15"/>
      <c r="D356" s="15"/>
      <c r="E356" s="38"/>
      <c r="F356" s="38"/>
      <c r="G356" s="38"/>
      <c r="H356" s="38"/>
      <c r="I356" s="108"/>
    </row>
    <row r="357">
      <c r="A357" s="38"/>
      <c r="B357" s="38"/>
      <c r="C357" s="15"/>
      <c r="D357" s="15"/>
      <c r="E357" s="38"/>
      <c r="F357" s="38"/>
      <c r="G357" s="38"/>
      <c r="H357" s="38"/>
      <c r="I357" s="108"/>
    </row>
    <row r="358">
      <c r="A358" s="38"/>
      <c r="B358" s="38"/>
      <c r="C358" s="15"/>
      <c r="D358" s="15"/>
      <c r="E358" s="38"/>
      <c r="F358" s="38"/>
      <c r="G358" s="38"/>
      <c r="H358" s="38"/>
      <c r="I358" s="108"/>
    </row>
    <row r="359">
      <c r="A359" s="38"/>
      <c r="B359" s="38"/>
      <c r="C359" s="15"/>
      <c r="D359" s="15"/>
      <c r="E359" s="38"/>
      <c r="F359" s="38"/>
      <c r="G359" s="38"/>
      <c r="H359" s="38"/>
      <c r="I359" s="108"/>
    </row>
    <row r="360">
      <c r="A360" s="38"/>
      <c r="B360" s="38"/>
      <c r="C360" s="15"/>
      <c r="D360" s="15"/>
      <c r="E360" s="38"/>
      <c r="F360" s="38"/>
      <c r="G360" s="38"/>
      <c r="H360" s="38"/>
      <c r="I360" s="108"/>
    </row>
    <row r="361">
      <c r="A361" s="38"/>
      <c r="B361" s="38"/>
      <c r="C361" s="15"/>
      <c r="D361" s="15"/>
      <c r="E361" s="38"/>
      <c r="F361" s="38"/>
      <c r="G361" s="38"/>
      <c r="H361" s="38"/>
      <c r="I361" s="108"/>
    </row>
    <row r="362">
      <c r="A362" s="38"/>
      <c r="B362" s="38"/>
      <c r="C362" s="15"/>
      <c r="D362" s="15"/>
      <c r="E362" s="38"/>
      <c r="F362" s="38"/>
      <c r="G362" s="38"/>
      <c r="H362" s="38"/>
      <c r="I362" s="108"/>
    </row>
    <row r="363">
      <c r="A363" s="38"/>
      <c r="B363" s="38"/>
      <c r="C363" s="15"/>
      <c r="D363" s="15"/>
      <c r="E363" s="38"/>
      <c r="F363" s="38"/>
      <c r="G363" s="38"/>
      <c r="H363" s="38"/>
      <c r="I363" s="108"/>
    </row>
    <row r="364">
      <c r="A364" s="38"/>
      <c r="B364" s="38"/>
      <c r="C364" s="15"/>
      <c r="D364" s="15"/>
      <c r="E364" s="38"/>
      <c r="F364" s="38"/>
      <c r="G364" s="38"/>
      <c r="H364" s="38"/>
      <c r="I364" s="108"/>
    </row>
    <row r="365">
      <c r="A365" s="38"/>
      <c r="B365" s="38"/>
      <c r="C365" s="15"/>
      <c r="D365" s="15"/>
      <c r="E365" s="38"/>
      <c r="F365" s="38"/>
      <c r="G365" s="38"/>
      <c r="H365" s="38"/>
      <c r="I365" s="108"/>
    </row>
    <row r="366">
      <c r="A366" s="38"/>
      <c r="B366" s="38"/>
      <c r="C366" s="15"/>
      <c r="D366" s="15"/>
      <c r="E366" s="38"/>
      <c r="F366" s="38"/>
      <c r="G366" s="38"/>
      <c r="H366" s="38"/>
      <c r="I366" s="108"/>
    </row>
    <row r="367">
      <c r="A367" s="38"/>
      <c r="B367" s="38"/>
      <c r="C367" s="15"/>
      <c r="D367" s="15"/>
      <c r="E367" s="38"/>
      <c r="F367" s="38"/>
      <c r="G367" s="38"/>
      <c r="H367" s="38"/>
      <c r="I367" s="108"/>
    </row>
    <row r="368">
      <c r="A368" s="38"/>
      <c r="B368" s="38"/>
      <c r="C368" s="15"/>
      <c r="D368" s="15"/>
      <c r="E368" s="38"/>
      <c r="F368" s="38"/>
      <c r="G368" s="38"/>
      <c r="H368" s="38"/>
      <c r="I368" s="108"/>
    </row>
    <row r="369">
      <c r="A369" s="38"/>
      <c r="B369" s="38"/>
      <c r="C369" s="15"/>
      <c r="D369" s="15"/>
      <c r="E369" s="38"/>
      <c r="F369" s="38"/>
      <c r="G369" s="38"/>
      <c r="H369" s="38"/>
      <c r="I369" s="108"/>
    </row>
    <row r="370">
      <c r="A370" s="38"/>
      <c r="B370" s="38"/>
      <c r="C370" s="15"/>
      <c r="D370" s="15"/>
      <c r="E370" s="38"/>
      <c r="F370" s="38"/>
      <c r="G370" s="38"/>
      <c r="H370" s="38"/>
      <c r="I370" s="108"/>
    </row>
    <row r="371">
      <c r="A371" s="38"/>
      <c r="B371" s="38"/>
      <c r="C371" s="15"/>
      <c r="D371" s="15"/>
      <c r="E371" s="38"/>
      <c r="F371" s="38"/>
      <c r="G371" s="38"/>
      <c r="H371" s="38"/>
      <c r="I371" s="108"/>
    </row>
    <row r="372">
      <c r="A372" s="38"/>
      <c r="B372" s="38"/>
      <c r="C372" s="15"/>
      <c r="D372" s="15"/>
      <c r="E372" s="38"/>
      <c r="F372" s="38"/>
      <c r="G372" s="38"/>
      <c r="H372" s="38"/>
      <c r="I372" s="108"/>
    </row>
    <row r="373">
      <c r="A373" s="38"/>
      <c r="B373" s="38"/>
      <c r="C373" s="15"/>
      <c r="D373" s="15"/>
      <c r="E373" s="38"/>
      <c r="F373" s="38"/>
      <c r="G373" s="38"/>
      <c r="H373" s="38"/>
      <c r="I373" s="108"/>
    </row>
    <row r="374">
      <c r="A374" s="38"/>
      <c r="B374" s="38"/>
      <c r="C374" s="15"/>
      <c r="D374" s="15"/>
      <c r="E374" s="38"/>
      <c r="F374" s="38"/>
      <c r="G374" s="38"/>
      <c r="H374" s="38"/>
      <c r="I374" s="108"/>
    </row>
    <row r="375">
      <c r="A375" s="38"/>
      <c r="B375" s="38"/>
      <c r="C375" s="15"/>
      <c r="D375" s="15"/>
      <c r="E375" s="38"/>
      <c r="F375" s="38"/>
      <c r="G375" s="38"/>
      <c r="H375" s="38"/>
      <c r="I375" s="108"/>
    </row>
    <row r="376">
      <c r="A376" s="38"/>
      <c r="B376" s="38"/>
      <c r="C376" s="15"/>
      <c r="D376" s="15"/>
      <c r="E376" s="38"/>
      <c r="F376" s="38"/>
      <c r="G376" s="38"/>
      <c r="H376" s="38"/>
      <c r="I376" s="108"/>
    </row>
    <row r="377">
      <c r="A377" s="38"/>
      <c r="B377" s="38"/>
      <c r="C377" s="15"/>
      <c r="D377" s="15"/>
      <c r="E377" s="38"/>
      <c r="F377" s="38"/>
      <c r="G377" s="38"/>
      <c r="H377" s="38"/>
      <c r="I377" s="108"/>
    </row>
    <row r="378">
      <c r="A378" s="38"/>
      <c r="B378" s="38"/>
      <c r="C378" s="15"/>
      <c r="D378" s="15"/>
      <c r="E378" s="38"/>
      <c r="F378" s="38"/>
      <c r="G378" s="38"/>
      <c r="H378" s="38"/>
      <c r="I378" s="108"/>
    </row>
    <row r="379">
      <c r="A379" s="38"/>
      <c r="B379" s="38"/>
      <c r="C379" s="15"/>
      <c r="D379" s="15"/>
      <c r="E379" s="38"/>
      <c r="F379" s="38"/>
      <c r="G379" s="38"/>
      <c r="H379" s="38"/>
      <c r="I379" s="108"/>
    </row>
    <row r="380">
      <c r="A380" s="38"/>
      <c r="B380" s="38"/>
      <c r="C380" s="15"/>
      <c r="D380" s="15"/>
      <c r="E380" s="38"/>
      <c r="F380" s="38"/>
      <c r="G380" s="38"/>
      <c r="H380" s="38"/>
      <c r="I380" s="108"/>
    </row>
    <row r="381">
      <c r="A381" s="38"/>
      <c r="B381" s="38"/>
      <c r="C381" s="15"/>
      <c r="D381" s="15"/>
      <c r="E381" s="38"/>
      <c r="F381" s="38"/>
      <c r="G381" s="38"/>
      <c r="H381" s="38"/>
      <c r="I381" s="108"/>
    </row>
    <row r="382">
      <c r="A382" s="38"/>
      <c r="B382" s="38"/>
      <c r="C382" s="15"/>
      <c r="D382" s="15"/>
      <c r="E382" s="38"/>
      <c r="F382" s="38"/>
      <c r="G382" s="38"/>
      <c r="H382" s="38"/>
      <c r="I382" s="108"/>
    </row>
    <row r="383">
      <c r="A383" s="38"/>
      <c r="B383" s="38"/>
      <c r="C383" s="15"/>
      <c r="D383" s="15"/>
      <c r="E383" s="38"/>
      <c r="F383" s="38"/>
      <c r="G383" s="38"/>
      <c r="H383" s="38"/>
      <c r="I383" s="108"/>
    </row>
    <row r="384">
      <c r="A384" s="38"/>
      <c r="B384" s="38"/>
      <c r="C384" s="15"/>
      <c r="D384" s="15"/>
      <c r="E384" s="38"/>
      <c r="F384" s="38"/>
      <c r="G384" s="38"/>
      <c r="H384" s="38"/>
      <c r="I384" s="108"/>
    </row>
    <row r="385">
      <c r="A385" s="38"/>
      <c r="B385" s="38"/>
      <c r="C385" s="15"/>
      <c r="D385" s="15"/>
      <c r="E385" s="38"/>
      <c r="F385" s="38"/>
      <c r="G385" s="38"/>
      <c r="H385" s="38"/>
      <c r="I385" s="108"/>
    </row>
    <row r="386">
      <c r="A386" s="38"/>
      <c r="B386" s="38"/>
      <c r="C386" s="15"/>
      <c r="D386" s="15"/>
      <c r="E386" s="38"/>
      <c r="F386" s="38"/>
      <c r="G386" s="38"/>
      <c r="H386" s="38"/>
      <c r="I386" s="108"/>
    </row>
    <row r="387">
      <c r="A387" s="38"/>
      <c r="B387" s="38"/>
      <c r="C387" s="15"/>
      <c r="D387" s="15"/>
      <c r="E387" s="38"/>
      <c r="F387" s="38"/>
      <c r="G387" s="38"/>
      <c r="H387" s="38"/>
      <c r="I387" s="108"/>
    </row>
    <row r="388">
      <c r="A388" s="38"/>
      <c r="B388" s="38"/>
      <c r="C388" s="15"/>
      <c r="D388" s="15"/>
      <c r="E388" s="38"/>
      <c r="F388" s="38"/>
      <c r="G388" s="38"/>
      <c r="H388" s="38"/>
      <c r="I388" s="108"/>
    </row>
    <row r="389">
      <c r="A389" s="38"/>
      <c r="B389" s="38"/>
      <c r="C389" s="15"/>
      <c r="D389" s="15"/>
      <c r="E389" s="38"/>
      <c r="F389" s="38"/>
      <c r="G389" s="38"/>
      <c r="H389" s="38"/>
      <c r="I389" s="108"/>
    </row>
    <row r="390">
      <c r="A390" s="38"/>
      <c r="B390" s="38"/>
      <c r="C390" s="15"/>
      <c r="D390" s="15"/>
      <c r="E390" s="38"/>
      <c r="F390" s="38"/>
      <c r="G390" s="38"/>
      <c r="H390" s="38"/>
      <c r="I390" s="108"/>
    </row>
    <row r="391">
      <c r="A391" s="38"/>
      <c r="B391" s="38"/>
      <c r="C391" s="15"/>
      <c r="D391" s="15"/>
      <c r="E391" s="38"/>
      <c r="F391" s="38"/>
      <c r="G391" s="38"/>
      <c r="H391" s="38"/>
      <c r="I391" s="108"/>
    </row>
    <row r="392">
      <c r="A392" s="38"/>
      <c r="B392" s="38"/>
      <c r="C392" s="15"/>
      <c r="D392" s="15"/>
      <c r="E392" s="38"/>
      <c r="F392" s="38"/>
      <c r="G392" s="38"/>
      <c r="H392" s="38"/>
      <c r="I392" s="108"/>
    </row>
    <row r="393">
      <c r="A393" s="38"/>
      <c r="B393" s="38"/>
      <c r="C393" s="15"/>
      <c r="D393" s="15"/>
      <c r="E393" s="38"/>
      <c r="F393" s="38"/>
      <c r="G393" s="38"/>
      <c r="H393" s="38"/>
      <c r="I393" s="108"/>
    </row>
    <row r="394">
      <c r="A394" s="38"/>
      <c r="B394" s="38"/>
      <c r="C394" s="15"/>
      <c r="D394" s="15"/>
      <c r="E394" s="38"/>
      <c r="F394" s="38"/>
      <c r="G394" s="38"/>
      <c r="H394" s="38"/>
      <c r="I394" s="108"/>
    </row>
    <row r="395">
      <c r="A395" s="38"/>
      <c r="B395" s="38"/>
      <c r="C395" s="15"/>
      <c r="D395" s="15"/>
      <c r="E395" s="38"/>
      <c r="F395" s="38"/>
      <c r="G395" s="38"/>
      <c r="H395" s="38"/>
      <c r="I395" s="108"/>
    </row>
    <row r="396">
      <c r="A396" s="38"/>
      <c r="B396" s="38"/>
      <c r="C396" s="15"/>
      <c r="D396" s="15"/>
      <c r="E396" s="38"/>
      <c r="F396" s="38"/>
      <c r="G396" s="38"/>
      <c r="H396" s="38"/>
      <c r="I396" s="108"/>
    </row>
    <row r="397">
      <c r="A397" s="38"/>
      <c r="B397" s="38"/>
      <c r="C397" s="15"/>
      <c r="D397" s="15"/>
      <c r="E397" s="38"/>
      <c r="F397" s="38"/>
      <c r="G397" s="38"/>
      <c r="H397" s="38"/>
      <c r="I397" s="108"/>
    </row>
    <row r="398">
      <c r="A398" s="38"/>
      <c r="B398" s="38"/>
      <c r="C398" s="15"/>
      <c r="D398" s="15"/>
      <c r="E398" s="38"/>
      <c r="F398" s="38"/>
      <c r="G398" s="38"/>
      <c r="H398" s="38"/>
      <c r="I398" s="108"/>
    </row>
    <row r="399">
      <c r="A399" s="38"/>
      <c r="B399" s="38"/>
      <c r="C399" s="15"/>
      <c r="D399" s="15"/>
      <c r="E399" s="38"/>
      <c r="F399" s="38"/>
      <c r="G399" s="38"/>
      <c r="H399" s="38"/>
      <c r="I399" s="108"/>
    </row>
    <row r="400">
      <c r="A400" s="38"/>
      <c r="B400" s="38"/>
      <c r="C400" s="15"/>
      <c r="D400" s="15"/>
      <c r="E400" s="38"/>
      <c r="F400" s="38"/>
      <c r="G400" s="38"/>
      <c r="H400" s="38"/>
      <c r="I400" s="108"/>
    </row>
    <row r="401">
      <c r="A401" s="38"/>
      <c r="B401" s="38"/>
      <c r="C401" s="15"/>
      <c r="D401" s="15"/>
      <c r="E401" s="38"/>
      <c r="F401" s="38"/>
      <c r="G401" s="38"/>
      <c r="H401" s="38"/>
      <c r="I401" s="108"/>
    </row>
    <row r="402">
      <c r="A402" s="38"/>
      <c r="B402" s="38"/>
      <c r="C402" s="15"/>
      <c r="D402" s="15"/>
      <c r="E402" s="38"/>
      <c r="F402" s="38"/>
      <c r="G402" s="38"/>
      <c r="H402" s="38"/>
      <c r="I402" s="108"/>
    </row>
    <row r="403">
      <c r="A403" s="38"/>
      <c r="B403" s="38"/>
      <c r="C403" s="15"/>
      <c r="D403" s="15"/>
      <c r="E403" s="38"/>
      <c r="F403" s="38"/>
      <c r="G403" s="38"/>
      <c r="H403" s="38"/>
      <c r="I403" s="108"/>
    </row>
    <row r="404">
      <c r="A404" s="38"/>
      <c r="B404" s="38"/>
      <c r="C404" s="15"/>
      <c r="D404" s="15"/>
      <c r="E404" s="38"/>
      <c r="F404" s="38"/>
      <c r="G404" s="38"/>
      <c r="H404" s="38"/>
      <c r="I404" s="108"/>
    </row>
    <row r="405">
      <c r="A405" s="38"/>
      <c r="B405" s="38"/>
      <c r="C405" s="15"/>
      <c r="D405" s="15"/>
      <c r="E405" s="38"/>
      <c r="F405" s="38"/>
      <c r="G405" s="38"/>
      <c r="H405" s="38"/>
      <c r="I405" s="108"/>
    </row>
    <row r="406">
      <c r="A406" s="38"/>
      <c r="B406" s="38"/>
      <c r="C406" s="15"/>
      <c r="D406" s="15"/>
      <c r="E406" s="38"/>
      <c r="F406" s="38"/>
      <c r="G406" s="38"/>
      <c r="H406" s="38"/>
      <c r="I406" s="108"/>
    </row>
    <row r="407">
      <c r="A407" s="38"/>
      <c r="B407" s="38"/>
      <c r="C407" s="15"/>
      <c r="D407" s="15"/>
      <c r="E407" s="38"/>
      <c r="F407" s="38"/>
      <c r="G407" s="38"/>
      <c r="H407" s="38"/>
      <c r="I407" s="108"/>
    </row>
    <row r="408">
      <c r="A408" s="38"/>
      <c r="B408" s="38"/>
      <c r="C408" s="15"/>
      <c r="D408" s="15"/>
      <c r="E408" s="38"/>
      <c r="F408" s="38"/>
      <c r="G408" s="38"/>
      <c r="H408" s="38"/>
      <c r="I408" s="108"/>
    </row>
    <row r="409">
      <c r="A409" s="38"/>
      <c r="B409" s="38"/>
      <c r="C409" s="15"/>
      <c r="D409" s="15"/>
      <c r="E409" s="38"/>
      <c r="F409" s="38"/>
      <c r="G409" s="38"/>
      <c r="H409" s="38"/>
      <c r="I409" s="108"/>
    </row>
    <row r="410">
      <c r="A410" s="38"/>
      <c r="B410" s="38"/>
      <c r="C410" s="15"/>
      <c r="D410" s="15"/>
      <c r="E410" s="38"/>
      <c r="F410" s="38"/>
      <c r="G410" s="38"/>
      <c r="H410" s="38"/>
      <c r="I410" s="108"/>
    </row>
    <row r="411">
      <c r="A411" s="38"/>
      <c r="B411" s="38"/>
      <c r="C411" s="15"/>
      <c r="D411" s="15"/>
      <c r="E411" s="38"/>
      <c r="F411" s="38"/>
      <c r="G411" s="38"/>
      <c r="H411" s="38"/>
      <c r="I411" s="108"/>
    </row>
    <row r="412">
      <c r="A412" s="38"/>
      <c r="B412" s="38"/>
      <c r="C412" s="15"/>
      <c r="D412" s="15"/>
      <c r="E412" s="38"/>
      <c r="F412" s="38"/>
      <c r="G412" s="38"/>
      <c r="H412" s="38"/>
      <c r="I412" s="108"/>
    </row>
    <row r="413">
      <c r="A413" s="38"/>
      <c r="B413" s="38"/>
      <c r="C413" s="15"/>
      <c r="D413" s="15"/>
      <c r="E413" s="38"/>
      <c r="F413" s="38"/>
      <c r="G413" s="38"/>
      <c r="H413" s="38"/>
      <c r="I413" s="108"/>
    </row>
    <row r="414">
      <c r="A414" s="38"/>
      <c r="B414" s="38"/>
      <c r="C414" s="15"/>
      <c r="D414" s="15"/>
      <c r="E414" s="38"/>
      <c r="F414" s="38"/>
      <c r="G414" s="38"/>
      <c r="H414" s="38"/>
      <c r="I414" s="108"/>
    </row>
    <row r="415">
      <c r="A415" s="38"/>
      <c r="B415" s="38"/>
      <c r="C415" s="15"/>
      <c r="D415" s="15"/>
      <c r="E415" s="38"/>
      <c r="F415" s="38"/>
      <c r="G415" s="38"/>
      <c r="H415" s="38"/>
      <c r="I415" s="108"/>
    </row>
    <row r="416">
      <c r="A416" s="38"/>
      <c r="B416" s="38"/>
      <c r="C416" s="15"/>
      <c r="D416" s="15"/>
      <c r="E416" s="38"/>
      <c r="F416" s="38"/>
      <c r="G416" s="38"/>
      <c r="H416" s="38"/>
      <c r="I416" s="108"/>
    </row>
    <row r="417">
      <c r="A417" s="38"/>
      <c r="B417" s="38"/>
      <c r="C417" s="15"/>
      <c r="D417" s="15"/>
      <c r="E417" s="38"/>
      <c r="F417" s="38"/>
      <c r="G417" s="38"/>
      <c r="H417" s="38"/>
      <c r="I417" s="108"/>
    </row>
    <row r="418">
      <c r="A418" s="38"/>
      <c r="B418" s="38"/>
      <c r="C418" s="15"/>
      <c r="D418" s="15"/>
      <c r="E418" s="38"/>
      <c r="F418" s="38"/>
      <c r="G418" s="38"/>
      <c r="H418" s="38"/>
      <c r="I418" s="108"/>
    </row>
    <row r="419">
      <c r="A419" s="38"/>
      <c r="B419" s="38"/>
      <c r="C419" s="15"/>
      <c r="D419" s="15"/>
      <c r="E419" s="38"/>
      <c r="F419" s="38"/>
      <c r="G419" s="38"/>
      <c r="H419" s="38"/>
      <c r="I419" s="108"/>
    </row>
    <row r="420">
      <c r="A420" s="38"/>
      <c r="B420" s="38"/>
      <c r="C420" s="15"/>
      <c r="D420" s="15"/>
      <c r="E420" s="38"/>
      <c r="F420" s="38"/>
      <c r="G420" s="38"/>
      <c r="H420" s="38"/>
      <c r="I420" s="108"/>
    </row>
    <row r="421">
      <c r="A421" s="38"/>
      <c r="B421" s="38"/>
      <c r="C421" s="15"/>
      <c r="D421" s="15"/>
      <c r="E421" s="38"/>
      <c r="F421" s="38"/>
      <c r="G421" s="38"/>
      <c r="H421" s="38"/>
      <c r="I421" s="108"/>
    </row>
    <row r="422">
      <c r="A422" s="38"/>
      <c r="B422" s="38"/>
      <c r="C422" s="15"/>
      <c r="D422" s="15"/>
      <c r="E422" s="38"/>
      <c r="F422" s="38"/>
      <c r="G422" s="38"/>
      <c r="H422" s="38"/>
      <c r="I422" s="108"/>
    </row>
    <row r="423">
      <c r="A423" s="38"/>
      <c r="B423" s="38"/>
      <c r="C423" s="15"/>
      <c r="D423" s="15"/>
      <c r="E423" s="38"/>
      <c r="F423" s="38"/>
      <c r="G423" s="38"/>
      <c r="H423" s="38"/>
      <c r="I423" s="108"/>
    </row>
    <row r="424">
      <c r="A424" s="38"/>
      <c r="B424" s="38"/>
      <c r="C424" s="15"/>
      <c r="D424" s="15"/>
      <c r="E424" s="38"/>
      <c r="F424" s="38"/>
      <c r="G424" s="38"/>
      <c r="H424" s="38"/>
      <c r="I424" s="108"/>
    </row>
    <row r="425">
      <c r="A425" s="38"/>
      <c r="B425" s="38"/>
      <c r="C425" s="15"/>
      <c r="D425" s="15"/>
      <c r="E425" s="38"/>
      <c r="F425" s="38"/>
      <c r="G425" s="38"/>
      <c r="H425" s="38"/>
      <c r="I425" s="108"/>
    </row>
    <row r="426">
      <c r="A426" s="38"/>
      <c r="B426" s="38"/>
      <c r="C426" s="15"/>
      <c r="D426" s="15"/>
      <c r="E426" s="38"/>
      <c r="F426" s="38"/>
      <c r="G426" s="38"/>
      <c r="H426" s="38"/>
      <c r="I426" s="108"/>
    </row>
    <row r="427">
      <c r="A427" s="38"/>
      <c r="B427" s="38"/>
      <c r="C427" s="15"/>
      <c r="D427" s="15"/>
      <c r="E427" s="38"/>
      <c r="F427" s="38"/>
      <c r="G427" s="38"/>
      <c r="H427" s="38"/>
      <c r="I427" s="108"/>
    </row>
    <row r="428">
      <c r="A428" s="38"/>
      <c r="B428" s="38"/>
      <c r="C428" s="15"/>
      <c r="D428" s="15"/>
      <c r="E428" s="38"/>
      <c r="F428" s="38"/>
      <c r="G428" s="38"/>
      <c r="H428" s="38"/>
      <c r="I428" s="108"/>
    </row>
    <row r="429">
      <c r="A429" s="38"/>
      <c r="B429" s="38"/>
      <c r="C429" s="15"/>
      <c r="D429" s="15"/>
      <c r="E429" s="38"/>
      <c r="F429" s="38"/>
      <c r="G429" s="38"/>
      <c r="H429" s="38"/>
      <c r="I429" s="108"/>
    </row>
    <row r="430">
      <c r="A430" s="38"/>
      <c r="B430" s="38"/>
      <c r="C430" s="15"/>
      <c r="D430" s="15"/>
      <c r="E430" s="38"/>
      <c r="F430" s="38"/>
      <c r="G430" s="38"/>
      <c r="H430" s="38"/>
      <c r="I430" s="108"/>
    </row>
    <row r="431">
      <c r="A431" s="38"/>
      <c r="B431" s="38"/>
      <c r="C431" s="15"/>
      <c r="D431" s="15"/>
      <c r="E431" s="38"/>
      <c r="F431" s="38"/>
      <c r="G431" s="38"/>
      <c r="H431" s="38"/>
      <c r="I431" s="108"/>
    </row>
    <row r="432">
      <c r="A432" s="38"/>
      <c r="B432" s="38"/>
      <c r="C432" s="15"/>
      <c r="D432" s="15"/>
      <c r="E432" s="38"/>
      <c r="F432" s="38"/>
      <c r="G432" s="38"/>
      <c r="H432" s="38"/>
      <c r="I432" s="108"/>
    </row>
    <row r="433">
      <c r="A433" s="38"/>
      <c r="B433" s="38"/>
      <c r="C433" s="15"/>
      <c r="D433" s="15"/>
      <c r="E433" s="38"/>
      <c r="F433" s="38"/>
      <c r="G433" s="38"/>
      <c r="H433" s="38"/>
      <c r="I433" s="108"/>
    </row>
    <row r="434">
      <c r="A434" s="38"/>
      <c r="B434" s="38"/>
      <c r="C434" s="15"/>
      <c r="D434" s="15"/>
      <c r="E434" s="38"/>
      <c r="F434" s="38"/>
      <c r="G434" s="38"/>
      <c r="H434" s="38"/>
      <c r="I434" s="108"/>
    </row>
    <row r="435">
      <c r="A435" s="38"/>
      <c r="B435" s="38"/>
      <c r="C435" s="15"/>
      <c r="D435" s="15"/>
      <c r="E435" s="38"/>
      <c r="F435" s="38"/>
      <c r="G435" s="38"/>
      <c r="H435" s="38"/>
      <c r="I435" s="108"/>
    </row>
    <row r="436">
      <c r="A436" s="38"/>
      <c r="B436" s="38"/>
      <c r="C436" s="15"/>
      <c r="D436" s="15"/>
      <c r="E436" s="38"/>
      <c r="F436" s="38"/>
      <c r="G436" s="38"/>
      <c r="H436" s="38"/>
      <c r="I436" s="108"/>
    </row>
    <row r="437">
      <c r="A437" s="38"/>
      <c r="B437" s="38"/>
      <c r="C437" s="15"/>
      <c r="D437" s="15"/>
      <c r="E437" s="38"/>
      <c r="F437" s="38"/>
      <c r="G437" s="38"/>
      <c r="H437" s="38"/>
      <c r="I437" s="108"/>
    </row>
    <row r="438">
      <c r="A438" s="38"/>
      <c r="B438" s="38"/>
      <c r="C438" s="15"/>
      <c r="D438" s="15"/>
      <c r="E438" s="38"/>
      <c r="F438" s="38"/>
      <c r="G438" s="38"/>
      <c r="H438" s="38"/>
      <c r="I438" s="108"/>
    </row>
    <row r="439">
      <c r="A439" s="38"/>
      <c r="B439" s="38"/>
      <c r="C439" s="15"/>
      <c r="D439" s="15"/>
      <c r="E439" s="38"/>
      <c r="F439" s="38"/>
      <c r="G439" s="38"/>
      <c r="H439" s="38"/>
      <c r="I439" s="108"/>
    </row>
    <row r="440">
      <c r="A440" s="38"/>
      <c r="B440" s="38"/>
      <c r="C440" s="15"/>
      <c r="D440" s="15"/>
      <c r="E440" s="38"/>
      <c r="F440" s="38"/>
      <c r="G440" s="38"/>
      <c r="H440" s="38"/>
      <c r="I440" s="108"/>
    </row>
    <row r="441">
      <c r="A441" s="38"/>
      <c r="B441" s="38"/>
      <c r="C441" s="15"/>
      <c r="D441" s="15"/>
      <c r="E441" s="38"/>
      <c r="F441" s="38"/>
      <c r="G441" s="38"/>
      <c r="H441" s="38"/>
      <c r="I441" s="108"/>
    </row>
    <row r="442">
      <c r="A442" s="38"/>
      <c r="B442" s="38"/>
      <c r="C442" s="15"/>
      <c r="D442" s="15"/>
      <c r="E442" s="38"/>
      <c r="F442" s="38"/>
      <c r="G442" s="38"/>
      <c r="H442" s="38"/>
      <c r="I442" s="108"/>
    </row>
    <row r="443">
      <c r="A443" s="38"/>
      <c r="B443" s="38"/>
      <c r="C443" s="15"/>
      <c r="D443" s="15"/>
      <c r="E443" s="38"/>
      <c r="F443" s="38"/>
      <c r="G443" s="38"/>
      <c r="H443" s="38"/>
      <c r="I443" s="108"/>
    </row>
    <row r="444">
      <c r="A444" s="38"/>
      <c r="B444" s="38"/>
      <c r="C444" s="15"/>
      <c r="D444" s="15"/>
      <c r="E444" s="38"/>
      <c r="F444" s="38"/>
      <c r="G444" s="38"/>
      <c r="H444" s="38"/>
      <c r="I444" s="108"/>
    </row>
    <row r="445">
      <c r="A445" s="38"/>
      <c r="B445" s="38"/>
      <c r="C445" s="15"/>
      <c r="D445" s="15"/>
      <c r="E445" s="38"/>
      <c r="F445" s="38"/>
      <c r="G445" s="38"/>
      <c r="H445" s="38"/>
      <c r="I445" s="108"/>
    </row>
    <row r="446">
      <c r="A446" s="38"/>
      <c r="B446" s="38"/>
      <c r="C446" s="15"/>
      <c r="D446" s="15"/>
      <c r="E446" s="38"/>
      <c r="F446" s="38"/>
      <c r="G446" s="38"/>
      <c r="H446" s="38"/>
      <c r="I446" s="108"/>
    </row>
    <row r="447">
      <c r="A447" s="38"/>
      <c r="B447" s="38"/>
      <c r="C447" s="15"/>
      <c r="D447" s="15"/>
      <c r="E447" s="38"/>
      <c r="F447" s="38"/>
      <c r="G447" s="38"/>
      <c r="H447" s="38"/>
      <c r="I447" s="108"/>
    </row>
    <row r="448">
      <c r="A448" s="38"/>
      <c r="B448" s="38"/>
      <c r="C448" s="15"/>
      <c r="D448" s="15"/>
      <c r="E448" s="38"/>
      <c r="F448" s="38"/>
      <c r="G448" s="38"/>
      <c r="H448" s="38"/>
      <c r="I448" s="108"/>
    </row>
    <row r="449">
      <c r="A449" s="38"/>
      <c r="B449" s="38"/>
      <c r="C449" s="15"/>
      <c r="D449" s="15"/>
      <c r="E449" s="38"/>
      <c r="F449" s="38"/>
      <c r="G449" s="38"/>
      <c r="H449" s="38"/>
      <c r="I449" s="108"/>
    </row>
    <row r="450">
      <c r="A450" s="38"/>
      <c r="B450" s="38"/>
      <c r="C450" s="15"/>
      <c r="D450" s="15"/>
      <c r="E450" s="38"/>
      <c r="F450" s="38"/>
      <c r="G450" s="38"/>
      <c r="H450" s="38"/>
      <c r="I450" s="108"/>
    </row>
    <row r="451">
      <c r="A451" s="38"/>
      <c r="B451" s="38"/>
      <c r="C451" s="15"/>
      <c r="D451" s="15"/>
      <c r="E451" s="38"/>
      <c r="F451" s="38"/>
      <c r="G451" s="38"/>
      <c r="H451" s="38"/>
      <c r="I451" s="108"/>
    </row>
    <row r="452">
      <c r="A452" s="38"/>
      <c r="B452" s="38"/>
      <c r="C452" s="15"/>
      <c r="D452" s="15"/>
      <c r="E452" s="38"/>
      <c r="F452" s="38"/>
      <c r="G452" s="38"/>
      <c r="H452" s="38"/>
      <c r="I452" s="108"/>
    </row>
    <row r="453">
      <c r="A453" s="38"/>
      <c r="B453" s="38"/>
      <c r="C453" s="15"/>
      <c r="D453" s="15"/>
      <c r="E453" s="38"/>
      <c r="F453" s="38"/>
      <c r="G453" s="38"/>
      <c r="H453" s="38"/>
      <c r="I453" s="108"/>
    </row>
    <row r="454">
      <c r="A454" s="38"/>
      <c r="B454" s="38"/>
      <c r="C454" s="15"/>
      <c r="D454" s="15"/>
      <c r="E454" s="38"/>
      <c r="F454" s="38"/>
      <c r="G454" s="38"/>
      <c r="H454" s="38"/>
      <c r="I454" s="108"/>
    </row>
    <row r="455">
      <c r="A455" s="38"/>
      <c r="B455" s="38"/>
      <c r="C455" s="15"/>
      <c r="D455" s="15"/>
      <c r="E455" s="38"/>
      <c r="F455" s="38"/>
      <c r="G455" s="38"/>
      <c r="H455" s="38"/>
      <c r="I455" s="108"/>
    </row>
    <row r="456">
      <c r="A456" s="38"/>
      <c r="B456" s="38"/>
      <c r="C456" s="15"/>
      <c r="D456" s="15"/>
      <c r="E456" s="38"/>
      <c r="F456" s="38"/>
      <c r="G456" s="38"/>
      <c r="H456" s="38"/>
      <c r="I456" s="108"/>
    </row>
    <row r="457">
      <c r="A457" s="38"/>
      <c r="B457" s="38"/>
      <c r="C457" s="15"/>
      <c r="D457" s="15"/>
      <c r="E457" s="38"/>
      <c r="F457" s="38"/>
      <c r="G457" s="38"/>
      <c r="H457" s="38"/>
      <c r="I457" s="108"/>
    </row>
    <row r="458">
      <c r="A458" s="38"/>
      <c r="B458" s="38"/>
      <c r="C458" s="15"/>
      <c r="D458" s="15"/>
      <c r="E458" s="38"/>
      <c r="F458" s="38"/>
      <c r="G458" s="38"/>
      <c r="H458" s="38"/>
      <c r="I458" s="108"/>
    </row>
    <row r="459">
      <c r="A459" s="38"/>
      <c r="B459" s="38"/>
      <c r="C459" s="15"/>
      <c r="D459" s="15"/>
      <c r="E459" s="38"/>
      <c r="F459" s="38"/>
      <c r="G459" s="38"/>
      <c r="H459" s="38"/>
      <c r="I459" s="108"/>
    </row>
    <row r="460">
      <c r="A460" s="38"/>
      <c r="B460" s="38"/>
      <c r="C460" s="15"/>
      <c r="D460" s="15"/>
      <c r="E460" s="38"/>
      <c r="F460" s="38"/>
      <c r="G460" s="38"/>
      <c r="H460" s="38"/>
      <c r="I460" s="108"/>
    </row>
    <row r="461">
      <c r="A461" s="38"/>
      <c r="B461" s="38"/>
      <c r="C461" s="15"/>
      <c r="D461" s="15"/>
      <c r="E461" s="38"/>
      <c r="F461" s="38"/>
      <c r="G461" s="38"/>
      <c r="H461" s="38"/>
      <c r="I461" s="108"/>
    </row>
    <row r="462">
      <c r="A462" s="38"/>
      <c r="B462" s="38"/>
      <c r="C462" s="15"/>
      <c r="D462" s="15"/>
      <c r="E462" s="38"/>
      <c r="F462" s="38"/>
      <c r="G462" s="38"/>
      <c r="H462" s="38"/>
      <c r="I462" s="108"/>
    </row>
    <row r="463">
      <c r="A463" s="38"/>
      <c r="B463" s="38"/>
      <c r="C463" s="15"/>
      <c r="D463" s="15"/>
      <c r="E463" s="38"/>
      <c r="F463" s="38"/>
      <c r="G463" s="38"/>
      <c r="H463" s="38"/>
      <c r="I463" s="108"/>
    </row>
    <row r="464">
      <c r="A464" s="38"/>
      <c r="B464" s="38"/>
      <c r="C464" s="15"/>
      <c r="D464" s="15"/>
      <c r="E464" s="38"/>
      <c r="F464" s="38"/>
      <c r="G464" s="38"/>
      <c r="H464" s="38"/>
      <c r="I464" s="108"/>
    </row>
    <row r="465">
      <c r="A465" s="38"/>
      <c r="B465" s="38"/>
      <c r="C465" s="15"/>
      <c r="D465" s="15"/>
      <c r="E465" s="38"/>
      <c r="F465" s="38"/>
      <c r="G465" s="38"/>
      <c r="H465" s="38"/>
      <c r="I465" s="108"/>
    </row>
    <row r="466">
      <c r="A466" s="38"/>
      <c r="B466" s="38"/>
      <c r="C466" s="15"/>
      <c r="D466" s="15"/>
      <c r="E466" s="38"/>
      <c r="F466" s="38"/>
      <c r="G466" s="38"/>
      <c r="H466" s="38"/>
      <c r="I466" s="108"/>
    </row>
    <row r="467">
      <c r="A467" s="38"/>
      <c r="B467" s="38"/>
      <c r="C467" s="15"/>
      <c r="D467" s="15"/>
      <c r="E467" s="38"/>
      <c r="F467" s="38"/>
      <c r="G467" s="38"/>
      <c r="H467" s="38"/>
      <c r="I467" s="108"/>
    </row>
    <row r="468">
      <c r="A468" s="38"/>
      <c r="B468" s="38"/>
      <c r="C468" s="15"/>
      <c r="D468" s="15"/>
      <c r="E468" s="38"/>
      <c r="F468" s="38"/>
      <c r="G468" s="38"/>
      <c r="H468" s="38"/>
      <c r="I468" s="108"/>
    </row>
    <row r="469">
      <c r="A469" s="38"/>
      <c r="B469" s="38"/>
      <c r="C469" s="15"/>
      <c r="D469" s="15"/>
      <c r="E469" s="38"/>
      <c r="F469" s="38"/>
      <c r="G469" s="38"/>
      <c r="H469" s="38"/>
      <c r="I469" s="108"/>
    </row>
    <row r="470">
      <c r="A470" s="38"/>
      <c r="B470" s="38"/>
      <c r="C470" s="15"/>
      <c r="D470" s="15"/>
      <c r="E470" s="38"/>
      <c r="F470" s="38"/>
      <c r="G470" s="38"/>
      <c r="H470" s="38"/>
      <c r="I470" s="108"/>
    </row>
    <row r="471">
      <c r="A471" s="38"/>
      <c r="B471" s="38"/>
      <c r="C471" s="15"/>
      <c r="D471" s="15"/>
      <c r="E471" s="38"/>
      <c r="F471" s="38"/>
      <c r="G471" s="38"/>
      <c r="H471" s="38"/>
      <c r="I471" s="108"/>
    </row>
    <row r="472">
      <c r="A472" s="38"/>
      <c r="B472" s="38"/>
      <c r="C472" s="15"/>
      <c r="D472" s="15"/>
      <c r="E472" s="38"/>
      <c r="F472" s="38"/>
      <c r="G472" s="38"/>
      <c r="H472" s="38"/>
      <c r="I472" s="108"/>
    </row>
    <row r="473">
      <c r="A473" s="38"/>
      <c r="B473" s="38"/>
      <c r="C473" s="15"/>
      <c r="D473" s="15"/>
      <c r="E473" s="38"/>
      <c r="F473" s="38"/>
      <c r="G473" s="38"/>
      <c r="H473" s="38"/>
      <c r="I473" s="108"/>
    </row>
    <row r="474">
      <c r="A474" s="38"/>
      <c r="B474" s="38"/>
      <c r="C474" s="15"/>
      <c r="D474" s="15"/>
      <c r="E474" s="38"/>
      <c r="F474" s="38"/>
      <c r="G474" s="38"/>
      <c r="H474" s="38"/>
      <c r="I474" s="108"/>
    </row>
    <row r="475">
      <c r="A475" s="38"/>
      <c r="B475" s="38"/>
      <c r="C475" s="15"/>
      <c r="D475" s="15"/>
      <c r="E475" s="38"/>
      <c r="F475" s="38"/>
      <c r="G475" s="38"/>
      <c r="H475" s="38"/>
      <c r="I475" s="108"/>
    </row>
    <row r="476">
      <c r="A476" s="38"/>
      <c r="B476" s="38"/>
      <c r="C476" s="15"/>
      <c r="D476" s="15"/>
      <c r="E476" s="38"/>
      <c r="F476" s="38"/>
      <c r="G476" s="38"/>
      <c r="H476" s="38"/>
      <c r="I476" s="108"/>
    </row>
    <row r="477">
      <c r="A477" s="38"/>
      <c r="B477" s="38"/>
      <c r="C477" s="15"/>
      <c r="D477" s="15"/>
      <c r="E477" s="38"/>
      <c r="F477" s="38"/>
      <c r="G477" s="38"/>
      <c r="H477" s="38"/>
      <c r="I477" s="108"/>
    </row>
    <row r="478">
      <c r="A478" s="38"/>
      <c r="B478" s="38"/>
      <c r="C478" s="15"/>
      <c r="D478" s="15"/>
      <c r="E478" s="38"/>
      <c r="F478" s="38"/>
      <c r="G478" s="38"/>
      <c r="H478" s="38"/>
      <c r="I478" s="108"/>
    </row>
    <row r="479">
      <c r="A479" s="38"/>
      <c r="B479" s="38"/>
      <c r="C479" s="15"/>
      <c r="D479" s="15"/>
      <c r="E479" s="38"/>
      <c r="F479" s="38"/>
      <c r="G479" s="38"/>
      <c r="H479" s="38"/>
      <c r="I479" s="108"/>
    </row>
    <row r="480">
      <c r="A480" s="38"/>
      <c r="B480" s="38"/>
      <c r="C480" s="15"/>
      <c r="D480" s="15"/>
      <c r="E480" s="38"/>
      <c r="F480" s="38"/>
      <c r="G480" s="38"/>
      <c r="H480" s="38"/>
      <c r="I480" s="108"/>
    </row>
    <row r="481">
      <c r="A481" s="38"/>
      <c r="B481" s="38"/>
      <c r="C481" s="15"/>
      <c r="D481" s="15"/>
      <c r="E481" s="38"/>
      <c r="F481" s="38"/>
      <c r="G481" s="38"/>
      <c r="H481" s="38"/>
      <c r="I481" s="108"/>
    </row>
    <row r="482">
      <c r="A482" s="38"/>
      <c r="B482" s="38"/>
      <c r="C482" s="15"/>
      <c r="D482" s="15"/>
      <c r="E482" s="38"/>
      <c r="F482" s="38"/>
      <c r="G482" s="38"/>
      <c r="H482" s="38"/>
      <c r="I482" s="108"/>
    </row>
    <row r="483">
      <c r="A483" s="38"/>
      <c r="B483" s="38"/>
      <c r="C483" s="15"/>
      <c r="D483" s="15"/>
      <c r="E483" s="38"/>
      <c r="F483" s="38"/>
      <c r="G483" s="38"/>
      <c r="H483" s="38"/>
      <c r="I483" s="108"/>
    </row>
    <row r="484">
      <c r="A484" s="38"/>
      <c r="B484" s="38"/>
      <c r="C484" s="15"/>
      <c r="D484" s="15"/>
      <c r="E484" s="38"/>
      <c r="F484" s="38"/>
      <c r="G484" s="38"/>
      <c r="H484" s="38"/>
      <c r="I484" s="108"/>
    </row>
    <row r="485">
      <c r="A485" s="38"/>
      <c r="B485" s="38"/>
      <c r="C485" s="15"/>
      <c r="D485" s="15"/>
      <c r="E485" s="38"/>
      <c r="F485" s="38"/>
      <c r="G485" s="38"/>
      <c r="H485" s="38"/>
      <c r="I485" s="108"/>
    </row>
    <row r="486">
      <c r="A486" s="38"/>
      <c r="B486" s="38"/>
      <c r="C486" s="15"/>
      <c r="D486" s="15"/>
      <c r="E486" s="38"/>
      <c r="F486" s="38"/>
      <c r="G486" s="38"/>
      <c r="H486" s="38"/>
      <c r="I486" s="108"/>
    </row>
    <row r="487">
      <c r="A487" s="38"/>
      <c r="B487" s="38"/>
      <c r="C487" s="15"/>
      <c r="D487" s="15"/>
      <c r="E487" s="38"/>
      <c r="F487" s="38"/>
      <c r="G487" s="38"/>
      <c r="H487" s="38"/>
      <c r="I487" s="108"/>
    </row>
    <row r="488">
      <c r="A488" s="38"/>
      <c r="B488" s="38"/>
      <c r="C488" s="15"/>
      <c r="D488" s="15"/>
      <c r="E488" s="38"/>
      <c r="F488" s="38"/>
      <c r="G488" s="38"/>
      <c r="H488" s="38"/>
      <c r="I488" s="108"/>
    </row>
    <row r="489">
      <c r="A489" s="38"/>
      <c r="B489" s="38"/>
      <c r="C489" s="15"/>
      <c r="D489" s="15"/>
      <c r="E489" s="38"/>
      <c r="F489" s="38"/>
      <c r="G489" s="38"/>
      <c r="H489" s="38"/>
      <c r="I489" s="108"/>
    </row>
    <row r="490">
      <c r="A490" s="38"/>
      <c r="B490" s="38"/>
      <c r="C490" s="15"/>
      <c r="D490" s="15"/>
      <c r="E490" s="38"/>
      <c r="F490" s="38"/>
      <c r="G490" s="38"/>
      <c r="H490" s="38"/>
      <c r="I490" s="108"/>
    </row>
    <row r="491">
      <c r="A491" s="38"/>
      <c r="B491" s="38"/>
      <c r="C491" s="15"/>
      <c r="D491" s="15"/>
      <c r="E491" s="38"/>
      <c r="F491" s="38"/>
      <c r="G491" s="38"/>
      <c r="H491" s="38"/>
      <c r="I491" s="108"/>
    </row>
    <row r="492">
      <c r="A492" s="38"/>
      <c r="B492" s="38"/>
      <c r="C492" s="15"/>
      <c r="D492" s="15"/>
      <c r="E492" s="38"/>
      <c r="F492" s="38"/>
      <c r="G492" s="38"/>
      <c r="H492" s="38"/>
      <c r="I492" s="108"/>
    </row>
    <row r="493">
      <c r="A493" s="38"/>
      <c r="B493" s="38"/>
      <c r="C493" s="15"/>
      <c r="D493" s="15"/>
      <c r="E493" s="38"/>
      <c r="F493" s="38"/>
      <c r="G493" s="38"/>
      <c r="H493" s="38"/>
      <c r="I493" s="108"/>
    </row>
    <row r="494">
      <c r="A494" s="38"/>
      <c r="B494" s="38"/>
      <c r="C494" s="15"/>
      <c r="D494" s="15"/>
      <c r="E494" s="38"/>
      <c r="F494" s="38"/>
      <c r="G494" s="38"/>
      <c r="H494" s="38"/>
      <c r="I494" s="108"/>
    </row>
    <row r="495">
      <c r="A495" s="38"/>
      <c r="B495" s="38"/>
      <c r="C495" s="15"/>
      <c r="D495" s="15"/>
      <c r="E495" s="38"/>
      <c r="F495" s="38"/>
      <c r="G495" s="38"/>
      <c r="H495" s="38"/>
      <c r="I495" s="108"/>
    </row>
    <row r="496">
      <c r="A496" s="38"/>
      <c r="B496" s="38"/>
      <c r="C496" s="15"/>
      <c r="D496" s="15"/>
      <c r="E496" s="38"/>
      <c r="F496" s="38"/>
      <c r="G496" s="38"/>
      <c r="H496" s="38"/>
      <c r="I496" s="108"/>
    </row>
    <row r="497">
      <c r="A497" s="38"/>
      <c r="B497" s="38"/>
      <c r="C497" s="15"/>
      <c r="D497" s="15"/>
      <c r="E497" s="38"/>
      <c r="F497" s="38"/>
      <c r="G497" s="38"/>
      <c r="H497" s="38"/>
      <c r="I497" s="108"/>
    </row>
    <row r="498">
      <c r="A498" s="38"/>
      <c r="B498" s="38"/>
      <c r="C498" s="15"/>
      <c r="D498" s="15"/>
      <c r="E498" s="38"/>
      <c r="F498" s="38"/>
      <c r="G498" s="38"/>
      <c r="H498" s="38"/>
      <c r="I498" s="108"/>
    </row>
    <row r="499">
      <c r="A499" s="38"/>
      <c r="B499" s="38"/>
      <c r="C499" s="15"/>
      <c r="D499" s="15"/>
      <c r="E499" s="38"/>
      <c r="F499" s="38"/>
      <c r="G499" s="38"/>
      <c r="H499" s="38"/>
      <c r="I499" s="108"/>
    </row>
    <row r="500">
      <c r="A500" s="38"/>
      <c r="B500" s="38"/>
      <c r="C500" s="15"/>
      <c r="D500" s="15"/>
      <c r="E500" s="38"/>
      <c r="F500" s="38"/>
      <c r="G500" s="38"/>
      <c r="H500" s="38"/>
      <c r="I500" s="108"/>
    </row>
  </sheetData>
  <conditionalFormatting sqref="A2:Z500">
    <cfRule type="cellIs" dxfId="3" priority="1" operator="equal">
      <formula>"VRAI"</formula>
    </cfRule>
  </conditionalFormatting>
  <dataValidations>
    <dataValidation type="list" allowBlank="1" showErrorMessage="1" sqref="E2:E500">
      <formula1>'Données'!$G$2:$G999</formula1>
    </dataValidation>
    <dataValidation type="list" allowBlank="1" showErrorMessage="1" sqref="B2:B500">
      <formula1>'Données'!$A$2:$A999</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'Données'!$E$2:$E999</formula1>
    </dataValidation>
    <dataValidation type="custom" allowBlank="1" showDropDown="1" sqref="I2:I500">
      <formula1>OR(NOT(ISERROR(DATEVALUE(I2))), AND(ISNUMBER(I2), LEFT(CELL("format", I2))="D"))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'Hird' ORDER BY Z ASC"", 1)"),"Assermenté")</f>
        <v>Assermenté</v>
      </c>
      <c r="B1" s="7" t="str">
        <f>IFERROR(__xludf.DUMMYFUNCTION("""COMPUTED_VALUE"""),"Grade")</f>
        <v>Grade</v>
      </c>
      <c r="C1" s="7" t="str">
        <f>IFERROR(__xludf.DUMMYFUNCTION("""COMPUTED_VALUE"""),"Prénom")</f>
        <v>Prénom</v>
      </c>
      <c r="D1" s="8"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IFERROR(__xludf.DUMMYFUNCTION("""COMPUTED_VALUE"""),FALSE)</f>
        <v>0</v>
      </c>
      <c r="B2" s="4" t="str">
        <f>IFERROR(__xludf.DUMMYFUNCTION("""COMPUTED_VALUE"""),"Garde")</f>
        <v>Garde</v>
      </c>
      <c r="C2" s="13" t="str">
        <f>IFERROR(__xludf.DUMMYFUNCTION("""COMPUTED_VALUE"""),"Kronk")</f>
        <v>Kronk</v>
      </c>
      <c r="D2" s="11" t="str">
        <f>IFERROR(__xludf.DUMMYFUNCTION("""COMPUTED_VALUE"""),"Grognon")</f>
        <v>Grognon</v>
      </c>
      <c r="E2" s="4" t="str">
        <f>IFERROR(__xludf.DUMMYFUNCTION("""COMPUTED_VALUE"""),"Hird du Jarl")</f>
        <v>Hird du Jarl</v>
      </c>
      <c r="F2" s="5" t="str">
        <f>IFERROR(__xludf.DUMMYFUNCTION("""COMPUTED_VALUE"""),"Hird")</f>
        <v>Hird</v>
      </c>
      <c r="G2" s="4" t="str">
        <f>IFERROR(__xludf.DUMMYFUNCTION("""COMPUTED_VALUE"""),"En service actif")</f>
        <v>En service actif</v>
      </c>
      <c r="H2" s="4"/>
      <c r="I2" s="45"/>
      <c r="J2" s="38"/>
      <c r="K2" s="38"/>
      <c r="L2" s="38"/>
      <c r="M2" s="38"/>
      <c r="N2" s="38"/>
      <c r="O2" s="38"/>
      <c r="P2" s="38"/>
      <c r="Q2" s="38"/>
      <c r="R2" s="38"/>
      <c r="S2" s="38"/>
      <c r="T2" s="38"/>
      <c r="U2" s="38"/>
      <c r="V2" s="38"/>
      <c r="W2" s="38"/>
      <c r="X2" s="38"/>
      <c r="Y2" s="38"/>
      <c r="Z2" s="38"/>
    </row>
    <row r="3">
      <c r="A3" s="4" t="b">
        <f>IFERROR(__xludf.DUMMYFUNCTION("""COMPUTED_VALUE"""),FALSE)</f>
        <v>0</v>
      </c>
      <c r="B3" s="4" t="str">
        <f>IFERROR(__xludf.DUMMYFUNCTION("""COMPUTED_VALUE"""),"Garde")</f>
        <v>Garde</v>
      </c>
      <c r="C3" s="13" t="str">
        <f>IFERROR(__xludf.DUMMYFUNCTION("""COMPUTED_VALUE"""),"Gronk")</f>
        <v>Gronk</v>
      </c>
      <c r="D3" s="17" t="str">
        <f>IFERROR(__xludf.DUMMYFUNCTION("""COMPUTED_VALUE"""),"Grognon")</f>
        <v>Grognon</v>
      </c>
      <c r="E3" s="4" t="str">
        <f>IFERROR(__xludf.DUMMYFUNCTION("""COMPUTED_VALUE"""),"Hird du Jarl")</f>
        <v>Hird du Jarl</v>
      </c>
      <c r="F3" s="5" t="str">
        <f>IFERROR(__xludf.DUMMYFUNCTION("""COMPUTED_VALUE"""),"Hird")</f>
        <v>Hird</v>
      </c>
      <c r="G3" s="4" t="str">
        <f>IFERROR(__xludf.DUMMYFUNCTION("""COMPUTED_VALUE"""),"En service actif")</f>
        <v>En service actif</v>
      </c>
      <c r="H3" s="4"/>
      <c r="I3" s="45"/>
      <c r="J3" s="38"/>
      <c r="K3" s="38"/>
      <c r="L3" s="38"/>
      <c r="M3" s="38"/>
      <c r="N3" s="38"/>
      <c r="O3" s="38"/>
      <c r="P3" s="38"/>
      <c r="Q3" s="38"/>
      <c r="R3" s="38"/>
      <c r="S3" s="38"/>
      <c r="T3" s="38"/>
      <c r="U3" s="38"/>
      <c r="V3" s="38"/>
      <c r="W3" s="38"/>
      <c r="X3" s="38"/>
      <c r="Y3" s="38"/>
      <c r="Z3" s="38"/>
    </row>
    <row r="4">
      <c r="A4" s="4" t="b">
        <f>IFERROR(__xludf.DUMMYFUNCTION("""COMPUTED_VALUE"""),FALSE)</f>
        <v>0</v>
      </c>
      <c r="B4" s="4" t="str">
        <f>IFERROR(__xludf.DUMMYFUNCTION("""COMPUTED_VALUE"""),"Garde")</f>
        <v>Garde</v>
      </c>
      <c r="C4" s="13" t="str">
        <f>IFERROR(__xludf.DUMMYFUNCTION("""COMPUTED_VALUE"""),"S'Khar")</f>
        <v>S'Khar</v>
      </c>
      <c r="D4" s="17"/>
      <c r="E4" s="4" t="str">
        <f>IFERROR(__xludf.DUMMYFUNCTION("""COMPUTED_VALUE"""),"Hird du Jarl")</f>
        <v>Hird du Jarl</v>
      </c>
      <c r="F4" s="5" t="str">
        <f>IFERROR(__xludf.DUMMYFUNCTION("""COMPUTED_VALUE"""),"Hird")</f>
        <v>Hird</v>
      </c>
      <c r="G4" s="4" t="str">
        <f>IFERROR(__xludf.DUMMYFUNCTION("""COMPUTED_VALUE"""),"En service actif")</f>
        <v>En service actif</v>
      </c>
      <c r="H4" s="4"/>
      <c r="I4" s="45"/>
      <c r="J4" s="38"/>
      <c r="K4" s="38"/>
      <c r="L4" s="38"/>
      <c r="M4" s="38"/>
      <c r="N4" s="38"/>
      <c r="O4" s="38"/>
      <c r="P4" s="38"/>
      <c r="Q4" s="38"/>
      <c r="R4" s="38"/>
      <c r="S4" s="38"/>
      <c r="T4" s="38"/>
      <c r="U4" s="38"/>
      <c r="V4" s="38"/>
      <c r="W4" s="38"/>
      <c r="X4" s="38"/>
      <c r="Y4" s="38"/>
      <c r="Z4" s="38"/>
    </row>
    <row r="5">
      <c r="A5" s="4" t="b">
        <f>IFERROR(__xludf.DUMMYFUNCTION("""COMPUTED_VALUE"""),FALSE)</f>
        <v>0</v>
      </c>
      <c r="B5" s="4" t="str">
        <f>IFERROR(__xludf.DUMMYFUNCTION("""COMPUTED_VALUE"""),"Garde")</f>
        <v>Garde</v>
      </c>
      <c r="C5" s="13" t="str">
        <f>IFERROR(__xludf.DUMMYFUNCTION("""COMPUTED_VALUE"""),"Gorbash")</f>
        <v>Gorbash</v>
      </c>
      <c r="D5" s="11" t="str">
        <f>IFERROR(__xludf.DUMMYFUNCTION("""COMPUTED_VALUE"""),"Tête-de-Pierre")</f>
        <v>Tête-de-Pierre</v>
      </c>
      <c r="E5" s="4" t="str">
        <f>IFERROR(__xludf.DUMMYFUNCTION("""COMPUTED_VALUE"""),"Hird du Jarl")</f>
        <v>Hird du Jarl</v>
      </c>
      <c r="F5" s="5" t="str">
        <f>IFERROR(__xludf.DUMMYFUNCTION("""COMPUTED_VALUE"""),"Hird")</f>
        <v>Hird</v>
      </c>
      <c r="G5" s="4" t="str">
        <f>IFERROR(__xludf.DUMMYFUNCTION("""COMPUTED_VALUE"""),"En service actif")</f>
        <v>En service actif</v>
      </c>
      <c r="H5" s="4"/>
      <c r="I5" s="45"/>
      <c r="J5" s="38"/>
      <c r="K5" s="38"/>
      <c r="L5" s="38"/>
      <c r="M5" s="38"/>
      <c r="N5" s="38"/>
      <c r="O5" s="38"/>
      <c r="P5" s="38"/>
      <c r="Q5" s="38"/>
      <c r="R5" s="38"/>
      <c r="S5" s="38"/>
      <c r="T5" s="38"/>
      <c r="U5" s="38"/>
      <c r="V5" s="38"/>
      <c r="W5" s="38"/>
      <c r="X5" s="38"/>
      <c r="Y5" s="38"/>
      <c r="Z5" s="38"/>
    </row>
    <row r="6">
      <c r="A6" s="4" t="b">
        <f>IFERROR(__xludf.DUMMYFUNCTION("""COMPUTED_VALUE"""),FALSE)</f>
        <v>0</v>
      </c>
      <c r="B6" s="4" t="str">
        <f>IFERROR(__xludf.DUMMYFUNCTION("""COMPUTED_VALUE"""),"Garde")</f>
        <v>Garde</v>
      </c>
      <c r="C6" s="13" t="str">
        <f>IFERROR(__xludf.DUMMYFUNCTION("""COMPUTED_VALUE"""),"Armand")</f>
        <v>Armand</v>
      </c>
      <c r="D6" s="11" t="str">
        <f>IFERROR(__xludf.DUMMYFUNCTION("""COMPUTED_VALUE"""),"De Valclair")</f>
        <v>De Valclair</v>
      </c>
      <c r="E6" s="4" t="str">
        <f>IFERROR(__xludf.DUMMYFUNCTION("""COMPUTED_VALUE"""),"Hird du Jarl")</f>
        <v>Hird du Jarl</v>
      </c>
      <c r="F6" s="5" t="str">
        <f>IFERROR(__xludf.DUMMYFUNCTION("""COMPUTED_VALUE"""),"Hird")</f>
        <v>Hird</v>
      </c>
      <c r="G6" s="4" t="str">
        <f>IFERROR(__xludf.DUMMYFUNCTION("""COMPUTED_VALUE"""),"Démissionnaire")</f>
        <v>Démissionnaire</v>
      </c>
      <c r="H6" s="4"/>
      <c r="I6" s="14"/>
      <c r="J6" s="38"/>
      <c r="K6" s="38"/>
      <c r="L6" s="38"/>
      <c r="M6" s="38"/>
      <c r="N6" s="38"/>
      <c r="O6" s="38"/>
      <c r="P6" s="38"/>
      <c r="Q6" s="38"/>
      <c r="R6" s="38"/>
      <c r="S6" s="38"/>
      <c r="T6" s="38"/>
      <c r="U6" s="38"/>
      <c r="V6" s="38"/>
      <c r="W6" s="38"/>
      <c r="X6" s="38"/>
      <c r="Y6" s="38"/>
      <c r="Z6" s="38"/>
    </row>
    <row r="7">
      <c r="A7" s="4" t="b">
        <f>IFERROR(__xludf.DUMMYFUNCTION("""COMPUTED_VALUE"""),FALSE)</f>
        <v>0</v>
      </c>
      <c r="B7" s="4" t="str">
        <f>IFERROR(__xludf.DUMMYFUNCTION("""COMPUTED_VALUE"""),"Garde")</f>
        <v>Garde</v>
      </c>
      <c r="C7" s="13" t="str">
        <f>IFERROR(__xludf.DUMMYFUNCTION("""COMPUTED_VALUE"""),"Si'Yara")</f>
        <v>Si'Yara</v>
      </c>
      <c r="D7" s="11" t="str">
        <f>IFERROR(__xludf.DUMMYFUNCTION("""COMPUTED_VALUE"""),"dite Fou")</f>
        <v>dite Fou</v>
      </c>
      <c r="E7" s="4" t="str">
        <f>IFERROR(__xludf.DUMMYFUNCTION("""COMPUTED_VALUE"""),"Hird du Jarl")</f>
        <v>Hird du Jarl</v>
      </c>
      <c r="F7" s="5" t="str">
        <f>IFERROR(__xludf.DUMMYFUNCTION("""COMPUTED_VALUE"""),"Hird")</f>
        <v>Hird</v>
      </c>
      <c r="G7" s="4" t="str">
        <f>IFERROR(__xludf.DUMMYFUNCTION("""COMPUTED_VALUE"""),"En service actif")</f>
        <v>En service actif</v>
      </c>
      <c r="H7" s="38"/>
      <c r="I7" s="45"/>
      <c r="J7" s="38"/>
      <c r="K7" s="38"/>
      <c r="L7" s="38"/>
      <c r="M7" s="38"/>
      <c r="N7" s="38"/>
      <c r="O7" s="38"/>
      <c r="P7" s="38"/>
      <c r="Q7" s="38"/>
      <c r="R7" s="38"/>
      <c r="S7" s="38"/>
      <c r="T7" s="38"/>
      <c r="U7" s="38"/>
      <c r="V7" s="38"/>
      <c r="W7" s="38"/>
      <c r="X7" s="38"/>
      <c r="Y7" s="38"/>
      <c r="Z7" s="38"/>
    </row>
    <row r="8">
      <c r="A8" s="4" t="b">
        <f>IFERROR(__xludf.DUMMYFUNCTION("""COMPUTED_VALUE"""),FALSE)</f>
        <v>0</v>
      </c>
      <c r="B8" s="4" t="str">
        <f>IFERROR(__xludf.DUMMYFUNCTION("""COMPUTED_VALUE"""),"Garde")</f>
        <v>Garde</v>
      </c>
      <c r="C8" s="13" t="str">
        <f>IFERROR(__xludf.DUMMYFUNCTION("""COMPUTED_VALUE"""),"Lokh")</f>
        <v>Lokh</v>
      </c>
      <c r="D8" s="11" t="str">
        <f>IFERROR(__xludf.DUMMYFUNCTION("""COMPUTED_VALUE"""),"Tar")</f>
        <v>Tar</v>
      </c>
      <c r="E8" s="4" t="str">
        <f>IFERROR(__xludf.DUMMYFUNCTION("""COMPUTED_VALUE"""),"Hird du Jarl")</f>
        <v>Hird du Jarl</v>
      </c>
      <c r="F8" s="5" t="str">
        <f>IFERROR(__xludf.DUMMYFUNCTION("""COMPUTED_VALUE"""),"Hird")</f>
        <v>Hird</v>
      </c>
      <c r="G8" s="4" t="str">
        <f>IFERROR(__xludf.DUMMYFUNCTION("""COMPUTED_VALUE"""),"En service actif")</f>
        <v>En service actif</v>
      </c>
      <c r="H8" s="38"/>
      <c r="I8" s="45"/>
      <c r="J8" s="38"/>
      <c r="K8" s="38"/>
      <c r="L8" s="38"/>
      <c r="M8" s="38"/>
      <c r="N8" s="38"/>
      <c r="O8" s="38"/>
      <c r="P8" s="38"/>
      <c r="Q8" s="38"/>
      <c r="R8" s="38"/>
      <c r="S8" s="38"/>
      <c r="T8" s="38"/>
      <c r="U8" s="38"/>
      <c r="V8" s="38"/>
      <c r="W8" s="38"/>
      <c r="X8" s="38"/>
      <c r="Y8" s="38"/>
      <c r="Z8" s="38"/>
    </row>
    <row r="9">
      <c r="A9" s="4" t="b">
        <f>IFERROR(__xludf.DUMMYFUNCTION("""COMPUTED_VALUE"""),FALSE)</f>
        <v>0</v>
      </c>
      <c r="B9" s="4" t="str">
        <f>IFERROR(__xludf.DUMMYFUNCTION("""COMPUTED_VALUE"""),"Capitaine")</f>
        <v>Capitaine</v>
      </c>
      <c r="C9" s="13" t="str">
        <f>IFERROR(__xludf.DUMMYFUNCTION("""COMPUTED_VALUE"""),"Theodrek")</f>
        <v>Theodrek</v>
      </c>
      <c r="D9" s="23" t="str">
        <f>IFERROR(__xludf.DUMMYFUNCTION("""COMPUTED_VALUE"""),"Heid")</f>
        <v>Heid</v>
      </c>
      <c r="E9" s="4" t="str">
        <f>IFERROR(__xludf.DUMMYFUNCTION("""COMPUTED_VALUE"""),"Hird du Jarl")</f>
        <v>Hird du Jarl</v>
      </c>
      <c r="F9" s="5" t="str">
        <f>IFERROR(__xludf.DUMMYFUNCTION("""COMPUTED_VALUE"""),"Hird")</f>
        <v>Hird</v>
      </c>
      <c r="G9" s="4" t="str">
        <f>IFERROR(__xludf.DUMMYFUNCTION("""COMPUTED_VALUE"""),"En service actif")</f>
        <v>En service actif</v>
      </c>
      <c r="H9" s="4"/>
      <c r="I9" s="45"/>
      <c r="J9" s="38"/>
      <c r="K9" s="38"/>
      <c r="L9" s="38"/>
      <c r="M9" s="38"/>
      <c r="N9" s="38"/>
      <c r="O9" s="38"/>
      <c r="P9" s="38"/>
      <c r="Q9" s="38"/>
      <c r="R9" s="38"/>
      <c r="S9" s="38"/>
      <c r="T9" s="38"/>
      <c r="U9" s="38"/>
      <c r="V9" s="38"/>
      <c r="W9" s="38"/>
      <c r="X9" s="38"/>
      <c r="Y9" s="38"/>
      <c r="Z9" s="38"/>
    </row>
    <row r="10">
      <c r="A10" s="38" t="b">
        <f>IFERROR(__xludf.DUMMYFUNCTION("""COMPUTED_VALUE"""),FALSE)</f>
        <v>0</v>
      </c>
      <c r="B10" s="4" t="str">
        <f>IFERROR(__xludf.DUMMYFUNCTION("""COMPUTED_VALUE"""),"Garde")</f>
        <v>Garde</v>
      </c>
      <c r="C10" s="13" t="str">
        <f>IFERROR(__xludf.DUMMYFUNCTION("""COMPUTED_VALUE"""),"Selene")</f>
        <v>Selene</v>
      </c>
      <c r="D10" s="11"/>
      <c r="E10" s="4" t="str">
        <f>IFERROR(__xludf.DUMMYFUNCTION("""COMPUTED_VALUE"""),"Hird du Jarl")</f>
        <v>Hird du Jarl</v>
      </c>
      <c r="F10" s="5" t="str">
        <f>IFERROR(__xludf.DUMMYFUNCTION("""COMPUTED_VALUE"""),"Hird")</f>
        <v>Hird</v>
      </c>
      <c r="G10" s="4" t="str">
        <f>IFERROR(__xludf.DUMMYFUNCTION("""COMPUTED_VALUE"""),"En service actif")</f>
        <v>En service actif</v>
      </c>
      <c r="H10" s="38"/>
      <c r="I10" s="108"/>
      <c r="J10" s="38"/>
      <c r="K10" s="38"/>
      <c r="L10" s="38"/>
      <c r="M10" s="38"/>
      <c r="N10" s="38"/>
      <c r="O10" s="38"/>
      <c r="P10" s="38"/>
      <c r="Q10" s="38"/>
      <c r="R10" s="38"/>
      <c r="S10" s="38"/>
      <c r="T10" s="38"/>
      <c r="U10" s="38"/>
      <c r="V10" s="38"/>
      <c r="W10" s="38"/>
      <c r="X10" s="38"/>
      <c r="Y10" s="38"/>
      <c r="Z10" s="38"/>
    </row>
    <row r="11">
      <c r="A11" s="38" t="b">
        <f>IFERROR(__xludf.DUMMYFUNCTION("""COMPUTED_VALUE"""),FALSE)</f>
        <v>0</v>
      </c>
      <c r="B11" s="4" t="str">
        <f>IFERROR(__xludf.DUMMYFUNCTION("""COMPUTED_VALUE"""),"Garde")</f>
        <v>Garde</v>
      </c>
      <c r="C11" s="13" t="str">
        <f>IFERROR(__xludf.DUMMYFUNCTION("""COMPUTED_VALUE"""),"Lucius")</f>
        <v>Lucius</v>
      </c>
      <c r="D11" s="17" t="str">
        <f>IFERROR(__xludf.DUMMYFUNCTION("""COMPUTED_VALUE"""),"Ravenshield")</f>
        <v>Ravenshield</v>
      </c>
      <c r="E11" s="4" t="str">
        <f>IFERROR(__xludf.DUMMYFUNCTION("""COMPUTED_VALUE"""),"Hird du Jarl")</f>
        <v>Hird du Jarl</v>
      </c>
      <c r="F11" s="5" t="str">
        <f>IFERROR(__xludf.DUMMYFUNCTION("""COMPUTED_VALUE"""),"Hird")</f>
        <v>Hird</v>
      </c>
      <c r="G11" s="4" t="str">
        <f>IFERROR(__xludf.DUMMYFUNCTION("""COMPUTED_VALUE"""),"En service actif")</f>
        <v>En service actif</v>
      </c>
      <c r="H11" s="38"/>
      <c r="I11" s="108"/>
      <c r="J11" s="38"/>
      <c r="K11" s="38"/>
      <c r="L11" s="38"/>
      <c r="M11" s="38"/>
      <c r="N11" s="38"/>
      <c r="O11" s="38"/>
      <c r="P11" s="38"/>
      <c r="Q11" s="38"/>
      <c r="R11" s="38"/>
      <c r="S11" s="38"/>
      <c r="T11" s="38"/>
      <c r="U11" s="38"/>
      <c r="V11" s="38"/>
      <c r="W11" s="38"/>
      <c r="X11" s="38"/>
      <c r="Y11" s="38"/>
      <c r="Z11" s="38"/>
    </row>
    <row r="12">
      <c r="A12" s="4" t="b">
        <f>IFERROR(__xludf.DUMMYFUNCTION("""COMPUTED_VALUE"""),FALSE)</f>
        <v>0</v>
      </c>
      <c r="B12" s="4" t="str">
        <f>IFERROR(__xludf.DUMMYFUNCTION("""COMPUTED_VALUE"""),"Garde")</f>
        <v>Garde</v>
      </c>
      <c r="C12" s="13" t="str">
        <f>IFERROR(__xludf.DUMMYFUNCTION("""COMPUTED_VALUE"""),"Faynir")</f>
        <v>Faynir</v>
      </c>
      <c r="D12" s="17"/>
      <c r="E12" s="4" t="str">
        <f>IFERROR(__xludf.DUMMYFUNCTION("""COMPUTED_VALUE"""),"Hird du Jarl")</f>
        <v>Hird du Jarl</v>
      </c>
      <c r="F12" s="5" t="str">
        <f>IFERROR(__xludf.DUMMYFUNCTION("""COMPUTED_VALUE"""),"Hird")</f>
        <v>Hird</v>
      </c>
      <c r="G12" s="4" t="str">
        <f>IFERROR(__xludf.DUMMYFUNCTION("""COMPUTED_VALUE"""),"En service actif")</f>
        <v>En service actif</v>
      </c>
      <c r="H12" s="4"/>
      <c r="I12" s="45"/>
      <c r="J12" s="38"/>
      <c r="K12" s="38"/>
      <c r="L12" s="38"/>
      <c r="M12" s="38"/>
      <c r="N12" s="38"/>
      <c r="O12" s="38"/>
      <c r="P12" s="38"/>
      <c r="Q12" s="38"/>
      <c r="R12" s="38"/>
      <c r="S12" s="38"/>
      <c r="T12" s="38"/>
      <c r="U12" s="38"/>
      <c r="V12" s="38"/>
      <c r="W12" s="38"/>
      <c r="X12" s="38"/>
      <c r="Y12" s="38"/>
      <c r="Z12" s="38"/>
    </row>
    <row r="13">
      <c r="A13" s="4" t="b">
        <f>IFERROR(__xludf.DUMMYFUNCTION("""COMPUTED_VALUE"""),FALSE)</f>
        <v>0</v>
      </c>
      <c r="B13" s="4" t="str">
        <f>IFERROR(__xludf.DUMMYFUNCTION("""COMPUTED_VALUE"""),"Garde")</f>
        <v>Garde</v>
      </c>
      <c r="C13" s="13" t="str">
        <f>IFERROR(__xludf.DUMMYFUNCTION("""COMPUTED_VALUE"""),"Varaa")</f>
        <v>Varaa</v>
      </c>
      <c r="D13" s="17" t="str">
        <f>IFERROR(__xludf.DUMMYFUNCTION("""COMPUTED_VALUE"""),"Uzgar")</f>
        <v>Uzgar</v>
      </c>
      <c r="E13" s="4" t="str">
        <f>IFERROR(__xludf.DUMMYFUNCTION("""COMPUTED_VALUE"""),"Hird du Jarl")</f>
        <v>Hird du Jarl</v>
      </c>
      <c r="F13" s="5" t="str">
        <f>IFERROR(__xludf.DUMMYFUNCTION("""COMPUTED_VALUE"""),"Hird")</f>
        <v>Hird</v>
      </c>
      <c r="G13" s="4" t="str">
        <f>IFERROR(__xludf.DUMMYFUNCTION("""COMPUTED_VALUE"""),"En service actif")</f>
        <v>En service actif</v>
      </c>
      <c r="H13" s="4"/>
      <c r="I13" s="45"/>
      <c r="J13" s="38"/>
      <c r="K13" s="38"/>
      <c r="L13" s="38"/>
      <c r="M13" s="38"/>
      <c r="N13" s="38"/>
      <c r="O13" s="38"/>
      <c r="P13" s="38"/>
      <c r="Q13" s="38"/>
      <c r="R13" s="38"/>
      <c r="S13" s="38"/>
      <c r="T13" s="38"/>
      <c r="U13" s="38"/>
      <c r="V13" s="38"/>
      <c r="W13" s="38"/>
      <c r="X13" s="38"/>
      <c r="Y13" s="38"/>
      <c r="Z13" s="38"/>
    </row>
    <row r="14">
      <c r="A14" s="4"/>
      <c r="B14" s="4"/>
      <c r="C14" s="13"/>
      <c r="D14" s="11"/>
      <c r="E14" s="4"/>
      <c r="F14" s="5"/>
      <c r="G14" s="4"/>
      <c r="H14" s="38"/>
      <c r="I14" s="45"/>
    </row>
    <row r="15">
      <c r="A15" s="4"/>
      <c r="B15" s="4"/>
      <c r="C15" s="13"/>
      <c r="D15" s="11"/>
      <c r="E15" s="4"/>
      <c r="F15" s="5"/>
      <c r="G15" s="4"/>
      <c r="H15" s="38"/>
      <c r="I15" s="45"/>
    </row>
    <row r="16">
      <c r="A16" s="4"/>
      <c r="B16" s="4"/>
      <c r="C16" s="13"/>
      <c r="D16" s="11"/>
      <c r="E16" s="4"/>
      <c r="F16" s="5"/>
      <c r="G16" s="4"/>
      <c r="H16" s="38"/>
      <c r="I16" s="45"/>
    </row>
    <row r="17">
      <c r="A17" s="4"/>
      <c r="B17" s="4"/>
      <c r="C17" s="13"/>
      <c r="D17" s="11"/>
      <c r="E17" s="4"/>
      <c r="F17" s="5"/>
      <c r="G17" s="4"/>
      <c r="H17" s="38"/>
      <c r="I17" s="45"/>
    </row>
    <row r="18">
      <c r="A18" s="4"/>
      <c r="B18" s="4"/>
      <c r="C18" s="13"/>
      <c r="D18" s="17"/>
      <c r="E18" s="4"/>
      <c r="F18" s="5"/>
      <c r="G18" s="4"/>
      <c r="H18" s="38"/>
      <c r="I18" s="45"/>
    </row>
    <row r="19">
      <c r="A19" s="4"/>
      <c r="B19" s="4"/>
      <c r="C19" s="13"/>
      <c r="D19" s="17"/>
      <c r="E19" s="4"/>
      <c r="F19" s="5"/>
      <c r="G19" s="4"/>
      <c r="H19" s="38"/>
      <c r="I19" s="45"/>
    </row>
    <row r="20">
      <c r="A20" s="4"/>
      <c r="B20" s="4"/>
      <c r="C20" s="13"/>
      <c r="D20" s="17"/>
      <c r="E20" s="4"/>
      <c r="F20" s="5"/>
      <c r="G20" s="4"/>
      <c r="H20" s="38"/>
      <c r="I20" s="45"/>
    </row>
    <row r="21">
      <c r="A21" s="4"/>
      <c r="B21" s="4"/>
      <c r="C21" s="13"/>
      <c r="D21" s="11"/>
      <c r="E21" s="4"/>
      <c r="F21" s="5"/>
      <c r="G21" s="4"/>
      <c r="H21" s="4"/>
      <c r="I21" s="14"/>
    </row>
    <row r="22">
      <c r="A22" s="4"/>
      <c r="B22" s="4"/>
      <c r="C22" s="13"/>
      <c r="D22" s="11"/>
      <c r="E22" s="4"/>
      <c r="F22" s="5"/>
      <c r="G22" s="4"/>
      <c r="H22" s="4"/>
      <c r="I22" s="14"/>
    </row>
    <row r="23">
      <c r="A23" s="4"/>
      <c r="B23" s="4"/>
      <c r="C23" s="13"/>
      <c r="D23" s="11"/>
      <c r="E23" s="4"/>
      <c r="F23" s="5"/>
      <c r="G23" s="4"/>
      <c r="H23" s="4"/>
      <c r="I23" s="14"/>
    </row>
    <row r="24">
      <c r="A24" s="4"/>
      <c r="B24" s="4"/>
      <c r="C24" s="13"/>
      <c r="D24" s="17"/>
      <c r="E24" s="4"/>
      <c r="F24" s="5"/>
      <c r="G24" s="4"/>
      <c r="H24" s="38"/>
      <c r="I24" s="14"/>
    </row>
    <row r="25">
      <c r="A25" s="4"/>
      <c r="B25" s="4"/>
      <c r="C25" s="13"/>
      <c r="D25" s="11"/>
      <c r="E25" s="4"/>
      <c r="F25" s="5"/>
      <c r="G25" s="4"/>
      <c r="H25" s="38"/>
      <c r="I25" s="45"/>
    </row>
    <row r="26">
      <c r="A26" s="4"/>
      <c r="B26" s="4"/>
      <c r="C26" s="13"/>
      <c r="D26" s="17"/>
      <c r="E26" s="4"/>
      <c r="F26" s="5"/>
      <c r="G26" s="4"/>
      <c r="H26" s="38"/>
      <c r="I26" s="45"/>
    </row>
    <row r="27">
      <c r="A27" s="4"/>
      <c r="B27" s="4"/>
      <c r="C27" s="13"/>
      <c r="D27" s="17"/>
      <c r="E27" s="4"/>
      <c r="F27" s="5"/>
      <c r="G27" s="4"/>
      <c r="H27" s="38"/>
      <c r="I27" s="45"/>
    </row>
    <row r="28">
      <c r="A28" s="4"/>
      <c r="B28" s="4"/>
      <c r="C28" s="13"/>
      <c r="D28" s="11"/>
      <c r="E28" s="4"/>
      <c r="F28" s="5"/>
      <c r="G28" s="4"/>
      <c r="H28" s="38"/>
      <c r="I28" s="45"/>
    </row>
    <row r="29">
      <c r="A29" s="4"/>
      <c r="B29" s="4"/>
      <c r="C29" s="13"/>
      <c r="D29" s="11"/>
      <c r="E29" s="4"/>
      <c r="F29" s="5"/>
      <c r="G29" s="4"/>
      <c r="H29" s="38"/>
      <c r="I29" s="45"/>
    </row>
    <row r="30">
      <c r="A30" s="4"/>
      <c r="B30" s="4"/>
      <c r="C30" s="13"/>
      <c r="D30" s="17"/>
      <c r="E30" s="4"/>
      <c r="F30" s="5"/>
      <c r="G30" s="4"/>
      <c r="H30" s="38"/>
      <c r="I30" s="45"/>
    </row>
    <row r="31">
      <c r="A31" s="4"/>
      <c r="B31" s="4"/>
      <c r="C31" s="13"/>
      <c r="D31" s="17"/>
      <c r="E31" s="4"/>
      <c r="F31" s="5"/>
      <c r="G31" s="4"/>
      <c r="H31" s="38"/>
      <c r="I31" s="45"/>
    </row>
    <row r="32">
      <c r="A32" s="4"/>
      <c r="B32" s="4"/>
      <c r="C32" s="13"/>
      <c r="D32" s="11"/>
      <c r="E32" s="4"/>
      <c r="F32" s="5"/>
      <c r="G32" s="4"/>
      <c r="H32" s="38"/>
      <c r="I32" s="45"/>
    </row>
    <row r="33">
      <c r="A33" s="4"/>
      <c r="B33" s="4"/>
      <c r="C33" s="13"/>
      <c r="D33" s="11"/>
      <c r="E33" s="4"/>
      <c r="F33" s="5"/>
      <c r="G33" s="4"/>
      <c r="H33" s="38"/>
      <c r="I33" s="45"/>
    </row>
    <row r="34">
      <c r="A34" s="38"/>
      <c r="B34" s="4"/>
      <c r="C34" s="13"/>
      <c r="D34" s="17"/>
      <c r="E34" s="4"/>
      <c r="F34" s="5"/>
      <c r="G34" s="4"/>
      <c r="H34" s="38"/>
      <c r="I34" s="108"/>
    </row>
    <row r="35">
      <c r="A35" s="4"/>
      <c r="B35" s="4"/>
      <c r="C35" s="13"/>
      <c r="D35" s="17"/>
      <c r="E35" s="4"/>
      <c r="F35" s="5"/>
      <c r="G35" s="4"/>
      <c r="H35" s="38"/>
      <c r="I35" s="45"/>
    </row>
    <row r="36">
      <c r="A36" s="4"/>
      <c r="B36" s="4"/>
      <c r="C36" s="13"/>
      <c r="D36" s="11"/>
      <c r="E36" s="4"/>
      <c r="F36" s="5"/>
      <c r="G36" s="4"/>
      <c r="H36" s="38"/>
      <c r="I36" s="45"/>
    </row>
    <row r="37">
      <c r="A37" s="38"/>
      <c r="B37" s="4"/>
      <c r="C37" s="13"/>
      <c r="D37" s="11"/>
      <c r="E37" s="4"/>
      <c r="F37" s="5"/>
      <c r="G37" s="4"/>
      <c r="H37" s="38"/>
      <c r="I37" s="108"/>
    </row>
    <row r="38">
      <c r="A38" s="38"/>
      <c r="B38" s="4"/>
      <c r="C38" s="13"/>
      <c r="D38" s="11"/>
      <c r="E38" s="4"/>
      <c r="F38" s="5"/>
      <c r="G38" s="4"/>
      <c r="H38" s="38"/>
      <c r="I38" s="108"/>
    </row>
    <row r="39">
      <c r="A39" s="38"/>
      <c r="B39" s="4"/>
      <c r="C39" s="13"/>
      <c r="D39" s="17"/>
      <c r="E39" s="4"/>
      <c r="F39" s="5"/>
      <c r="G39" s="4"/>
      <c r="H39" s="38"/>
      <c r="I39" s="108"/>
    </row>
    <row r="40">
      <c r="A40" s="38"/>
      <c r="B40" s="38"/>
      <c r="C40" s="15"/>
      <c r="D40" s="17"/>
      <c r="E40" s="38"/>
      <c r="F40" s="38"/>
      <c r="G40" s="38"/>
      <c r="H40" s="38"/>
      <c r="I40" s="108"/>
    </row>
    <row r="41">
      <c r="A41" s="38"/>
      <c r="B41" s="38"/>
      <c r="C41" s="15"/>
      <c r="D41" s="17"/>
      <c r="E41" s="38"/>
      <c r="F41" s="38"/>
      <c r="G41" s="38"/>
      <c r="H41" s="38"/>
      <c r="I41" s="108"/>
    </row>
    <row r="42">
      <c r="A42" s="38"/>
      <c r="B42" s="38"/>
      <c r="C42" s="15"/>
      <c r="D42" s="17"/>
      <c r="E42" s="38"/>
      <c r="F42" s="38"/>
      <c r="G42" s="38"/>
      <c r="H42" s="38"/>
      <c r="I42" s="108"/>
    </row>
    <row r="43">
      <c r="A43" s="38"/>
      <c r="B43" s="38"/>
      <c r="C43" s="15"/>
      <c r="D43" s="17"/>
      <c r="E43" s="38"/>
      <c r="F43" s="38"/>
      <c r="G43" s="38"/>
      <c r="H43" s="38"/>
      <c r="I43" s="108"/>
    </row>
    <row r="44">
      <c r="A44" s="38"/>
      <c r="B44" s="38"/>
      <c r="C44" s="15"/>
      <c r="D44" s="17"/>
      <c r="E44" s="38"/>
      <c r="F44" s="38"/>
      <c r="G44" s="38"/>
      <c r="H44" s="38"/>
      <c r="I44" s="108"/>
    </row>
    <row r="45">
      <c r="A45" s="38"/>
      <c r="B45" s="38"/>
      <c r="C45" s="15"/>
      <c r="D45" s="17"/>
      <c r="E45" s="38"/>
      <c r="F45" s="38"/>
      <c r="G45" s="38"/>
      <c r="H45" s="38"/>
      <c r="I45" s="108"/>
    </row>
    <row r="46">
      <c r="A46" s="38"/>
      <c r="B46" s="38"/>
      <c r="C46" s="15"/>
      <c r="D46" s="17"/>
      <c r="E46" s="38"/>
      <c r="F46" s="38"/>
      <c r="G46" s="38"/>
      <c r="H46" s="38"/>
      <c r="I46" s="108"/>
    </row>
    <row r="47">
      <c r="A47" s="38"/>
      <c r="B47" s="38"/>
      <c r="C47" s="15"/>
      <c r="D47" s="17"/>
      <c r="E47" s="38"/>
      <c r="F47" s="38"/>
      <c r="G47" s="38"/>
      <c r="H47" s="38"/>
      <c r="I47" s="108"/>
    </row>
    <row r="48">
      <c r="A48" s="38"/>
      <c r="B48" s="38"/>
      <c r="C48" s="15"/>
      <c r="D48" s="17"/>
      <c r="E48" s="38"/>
      <c r="F48" s="38"/>
      <c r="G48" s="38"/>
      <c r="H48" s="38"/>
      <c r="I48" s="108"/>
    </row>
    <row r="49">
      <c r="A49" s="38"/>
      <c r="B49" s="38"/>
      <c r="C49" s="15"/>
      <c r="D49" s="17"/>
      <c r="E49" s="38"/>
      <c r="F49" s="38"/>
      <c r="G49" s="38"/>
      <c r="H49" s="38"/>
      <c r="I49" s="108"/>
    </row>
    <row r="50">
      <c r="A50" s="38"/>
      <c r="B50" s="38"/>
      <c r="C50" s="15"/>
      <c r="D50" s="17"/>
      <c r="E50" s="38"/>
      <c r="F50" s="38"/>
      <c r="G50" s="38"/>
      <c r="H50" s="38"/>
      <c r="I50" s="108"/>
    </row>
    <row r="51">
      <c r="A51" s="38"/>
      <c r="B51" s="38"/>
      <c r="C51" s="15"/>
      <c r="D51" s="17"/>
      <c r="E51" s="38"/>
      <c r="F51" s="38"/>
      <c r="G51" s="38"/>
      <c r="H51" s="38"/>
      <c r="I51" s="108"/>
    </row>
    <row r="52">
      <c r="A52" s="38"/>
      <c r="B52" s="38"/>
      <c r="C52" s="15"/>
      <c r="D52" s="17"/>
      <c r="E52" s="38"/>
      <c r="F52" s="38"/>
      <c r="G52" s="38"/>
      <c r="H52" s="38"/>
      <c r="I52" s="108"/>
    </row>
    <row r="53">
      <c r="A53" s="38"/>
      <c r="B53" s="38"/>
      <c r="C53" s="15"/>
      <c r="D53" s="17"/>
      <c r="E53" s="38"/>
      <c r="F53" s="38"/>
      <c r="G53" s="38"/>
      <c r="H53" s="38"/>
      <c r="I53" s="108"/>
    </row>
    <row r="54">
      <c r="A54" s="38"/>
      <c r="B54" s="38"/>
      <c r="C54" s="15"/>
      <c r="D54" s="17"/>
      <c r="E54" s="38"/>
      <c r="F54" s="38"/>
      <c r="G54" s="38"/>
      <c r="H54" s="38"/>
      <c r="I54" s="108"/>
    </row>
    <row r="55">
      <c r="A55" s="38"/>
      <c r="B55" s="38"/>
      <c r="C55" s="15"/>
      <c r="D55" s="17"/>
      <c r="E55" s="38"/>
      <c r="F55" s="38"/>
      <c r="G55" s="38"/>
      <c r="H55" s="38"/>
      <c r="I55" s="108"/>
    </row>
    <row r="56">
      <c r="A56" s="38"/>
      <c r="B56" s="38"/>
      <c r="C56" s="15"/>
      <c r="D56" s="17"/>
      <c r="E56" s="38"/>
      <c r="F56" s="38"/>
      <c r="G56" s="38"/>
      <c r="H56" s="38"/>
      <c r="I56" s="108"/>
    </row>
    <row r="57">
      <c r="A57" s="38"/>
      <c r="B57" s="38"/>
      <c r="C57" s="15"/>
      <c r="D57" s="17"/>
      <c r="E57" s="38"/>
      <c r="F57" s="38"/>
      <c r="G57" s="38"/>
      <c r="H57" s="38"/>
      <c r="I57" s="108"/>
    </row>
    <row r="58">
      <c r="A58" s="38"/>
      <c r="B58" s="38"/>
      <c r="C58" s="15"/>
      <c r="D58" s="17"/>
      <c r="E58" s="38"/>
      <c r="F58" s="38"/>
      <c r="G58" s="38"/>
      <c r="H58" s="38"/>
      <c r="I58" s="108"/>
    </row>
    <row r="59">
      <c r="A59" s="38"/>
      <c r="B59" s="38"/>
      <c r="C59" s="15"/>
      <c r="D59" s="17"/>
      <c r="E59" s="38"/>
      <c r="F59" s="38"/>
      <c r="G59" s="38"/>
      <c r="H59" s="38"/>
      <c r="I59" s="108"/>
    </row>
    <row r="60">
      <c r="A60" s="38"/>
      <c r="B60" s="38"/>
      <c r="C60" s="15"/>
      <c r="D60" s="17"/>
      <c r="E60" s="38"/>
      <c r="F60" s="38"/>
      <c r="G60" s="38"/>
      <c r="H60" s="38"/>
      <c r="I60" s="108"/>
    </row>
    <row r="61">
      <c r="A61" s="38"/>
      <c r="B61" s="38"/>
      <c r="C61" s="15"/>
      <c r="D61" s="17"/>
      <c r="E61" s="38"/>
      <c r="F61" s="38"/>
      <c r="G61" s="38"/>
      <c r="H61" s="38"/>
      <c r="I61" s="108"/>
    </row>
    <row r="62">
      <c r="A62" s="38"/>
      <c r="B62" s="38"/>
      <c r="C62" s="15"/>
      <c r="D62" s="17"/>
      <c r="E62" s="38"/>
      <c r="F62" s="38"/>
      <c r="G62" s="38"/>
      <c r="H62" s="38"/>
      <c r="I62" s="108"/>
    </row>
    <row r="63">
      <c r="A63" s="38"/>
      <c r="B63" s="38"/>
      <c r="C63" s="15"/>
      <c r="D63" s="17"/>
      <c r="E63" s="38"/>
      <c r="F63" s="38"/>
      <c r="G63" s="38"/>
      <c r="H63" s="38"/>
      <c r="I63" s="108"/>
    </row>
    <row r="64">
      <c r="A64" s="38"/>
      <c r="B64" s="38"/>
      <c r="C64" s="15"/>
      <c r="D64" s="17"/>
      <c r="E64" s="38"/>
      <c r="F64" s="38"/>
      <c r="G64" s="38"/>
      <c r="H64" s="38"/>
      <c r="I64" s="108"/>
    </row>
    <row r="65">
      <c r="A65" s="38"/>
      <c r="B65" s="38"/>
      <c r="C65" s="15"/>
      <c r="D65" s="17"/>
      <c r="E65" s="38"/>
      <c r="F65" s="38"/>
      <c r="G65" s="38"/>
      <c r="H65" s="38"/>
      <c r="I65" s="108"/>
    </row>
    <row r="66">
      <c r="A66" s="38"/>
      <c r="B66" s="38"/>
      <c r="C66" s="15"/>
      <c r="D66" s="17"/>
      <c r="E66" s="38"/>
      <c r="F66" s="38"/>
      <c r="G66" s="38"/>
      <c r="H66" s="38"/>
      <c r="I66" s="108"/>
    </row>
    <row r="67">
      <c r="A67" s="38"/>
      <c r="B67" s="38"/>
      <c r="C67" s="15"/>
      <c r="D67" s="17"/>
      <c r="E67" s="38"/>
      <c r="F67" s="38"/>
      <c r="G67" s="38"/>
      <c r="H67" s="38"/>
      <c r="I67" s="108"/>
    </row>
    <row r="68">
      <c r="A68" s="38"/>
      <c r="B68" s="38"/>
      <c r="C68" s="15"/>
      <c r="D68" s="17"/>
      <c r="E68" s="38"/>
      <c r="F68" s="38"/>
      <c r="G68" s="38"/>
      <c r="H68" s="38"/>
      <c r="I68" s="108"/>
    </row>
    <row r="69">
      <c r="A69" s="38"/>
      <c r="B69" s="38"/>
      <c r="C69" s="15"/>
      <c r="D69" s="17"/>
      <c r="E69" s="38"/>
      <c r="F69" s="38"/>
      <c r="G69" s="38"/>
      <c r="H69" s="38"/>
      <c r="I69" s="108"/>
    </row>
    <row r="70">
      <c r="A70" s="38"/>
      <c r="B70" s="38"/>
      <c r="C70" s="15"/>
      <c r="D70" s="17"/>
      <c r="E70" s="38"/>
      <c r="F70" s="38"/>
      <c r="G70" s="38"/>
      <c r="H70" s="38"/>
      <c r="I70" s="108"/>
    </row>
    <row r="71">
      <c r="A71" s="38"/>
      <c r="B71" s="38"/>
      <c r="C71" s="15"/>
      <c r="D71" s="17"/>
      <c r="E71" s="38"/>
      <c r="F71" s="38"/>
      <c r="G71" s="38"/>
      <c r="H71" s="38"/>
      <c r="I71" s="108"/>
    </row>
    <row r="72">
      <c r="A72" s="38"/>
      <c r="B72" s="38"/>
      <c r="C72" s="15"/>
      <c r="D72" s="17"/>
      <c r="E72" s="38"/>
      <c r="F72" s="38"/>
      <c r="G72" s="38"/>
      <c r="H72" s="38"/>
      <c r="I72" s="108"/>
    </row>
    <row r="73">
      <c r="A73" s="38"/>
      <c r="B73" s="38"/>
      <c r="C73" s="15"/>
      <c r="D73" s="17"/>
      <c r="E73" s="38"/>
      <c r="F73" s="38"/>
      <c r="G73" s="38"/>
      <c r="H73" s="38"/>
      <c r="I73" s="108"/>
    </row>
    <row r="74">
      <c r="A74" s="38"/>
      <c r="B74" s="38"/>
      <c r="C74" s="15"/>
      <c r="D74" s="17"/>
      <c r="E74" s="38"/>
      <c r="F74" s="38"/>
      <c r="G74" s="38"/>
      <c r="H74" s="38"/>
      <c r="I74" s="108"/>
    </row>
    <row r="75">
      <c r="A75" s="38"/>
      <c r="B75" s="38"/>
      <c r="C75" s="15"/>
      <c r="D75" s="17"/>
      <c r="E75" s="38"/>
      <c r="F75" s="38"/>
      <c r="G75" s="38"/>
      <c r="H75" s="38"/>
      <c r="I75" s="108"/>
    </row>
    <row r="76">
      <c r="A76" s="38"/>
      <c r="B76" s="38"/>
      <c r="C76" s="15"/>
      <c r="D76" s="17"/>
      <c r="E76" s="38"/>
      <c r="F76" s="38"/>
      <c r="G76" s="38"/>
      <c r="H76" s="38"/>
      <c r="I76" s="108"/>
    </row>
    <row r="77">
      <c r="A77" s="38"/>
      <c r="B77" s="38"/>
      <c r="C77" s="15"/>
      <c r="D77" s="17"/>
      <c r="E77" s="38"/>
      <c r="F77" s="38"/>
      <c r="G77" s="38"/>
      <c r="H77" s="38"/>
      <c r="I77" s="108"/>
    </row>
    <row r="78">
      <c r="A78" s="38"/>
      <c r="B78" s="38"/>
      <c r="C78" s="15"/>
      <c r="D78" s="17"/>
      <c r="E78" s="38"/>
      <c r="F78" s="38"/>
      <c r="G78" s="38"/>
      <c r="H78" s="38"/>
      <c r="I78" s="108"/>
    </row>
    <row r="79">
      <c r="A79" s="38"/>
      <c r="B79" s="38"/>
      <c r="C79" s="15"/>
      <c r="D79" s="17"/>
      <c r="E79" s="38"/>
      <c r="F79" s="38"/>
      <c r="G79" s="38"/>
      <c r="H79" s="38"/>
      <c r="I79" s="108"/>
    </row>
    <row r="80">
      <c r="A80" s="38"/>
      <c r="B80" s="38"/>
      <c r="C80" s="15"/>
      <c r="D80" s="17"/>
      <c r="E80" s="38"/>
      <c r="F80" s="38"/>
      <c r="G80" s="38"/>
      <c r="H80" s="38"/>
      <c r="I80" s="108"/>
    </row>
    <row r="81">
      <c r="A81" s="38"/>
      <c r="B81" s="38"/>
      <c r="C81" s="15"/>
      <c r="D81" s="17"/>
      <c r="E81" s="38"/>
      <c r="F81" s="38"/>
      <c r="G81" s="38"/>
      <c r="H81" s="38"/>
      <c r="I81" s="108"/>
    </row>
    <row r="82">
      <c r="A82" s="38"/>
      <c r="B82" s="38"/>
      <c r="C82" s="15"/>
      <c r="D82" s="17"/>
      <c r="E82" s="38"/>
      <c r="F82" s="38"/>
      <c r="G82" s="38"/>
      <c r="H82" s="38"/>
      <c r="I82" s="108"/>
    </row>
    <row r="83">
      <c r="A83" s="38"/>
      <c r="B83" s="38"/>
      <c r="C83" s="15"/>
      <c r="D83" s="17"/>
      <c r="E83" s="38"/>
      <c r="F83" s="38"/>
      <c r="G83" s="38"/>
      <c r="H83" s="38"/>
      <c r="I83" s="108"/>
    </row>
    <row r="84">
      <c r="A84" s="38"/>
      <c r="B84" s="38"/>
      <c r="C84" s="15"/>
      <c r="D84" s="17"/>
      <c r="E84" s="38"/>
      <c r="F84" s="38"/>
      <c r="G84" s="38"/>
      <c r="H84" s="38"/>
      <c r="I84" s="108"/>
    </row>
    <row r="85">
      <c r="A85" s="38"/>
      <c r="B85" s="38"/>
      <c r="C85" s="15"/>
      <c r="D85" s="17"/>
      <c r="E85" s="38"/>
      <c r="F85" s="38"/>
      <c r="G85" s="38"/>
      <c r="H85" s="38"/>
      <c r="I85" s="108"/>
    </row>
    <row r="86">
      <c r="A86" s="38"/>
      <c r="B86" s="38"/>
      <c r="C86" s="15"/>
      <c r="D86" s="17"/>
      <c r="E86" s="38"/>
      <c r="F86" s="38"/>
      <c r="G86" s="38"/>
      <c r="H86" s="38"/>
      <c r="I86" s="108"/>
    </row>
    <row r="87">
      <c r="A87" s="38"/>
      <c r="B87" s="38"/>
      <c r="C87" s="15"/>
      <c r="D87" s="17"/>
      <c r="E87" s="38"/>
      <c r="F87" s="38"/>
      <c r="G87" s="38"/>
      <c r="H87" s="38"/>
      <c r="I87" s="108"/>
    </row>
    <row r="88">
      <c r="A88" s="38"/>
      <c r="B88" s="38"/>
      <c r="C88" s="15"/>
      <c r="D88" s="17"/>
      <c r="E88" s="38"/>
      <c r="F88" s="38"/>
      <c r="G88" s="38"/>
      <c r="H88" s="38"/>
      <c r="I88" s="108"/>
    </row>
    <row r="89">
      <c r="A89" s="38"/>
      <c r="B89" s="38"/>
      <c r="C89" s="15"/>
      <c r="D89" s="17"/>
      <c r="E89" s="38"/>
      <c r="F89" s="38"/>
      <c r="G89" s="38"/>
      <c r="H89" s="38"/>
      <c r="I89" s="108"/>
    </row>
    <row r="90">
      <c r="A90" s="38"/>
      <c r="B90" s="38"/>
      <c r="C90" s="15"/>
      <c r="D90" s="17"/>
      <c r="E90" s="38"/>
      <c r="F90" s="38"/>
      <c r="G90" s="38"/>
      <c r="H90" s="38"/>
      <c r="I90" s="108"/>
    </row>
    <row r="91">
      <c r="A91" s="38"/>
      <c r="B91" s="38"/>
      <c r="C91" s="15"/>
      <c r="D91" s="17"/>
      <c r="E91" s="38"/>
      <c r="F91" s="38"/>
      <c r="G91" s="38"/>
      <c r="H91" s="38"/>
      <c r="I91" s="108"/>
    </row>
    <row r="92">
      <c r="A92" s="38"/>
      <c r="B92" s="38"/>
      <c r="C92" s="15"/>
      <c r="D92" s="17"/>
      <c r="E92" s="38"/>
      <c r="F92" s="38"/>
      <c r="G92" s="38"/>
      <c r="H92" s="38"/>
      <c r="I92" s="108"/>
    </row>
    <row r="93">
      <c r="A93" s="38"/>
      <c r="B93" s="38"/>
      <c r="C93" s="15"/>
      <c r="D93" s="17"/>
      <c r="E93" s="38"/>
      <c r="F93" s="38"/>
      <c r="G93" s="38"/>
      <c r="H93" s="38"/>
      <c r="I93" s="108"/>
    </row>
    <row r="94">
      <c r="A94" s="38"/>
      <c r="B94" s="38"/>
      <c r="C94" s="15"/>
      <c r="D94" s="17"/>
      <c r="E94" s="38"/>
      <c r="F94" s="38"/>
      <c r="G94" s="38"/>
      <c r="H94" s="38"/>
      <c r="I94" s="108"/>
    </row>
    <row r="95">
      <c r="A95" s="38"/>
      <c r="B95" s="38"/>
      <c r="C95" s="15"/>
      <c r="D95" s="17"/>
      <c r="E95" s="38"/>
      <c r="F95" s="38"/>
      <c r="G95" s="38"/>
      <c r="H95" s="38"/>
      <c r="I95" s="108"/>
    </row>
    <row r="96">
      <c r="A96" s="38"/>
      <c r="B96" s="38"/>
      <c r="C96" s="15"/>
      <c r="D96" s="17"/>
      <c r="E96" s="38"/>
      <c r="F96" s="38"/>
      <c r="G96" s="38"/>
      <c r="H96" s="38"/>
      <c r="I96" s="108"/>
    </row>
    <row r="97">
      <c r="A97" s="38"/>
      <c r="B97" s="38"/>
      <c r="C97" s="15"/>
      <c r="D97" s="17"/>
      <c r="E97" s="38"/>
      <c r="F97" s="38"/>
      <c r="G97" s="38"/>
      <c r="H97" s="38"/>
      <c r="I97" s="108"/>
    </row>
    <row r="98">
      <c r="A98" s="38"/>
      <c r="B98" s="38"/>
      <c r="C98" s="15"/>
      <c r="D98" s="17"/>
      <c r="E98" s="38"/>
      <c r="F98" s="38"/>
      <c r="G98" s="38"/>
      <c r="H98" s="38"/>
      <c r="I98" s="108"/>
    </row>
    <row r="99">
      <c r="A99" s="38"/>
      <c r="B99" s="38"/>
      <c r="C99" s="15"/>
      <c r="D99" s="17"/>
      <c r="E99" s="38"/>
      <c r="F99" s="38"/>
      <c r="G99" s="38"/>
      <c r="H99" s="38"/>
      <c r="I99" s="108"/>
    </row>
    <row r="100">
      <c r="A100" s="38"/>
      <c r="B100" s="38"/>
      <c r="C100" s="15"/>
      <c r="D100" s="17"/>
      <c r="E100" s="38"/>
      <c r="F100" s="38"/>
      <c r="G100" s="38"/>
      <c r="H100" s="38"/>
      <c r="I100" s="108"/>
    </row>
    <row r="101">
      <c r="A101" s="38"/>
      <c r="B101" s="38"/>
      <c r="C101" s="15"/>
      <c r="D101" s="17"/>
      <c r="E101" s="38"/>
      <c r="F101" s="38"/>
      <c r="G101" s="38"/>
      <c r="H101" s="38"/>
      <c r="I101" s="108"/>
    </row>
    <row r="102">
      <c r="A102" s="38"/>
      <c r="B102" s="38"/>
      <c r="C102" s="15"/>
      <c r="D102" s="17"/>
      <c r="E102" s="38"/>
      <c r="F102" s="38"/>
      <c r="G102" s="38"/>
      <c r="H102" s="38"/>
      <c r="I102" s="108"/>
    </row>
    <row r="103">
      <c r="A103" s="38"/>
      <c r="B103" s="38"/>
      <c r="C103" s="15"/>
      <c r="D103" s="17"/>
      <c r="E103" s="38"/>
      <c r="F103" s="38"/>
      <c r="G103" s="38"/>
      <c r="H103" s="38"/>
      <c r="I103" s="108"/>
    </row>
    <row r="104">
      <c r="A104" s="38"/>
      <c r="B104" s="38"/>
      <c r="C104" s="15"/>
      <c r="D104" s="17"/>
      <c r="E104" s="38"/>
      <c r="F104" s="38"/>
      <c r="G104" s="38"/>
      <c r="H104" s="38"/>
      <c r="I104" s="108"/>
    </row>
    <row r="105">
      <c r="A105" s="38"/>
      <c r="B105" s="38"/>
      <c r="C105" s="15"/>
      <c r="D105" s="17"/>
      <c r="E105" s="38"/>
      <c r="F105" s="38"/>
      <c r="G105" s="38"/>
      <c r="H105" s="38"/>
      <c r="I105" s="108"/>
    </row>
    <row r="106">
      <c r="A106" s="38"/>
      <c r="B106" s="38"/>
      <c r="C106" s="15"/>
      <c r="D106" s="17"/>
      <c r="E106" s="38"/>
      <c r="F106" s="38"/>
      <c r="G106" s="38"/>
      <c r="H106" s="38"/>
      <c r="I106" s="108"/>
    </row>
    <row r="107">
      <c r="A107" s="38"/>
      <c r="B107" s="38"/>
      <c r="C107" s="15"/>
      <c r="D107" s="17"/>
      <c r="E107" s="38"/>
      <c r="F107" s="38"/>
      <c r="G107" s="38"/>
      <c r="H107" s="38"/>
      <c r="I107" s="108"/>
    </row>
    <row r="108">
      <c r="A108" s="38"/>
      <c r="B108" s="38"/>
      <c r="C108" s="15"/>
      <c r="D108" s="17"/>
      <c r="E108" s="38"/>
      <c r="F108" s="38"/>
      <c r="G108" s="38"/>
      <c r="H108" s="38"/>
      <c r="I108" s="108"/>
    </row>
    <row r="109">
      <c r="A109" s="38"/>
      <c r="B109" s="38"/>
      <c r="C109" s="15"/>
      <c r="D109" s="17"/>
      <c r="E109" s="38"/>
      <c r="F109" s="38"/>
      <c r="G109" s="38"/>
      <c r="H109" s="38"/>
      <c r="I109" s="108"/>
    </row>
    <row r="110">
      <c r="A110" s="38"/>
      <c r="B110" s="38"/>
      <c r="C110" s="15"/>
      <c r="D110" s="17"/>
      <c r="E110" s="38"/>
      <c r="F110" s="38"/>
      <c r="G110" s="38"/>
      <c r="H110" s="38"/>
      <c r="I110" s="108"/>
    </row>
    <row r="111">
      <c r="A111" s="38"/>
      <c r="B111" s="38"/>
      <c r="C111" s="15"/>
      <c r="D111" s="17"/>
      <c r="E111" s="38"/>
      <c r="F111" s="38"/>
      <c r="G111" s="38"/>
      <c r="H111" s="38"/>
      <c r="I111" s="108"/>
    </row>
    <row r="112">
      <c r="A112" s="38"/>
      <c r="B112" s="38"/>
      <c r="C112" s="15"/>
      <c r="D112" s="17"/>
      <c r="E112" s="38"/>
      <c r="F112" s="38"/>
      <c r="G112" s="38"/>
      <c r="H112" s="38"/>
      <c r="I112" s="108"/>
    </row>
    <row r="113">
      <c r="A113" s="38"/>
      <c r="B113" s="38"/>
      <c r="C113" s="15"/>
      <c r="D113" s="17"/>
      <c r="E113" s="38"/>
      <c r="F113" s="38"/>
      <c r="G113" s="38"/>
      <c r="H113" s="38"/>
      <c r="I113" s="108"/>
    </row>
    <row r="114">
      <c r="A114" s="38"/>
      <c r="B114" s="38"/>
      <c r="C114" s="15"/>
      <c r="D114" s="17"/>
      <c r="E114" s="38"/>
      <c r="F114" s="38"/>
      <c r="G114" s="38"/>
      <c r="H114" s="38"/>
      <c r="I114" s="108"/>
    </row>
    <row r="115">
      <c r="A115" s="38"/>
      <c r="B115" s="38"/>
      <c r="C115" s="15"/>
      <c r="D115" s="17"/>
      <c r="E115" s="38"/>
      <c r="F115" s="38"/>
      <c r="G115" s="38"/>
      <c r="H115" s="38"/>
      <c r="I115" s="108"/>
    </row>
    <row r="116">
      <c r="A116" s="38"/>
      <c r="B116" s="38"/>
      <c r="C116" s="15"/>
      <c r="D116" s="17"/>
      <c r="E116" s="38"/>
      <c r="F116" s="38"/>
      <c r="G116" s="38"/>
      <c r="H116" s="38"/>
      <c r="I116" s="108"/>
    </row>
    <row r="117">
      <c r="A117" s="38"/>
      <c r="B117" s="38"/>
      <c r="C117" s="15"/>
      <c r="D117" s="17"/>
      <c r="E117" s="38"/>
      <c r="F117" s="38"/>
      <c r="G117" s="38"/>
      <c r="H117" s="38"/>
      <c r="I117" s="108"/>
    </row>
    <row r="118">
      <c r="A118" s="38"/>
      <c r="B118" s="38"/>
      <c r="C118" s="15"/>
      <c r="D118" s="17"/>
      <c r="E118" s="38"/>
      <c r="F118" s="38"/>
      <c r="G118" s="38"/>
      <c r="H118" s="38"/>
      <c r="I118" s="108"/>
    </row>
    <row r="119">
      <c r="A119" s="38"/>
      <c r="B119" s="38"/>
      <c r="C119" s="15"/>
      <c r="D119" s="17"/>
      <c r="E119" s="38"/>
      <c r="F119" s="38"/>
      <c r="G119" s="38"/>
      <c r="H119" s="38"/>
      <c r="I119" s="108"/>
    </row>
    <row r="120">
      <c r="A120" s="38"/>
      <c r="B120" s="38"/>
      <c r="C120" s="15"/>
      <c r="D120" s="17"/>
      <c r="E120" s="38"/>
      <c r="F120" s="38"/>
      <c r="G120" s="38"/>
      <c r="H120" s="38"/>
      <c r="I120" s="108"/>
    </row>
    <row r="121">
      <c r="A121" s="38"/>
      <c r="B121" s="38"/>
      <c r="C121" s="15"/>
      <c r="D121" s="17"/>
      <c r="E121" s="38"/>
      <c r="F121" s="38"/>
      <c r="G121" s="38"/>
      <c r="H121" s="38"/>
      <c r="I121" s="108"/>
    </row>
    <row r="122">
      <c r="A122" s="38"/>
      <c r="B122" s="38"/>
      <c r="C122" s="15"/>
      <c r="D122" s="17"/>
      <c r="E122" s="38"/>
      <c r="F122" s="38"/>
      <c r="G122" s="38"/>
      <c r="H122" s="38"/>
      <c r="I122" s="108"/>
    </row>
    <row r="123">
      <c r="A123" s="38"/>
      <c r="B123" s="38"/>
      <c r="C123" s="15"/>
      <c r="D123" s="17"/>
      <c r="E123" s="38"/>
      <c r="F123" s="38"/>
      <c r="G123" s="38"/>
      <c r="H123" s="38"/>
      <c r="I123" s="108"/>
    </row>
    <row r="124">
      <c r="A124" s="38"/>
      <c r="B124" s="38"/>
      <c r="C124" s="15"/>
      <c r="D124" s="17"/>
      <c r="E124" s="38"/>
      <c r="F124" s="38"/>
      <c r="G124" s="38"/>
      <c r="H124" s="38"/>
      <c r="I124" s="108"/>
    </row>
    <row r="125">
      <c r="A125" s="38"/>
      <c r="B125" s="38"/>
      <c r="C125" s="15"/>
      <c r="D125" s="17"/>
      <c r="E125" s="38"/>
      <c r="F125" s="38"/>
      <c r="G125" s="38"/>
      <c r="H125" s="38"/>
      <c r="I125" s="108"/>
    </row>
    <row r="126">
      <c r="A126" s="38"/>
      <c r="B126" s="38"/>
      <c r="C126" s="15"/>
      <c r="D126" s="17"/>
      <c r="E126" s="38"/>
      <c r="F126" s="38"/>
      <c r="G126" s="38"/>
      <c r="H126" s="38"/>
      <c r="I126" s="108"/>
    </row>
    <row r="127">
      <c r="A127" s="38"/>
      <c r="B127" s="38"/>
      <c r="C127" s="15"/>
      <c r="D127" s="17"/>
      <c r="E127" s="38"/>
      <c r="F127" s="38"/>
      <c r="G127" s="38"/>
      <c r="H127" s="38"/>
      <c r="I127" s="108"/>
    </row>
    <row r="128">
      <c r="A128" s="38"/>
      <c r="B128" s="38"/>
      <c r="C128" s="15"/>
      <c r="D128" s="17"/>
      <c r="E128" s="38"/>
      <c r="F128" s="38"/>
      <c r="G128" s="38"/>
      <c r="H128" s="38"/>
      <c r="I128" s="108"/>
    </row>
    <row r="129">
      <c r="A129" s="38"/>
      <c r="B129" s="38"/>
      <c r="C129" s="15"/>
      <c r="D129" s="17"/>
      <c r="E129" s="38"/>
      <c r="F129" s="38"/>
      <c r="G129" s="38"/>
      <c r="H129" s="38"/>
      <c r="I129" s="108"/>
    </row>
    <row r="130">
      <c r="A130" s="38"/>
      <c r="B130" s="38"/>
      <c r="C130" s="15"/>
      <c r="D130" s="17"/>
      <c r="E130" s="38"/>
      <c r="F130" s="38"/>
      <c r="G130" s="38"/>
      <c r="H130" s="38"/>
      <c r="I130" s="108"/>
    </row>
    <row r="131">
      <c r="A131" s="38"/>
      <c r="B131" s="38"/>
      <c r="C131" s="15"/>
      <c r="D131" s="17"/>
      <c r="E131" s="38"/>
      <c r="F131" s="38"/>
      <c r="G131" s="38"/>
      <c r="H131" s="38"/>
      <c r="I131" s="108"/>
    </row>
    <row r="132">
      <c r="A132" s="38"/>
      <c r="B132" s="38"/>
      <c r="C132" s="15"/>
      <c r="D132" s="17"/>
      <c r="E132" s="38"/>
      <c r="F132" s="38"/>
      <c r="G132" s="38"/>
      <c r="H132" s="38"/>
      <c r="I132" s="108"/>
    </row>
    <row r="133">
      <c r="A133" s="38"/>
      <c r="B133" s="38"/>
      <c r="C133" s="15"/>
      <c r="D133" s="17"/>
      <c r="E133" s="38"/>
      <c r="F133" s="38"/>
      <c r="G133" s="38"/>
      <c r="H133" s="38"/>
      <c r="I133" s="108"/>
    </row>
    <row r="134">
      <c r="A134" s="38"/>
      <c r="B134" s="38"/>
      <c r="C134" s="15"/>
      <c r="D134" s="17"/>
      <c r="E134" s="38"/>
      <c r="F134" s="38"/>
      <c r="G134" s="38"/>
      <c r="H134" s="38"/>
      <c r="I134" s="108"/>
    </row>
    <row r="135">
      <c r="A135" s="38"/>
      <c r="B135" s="38"/>
      <c r="C135" s="15"/>
      <c r="D135" s="17"/>
      <c r="E135" s="38"/>
      <c r="F135" s="38"/>
      <c r="G135" s="38"/>
      <c r="H135" s="38"/>
      <c r="I135" s="108"/>
    </row>
    <row r="136">
      <c r="A136" s="38"/>
      <c r="B136" s="38"/>
      <c r="C136" s="15"/>
      <c r="D136" s="17"/>
      <c r="E136" s="38"/>
      <c r="F136" s="38"/>
      <c r="G136" s="38"/>
      <c r="H136" s="38"/>
      <c r="I136" s="108"/>
    </row>
    <row r="137">
      <c r="A137" s="38"/>
      <c r="B137" s="38"/>
      <c r="C137" s="15"/>
      <c r="D137" s="17"/>
      <c r="E137" s="38"/>
      <c r="F137" s="38"/>
      <c r="G137" s="38"/>
      <c r="H137" s="38"/>
      <c r="I137" s="108"/>
    </row>
    <row r="138">
      <c r="A138" s="38"/>
      <c r="B138" s="38"/>
      <c r="C138" s="15"/>
      <c r="D138" s="17"/>
      <c r="E138" s="38"/>
      <c r="F138" s="38"/>
      <c r="G138" s="38"/>
      <c r="H138" s="38"/>
      <c r="I138" s="108"/>
    </row>
    <row r="139">
      <c r="A139" s="38"/>
      <c r="B139" s="38"/>
      <c r="C139" s="15"/>
      <c r="D139" s="17"/>
      <c r="E139" s="38"/>
      <c r="F139" s="38"/>
      <c r="G139" s="38"/>
      <c r="H139" s="38"/>
      <c r="I139" s="108"/>
    </row>
    <row r="140">
      <c r="A140" s="38"/>
      <c r="B140" s="38"/>
      <c r="C140" s="15"/>
      <c r="D140" s="17"/>
      <c r="E140" s="38"/>
      <c r="F140" s="38"/>
      <c r="G140" s="38"/>
      <c r="H140" s="38"/>
      <c r="I140" s="108"/>
    </row>
    <row r="141">
      <c r="A141" s="38"/>
      <c r="B141" s="38"/>
      <c r="C141" s="15"/>
      <c r="D141" s="17"/>
      <c r="E141" s="38"/>
      <c r="F141" s="38"/>
      <c r="G141" s="38"/>
      <c r="H141" s="38"/>
      <c r="I141" s="108"/>
    </row>
    <row r="142">
      <c r="A142" s="38"/>
      <c r="B142" s="38"/>
      <c r="C142" s="15"/>
      <c r="D142" s="17"/>
      <c r="E142" s="38"/>
      <c r="F142" s="38"/>
      <c r="G142" s="38"/>
      <c r="H142" s="38"/>
      <c r="I142" s="108"/>
    </row>
    <row r="143">
      <c r="A143" s="38"/>
      <c r="B143" s="38"/>
      <c r="C143" s="15"/>
      <c r="D143" s="17"/>
      <c r="E143" s="38"/>
      <c r="F143" s="38"/>
      <c r="G143" s="38"/>
      <c r="H143" s="38"/>
      <c r="I143" s="108"/>
    </row>
    <row r="144">
      <c r="A144" s="38"/>
      <c r="B144" s="38"/>
      <c r="C144" s="15"/>
      <c r="D144" s="17"/>
      <c r="E144" s="38"/>
      <c r="F144" s="38"/>
      <c r="G144" s="38"/>
      <c r="H144" s="38"/>
      <c r="I144" s="108"/>
    </row>
    <row r="145">
      <c r="A145" s="38"/>
      <c r="B145" s="38"/>
      <c r="C145" s="15"/>
      <c r="D145" s="17"/>
      <c r="E145" s="38"/>
      <c r="F145" s="38"/>
      <c r="G145" s="38"/>
      <c r="H145" s="38"/>
      <c r="I145" s="108"/>
    </row>
    <row r="146">
      <c r="A146" s="38"/>
      <c r="B146" s="38"/>
      <c r="C146" s="15"/>
      <c r="D146" s="17"/>
      <c r="E146" s="38"/>
      <c r="F146" s="38"/>
      <c r="G146" s="38"/>
      <c r="H146" s="38"/>
      <c r="I146" s="108"/>
    </row>
    <row r="147">
      <c r="A147" s="38"/>
      <c r="B147" s="38"/>
      <c r="C147" s="15"/>
      <c r="D147" s="17"/>
      <c r="E147" s="38"/>
      <c r="F147" s="38"/>
      <c r="G147" s="38"/>
      <c r="H147" s="38"/>
      <c r="I147" s="108"/>
    </row>
    <row r="148">
      <c r="A148" s="38"/>
      <c r="B148" s="38"/>
      <c r="C148" s="15"/>
      <c r="D148" s="17"/>
      <c r="E148" s="38"/>
      <c r="F148" s="38"/>
      <c r="G148" s="38"/>
      <c r="H148" s="38"/>
      <c r="I148" s="108"/>
    </row>
    <row r="149">
      <c r="A149" s="38"/>
      <c r="B149" s="38"/>
      <c r="C149" s="15"/>
      <c r="D149" s="17"/>
      <c r="E149" s="38"/>
      <c r="F149" s="38"/>
      <c r="G149" s="38"/>
      <c r="H149" s="38"/>
      <c r="I149" s="108"/>
    </row>
    <row r="150">
      <c r="A150" s="38"/>
      <c r="B150" s="38"/>
      <c r="C150" s="15"/>
      <c r="D150" s="17"/>
      <c r="E150" s="38"/>
      <c r="F150" s="38"/>
      <c r="G150" s="38"/>
      <c r="H150" s="38"/>
      <c r="I150" s="108"/>
    </row>
    <row r="151">
      <c r="A151" s="38"/>
      <c r="B151" s="38"/>
      <c r="C151" s="15"/>
      <c r="D151" s="17"/>
      <c r="E151" s="38"/>
      <c r="F151" s="38"/>
      <c r="G151" s="38"/>
      <c r="H151" s="38"/>
      <c r="I151" s="108"/>
    </row>
    <row r="152">
      <c r="A152" s="38"/>
      <c r="B152" s="38"/>
      <c r="C152" s="15"/>
      <c r="D152" s="17"/>
      <c r="E152" s="38"/>
      <c r="F152" s="38"/>
      <c r="G152" s="38"/>
      <c r="H152" s="38"/>
      <c r="I152" s="108"/>
    </row>
    <row r="153">
      <c r="A153" s="38"/>
      <c r="B153" s="38"/>
      <c r="C153" s="15"/>
      <c r="D153" s="17"/>
      <c r="E153" s="38"/>
      <c r="F153" s="38"/>
      <c r="G153" s="38"/>
      <c r="H153" s="38"/>
      <c r="I153" s="108"/>
    </row>
    <row r="154">
      <c r="A154" s="38"/>
      <c r="B154" s="38"/>
      <c r="C154" s="15"/>
      <c r="D154" s="17"/>
      <c r="E154" s="38"/>
      <c r="F154" s="38"/>
      <c r="G154" s="38"/>
      <c r="H154" s="38"/>
      <c r="I154" s="108"/>
    </row>
    <row r="155">
      <c r="A155" s="38"/>
      <c r="B155" s="38"/>
      <c r="C155" s="15"/>
      <c r="D155" s="17"/>
      <c r="E155" s="38"/>
      <c r="F155" s="38"/>
      <c r="G155" s="38"/>
      <c r="H155" s="38"/>
      <c r="I155" s="108"/>
    </row>
    <row r="156">
      <c r="A156" s="38"/>
      <c r="B156" s="38"/>
      <c r="C156" s="15"/>
      <c r="D156" s="17"/>
      <c r="E156" s="38"/>
      <c r="F156" s="38"/>
      <c r="G156" s="38"/>
      <c r="H156" s="38"/>
      <c r="I156" s="108"/>
    </row>
    <row r="157">
      <c r="A157" s="38"/>
      <c r="B157" s="38"/>
      <c r="C157" s="15"/>
      <c r="D157" s="17"/>
      <c r="E157" s="38"/>
      <c r="F157" s="38"/>
      <c r="G157" s="38"/>
      <c r="H157" s="38"/>
      <c r="I157" s="108"/>
    </row>
    <row r="158">
      <c r="A158" s="38"/>
      <c r="B158" s="38"/>
      <c r="C158" s="15"/>
      <c r="D158" s="17"/>
      <c r="E158" s="38"/>
      <c r="F158" s="38"/>
      <c r="G158" s="38"/>
      <c r="H158" s="38"/>
      <c r="I158" s="108"/>
    </row>
    <row r="159">
      <c r="A159" s="38"/>
      <c r="B159" s="38"/>
      <c r="C159" s="15"/>
      <c r="D159" s="17"/>
      <c r="E159" s="38"/>
      <c r="F159" s="38"/>
      <c r="G159" s="38"/>
      <c r="H159" s="38"/>
      <c r="I159" s="108"/>
    </row>
    <row r="160">
      <c r="A160" s="38"/>
      <c r="B160" s="38"/>
      <c r="C160" s="15"/>
      <c r="D160" s="17"/>
      <c r="E160" s="38"/>
      <c r="F160" s="38"/>
      <c r="G160" s="38"/>
      <c r="H160" s="38"/>
      <c r="I160" s="108"/>
    </row>
    <row r="161">
      <c r="A161" s="38"/>
      <c r="B161" s="38"/>
      <c r="C161" s="15"/>
      <c r="D161" s="17"/>
      <c r="E161" s="38"/>
      <c r="F161" s="38"/>
      <c r="G161" s="38"/>
      <c r="H161" s="38"/>
      <c r="I161" s="108"/>
    </row>
    <row r="162">
      <c r="A162" s="38"/>
      <c r="B162" s="38"/>
      <c r="C162" s="15"/>
      <c r="D162" s="17"/>
      <c r="E162" s="38"/>
      <c r="F162" s="38"/>
      <c r="G162" s="38"/>
      <c r="H162" s="38"/>
      <c r="I162" s="108"/>
    </row>
    <row r="163">
      <c r="A163" s="38"/>
      <c r="B163" s="38"/>
      <c r="C163" s="15"/>
      <c r="D163" s="17"/>
      <c r="E163" s="38"/>
      <c r="F163" s="38"/>
      <c r="G163" s="38"/>
      <c r="H163" s="38"/>
      <c r="I163" s="108"/>
    </row>
    <row r="164">
      <c r="A164" s="38"/>
      <c r="B164" s="38"/>
      <c r="C164" s="15"/>
      <c r="D164" s="17"/>
      <c r="E164" s="38"/>
      <c r="F164" s="38"/>
      <c r="G164" s="38"/>
      <c r="H164" s="38"/>
      <c r="I164" s="108"/>
    </row>
    <row r="165">
      <c r="A165" s="38"/>
      <c r="B165" s="38"/>
      <c r="C165" s="15"/>
      <c r="D165" s="17"/>
      <c r="E165" s="38"/>
      <c r="F165" s="38"/>
      <c r="G165" s="38"/>
      <c r="H165" s="38"/>
      <c r="I165" s="108"/>
    </row>
    <row r="166">
      <c r="A166" s="38"/>
      <c r="B166" s="38"/>
      <c r="C166" s="15"/>
      <c r="D166" s="17"/>
      <c r="E166" s="38"/>
      <c r="F166" s="38"/>
      <c r="G166" s="38"/>
      <c r="H166" s="38"/>
      <c r="I166" s="108"/>
    </row>
    <row r="167">
      <c r="A167" s="38"/>
      <c r="B167" s="38"/>
      <c r="C167" s="15"/>
      <c r="D167" s="17"/>
      <c r="E167" s="38"/>
      <c r="F167" s="38"/>
      <c r="G167" s="38"/>
      <c r="H167" s="38"/>
      <c r="I167" s="108"/>
    </row>
    <row r="168">
      <c r="A168" s="38"/>
      <c r="B168" s="38"/>
      <c r="C168" s="15"/>
      <c r="D168" s="17"/>
      <c r="E168" s="38"/>
      <c r="F168" s="38"/>
      <c r="G168" s="38"/>
      <c r="H168" s="38"/>
      <c r="I168" s="108"/>
    </row>
    <row r="169">
      <c r="A169" s="38"/>
      <c r="B169" s="38"/>
      <c r="C169" s="15"/>
      <c r="D169" s="17"/>
      <c r="E169" s="38"/>
      <c r="F169" s="38"/>
      <c r="G169" s="38"/>
      <c r="H169" s="38"/>
      <c r="I169" s="108"/>
    </row>
    <row r="170">
      <c r="A170" s="38"/>
      <c r="B170" s="38"/>
      <c r="C170" s="15"/>
      <c r="D170" s="17"/>
      <c r="E170" s="38"/>
      <c r="F170" s="38"/>
      <c r="G170" s="38"/>
      <c r="H170" s="38"/>
      <c r="I170" s="108"/>
    </row>
    <row r="171">
      <c r="A171" s="38"/>
      <c r="B171" s="38"/>
      <c r="C171" s="15"/>
      <c r="D171" s="17"/>
      <c r="E171" s="38"/>
      <c r="F171" s="38"/>
      <c r="G171" s="38"/>
      <c r="H171" s="38"/>
      <c r="I171" s="108"/>
    </row>
    <row r="172">
      <c r="A172" s="38"/>
      <c r="B172" s="38"/>
      <c r="C172" s="15"/>
      <c r="D172" s="17"/>
      <c r="E172" s="38"/>
      <c r="F172" s="38"/>
      <c r="G172" s="38"/>
      <c r="H172" s="38"/>
      <c r="I172" s="108"/>
    </row>
    <row r="173">
      <c r="A173" s="38"/>
      <c r="B173" s="38"/>
      <c r="C173" s="15"/>
      <c r="D173" s="17"/>
      <c r="E173" s="38"/>
      <c r="F173" s="38"/>
      <c r="G173" s="38"/>
      <c r="H173" s="38"/>
      <c r="I173" s="108"/>
    </row>
    <row r="174">
      <c r="A174" s="38"/>
      <c r="B174" s="38"/>
      <c r="C174" s="15"/>
      <c r="D174" s="17"/>
      <c r="E174" s="38"/>
      <c r="F174" s="38"/>
      <c r="G174" s="38"/>
      <c r="H174" s="38"/>
      <c r="I174" s="108"/>
    </row>
    <row r="175">
      <c r="A175" s="38"/>
      <c r="B175" s="38"/>
      <c r="C175" s="15"/>
      <c r="D175" s="17"/>
      <c r="E175" s="38"/>
      <c r="F175" s="38"/>
      <c r="G175" s="38"/>
      <c r="H175" s="38"/>
      <c r="I175" s="108"/>
    </row>
    <row r="176">
      <c r="A176" s="38"/>
      <c r="B176" s="38"/>
      <c r="C176" s="15"/>
      <c r="D176" s="17"/>
      <c r="E176" s="38"/>
      <c r="F176" s="38"/>
      <c r="G176" s="38"/>
      <c r="H176" s="38"/>
      <c r="I176" s="108"/>
    </row>
    <row r="177">
      <c r="A177" s="38"/>
      <c r="B177" s="38"/>
      <c r="C177" s="15"/>
      <c r="D177" s="17"/>
      <c r="E177" s="38"/>
      <c r="F177" s="38"/>
      <c r="G177" s="38"/>
      <c r="H177" s="38"/>
      <c r="I177" s="108"/>
    </row>
    <row r="178">
      <c r="A178" s="38"/>
      <c r="B178" s="38"/>
      <c r="C178" s="15"/>
      <c r="D178" s="17"/>
      <c r="E178" s="38"/>
      <c r="F178" s="38"/>
      <c r="G178" s="38"/>
      <c r="H178" s="38"/>
      <c r="I178" s="108"/>
    </row>
    <row r="179">
      <c r="A179" s="38"/>
      <c r="B179" s="38"/>
      <c r="C179" s="15"/>
      <c r="D179" s="17"/>
      <c r="E179" s="38"/>
      <c r="F179" s="38"/>
      <c r="G179" s="38"/>
      <c r="H179" s="38"/>
      <c r="I179" s="108"/>
    </row>
    <row r="180">
      <c r="A180" s="38"/>
      <c r="B180" s="38"/>
      <c r="C180" s="15"/>
      <c r="D180" s="17"/>
      <c r="E180" s="38"/>
      <c r="F180" s="38"/>
      <c r="G180" s="38"/>
      <c r="H180" s="38"/>
      <c r="I180" s="108"/>
    </row>
    <row r="181">
      <c r="A181" s="38"/>
      <c r="B181" s="38"/>
      <c r="C181" s="15"/>
      <c r="D181" s="17"/>
      <c r="E181" s="38"/>
      <c r="F181" s="38"/>
      <c r="G181" s="38"/>
      <c r="H181" s="38"/>
      <c r="I181" s="108"/>
    </row>
    <row r="182">
      <c r="A182" s="38"/>
      <c r="B182" s="38"/>
      <c r="C182" s="15"/>
      <c r="D182" s="17"/>
      <c r="E182" s="38"/>
      <c r="F182" s="38"/>
      <c r="G182" s="38"/>
      <c r="H182" s="38"/>
      <c r="I182" s="108"/>
    </row>
    <row r="183">
      <c r="A183" s="38"/>
      <c r="B183" s="38"/>
      <c r="C183" s="15"/>
      <c r="D183" s="17"/>
      <c r="E183" s="38"/>
      <c r="F183" s="38"/>
      <c r="G183" s="38"/>
      <c r="H183" s="38"/>
      <c r="I183" s="108"/>
    </row>
    <row r="184">
      <c r="A184" s="38"/>
      <c r="B184" s="38"/>
      <c r="C184" s="15"/>
      <c r="D184" s="17"/>
      <c r="E184" s="38"/>
      <c r="F184" s="38"/>
      <c r="G184" s="38"/>
      <c r="H184" s="38"/>
      <c r="I184" s="108"/>
    </row>
    <row r="185">
      <c r="A185" s="38"/>
      <c r="B185" s="38"/>
      <c r="C185" s="15"/>
      <c r="D185" s="17"/>
      <c r="E185" s="38"/>
      <c r="F185" s="38"/>
      <c r="G185" s="38"/>
      <c r="H185" s="38"/>
      <c r="I185" s="108"/>
    </row>
    <row r="186">
      <c r="A186" s="38"/>
      <c r="B186" s="38"/>
      <c r="C186" s="15"/>
      <c r="D186" s="17"/>
      <c r="E186" s="38"/>
      <c r="F186" s="38"/>
      <c r="G186" s="38"/>
      <c r="H186" s="38"/>
      <c r="I186" s="108"/>
    </row>
    <row r="187">
      <c r="A187" s="38"/>
      <c r="B187" s="38"/>
      <c r="C187" s="15"/>
      <c r="D187" s="17"/>
      <c r="E187" s="38"/>
      <c r="F187" s="38"/>
      <c r="G187" s="38"/>
      <c r="H187" s="38"/>
      <c r="I187" s="108"/>
    </row>
    <row r="188">
      <c r="A188" s="38"/>
      <c r="B188" s="38"/>
      <c r="C188" s="15"/>
      <c r="D188" s="17"/>
      <c r="E188" s="38"/>
      <c r="F188" s="38"/>
      <c r="G188" s="38"/>
      <c r="H188" s="38"/>
      <c r="I188" s="108"/>
    </row>
    <row r="189">
      <c r="A189" s="38"/>
      <c r="B189" s="38"/>
      <c r="C189" s="15"/>
      <c r="D189" s="17"/>
      <c r="E189" s="38"/>
      <c r="F189" s="38"/>
      <c r="G189" s="38"/>
      <c r="H189" s="38"/>
      <c r="I189" s="108"/>
    </row>
    <row r="190">
      <c r="A190" s="38"/>
      <c r="B190" s="38"/>
      <c r="C190" s="15"/>
      <c r="D190" s="17"/>
      <c r="E190" s="38"/>
      <c r="F190" s="38"/>
      <c r="G190" s="38"/>
      <c r="H190" s="38"/>
      <c r="I190" s="108"/>
    </row>
    <row r="191">
      <c r="A191" s="38"/>
      <c r="B191" s="38"/>
      <c r="C191" s="15"/>
      <c r="D191" s="17"/>
      <c r="E191" s="38"/>
      <c r="F191" s="38"/>
      <c r="G191" s="38"/>
      <c r="H191" s="38"/>
      <c r="I191" s="108"/>
    </row>
    <row r="192">
      <c r="A192" s="38"/>
      <c r="B192" s="38"/>
      <c r="C192" s="15"/>
      <c r="D192" s="17"/>
      <c r="E192" s="38"/>
      <c r="F192" s="38"/>
      <c r="G192" s="38"/>
      <c r="H192" s="38"/>
      <c r="I192" s="108"/>
    </row>
    <row r="193">
      <c r="A193" s="38"/>
      <c r="B193" s="38"/>
      <c r="C193" s="15"/>
      <c r="D193" s="17"/>
      <c r="E193" s="38"/>
      <c r="F193" s="38"/>
      <c r="G193" s="38"/>
      <c r="H193" s="38"/>
      <c r="I193" s="108"/>
    </row>
    <row r="194">
      <c r="A194" s="38"/>
      <c r="B194" s="38"/>
      <c r="C194" s="15"/>
      <c r="D194" s="17"/>
      <c r="E194" s="38"/>
      <c r="F194" s="38"/>
      <c r="G194" s="38"/>
      <c r="H194" s="38"/>
      <c r="I194" s="108"/>
    </row>
    <row r="195">
      <c r="A195" s="38"/>
      <c r="B195" s="38"/>
      <c r="C195" s="15"/>
      <c r="D195" s="17"/>
      <c r="E195" s="38"/>
      <c r="F195" s="38"/>
      <c r="G195" s="38"/>
      <c r="H195" s="38"/>
      <c r="I195" s="108"/>
    </row>
    <row r="196">
      <c r="A196" s="38"/>
      <c r="B196" s="38"/>
      <c r="C196" s="15"/>
      <c r="D196" s="17"/>
      <c r="E196" s="38"/>
      <c r="F196" s="38"/>
      <c r="G196" s="38"/>
      <c r="H196" s="38"/>
      <c r="I196" s="108"/>
    </row>
    <row r="197">
      <c r="A197" s="38"/>
      <c r="B197" s="38"/>
      <c r="C197" s="15"/>
      <c r="D197" s="17"/>
      <c r="E197" s="38"/>
      <c r="F197" s="38"/>
      <c r="G197" s="38"/>
      <c r="H197" s="38"/>
      <c r="I197" s="108"/>
    </row>
    <row r="198">
      <c r="A198" s="38"/>
      <c r="B198" s="38"/>
      <c r="C198" s="15"/>
      <c r="D198" s="17"/>
      <c r="E198" s="38"/>
      <c r="F198" s="38"/>
      <c r="G198" s="38"/>
      <c r="H198" s="38"/>
      <c r="I198" s="108"/>
    </row>
    <row r="199">
      <c r="A199" s="38"/>
      <c r="B199" s="38"/>
      <c r="C199" s="15"/>
      <c r="D199" s="17"/>
      <c r="E199" s="38"/>
      <c r="F199" s="38"/>
      <c r="G199" s="38"/>
      <c r="H199" s="38"/>
      <c r="I199" s="108"/>
    </row>
    <row r="200">
      <c r="A200" s="38"/>
      <c r="B200" s="38"/>
      <c r="C200" s="15"/>
      <c r="D200" s="17"/>
      <c r="E200" s="38"/>
      <c r="F200" s="38"/>
      <c r="G200" s="38"/>
      <c r="H200" s="38"/>
      <c r="I200" s="108"/>
    </row>
    <row r="201">
      <c r="A201" s="38"/>
      <c r="B201" s="38"/>
      <c r="C201" s="15"/>
      <c r="D201" s="17"/>
      <c r="E201" s="38"/>
      <c r="F201" s="38"/>
      <c r="G201" s="38"/>
      <c r="H201" s="38"/>
      <c r="I201" s="108"/>
    </row>
    <row r="202">
      <c r="A202" s="38"/>
      <c r="B202" s="38"/>
      <c r="C202" s="15"/>
      <c r="D202" s="17"/>
      <c r="E202" s="38"/>
      <c r="F202" s="38"/>
      <c r="G202" s="38"/>
      <c r="H202" s="38"/>
      <c r="I202" s="108"/>
    </row>
    <row r="203">
      <c r="A203" s="38"/>
      <c r="B203" s="38"/>
      <c r="C203" s="15"/>
      <c r="D203" s="17"/>
      <c r="E203" s="38"/>
      <c r="F203" s="38"/>
      <c r="G203" s="38"/>
      <c r="H203" s="38"/>
      <c r="I203" s="108"/>
    </row>
    <row r="204">
      <c r="A204" s="38"/>
      <c r="B204" s="38"/>
      <c r="C204" s="15"/>
      <c r="D204" s="17"/>
      <c r="E204" s="38"/>
      <c r="F204" s="38"/>
      <c r="G204" s="38"/>
      <c r="H204" s="38"/>
      <c r="I204" s="108"/>
    </row>
    <row r="205">
      <c r="A205" s="38"/>
      <c r="B205" s="38"/>
      <c r="C205" s="15"/>
      <c r="D205" s="17"/>
      <c r="E205" s="38"/>
      <c r="F205" s="38"/>
      <c r="G205" s="38"/>
      <c r="H205" s="38"/>
      <c r="I205" s="108"/>
    </row>
    <row r="206">
      <c r="A206" s="38"/>
      <c r="B206" s="38"/>
      <c r="C206" s="15"/>
      <c r="D206" s="17"/>
      <c r="E206" s="38"/>
      <c r="F206" s="38"/>
      <c r="G206" s="38"/>
      <c r="H206" s="38"/>
      <c r="I206" s="108"/>
    </row>
    <row r="207">
      <c r="A207" s="38"/>
      <c r="B207" s="38"/>
      <c r="C207" s="15"/>
      <c r="D207" s="17"/>
      <c r="E207" s="38"/>
      <c r="F207" s="38"/>
      <c r="G207" s="38"/>
      <c r="H207" s="38"/>
      <c r="I207" s="108"/>
    </row>
    <row r="208">
      <c r="A208" s="38"/>
      <c r="B208" s="38"/>
      <c r="C208" s="15"/>
      <c r="D208" s="17"/>
      <c r="E208" s="38"/>
      <c r="F208" s="38"/>
      <c r="G208" s="38"/>
      <c r="H208" s="38"/>
      <c r="I208" s="108"/>
    </row>
    <row r="209">
      <c r="A209" s="38"/>
      <c r="B209" s="38"/>
      <c r="C209" s="15"/>
      <c r="D209" s="17"/>
      <c r="E209" s="38"/>
      <c r="F209" s="38"/>
      <c r="G209" s="38"/>
      <c r="H209" s="38"/>
      <c r="I209" s="108"/>
    </row>
    <row r="210">
      <c r="A210" s="38"/>
      <c r="B210" s="38"/>
      <c r="C210" s="15"/>
      <c r="D210" s="17"/>
      <c r="E210" s="38"/>
      <c r="F210" s="38"/>
      <c r="G210" s="38"/>
      <c r="H210" s="38"/>
      <c r="I210" s="108"/>
    </row>
    <row r="211">
      <c r="A211" s="38"/>
      <c r="B211" s="38"/>
      <c r="C211" s="15"/>
      <c r="D211" s="17"/>
      <c r="E211" s="38"/>
      <c r="F211" s="38"/>
      <c r="G211" s="38"/>
      <c r="H211" s="38"/>
      <c r="I211" s="108"/>
    </row>
    <row r="212">
      <c r="A212" s="38"/>
      <c r="B212" s="38"/>
      <c r="C212" s="15"/>
      <c r="D212" s="17"/>
      <c r="E212" s="38"/>
      <c r="F212" s="38"/>
      <c r="G212" s="38"/>
      <c r="H212" s="38"/>
      <c r="I212" s="108"/>
    </row>
    <row r="213">
      <c r="A213" s="38"/>
      <c r="B213" s="38"/>
      <c r="C213" s="15"/>
      <c r="D213" s="17"/>
      <c r="E213" s="38"/>
      <c r="F213" s="38"/>
      <c r="G213" s="38"/>
      <c r="H213" s="38"/>
      <c r="I213" s="108"/>
    </row>
    <row r="214">
      <c r="A214" s="38"/>
      <c r="B214" s="38"/>
      <c r="C214" s="15"/>
      <c r="D214" s="17"/>
      <c r="E214" s="38"/>
      <c r="F214" s="38"/>
      <c r="G214" s="38"/>
      <c r="H214" s="38"/>
      <c r="I214" s="108"/>
    </row>
    <row r="215">
      <c r="A215" s="38"/>
      <c r="B215" s="38"/>
      <c r="C215" s="15"/>
      <c r="D215" s="17"/>
      <c r="E215" s="38"/>
      <c r="F215" s="38"/>
      <c r="G215" s="38"/>
      <c r="H215" s="38"/>
      <c r="I215" s="108"/>
    </row>
    <row r="216">
      <c r="A216" s="38"/>
      <c r="B216" s="38"/>
      <c r="C216" s="15"/>
      <c r="D216" s="17"/>
      <c r="E216" s="38"/>
      <c r="F216" s="38"/>
      <c r="G216" s="38"/>
      <c r="H216" s="38"/>
      <c r="I216" s="108"/>
    </row>
    <row r="217">
      <c r="A217" s="38"/>
      <c r="B217" s="38"/>
      <c r="C217" s="15"/>
      <c r="D217" s="17"/>
      <c r="E217" s="38"/>
      <c r="F217" s="38"/>
      <c r="G217" s="38"/>
      <c r="H217" s="38"/>
      <c r="I217" s="108"/>
    </row>
    <row r="218">
      <c r="A218" s="38"/>
      <c r="B218" s="38"/>
      <c r="C218" s="15"/>
      <c r="D218" s="17"/>
      <c r="E218" s="38"/>
      <c r="F218" s="38"/>
      <c r="G218" s="38"/>
      <c r="H218" s="38"/>
      <c r="I218" s="108"/>
    </row>
    <row r="219">
      <c r="A219" s="38"/>
      <c r="B219" s="38"/>
      <c r="C219" s="15"/>
      <c r="D219" s="17"/>
      <c r="E219" s="38"/>
      <c r="F219" s="38"/>
      <c r="G219" s="38"/>
      <c r="H219" s="38"/>
      <c r="I219" s="108"/>
    </row>
    <row r="220">
      <c r="A220" s="38"/>
      <c r="B220" s="38"/>
      <c r="C220" s="15"/>
      <c r="D220" s="17"/>
      <c r="E220" s="38"/>
      <c r="F220" s="38"/>
      <c r="G220" s="38"/>
      <c r="H220" s="38"/>
      <c r="I220" s="108"/>
    </row>
    <row r="221">
      <c r="A221" s="38"/>
      <c r="B221" s="38"/>
      <c r="C221" s="15"/>
      <c r="D221" s="17"/>
      <c r="E221" s="38"/>
      <c r="F221" s="38"/>
      <c r="G221" s="38"/>
      <c r="H221" s="38"/>
      <c r="I221" s="108"/>
    </row>
    <row r="222">
      <c r="A222" s="38"/>
      <c r="B222" s="38"/>
      <c r="C222" s="15"/>
      <c r="D222" s="17"/>
      <c r="E222" s="38"/>
      <c r="F222" s="38"/>
      <c r="G222" s="38"/>
      <c r="H222" s="38"/>
      <c r="I222" s="108"/>
    </row>
    <row r="223">
      <c r="A223" s="38"/>
      <c r="B223" s="38"/>
      <c r="C223" s="15"/>
      <c r="D223" s="17"/>
      <c r="E223" s="38"/>
      <c r="F223" s="38"/>
      <c r="G223" s="38"/>
      <c r="H223" s="38"/>
      <c r="I223" s="108"/>
    </row>
    <row r="224">
      <c r="A224" s="38"/>
      <c r="B224" s="38"/>
      <c r="C224" s="15"/>
      <c r="D224" s="17"/>
      <c r="E224" s="38"/>
      <c r="F224" s="38"/>
      <c r="G224" s="38"/>
      <c r="H224" s="38"/>
      <c r="I224" s="108"/>
    </row>
    <row r="225">
      <c r="A225" s="38"/>
      <c r="B225" s="38"/>
      <c r="C225" s="15"/>
      <c r="D225" s="17"/>
      <c r="E225" s="38"/>
      <c r="F225" s="38"/>
      <c r="G225" s="38"/>
      <c r="H225" s="38"/>
      <c r="I225" s="108"/>
    </row>
    <row r="226">
      <c r="A226" s="38"/>
      <c r="B226" s="38"/>
      <c r="C226" s="15"/>
      <c r="D226" s="17"/>
      <c r="E226" s="38"/>
      <c r="F226" s="38"/>
      <c r="G226" s="38"/>
      <c r="H226" s="38"/>
      <c r="I226" s="108"/>
    </row>
    <row r="227">
      <c r="A227" s="38"/>
      <c r="B227" s="38"/>
      <c r="C227" s="15"/>
      <c r="D227" s="17"/>
      <c r="E227" s="38"/>
      <c r="F227" s="38"/>
      <c r="G227" s="38"/>
      <c r="H227" s="38"/>
      <c r="I227" s="108"/>
    </row>
    <row r="228">
      <c r="A228" s="38"/>
      <c r="B228" s="38"/>
      <c r="C228" s="15"/>
      <c r="D228" s="17"/>
      <c r="E228" s="38"/>
      <c r="F228" s="38"/>
      <c r="G228" s="38"/>
      <c r="H228" s="38"/>
      <c r="I228" s="108"/>
    </row>
    <row r="229">
      <c r="A229" s="38"/>
      <c r="B229" s="38"/>
      <c r="C229" s="15"/>
      <c r="D229" s="17"/>
      <c r="E229" s="38"/>
      <c r="F229" s="38"/>
      <c r="G229" s="38"/>
      <c r="H229" s="38"/>
      <c r="I229" s="108"/>
    </row>
    <row r="230">
      <c r="A230" s="38"/>
      <c r="B230" s="38"/>
      <c r="C230" s="15"/>
      <c r="D230" s="17"/>
      <c r="E230" s="38"/>
      <c r="F230" s="38"/>
      <c r="G230" s="38"/>
      <c r="H230" s="38"/>
      <c r="I230" s="108"/>
    </row>
    <row r="231">
      <c r="A231" s="38"/>
      <c r="B231" s="38"/>
      <c r="C231" s="15"/>
      <c r="D231" s="17"/>
      <c r="E231" s="38"/>
      <c r="F231" s="38"/>
      <c r="G231" s="38"/>
      <c r="H231" s="38"/>
      <c r="I231" s="108"/>
    </row>
    <row r="232">
      <c r="A232" s="38"/>
      <c r="B232" s="38"/>
      <c r="C232" s="15"/>
      <c r="D232" s="17"/>
      <c r="E232" s="38"/>
      <c r="F232" s="38"/>
      <c r="G232" s="38"/>
      <c r="H232" s="38"/>
      <c r="I232" s="108"/>
    </row>
    <row r="233">
      <c r="A233" s="38"/>
      <c r="B233" s="38"/>
      <c r="C233" s="15"/>
      <c r="D233" s="17"/>
      <c r="E233" s="38"/>
      <c r="F233" s="38"/>
      <c r="G233" s="38"/>
      <c r="H233" s="38"/>
      <c r="I233" s="108"/>
    </row>
    <row r="234">
      <c r="A234" s="38"/>
      <c r="B234" s="38"/>
      <c r="C234" s="15"/>
      <c r="D234" s="17"/>
      <c r="E234" s="38"/>
      <c r="F234" s="38"/>
      <c r="G234" s="38"/>
      <c r="H234" s="38"/>
      <c r="I234" s="108"/>
    </row>
    <row r="235">
      <c r="A235" s="38"/>
      <c r="B235" s="38"/>
      <c r="C235" s="15"/>
      <c r="D235" s="17"/>
      <c r="E235" s="38"/>
      <c r="F235" s="38"/>
      <c r="G235" s="38"/>
      <c r="H235" s="38"/>
      <c r="I235" s="108"/>
    </row>
    <row r="236">
      <c r="A236" s="38"/>
      <c r="B236" s="38"/>
      <c r="C236" s="15"/>
      <c r="D236" s="17"/>
      <c r="E236" s="38"/>
      <c r="F236" s="38"/>
      <c r="G236" s="38"/>
      <c r="H236" s="38"/>
      <c r="I236" s="108"/>
    </row>
    <row r="237">
      <c r="A237" s="38"/>
      <c r="B237" s="38"/>
      <c r="C237" s="15"/>
      <c r="D237" s="17"/>
      <c r="E237" s="38"/>
      <c r="F237" s="38"/>
      <c r="G237" s="38"/>
      <c r="H237" s="38"/>
      <c r="I237" s="108"/>
    </row>
    <row r="238">
      <c r="A238" s="38"/>
      <c r="B238" s="38"/>
      <c r="C238" s="15"/>
      <c r="D238" s="17"/>
      <c r="E238" s="38"/>
      <c r="F238" s="38"/>
      <c r="G238" s="38"/>
      <c r="H238" s="38"/>
      <c r="I238" s="108"/>
    </row>
    <row r="239">
      <c r="A239" s="38"/>
      <c r="B239" s="38"/>
      <c r="C239" s="15"/>
      <c r="D239" s="17"/>
      <c r="E239" s="38"/>
      <c r="F239" s="38"/>
      <c r="G239" s="38"/>
      <c r="H239" s="38"/>
      <c r="I239" s="108"/>
    </row>
    <row r="240">
      <c r="A240" s="38"/>
      <c r="B240" s="38"/>
      <c r="C240" s="15"/>
      <c r="D240" s="17"/>
      <c r="E240" s="38"/>
      <c r="F240" s="38"/>
      <c r="G240" s="38"/>
      <c r="H240" s="38"/>
      <c r="I240" s="108"/>
    </row>
    <row r="241">
      <c r="A241" s="38"/>
      <c r="B241" s="38"/>
      <c r="C241" s="15"/>
      <c r="D241" s="17"/>
      <c r="E241" s="38"/>
      <c r="F241" s="38"/>
      <c r="G241" s="38"/>
      <c r="H241" s="38"/>
      <c r="I241" s="108"/>
    </row>
    <row r="242">
      <c r="A242" s="38"/>
      <c r="B242" s="38"/>
      <c r="C242" s="15"/>
      <c r="D242" s="17"/>
      <c r="E242" s="38"/>
      <c r="F242" s="38"/>
      <c r="G242" s="38"/>
      <c r="H242" s="38"/>
      <c r="I242" s="108"/>
    </row>
    <row r="243">
      <c r="A243" s="38"/>
      <c r="B243" s="38"/>
      <c r="C243" s="15"/>
      <c r="D243" s="17"/>
      <c r="E243" s="38"/>
      <c r="F243" s="38"/>
      <c r="G243" s="38"/>
      <c r="H243" s="38"/>
      <c r="I243" s="108"/>
    </row>
    <row r="244">
      <c r="A244" s="38"/>
      <c r="B244" s="38"/>
      <c r="C244" s="15"/>
      <c r="D244" s="17"/>
      <c r="E244" s="38"/>
      <c r="F244" s="38"/>
      <c r="G244" s="38"/>
      <c r="H244" s="38"/>
      <c r="I244" s="108"/>
    </row>
    <row r="245">
      <c r="A245" s="38"/>
      <c r="B245" s="38"/>
      <c r="C245" s="15"/>
      <c r="D245" s="17"/>
      <c r="E245" s="38"/>
      <c r="F245" s="38"/>
      <c r="G245" s="38"/>
      <c r="H245" s="38"/>
      <c r="I245" s="108"/>
    </row>
    <row r="246">
      <c r="A246" s="38"/>
      <c r="B246" s="38"/>
      <c r="C246" s="15"/>
      <c r="D246" s="17"/>
      <c r="E246" s="38"/>
      <c r="F246" s="38"/>
      <c r="G246" s="38"/>
      <c r="H246" s="38"/>
      <c r="I246" s="108"/>
    </row>
    <row r="247">
      <c r="A247" s="38"/>
      <c r="B247" s="38"/>
      <c r="C247" s="15"/>
      <c r="D247" s="17"/>
      <c r="E247" s="38"/>
      <c r="F247" s="38"/>
      <c r="G247" s="38"/>
      <c r="H247" s="38"/>
      <c r="I247" s="108"/>
    </row>
    <row r="248">
      <c r="A248" s="38"/>
      <c r="B248" s="38"/>
      <c r="C248" s="15"/>
      <c r="D248" s="17"/>
      <c r="E248" s="38"/>
      <c r="F248" s="38"/>
      <c r="G248" s="38"/>
      <c r="H248" s="38"/>
      <c r="I248" s="108"/>
    </row>
    <row r="249">
      <c r="A249" s="38"/>
      <c r="B249" s="38"/>
      <c r="C249" s="15"/>
      <c r="D249" s="17"/>
      <c r="E249" s="38"/>
      <c r="F249" s="38"/>
      <c r="G249" s="38"/>
      <c r="H249" s="38"/>
      <c r="I249" s="108"/>
    </row>
    <row r="250">
      <c r="A250" s="38"/>
      <c r="B250" s="38"/>
      <c r="C250" s="15"/>
      <c r="D250" s="17"/>
      <c r="E250" s="38"/>
      <c r="F250" s="38"/>
      <c r="G250" s="38"/>
      <c r="H250" s="38"/>
      <c r="I250" s="108"/>
    </row>
    <row r="251">
      <c r="A251" s="38"/>
      <c r="B251" s="38"/>
      <c r="C251" s="15"/>
      <c r="D251" s="17"/>
      <c r="E251" s="38"/>
      <c r="F251" s="38"/>
      <c r="G251" s="38"/>
      <c r="H251" s="38"/>
      <c r="I251" s="108"/>
    </row>
    <row r="252">
      <c r="A252" s="38"/>
      <c r="B252" s="38"/>
      <c r="C252" s="15"/>
      <c r="D252" s="17"/>
      <c r="E252" s="38"/>
      <c r="F252" s="38"/>
      <c r="G252" s="38"/>
      <c r="H252" s="38"/>
      <c r="I252" s="108"/>
    </row>
    <row r="253">
      <c r="A253" s="38"/>
      <c r="B253" s="38"/>
      <c r="C253" s="15"/>
      <c r="D253" s="17"/>
      <c r="E253" s="38"/>
      <c r="F253" s="38"/>
      <c r="G253" s="38"/>
      <c r="H253" s="38"/>
      <c r="I253" s="108"/>
    </row>
    <row r="254">
      <c r="A254" s="38"/>
      <c r="B254" s="38"/>
      <c r="C254" s="15"/>
      <c r="D254" s="17"/>
      <c r="E254" s="38"/>
      <c r="F254" s="38"/>
      <c r="G254" s="38"/>
      <c r="H254" s="38"/>
      <c r="I254" s="108"/>
    </row>
    <row r="255">
      <c r="A255" s="38"/>
      <c r="B255" s="38"/>
      <c r="C255" s="15"/>
      <c r="D255" s="17"/>
      <c r="E255" s="38"/>
      <c r="F255" s="38"/>
      <c r="G255" s="38"/>
      <c r="H255" s="38"/>
      <c r="I255" s="108"/>
    </row>
    <row r="256">
      <c r="A256" s="38"/>
      <c r="B256" s="38"/>
      <c r="C256" s="15"/>
      <c r="D256" s="17"/>
      <c r="E256" s="38"/>
      <c r="F256" s="38"/>
      <c r="G256" s="38"/>
      <c r="H256" s="38"/>
      <c r="I256" s="108"/>
    </row>
    <row r="257">
      <c r="A257" s="38"/>
      <c r="B257" s="38"/>
      <c r="C257" s="15"/>
      <c r="D257" s="17"/>
      <c r="E257" s="38"/>
      <c r="F257" s="38"/>
      <c r="G257" s="38"/>
      <c r="H257" s="38"/>
      <c r="I257" s="108"/>
    </row>
    <row r="258">
      <c r="A258" s="38"/>
      <c r="B258" s="38"/>
      <c r="C258" s="15"/>
      <c r="D258" s="17"/>
      <c r="E258" s="38"/>
      <c r="F258" s="38"/>
      <c r="G258" s="38"/>
      <c r="H258" s="38"/>
      <c r="I258" s="108"/>
    </row>
    <row r="259">
      <c r="A259" s="38"/>
      <c r="B259" s="38"/>
      <c r="C259" s="15"/>
      <c r="D259" s="17"/>
      <c r="E259" s="38"/>
      <c r="F259" s="38"/>
      <c r="G259" s="38"/>
      <c r="H259" s="38"/>
      <c r="I259" s="108"/>
    </row>
    <row r="260">
      <c r="A260" s="38"/>
      <c r="B260" s="38"/>
      <c r="C260" s="15"/>
      <c r="D260" s="17"/>
      <c r="E260" s="38"/>
      <c r="F260" s="38"/>
      <c r="G260" s="38"/>
      <c r="H260" s="38"/>
      <c r="I260" s="108"/>
    </row>
    <row r="261">
      <c r="A261" s="38"/>
      <c r="B261" s="38"/>
      <c r="C261" s="15"/>
      <c r="D261" s="17"/>
      <c r="E261" s="38"/>
      <c r="F261" s="38"/>
      <c r="G261" s="38"/>
      <c r="H261" s="38"/>
      <c r="I261" s="108"/>
    </row>
    <row r="262">
      <c r="A262" s="38"/>
      <c r="B262" s="38"/>
      <c r="C262" s="15"/>
      <c r="D262" s="17"/>
      <c r="E262" s="38"/>
      <c r="F262" s="38"/>
      <c r="G262" s="38"/>
      <c r="H262" s="38"/>
      <c r="I262" s="108"/>
    </row>
    <row r="263">
      <c r="A263" s="38"/>
      <c r="B263" s="38"/>
      <c r="C263" s="15"/>
      <c r="D263" s="17"/>
      <c r="E263" s="38"/>
      <c r="F263" s="38"/>
      <c r="G263" s="38"/>
      <c r="H263" s="38"/>
      <c r="I263" s="108"/>
    </row>
    <row r="264">
      <c r="A264" s="38"/>
      <c r="B264" s="38"/>
      <c r="C264" s="15"/>
      <c r="D264" s="17"/>
      <c r="E264" s="38"/>
      <c r="F264" s="38"/>
      <c r="G264" s="38"/>
      <c r="H264" s="38"/>
      <c r="I264" s="108"/>
    </row>
    <row r="265">
      <c r="A265" s="38"/>
      <c r="B265" s="38"/>
      <c r="C265" s="15"/>
      <c r="D265" s="17"/>
      <c r="E265" s="38"/>
      <c r="F265" s="38"/>
      <c r="G265" s="38"/>
      <c r="H265" s="38"/>
      <c r="I265" s="108"/>
    </row>
    <row r="266">
      <c r="A266" s="38"/>
      <c r="B266" s="38"/>
      <c r="C266" s="15"/>
      <c r="D266" s="17"/>
      <c r="E266" s="38"/>
      <c r="F266" s="38"/>
      <c r="G266" s="38"/>
      <c r="H266" s="38"/>
      <c r="I266" s="108"/>
    </row>
    <row r="267">
      <c r="A267" s="38"/>
      <c r="B267" s="38"/>
      <c r="C267" s="15"/>
      <c r="D267" s="17"/>
      <c r="E267" s="38"/>
      <c r="F267" s="38"/>
      <c r="G267" s="38"/>
      <c r="H267" s="38"/>
      <c r="I267" s="108"/>
    </row>
    <row r="268">
      <c r="A268" s="38"/>
      <c r="B268" s="38"/>
      <c r="C268" s="15"/>
      <c r="D268" s="17"/>
      <c r="E268" s="38"/>
      <c r="F268" s="38"/>
      <c r="G268" s="38"/>
      <c r="H268" s="38"/>
      <c r="I268" s="108"/>
    </row>
    <row r="269">
      <c r="A269" s="38"/>
      <c r="B269" s="38"/>
      <c r="C269" s="15"/>
      <c r="D269" s="17"/>
      <c r="E269" s="38"/>
      <c r="F269" s="38"/>
      <c r="G269" s="38"/>
      <c r="H269" s="38"/>
      <c r="I269" s="108"/>
    </row>
    <row r="270">
      <c r="A270" s="38"/>
      <c r="B270" s="38"/>
      <c r="C270" s="15"/>
      <c r="D270" s="17"/>
      <c r="E270" s="38"/>
      <c r="F270" s="38"/>
      <c r="G270" s="38"/>
      <c r="H270" s="38"/>
      <c r="I270" s="108"/>
    </row>
    <row r="271">
      <c r="A271" s="38"/>
      <c r="B271" s="38"/>
      <c r="C271" s="15"/>
      <c r="D271" s="17"/>
      <c r="E271" s="38"/>
      <c r="F271" s="38"/>
      <c r="G271" s="38"/>
      <c r="H271" s="38"/>
      <c r="I271" s="108"/>
    </row>
    <row r="272">
      <c r="A272" s="38"/>
      <c r="B272" s="38"/>
      <c r="C272" s="15"/>
      <c r="D272" s="17"/>
      <c r="E272" s="38"/>
      <c r="F272" s="38"/>
      <c r="G272" s="38"/>
      <c r="H272" s="38"/>
      <c r="I272" s="108"/>
    </row>
    <row r="273">
      <c r="A273" s="38"/>
      <c r="B273" s="38"/>
      <c r="C273" s="15"/>
      <c r="D273" s="17"/>
      <c r="E273" s="38"/>
      <c r="F273" s="38"/>
      <c r="G273" s="38"/>
      <c r="H273" s="38"/>
      <c r="I273" s="108"/>
    </row>
    <row r="274">
      <c r="A274" s="38"/>
      <c r="B274" s="38"/>
      <c r="C274" s="15"/>
      <c r="D274" s="17"/>
      <c r="E274" s="38"/>
      <c r="F274" s="38"/>
      <c r="G274" s="38"/>
      <c r="H274" s="38"/>
      <c r="I274" s="108"/>
    </row>
    <row r="275">
      <c r="A275" s="38"/>
      <c r="B275" s="38"/>
      <c r="C275" s="15"/>
      <c r="D275" s="17"/>
      <c r="E275" s="38"/>
      <c r="F275" s="38"/>
      <c r="G275" s="38"/>
      <c r="H275" s="38"/>
      <c r="I275" s="108"/>
    </row>
    <row r="276">
      <c r="A276" s="38"/>
      <c r="B276" s="38"/>
      <c r="C276" s="15"/>
      <c r="D276" s="17"/>
      <c r="E276" s="38"/>
      <c r="F276" s="38"/>
      <c r="G276" s="38"/>
      <c r="H276" s="38"/>
      <c r="I276" s="108"/>
    </row>
    <row r="277">
      <c r="A277" s="38"/>
      <c r="B277" s="38"/>
      <c r="C277" s="15"/>
      <c r="D277" s="17"/>
      <c r="E277" s="38"/>
      <c r="F277" s="38"/>
      <c r="G277" s="38"/>
      <c r="H277" s="38"/>
      <c r="I277" s="108"/>
    </row>
    <row r="278">
      <c r="A278" s="38"/>
      <c r="B278" s="38"/>
      <c r="C278" s="15"/>
      <c r="D278" s="17"/>
      <c r="E278" s="38"/>
      <c r="F278" s="38"/>
      <c r="G278" s="38"/>
      <c r="H278" s="38"/>
      <c r="I278" s="108"/>
    </row>
    <row r="279">
      <c r="A279" s="38"/>
      <c r="B279" s="38"/>
      <c r="C279" s="15"/>
      <c r="D279" s="17"/>
      <c r="E279" s="38"/>
      <c r="F279" s="38"/>
      <c r="G279" s="38"/>
      <c r="H279" s="38"/>
      <c r="I279" s="108"/>
    </row>
    <row r="280">
      <c r="A280" s="38"/>
      <c r="B280" s="38"/>
      <c r="C280" s="15"/>
      <c r="D280" s="17"/>
      <c r="E280" s="38"/>
      <c r="F280" s="38"/>
      <c r="G280" s="38"/>
      <c r="H280" s="38"/>
      <c r="I280" s="108"/>
    </row>
    <row r="281">
      <c r="A281" s="38"/>
      <c r="B281" s="38"/>
      <c r="C281" s="15"/>
      <c r="D281" s="17"/>
      <c r="E281" s="38"/>
      <c r="F281" s="38"/>
      <c r="G281" s="38"/>
      <c r="H281" s="38"/>
      <c r="I281" s="108"/>
    </row>
    <row r="282">
      <c r="A282" s="38"/>
      <c r="B282" s="38"/>
      <c r="C282" s="15"/>
      <c r="D282" s="17"/>
      <c r="E282" s="38"/>
      <c r="F282" s="38"/>
      <c r="G282" s="38"/>
      <c r="H282" s="38"/>
      <c r="I282" s="108"/>
    </row>
    <row r="283">
      <c r="A283" s="38"/>
      <c r="B283" s="38"/>
      <c r="C283" s="15"/>
      <c r="D283" s="17"/>
      <c r="E283" s="38"/>
      <c r="F283" s="38"/>
      <c r="G283" s="38"/>
      <c r="H283" s="38"/>
      <c r="I283" s="108"/>
    </row>
    <row r="284">
      <c r="A284" s="38"/>
      <c r="B284" s="38"/>
      <c r="C284" s="15"/>
      <c r="D284" s="17"/>
      <c r="E284" s="38"/>
      <c r="F284" s="38"/>
      <c r="G284" s="38"/>
      <c r="H284" s="38"/>
      <c r="I284" s="108"/>
    </row>
    <row r="285">
      <c r="A285" s="38"/>
      <c r="B285" s="38"/>
      <c r="C285" s="15"/>
      <c r="D285" s="17"/>
      <c r="E285" s="38"/>
      <c r="F285" s="38"/>
      <c r="G285" s="38"/>
      <c r="H285" s="38"/>
      <c r="I285" s="108"/>
    </row>
    <row r="286">
      <c r="A286" s="38"/>
      <c r="B286" s="38"/>
      <c r="C286" s="15"/>
      <c r="D286" s="17"/>
      <c r="E286" s="38"/>
      <c r="F286" s="38"/>
      <c r="G286" s="38"/>
      <c r="H286" s="38"/>
      <c r="I286" s="108"/>
    </row>
    <row r="287">
      <c r="A287" s="38"/>
      <c r="B287" s="38"/>
      <c r="C287" s="15"/>
      <c r="D287" s="17"/>
      <c r="E287" s="38"/>
      <c r="F287" s="38"/>
      <c r="G287" s="38"/>
      <c r="H287" s="38"/>
      <c r="I287" s="108"/>
    </row>
    <row r="288">
      <c r="A288" s="38"/>
      <c r="B288" s="38"/>
      <c r="C288" s="15"/>
      <c r="D288" s="17"/>
      <c r="E288" s="38"/>
      <c r="F288" s="38"/>
      <c r="G288" s="38"/>
      <c r="H288" s="38"/>
      <c r="I288" s="108"/>
    </row>
    <row r="289">
      <c r="A289" s="38"/>
      <c r="B289" s="38"/>
      <c r="C289" s="15"/>
      <c r="D289" s="17"/>
      <c r="E289" s="38"/>
      <c r="F289" s="38"/>
      <c r="G289" s="38"/>
      <c r="H289" s="38"/>
      <c r="I289" s="108"/>
    </row>
    <row r="290">
      <c r="A290" s="38"/>
      <c r="B290" s="38"/>
      <c r="C290" s="15"/>
      <c r="D290" s="17"/>
      <c r="E290" s="38"/>
      <c r="F290" s="38"/>
      <c r="G290" s="38"/>
      <c r="H290" s="38"/>
      <c r="I290" s="108"/>
    </row>
    <row r="291">
      <c r="A291" s="38"/>
      <c r="B291" s="38"/>
      <c r="C291" s="15"/>
      <c r="D291" s="17"/>
      <c r="E291" s="38"/>
      <c r="F291" s="38"/>
      <c r="G291" s="38"/>
      <c r="H291" s="38"/>
      <c r="I291" s="108"/>
    </row>
    <row r="292">
      <c r="A292" s="38"/>
      <c r="B292" s="38"/>
      <c r="C292" s="15"/>
      <c r="D292" s="17"/>
      <c r="E292" s="38"/>
      <c r="F292" s="38"/>
      <c r="G292" s="38"/>
      <c r="H292" s="38"/>
      <c r="I292" s="108"/>
    </row>
    <row r="293">
      <c r="A293" s="38"/>
      <c r="B293" s="38"/>
      <c r="C293" s="15"/>
      <c r="D293" s="17"/>
      <c r="E293" s="38"/>
      <c r="F293" s="38"/>
      <c r="G293" s="38"/>
      <c r="H293" s="38"/>
      <c r="I293" s="108"/>
    </row>
    <row r="294">
      <c r="A294" s="38"/>
      <c r="B294" s="38"/>
      <c r="C294" s="15"/>
      <c r="D294" s="17"/>
      <c r="E294" s="38"/>
      <c r="F294" s="38"/>
      <c r="G294" s="38"/>
      <c r="H294" s="38"/>
      <c r="I294" s="108"/>
    </row>
    <row r="295">
      <c r="A295" s="38"/>
      <c r="B295" s="38"/>
      <c r="C295" s="15"/>
      <c r="D295" s="17"/>
      <c r="E295" s="38"/>
      <c r="F295" s="38"/>
      <c r="G295" s="38"/>
      <c r="H295" s="38"/>
      <c r="I295" s="108"/>
    </row>
    <row r="296">
      <c r="A296" s="38"/>
      <c r="B296" s="38"/>
      <c r="C296" s="15"/>
      <c r="D296" s="17"/>
      <c r="E296" s="38"/>
      <c r="F296" s="38"/>
      <c r="G296" s="38"/>
      <c r="H296" s="38"/>
      <c r="I296" s="108"/>
    </row>
    <row r="297">
      <c r="A297" s="38"/>
      <c r="B297" s="38"/>
      <c r="C297" s="15"/>
      <c r="D297" s="17"/>
      <c r="E297" s="38"/>
      <c r="F297" s="38"/>
      <c r="G297" s="38"/>
      <c r="H297" s="38"/>
      <c r="I297" s="108"/>
    </row>
    <row r="298">
      <c r="A298" s="38"/>
      <c r="B298" s="38"/>
      <c r="C298" s="15"/>
      <c r="D298" s="17"/>
      <c r="E298" s="38"/>
      <c r="F298" s="38"/>
      <c r="G298" s="38"/>
      <c r="H298" s="38"/>
      <c r="I298" s="108"/>
    </row>
    <row r="299">
      <c r="A299" s="38"/>
      <c r="B299" s="38"/>
      <c r="C299" s="15"/>
      <c r="D299" s="17"/>
      <c r="E299" s="38"/>
      <c r="F299" s="38"/>
      <c r="G299" s="38"/>
      <c r="H299" s="38"/>
      <c r="I299" s="108"/>
    </row>
    <row r="300">
      <c r="A300" s="38"/>
      <c r="B300" s="38"/>
      <c r="C300" s="15"/>
      <c r="D300" s="17"/>
      <c r="E300" s="38"/>
      <c r="F300" s="38"/>
      <c r="G300" s="38"/>
      <c r="H300" s="38"/>
      <c r="I300" s="108"/>
    </row>
    <row r="301">
      <c r="A301" s="38"/>
      <c r="B301" s="38"/>
      <c r="C301" s="15"/>
      <c r="D301" s="17"/>
      <c r="E301" s="38"/>
      <c r="F301" s="38"/>
      <c r="G301" s="38"/>
      <c r="H301" s="38"/>
      <c r="I301" s="108"/>
    </row>
    <row r="302">
      <c r="A302" s="38"/>
      <c r="B302" s="38"/>
      <c r="C302" s="15"/>
      <c r="D302" s="17"/>
      <c r="E302" s="38"/>
      <c r="F302" s="38"/>
      <c r="G302" s="38"/>
      <c r="H302" s="38"/>
      <c r="I302" s="108"/>
    </row>
    <row r="303">
      <c r="A303" s="38"/>
      <c r="B303" s="38"/>
      <c r="C303" s="15"/>
      <c r="D303" s="17"/>
      <c r="E303" s="38"/>
      <c r="F303" s="38"/>
      <c r="G303" s="38"/>
      <c r="H303" s="38"/>
      <c r="I303" s="108"/>
    </row>
    <row r="304">
      <c r="A304" s="38"/>
      <c r="B304" s="38"/>
      <c r="C304" s="15"/>
      <c r="D304" s="17"/>
      <c r="E304" s="38"/>
      <c r="F304" s="38"/>
      <c r="G304" s="38"/>
      <c r="H304" s="38"/>
      <c r="I304" s="108"/>
    </row>
    <row r="305">
      <c r="A305" s="38"/>
      <c r="B305" s="38"/>
      <c r="C305" s="15"/>
      <c r="D305" s="17"/>
      <c r="E305" s="38"/>
      <c r="F305" s="38"/>
      <c r="G305" s="38"/>
      <c r="H305" s="38"/>
      <c r="I305" s="108"/>
    </row>
    <row r="306">
      <c r="A306" s="38"/>
      <c r="B306" s="38"/>
      <c r="C306" s="15"/>
      <c r="D306" s="17"/>
      <c r="E306" s="38"/>
      <c r="F306" s="38"/>
      <c r="G306" s="38"/>
      <c r="H306" s="38"/>
      <c r="I306" s="108"/>
    </row>
    <row r="307">
      <c r="A307" s="38"/>
      <c r="B307" s="38"/>
      <c r="C307" s="15"/>
      <c r="D307" s="17"/>
      <c r="E307" s="38"/>
      <c r="F307" s="38"/>
      <c r="G307" s="38"/>
      <c r="H307" s="38"/>
      <c r="I307" s="108"/>
    </row>
    <row r="308">
      <c r="A308" s="38"/>
      <c r="B308" s="38"/>
      <c r="C308" s="15"/>
      <c r="D308" s="17"/>
      <c r="E308" s="38"/>
      <c r="F308" s="38"/>
      <c r="G308" s="38"/>
      <c r="H308" s="38"/>
      <c r="I308" s="108"/>
    </row>
    <row r="309">
      <c r="A309" s="38"/>
      <c r="B309" s="38"/>
      <c r="C309" s="15"/>
      <c r="D309" s="17"/>
      <c r="E309" s="38"/>
      <c r="F309" s="38"/>
      <c r="G309" s="38"/>
      <c r="H309" s="38"/>
      <c r="I309" s="108"/>
    </row>
    <row r="310">
      <c r="A310" s="38"/>
      <c r="B310" s="38"/>
      <c r="C310" s="15"/>
      <c r="D310" s="17"/>
      <c r="E310" s="38"/>
      <c r="F310" s="38"/>
      <c r="G310" s="38"/>
      <c r="H310" s="38"/>
      <c r="I310" s="108"/>
    </row>
    <row r="311">
      <c r="A311" s="38"/>
      <c r="B311" s="38"/>
      <c r="C311" s="15"/>
      <c r="D311" s="17"/>
      <c r="E311" s="38"/>
      <c r="F311" s="38"/>
      <c r="G311" s="38"/>
      <c r="H311" s="38"/>
      <c r="I311" s="108"/>
    </row>
    <row r="312">
      <c r="A312" s="38"/>
      <c r="B312" s="38"/>
      <c r="C312" s="15"/>
      <c r="D312" s="17"/>
      <c r="E312" s="38"/>
      <c r="F312" s="38"/>
      <c r="G312" s="38"/>
      <c r="H312" s="38"/>
      <c r="I312" s="108"/>
    </row>
    <row r="313">
      <c r="A313" s="38"/>
      <c r="B313" s="38"/>
      <c r="C313" s="15"/>
      <c r="D313" s="17"/>
      <c r="E313" s="38"/>
      <c r="F313" s="38"/>
      <c r="G313" s="38"/>
      <c r="H313" s="38"/>
      <c r="I313" s="108"/>
    </row>
    <row r="314">
      <c r="A314" s="38"/>
      <c r="B314" s="38"/>
      <c r="C314" s="15"/>
      <c r="D314" s="17"/>
      <c r="E314" s="38"/>
      <c r="F314" s="38"/>
      <c r="G314" s="38"/>
      <c r="H314" s="38"/>
      <c r="I314" s="108"/>
    </row>
    <row r="315">
      <c r="A315" s="38"/>
      <c r="B315" s="38"/>
      <c r="C315" s="15"/>
      <c r="D315" s="17"/>
      <c r="E315" s="38"/>
      <c r="F315" s="38"/>
      <c r="G315" s="38"/>
      <c r="H315" s="38"/>
      <c r="I315" s="108"/>
    </row>
    <row r="316">
      <c r="A316" s="38"/>
      <c r="B316" s="38"/>
      <c r="C316" s="15"/>
      <c r="D316" s="17"/>
      <c r="E316" s="38"/>
      <c r="F316" s="38"/>
      <c r="G316" s="38"/>
      <c r="H316" s="38"/>
      <c r="I316" s="108"/>
    </row>
    <row r="317">
      <c r="A317" s="38"/>
      <c r="B317" s="38"/>
      <c r="C317" s="15"/>
      <c r="D317" s="17"/>
      <c r="E317" s="38"/>
      <c r="F317" s="38"/>
      <c r="G317" s="38"/>
      <c r="H317" s="38"/>
      <c r="I317" s="108"/>
    </row>
    <row r="318">
      <c r="A318" s="38"/>
      <c r="B318" s="38"/>
      <c r="C318" s="15"/>
      <c r="D318" s="17"/>
      <c r="E318" s="38"/>
      <c r="F318" s="38"/>
      <c r="G318" s="38"/>
      <c r="H318" s="38"/>
      <c r="I318" s="108"/>
    </row>
    <row r="319">
      <c r="A319" s="38"/>
      <c r="B319" s="38"/>
      <c r="C319" s="15"/>
      <c r="D319" s="17"/>
      <c r="E319" s="38"/>
      <c r="F319" s="38"/>
      <c r="G319" s="38"/>
      <c r="H319" s="38"/>
      <c r="I319" s="108"/>
    </row>
    <row r="320">
      <c r="A320" s="38"/>
      <c r="B320" s="38"/>
      <c r="C320" s="15"/>
      <c r="D320" s="17"/>
      <c r="E320" s="38"/>
      <c r="F320" s="38"/>
      <c r="G320" s="38"/>
      <c r="H320" s="38"/>
      <c r="I320" s="108"/>
    </row>
    <row r="321">
      <c r="A321" s="38"/>
      <c r="B321" s="38"/>
      <c r="C321" s="15"/>
      <c r="D321" s="17"/>
      <c r="E321" s="38"/>
      <c r="F321" s="38"/>
      <c r="G321" s="38"/>
      <c r="H321" s="38"/>
      <c r="I321" s="108"/>
    </row>
    <row r="322">
      <c r="A322" s="38"/>
      <c r="B322" s="38"/>
      <c r="C322" s="15"/>
      <c r="D322" s="17"/>
      <c r="E322" s="38"/>
      <c r="F322" s="38"/>
      <c r="G322" s="38"/>
      <c r="H322" s="38"/>
      <c r="I322" s="108"/>
    </row>
    <row r="323">
      <c r="A323" s="38"/>
      <c r="B323" s="38"/>
      <c r="C323" s="15"/>
      <c r="D323" s="17"/>
      <c r="E323" s="38"/>
      <c r="F323" s="38"/>
      <c r="G323" s="38"/>
      <c r="H323" s="38"/>
      <c r="I323" s="108"/>
    </row>
    <row r="324">
      <c r="A324" s="38"/>
      <c r="B324" s="38"/>
      <c r="C324" s="15"/>
      <c r="D324" s="17"/>
      <c r="E324" s="38"/>
      <c r="F324" s="38"/>
      <c r="G324" s="38"/>
      <c r="H324" s="38"/>
      <c r="I324" s="108"/>
    </row>
    <row r="325">
      <c r="A325" s="38"/>
      <c r="B325" s="38"/>
      <c r="C325" s="15"/>
      <c r="D325" s="17"/>
      <c r="E325" s="38"/>
      <c r="F325" s="38"/>
      <c r="G325" s="38"/>
      <c r="H325" s="38"/>
      <c r="I325" s="108"/>
    </row>
    <row r="326">
      <c r="A326" s="38"/>
      <c r="B326" s="38"/>
      <c r="C326" s="15"/>
      <c r="D326" s="17"/>
      <c r="E326" s="38"/>
      <c r="F326" s="38"/>
      <c r="G326" s="38"/>
      <c r="H326" s="38"/>
      <c r="I326" s="108"/>
    </row>
    <row r="327">
      <c r="A327" s="38"/>
      <c r="B327" s="38"/>
      <c r="C327" s="15"/>
      <c r="D327" s="17"/>
      <c r="E327" s="38"/>
      <c r="F327" s="38"/>
      <c r="G327" s="38"/>
      <c r="H327" s="38"/>
      <c r="I327" s="108"/>
    </row>
    <row r="328">
      <c r="A328" s="38"/>
      <c r="B328" s="38"/>
      <c r="C328" s="15"/>
      <c r="D328" s="17"/>
      <c r="E328" s="38"/>
      <c r="F328" s="38"/>
      <c r="G328" s="38"/>
      <c r="H328" s="38"/>
      <c r="I328" s="108"/>
    </row>
    <row r="329">
      <c r="A329" s="38"/>
      <c r="B329" s="38"/>
      <c r="C329" s="15"/>
      <c r="D329" s="17"/>
      <c r="E329" s="38"/>
      <c r="F329" s="38"/>
      <c r="G329" s="38"/>
      <c r="H329" s="38"/>
      <c r="I329" s="108"/>
    </row>
    <row r="330">
      <c r="A330" s="38"/>
      <c r="B330" s="38"/>
      <c r="C330" s="15"/>
      <c r="D330" s="17"/>
      <c r="E330" s="38"/>
      <c r="F330" s="38"/>
      <c r="G330" s="38"/>
      <c r="H330" s="38"/>
      <c r="I330" s="108"/>
    </row>
    <row r="331">
      <c r="A331" s="38"/>
      <c r="B331" s="38"/>
      <c r="C331" s="15"/>
      <c r="D331" s="17"/>
      <c r="E331" s="38"/>
      <c r="F331" s="38"/>
      <c r="G331" s="38"/>
      <c r="H331" s="38"/>
      <c r="I331" s="108"/>
    </row>
    <row r="332">
      <c r="A332" s="38"/>
      <c r="B332" s="38"/>
      <c r="C332" s="15"/>
      <c r="D332" s="17"/>
      <c r="E332" s="38"/>
      <c r="F332" s="38"/>
      <c r="G332" s="38"/>
      <c r="H332" s="38"/>
      <c r="I332" s="108"/>
    </row>
    <row r="333">
      <c r="A333" s="38"/>
      <c r="B333" s="38"/>
      <c r="C333" s="15"/>
      <c r="D333" s="17"/>
      <c r="E333" s="38"/>
      <c r="F333" s="38"/>
      <c r="G333" s="38"/>
      <c r="H333" s="38"/>
      <c r="I333" s="108"/>
    </row>
    <row r="334">
      <c r="A334" s="38"/>
      <c r="B334" s="38"/>
      <c r="C334" s="15"/>
      <c r="D334" s="17"/>
      <c r="E334" s="38"/>
      <c r="F334" s="38"/>
      <c r="G334" s="38"/>
      <c r="H334" s="38"/>
      <c r="I334" s="108"/>
    </row>
    <row r="335">
      <c r="A335" s="38"/>
      <c r="B335" s="38"/>
      <c r="C335" s="15"/>
      <c r="D335" s="17"/>
      <c r="E335" s="38"/>
      <c r="F335" s="38"/>
      <c r="G335" s="38"/>
      <c r="H335" s="38"/>
      <c r="I335" s="108"/>
    </row>
    <row r="336">
      <c r="A336" s="38"/>
      <c r="B336" s="38"/>
      <c r="C336" s="15"/>
      <c r="D336" s="17"/>
      <c r="E336" s="38"/>
      <c r="F336" s="38"/>
      <c r="G336" s="38"/>
      <c r="H336" s="38"/>
      <c r="I336" s="108"/>
    </row>
    <row r="337">
      <c r="A337" s="38"/>
      <c r="B337" s="38"/>
      <c r="C337" s="15"/>
      <c r="D337" s="17"/>
      <c r="E337" s="38"/>
      <c r="F337" s="38"/>
      <c r="G337" s="38"/>
      <c r="H337" s="38"/>
      <c r="I337" s="108"/>
    </row>
    <row r="338">
      <c r="A338" s="38"/>
      <c r="B338" s="38"/>
      <c r="C338" s="15"/>
      <c r="D338" s="17"/>
      <c r="E338" s="38"/>
      <c r="F338" s="38"/>
      <c r="G338" s="38"/>
      <c r="H338" s="38"/>
      <c r="I338" s="108"/>
    </row>
    <row r="339">
      <c r="A339" s="38"/>
      <c r="B339" s="38"/>
      <c r="C339" s="15"/>
      <c r="D339" s="17"/>
      <c r="E339" s="38"/>
      <c r="F339" s="38"/>
      <c r="G339" s="38"/>
      <c r="H339" s="38"/>
      <c r="I339" s="108"/>
    </row>
    <row r="340">
      <c r="A340" s="38"/>
      <c r="B340" s="38"/>
      <c r="C340" s="15"/>
      <c r="D340" s="17"/>
      <c r="E340" s="38"/>
      <c r="F340" s="38"/>
      <c r="G340" s="38"/>
      <c r="H340" s="38"/>
      <c r="I340" s="108"/>
    </row>
    <row r="341">
      <c r="A341" s="38"/>
      <c r="B341" s="38"/>
      <c r="C341" s="15"/>
      <c r="D341" s="17"/>
      <c r="E341" s="38"/>
      <c r="F341" s="38"/>
      <c r="G341" s="38"/>
      <c r="H341" s="38"/>
      <c r="I341" s="108"/>
    </row>
    <row r="342">
      <c r="A342" s="38"/>
      <c r="B342" s="38"/>
      <c r="C342" s="15"/>
      <c r="D342" s="17"/>
      <c r="E342" s="38"/>
      <c r="F342" s="38"/>
      <c r="G342" s="38"/>
      <c r="H342" s="38"/>
      <c r="I342" s="108"/>
    </row>
    <row r="343">
      <c r="A343" s="38"/>
      <c r="B343" s="38"/>
      <c r="C343" s="15"/>
      <c r="D343" s="17"/>
      <c r="E343" s="38"/>
      <c r="F343" s="38"/>
      <c r="G343" s="38"/>
      <c r="H343" s="38"/>
      <c r="I343" s="108"/>
    </row>
    <row r="344">
      <c r="A344" s="38"/>
      <c r="B344" s="38"/>
      <c r="C344" s="15"/>
      <c r="D344" s="17"/>
      <c r="E344" s="38"/>
      <c r="F344" s="38"/>
      <c r="G344" s="38"/>
      <c r="H344" s="38"/>
      <c r="I344" s="108"/>
    </row>
    <row r="345">
      <c r="A345" s="38"/>
      <c r="B345" s="38"/>
      <c r="C345" s="15"/>
      <c r="D345" s="17"/>
      <c r="E345" s="38"/>
      <c r="F345" s="38"/>
      <c r="G345" s="38"/>
      <c r="H345" s="38"/>
      <c r="I345" s="108"/>
    </row>
    <row r="346">
      <c r="A346" s="38"/>
      <c r="B346" s="38"/>
      <c r="C346" s="15"/>
      <c r="D346" s="17"/>
      <c r="E346" s="38"/>
      <c r="F346" s="38"/>
      <c r="G346" s="38"/>
      <c r="H346" s="38"/>
      <c r="I346" s="108"/>
    </row>
    <row r="347">
      <c r="A347" s="38"/>
      <c r="B347" s="38"/>
      <c r="C347" s="15"/>
      <c r="D347" s="17"/>
      <c r="E347" s="38"/>
      <c r="F347" s="38"/>
      <c r="G347" s="38"/>
      <c r="H347" s="38"/>
      <c r="I347" s="108"/>
    </row>
    <row r="348">
      <c r="A348" s="38"/>
      <c r="B348" s="38"/>
      <c r="C348" s="15"/>
      <c r="D348" s="17"/>
      <c r="E348" s="38"/>
      <c r="F348" s="38"/>
      <c r="G348" s="38"/>
      <c r="H348" s="38"/>
      <c r="I348" s="108"/>
    </row>
    <row r="349">
      <c r="A349" s="38"/>
      <c r="B349" s="38"/>
      <c r="C349" s="15"/>
      <c r="D349" s="17"/>
      <c r="E349" s="38"/>
      <c r="F349" s="38"/>
      <c r="G349" s="38"/>
      <c r="H349" s="38"/>
      <c r="I349" s="108"/>
    </row>
    <row r="350">
      <c r="A350" s="38"/>
      <c r="B350" s="38"/>
      <c r="C350" s="15"/>
      <c r="D350" s="17"/>
      <c r="E350" s="38"/>
      <c r="F350" s="38"/>
      <c r="G350" s="38"/>
      <c r="H350" s="38"/>
      <c r="I350" s="108"/>
    </row>
    <row r="351">
      <c r="A351" s="38"/>
      <c r="B351" s="38"/>
      <c r="C351" s="15"/>
      <c r="D351" s="17"/>
      <c r="E351" s="38"/>
      <c r="F351" s="38"/>
      <c r="G351" s="38"/>
      <c r="H351" s="38"/>
      <c r="I351" s="108"/>
    </row>
    <row r="352">
      <c r="A352" s="38"/>
      <c r="B352" s="38"/>
      <c r="C352" s="15"/>
      <c r="D352" s="17"/>
      <c r="E352" s="38"/>
      <c r="F352" s="38"/>
      <c r="G352" s="38"/>
      <c r="H352" s="38"/>
      <c r="I352" s="108"/>
    </row>
    <row r="353">
      <c r="A353" s="38"/>
      <c r="B353" s="38"/>
      <c r="C353" s="15"/>
      <c r="D353" s="17"/>
      <c r="E353" s="38"/>
      <c r="F353" s="38"/>
      <c r="G353" s="38"/>
      <c r="H353" s="38"/>
      <c r="I353" s="108"/>
    </row>
    <row r="354">
      <c r="A354" s="38"/>
      <c r="B354" s="38"/>
      <c r="C354" s="15"/>
      <c r="D354" s="17"/>
      <c r="E354" s="38"/>
      <c r="F354" s="38"/>
      <c r="G354" s="38"/>
      <c r="H354" s="38"/>
      <c r="I354" s="108"/>
    </row>
    <row r="355">
      <c r="A355" s="38"/>
      <c r="B355" s="38"/>
      <c r="C355" s="15"/>
      <c r="D355" s="17"/>
      <c r="E355" s="38"/>
      <c r="F355" s="38"/>
      <c r="G355" s="38"/>
      <c r="H355" s="38"/>
      <c r="I355" s="108"/>
    </row>
    <row r="356">
      <c r="A356" s="38"/>
      <c r="B356" s="38"/>
      <c r="C356" s="15"/>
      <c r="D356" s="17"/>
      <c r="E356" s="38"/>
      <c r="F356" s="38"/>
      <c r="G356" s="38"/>
      <c r="H356" s="38"/>
      <c r="I356" s="108"/>
    </row>
    <row r="357">
      <c r="A357" s="38"/>
      <c r="B357" s="38"/>
      <c r="C357" s="15"/>
      <c r="D357" s="17"/>
      <c r="E357" s="38"/>
      <c r="F357" s="38"/>
      <c r="G357" s="38"/>
      <c r="H357" s="38"/>
      <c r="I357" s="108"/>
    </row>
    <row r="358">
      <c r="A358" s="38"/>
      <c r="B358" s="38"/>
      <c r="C358" s="15"/>
      <c r="D358" s="17"/>
      <c r="E358" s="38"/>
      <c r="F358" s="38"/>
      <c r="G358" s="38"/>
      <c r="H358" s="38"/>
      <c r="I358" s="108"/>
    </row>
    <row r="359">
      <c r="A359" s="38"/>
      <c r="B359" s="38"/>
      <c r="C359" s="15"/>
      <c r="D359" s="17"/>
      <c r="E359" s="38"/>
      <c r="F359" s="38"/>
      <c r="G359" s="38"/>
      <c r="H359" s="38"/>
      <c r="I359" s="108"/>
    </row>
    <row r="360">
      <c r="A360" s="38"/>
      <c r="B360" s="38"/>
      <c r="C360" s="15"/>
      <c r="D360" s="17"/>
      <c r="E360" s="38"/>
      <c r="F360" s="38"/>
      <c r="G360" s="38"/>
      <c r="H360" s="38"/>
      <c r="I360" s="108"/>
    </row>
    <row r="361">
      <c r="A361" s="38"/>
      <c r="B361" s="38"/>
      <c r="C361" s="15"/>
      <c r="D361" s="17"/>
      <c r="E361" s="38"/>
      <c r="F361" s="38"/>
      <c r="G361" s="38"/>
      <c r="H361" s="38"/>
      <c r="I361" s="108"/>
    </row>
    <row r="362">
      <c r="A362" s="38"/>
      <c r="B362" s="38"/>
      <c r="C362" s="15"/>
      <c r="D362" s="17"/>
      <c r="E362" s="38"/>
      <c r="F362" s="38"/>
      <c r="G362" s="38"/>
      <c r="H362" s="38"/>
      <c r="I362" s="108"/>
    </row>
    <row r="363">
      <c r="A363" s="38"/>
      <c r="B363" s="38"/>
      <c r="C363" s="15"/>
      <c r="D363" s="17"/>
      <c r="E363" s="38"/>
      <c r="F363" s="38"/>
      <c r="G363" s="38"/>
      <c r="H363" s="38"/>
      <c r="I363" s="108"/>
    </row>
    <row r="364">
      <c r="A364" s="38"/>
      <c r="B364" s="38"/>
      <c r="C364" s="15"/>
      <c r="D364" s="17"/>
      <c r="E364" s="38"/>
      <c r="F364" s="38"/>
      <c r="G364" s="38"/>
      <c r="H364" s="38"/>
      <c r="I364" s="108"/>
    </row>
    <row r="365">
      <c r="A365" s="38"/>
      <c r="B365" s="38"/>
      <c r="C365" s="15"/>
      <c r="D365" s="17"/>
      <c r="E365" s="38"/>
      <c r="F365" s="38"/>
      <c r="G365" s="38"/>
      <c r="H365" s="38"/>
      <c r="I365" s="108"/>
    </row>
    <row r="366">
      <c r="A366" s="38"/>
      <c r="B366" s="38"/>
      <c r="C366" s="15"/>
      <c r="D366" s="17"/>
      <c r="E366" s="38"/>
      <c r="F366" s="38"/>
      <c r="G366" s="38"/>
      <c r="H366" s="38"/>
      <c r="I366" s="108"/>
    </row>
    <row r="367">
      <c r="A367" s="38"/>
      <c r="B367" s="38"/>
      <c r="C367" s="15"/>
      <c r="D367" s="17"/>
      <c r="E367" s="38"/>
      <c r="F367" s="38"/>
      <c r="G367" s="38"/>
      <c r="H367" s="38"/>
      <c r="I367" s="108"/>
    </row>
    <row r="368">
      <c r="A368" s="38"/>
      <c r="B368" s="38"/>
      <c r="C368" s="15"/>
      <c r="D368" s="17"/>
      <c r="E368" s="38"/>
      <c r="F368" s="38"/>
      <c r="G368" s="38"/>
      <c r="H368" s="38"/>
      <c r="I368" s="108"/>
    </row>
    <row r="369">
      <c r="A369" s="38"/>
      <c r="B369" s="38"/>
      <c r="C369" s="15"/>
      <c r="D369" s="17"/>
      <c r="E369" s="38"/>
      <c r="F369" s="38"/>
      <c r="G369" s="38"/>
      <c r="H369" s="38"/>
      <c r="I369" s="108"/>
    </row>
    <row r="370">
      <c r="A370" s="38"/>
      <c r="B370" s="38"/>
      <c r="C370" s="15"/>
      <c r="D370" s="17"/>
      <c r="E370" s="38"/>
      <c r="F370" s="38"/>
      <c r="G370" s="38"/>
      <c r="H370" s="38"/>
      <c r="I370" s="108"/>
    </row>
    <row r="371">
      <c r="A371" s="38"/>
      <c r="B371" s="38"/>
      <c r="C371" s="15"/>
      <c r="D371" s="17"/>
      <c r="E371" s="38"/>
      <c r="F371" s="38"/>
      <c r="G371" s="38"/>
      <c r="H371" s="38"/>
      <c r="I371" s="108"/>
    </row>
    <row r="372">
      <c r="A372" s="38"/>
      <c r="B372" s="38"/>
      <c r="C372" s="15"/>
      <c r="D372" s="17"/>
      <c r="E372" s="38"/>
      <c r="F372" s="38"/>
      <c r="G372" s="38"/>
      <c r="H372" s="38"/>
      <c r="I372" s="108"/>
    </row>
    <row r="373">
      <c r="A373" s="38"/>
      <c r="B373" s="38"/>
      <c r="C373" s="15"/>
      <c r="D373" s="17"/>
      <c r="E373" s="38"/>
      <c r="F373" s="38"/>
      <c r="G373" s="38"/>
      <c r="H373" s="38"/>
      <c r="I373" s="108"/>
    </row>
    <row r="374">
      <c r="A374" s="38"/>
      <c r="B374" s="38"/>
      <c r="C374" s="15"/>
      <c r="D374" s="17"/>
      <c r="E374" s="38"/>
      <c r="F374" s="38"/>
      <c r="G374" s="38"/>
      <c r="H374" s="38"/>
      <c r="I374" s="108"/>
    </row>
    <row r="375">
      <c r="A375" s="38"/>
      <c r="B375" s="38"/>
      <c r="C375" s="15"/>
      <c r="D375" s="17"/>
      <c r="E375" s="38"/>
      <c r="F375" s="38"/>
      <c r="G375" s="38"/>
      <c r="H375" s="38"/>
      <c r="I375" s="108"/>
    </row>
    <row r="376">
      <c r="A376" s="38"/>
      <c r="B376" s="38"/>
      <c r="C376" s="15"/>
      <c r="D376" s="17"/>
      <c r="E376" s="38"/>
      <c r="F376" s="38"/>
      <c r="G376" s="38"/>
      <c r="H376" s="38"/>
      <c r="I376" s="108"/>
    </row>
    <row r="377">
      <c r="A377" s="38"/>
      <c r="B377" s="38"/>
      <c r="C377" s="15"/>
      <c r="D377" s="17"/>
      <c r="E377" s="38"/>
      <c r="F377" s="38"/>
      <c r="G377" s="38"/>
      <c r="H377" s="38"/>
      <c r="I377" s="108"/>
    </row>
    <row r="378">
      <c r="A378" s="38"/>
      <c r="B378" s="38"/>
      <c r="C378" s="15"/>
      <c r="D378" s="17"/>
      <c r="E378" s="38"/>
      <c r="F378" s="38"/>
      <c r="G378" s="38"/>
      <c r="H378" s="38"/>
      <c r="I378" s="108"/>
    </row>
    <row r="379">
      <c r="A379" s="38"/>
      <c r="B379" s="38"/>
      <c r="C379" s="15"/>
      <c r="D379" s="17"/>
      <c r="E379" s="38"/>
      <c r="F379" s="38"/>
      <c r="G379" s="38"/>
      <c r="H379" s="38"/>
      <c r="I379" s="108"/>
    </row>
    <row r="380">
      <c r="A380" s="38"/>
      <c r="B380" s="38"/>
      <c r="C380" s="15"/>
      <c r="D380" s="17"/>
      <c r="E380" s="38"/>
      <c r="F380" s="38"/>
      <c r="G380" s="38"/>
      <c r="H380" s="38"/>
      <c r="I380" s="108"/>
    </row>
    <row r="381">
      <c r="A381" s="38"/>
      <c r="B381" s="38"/>
      <c r="C381" s="15"/>
      <c r="D381" s="17"/>
      <c r="E381" s="38"/>
      <c r="F381" s="38"/>
      <c r="G381" s="38"/>
      <c r="H381" s="38"/>
      <c r="I381" s="108"/>
    </row>
    <row r="382">
      <c r="A382" s="38"/>
      <c r="B382" s="38"/>
      <c r="C382" s="15"/>
      <c r="D382" s="17"/>
      <c r="E382" s="38"/>
      <c r="F382" s="38"/>
      <c r="G382" s="38"/>
      <c r="H382" s="38"/>
      <c r="I382" s="108"/>
    </row>
    <row r="383">
      <c r="A383" s="38"/>
      <c r="B383" s="38"/>
      <c r="C383" s="15"/>
      <c r="D383" s="17"/>
      <c r="E383" s="38"/>
      <c r="F383" s="38"/>
      <c r="G383" s="38"/>
      <c r="H383" s="38"/>
      <c r="I383" s="108"/>
    </row>
    <row r="384">
      <c r="A384" s="38"/>
      <c r="B384" s="38"/>
      <c r="C384" s="15"/>
      <c r="D384" s="17"/>
      <c r="E384" s="38"/>
      <c r="F384" s="38"/>
      <c r="G384" s="38"/>
      <c r="H384" s="38"/>
      <c r="I384" s="108"/>
    </row>
    <row r="385">
      <c r="A385" s="38"/>
      <c r="B385" s="38"/>
      <c r="C385" s="15"/>
      <c r="D385" s="17"/>
      <c r="E385" s="38"/>
      <c r="F385" s="38"/>
      <c r="G385" s="38"/>
      <c r="H385" s="38"/>
      <c r="I385" s="108"/>
    </row>
    <row r="386">
      <c r="A386" s="38"/>
      <c r="B386" s="38"/>
      <c r="C386" s="15"/>
      <c r="D386" s="17"/>
      <c r="E386" s="38"/>
      <c r="F386" s="38"/>
      <c r="G386" s="38"/>
      <c r="H386" s="38"/>
      <c r="I386" s="108"/>
    </row>
    <row r="387">
      <c r="A387" s="38"/>
      <c r="B387" s="38"/>
      <c r="C387" s="15"/>
      <c r="D387" s="17"/>
      <c r="E387" s="38"/>
      <c r="F387" s="38"/>
      <c r="G387" s="38"/>
      <c r="H387" s="38"/>
      <c r="I387" s="108"/>
    </row>
    <row r="388">
      <c r="A388" s="38"/>
      <c r="B388" s="38"/>
      <c r="C388" s="15"/>
      <c r="D388" s="17"/>
      <c r="E388" s="38"/>
      <c r="F388" s="38"/>
      <c r="G388" s="38"/>
      <c r="H388" s="38"/>
      <c r="I388" s="108"/>
    </row>
    <row r="389">
      <c r="A389" s="38"/>
      <c r="B389" s="38"/>
      <c r="C389" s="15"/>
      <c r="D389" s="17"/>
      <c r="E389" s="38"/>
      <c r="F389" s="38"/>
      <c r="G389" s="38"/>
      <c r="H389" s="38"/>
      <c r="I389" s="108"/>
    </row>
    <row r="390">
      <c r="A390" s="38"/>
      <c r="B390" s="38"/>
      <c r="C390" s="15"/>
      <c r="D390" s="17"/>
      <c r="E390" s="38"/>
      <c r="F390" s="38"/>
      <c r="G390" s="38"/>
      <c r="H390" s="38"/>
      <c r="I390" s="108"/>
    </row>
    <row r="391">
      <c r="A391" s="38"/>
      <c r="B391" s="38"/>
      <c r="C391" s="15"/>
      <c r="D391" s="17"/>
      <c r="E391" s="38"/>
      <c r="F391" s="38"/>
      <c r="G391" s="38"/>
      <c r="H391" s="38"/>
      <c r="I391" s="108"/>
    </row>
    <row r="392">
      <c r="A392" s="38"/>
      <c r="B392" s="38"/>
      <c r="C392" s="15"/>
      <c r="D392" s="17"/>
      <c r="E392" s="38"/>
      <c r="F392" s="38"/>
      <c r="G392" s="38"/>
      <c r="H392" s="38"/>
      <c r="I392" s="108"/>
    </row>
    <row r="393">
      <c r="A393" s="38"/>
      <c r="B393" s="38"/>
      <c r="C393" s="15"/>
      <c r="D393" s="17"/>
      <c r="E393" s="38"/>
      <c r="F393" s="38"/>
      <c r="G393" s="38"/>
      <c r="H393" s="38"/>
      <c r="I393" s="108"/>
    </row>
    <row r="394">
      <c r="A394" s="38"/>
      <c r="B394" s="38"/>
      <c r="C394" s="15"/>
      <c r="D394" s="17"/>
      <c r="E394" s="38"/>
      <c r="F394" s="38"/>
      <c r="G394" s="38"/>
      <c r="H394" s="38"/>
      <c r="I394" s="108"/>
    </row>
    <row r="395">
      <c r="A395" s="38"/>
      <c r="B395" s="38"/>
      <c r="C395" s="15"/>
      <c r="D395" s="17"/>
      <c r="E395" s="38"/>
      <c r="F395" s="38"/>
      <c r="G395" s="38"/>
      <c r="H395" s="38"/>
      <c r="I395" s="108"/>
    </row>
    <row r="396">
      <c r="A396" s="38"/>
      <c r="B396" s="38"/>
      <c r="C396" s="15"/>
      <c r="D396" s="17"/>
      <c r="E396" s="38"/>
      <c r="F396" s="38"/>
      <c r="G396" s="38"/>
      <c r="H396" s="38"/>
      <c r="I396" s="108"/>
    </row>
    <row r="397">
      <c r="A397" s="38"/>
      <c r="B397" s="38"/>
      <c r="C397" s="15"/>
      <c r="D397" s="17"/>
      <c r="E397" s="38"/>
      <c r="F397" s="38"/>
      <c r="G397" s="38"/>
      <c r="H397" s="38"/>
      <c r="I397" s="108"/>
    </row>
    <row r="398">
      <c r="A398" s="38"/>
      <c r="B398" s="38"/>
      <c r="C398" s="15"/>
      <c r="D398" s="17"/>
      <c r="E398" s="38"/>
      <c r="F398" s="38"/>
      <c r="G398" s="38"/>
      <c r="H398" s="38"/>
      <c r="I398" s="108"/>
    </row>
    <row r="399">
      <c r="A399" s="38"/>
      <c r="B399" s="38"/>
      <c r="C399" s="15"/>
      <c r="D399" s="17"/>
      <c r="E399" s="38"/>
      <c r="F399" s="38"/>
      <c r="G399" s="38"/>
      <c r="H399" s="38"/>
      <c r="I399" s="108"/>
    </row>
    <row r="400">
      <c r="A400" s="38"/>
      <c r="B400" s="38"/>
      <c r="C400" s="15"/>
      <c r="D400" s="17"/>
      <c r="E400" s="38"/>
      <c r="F400" s="38"/>
      <c r="G400" s="38"/>
      <c r="H400" s="38"/>
      <c r="I400" s="108"/>
    </row>
    <row r="401">
      <c r="A401" s="38"/>
      <c r="B401" s="38"/>
      <c r="C401" s="15"/>
      <c r="D401" s="17"/>
      <c r="E401" s="38"/>
      <c r="F401" s="38"/>
      <c r="G401" s="38"/>
      <c r="H401" s="38"/>
      <c r="I401" s="108"/>
    </row>
    <row r="402">
      <c r="A402" s="38"/>
      <c r="B402" s="38"/>
      <c r="C402" s="15"/>
      <c r="D402" s="17"/>
      <c r="E402" s="38"/>
      <c r="F402" s="38"/>
      <c r="G402" s="38"/>
      <c r="H402" s="38"/>
      <c r="I402" s="108"/>
    </row>
    <row r="403">
      <c r="A403" s="38"/>
      <c r="B403" s="38"/>
      <c r="C403" s="15"/>
      <c r="D403" s="17"/>
      <c r="E403" s="38"/>
      <c r="F403" s="38"/>
      <c r="G403" s="38"/>
      <c r="H403" s="38"/>
      <c r="I403" s="108"/>
    </row>
    <row r="404">
      <c r="A404" s="38"/>
      <c r="B404" s="38"/>
      <c r="C404" s="15"/>
      <c r="D404" s="17"/>
      <c r="E404" s="38"/>
      <c r="F404" s="38"/>
      <c r="G404" s="38"/>
      <c r="H404" s="38"/>
      <c r="I404" s="108"/>
    </row>
    <row r="405">
      <c r="A405" s="38"/>
      <c r="B405" s="38"/>
      <c r="C405" s="15"/>
      <c r="D405" s="17"/>
      <c r="E405" s="38"/>
      <c r="F405" s="38"/>
      <c r="G405" s="38"/>
      <c r="H405" s="38"/>
      <c r="I405" s="108"/>
    </row>
    <row r="406">
      <c r="A406" s="38"/>
      <c r="B406" s="38"/>
      <c r="C406" s="15"/>
      <c r="D406" s="17"/>
      <c r="E406" s="38"/>
      <c r="F406" s="38"/>
      <c r="G406" s="38"/>
      <c r="H406" s="38"/>
      <c r="I406" s="108"/>
    </row>
    <row r="407">
      <c r="A407" s="38"/>
      <c r="B407" s="38"/>
      <c r="C407" s="15"/>
      <c r="D407" s="17"/>
      <c r="E407" s="38"/>
      <c r="F407" s="38"/>
      <c r="G407" s="38"/>
      <c r="H407" s="38"/>
      <c r="I407" s="108"/>
    </row>
    <row r="408">
      <c r="A408" s="38"/>
      <c r="B408" s="38"/>
      <c r="C408" s="15"/>
      <c r="D408" s="17"/>
      <c r="E408" s="38"/>
      <c r="F408" s="38"/>
      <c r="G408" s="38"/>
      <c r="H408" s="38"/>
      <c r="I408" s="108"/>
    </row>
    <row r="409">
      <c r="A409" s="38"/>
      <c r="B409" s="38"/>
      <c r="C409" s="15"/>
      <c r="D409" s="17"/>
      <c r="E409" s="38"/>
      <c r="F409" s="38"/>
      <c r="G409" s="38"/>
      <c r="H409" s="38"/>
      <c r="I409" s="108"/>
    </row>
    <row r="410">
      <c r="A410" s="38"/>
      <c r="B410" s="38"/>
      <c r="C410" s="15"/>
      <c r="D410" s="17"/>
      <c r="E410" s="38"/>
      <c r="F410" s="38"/>
      <c r="G410" s="38"/>
      <c r="H410" s="38"/>
      <c r="I410" s="108"/>
    </row>
    <row r="411">
      <c r="A411" s="38"/>
      <c r="B411" s="38"/>
      <c r="C411" s="15"/>
      <c r="D411" s="17"/>
      <c r="E411" s="38"/>
      <c r="F411" s="38"/>
      <c r="G411" s="38"/>
      <c r="H411" s="38"/>
      <c r="I411" s="108"/>
    </row>
    <row r="412">
      <c r="A412" s="38"/>
      <c r="B412" s="38"/>
      <c r="C412" s="15"/>
      <c r="D412" s="17"/>
      <c r="E412" s="38"/>
      <c r="F412" s="38"/>
      <c r="G412" s="38"/>
      <c r="H412" s="38"/>
      <c r="I412" s="108"/>
    </row>
    <row r="413">
      <c r="A413" s="38"/>
      <c r="B413" s="38"/>
      <c r="C413" s="15"/>
      <c r="D413" s="17"/>
      <c r="E413" s="38"/>
      <c r="F413" s="38"/>
      <c r="G413" s="38"/>
      <c r="H413" s="38"/>
      <c r="I413" s="108"/>
    </row>
    <row r="414">
      <c r="A414" s="38"/>
      <c r="B414" s="38"/>
      <c r="C414" s="15"/>
      <c r="D414" s="17"/>
      <c r="E414" s="38"/>
      <c r="F414" s="38"/>
      <c r="G414" s="38"/>
      <c r="H414" s="38"/>
      <c r="I414" s="108"/>
    </row>
    <row r="415">
      <c r="A415" s="38"/>
      <c r="B415" s="38"/>
      <c r="C415" s="15"/>
      <c r="D415" s="17"/>
      <c r="E415" s="38"/>
      <c r="F415" s="38"/>
      <c r="G415" s="38"/>
      <c r="H415" s="38"/>
      <c r="I415" s="108"/>
    </row>
    <row r="416">
      <c r="A416" s="38"/>
      <c r="B416" s="38"/>
      <c r="C416" s="15"/>
      <c r="D416" s="17"/>
      <c r="E416" s="38"/>
      <c r="F416" s="38"/>
      <c r="G416" s="38"/>
      <c r="H416" s="38"/>
      <c r="I416" s="108"/>
    </row>
    <row r="417">
      <c r="A417" s="38"/>
      <c r="B417" s="38"/>
      <c r="C417" s="15"/>
      <c r="D417" s="17"/>
      <c r="E417" s="38"/>
      <c r="F417" s="38"/>
      <c r="G417" s="38"/>
      <c r="H417" s="38"/>
      <c r="I417" s="108"/>
    </row>
    <row r="418">
      <c r="A418" s="38"/>
      <c r="B418" s="38"/>
      <c r="C418" s="15"/>
      <c r="D418" s="17"/>
      <c r="E418" s="38"/>
      <c r="F418" s="38"/>
      <c r="G418" s="38"/>
      <c r="H418" s="38"/>
      <c r="I418" s="108"/>
    </row>
    <row r="419">
      <c r="A419" s="38"/>
      <c r="B419" s="38"/>
      <c r="C419" s="15"/>
      <c r="D419" s="17"/>
      <c r="E419" s="38"/>
      <c r="F419" s="38"/>
      <c r="G419" s="38"/>
      <c r="H419" s="38"/>
      <c r="I419" s="108"/>
    </row>
    <row r="420">
      <c r="A420" s="38"/>
      <c r="B420" s="38"/>
      <c r="C420" s="15"/>
      <c r="D420" s="17"/>
      <c r="E420" s="38"/>
      <c r="F420" s="38"/>
      <c r="G420" s="38"/>
      <c r="H420" s="38"/>
      <c r="I420" s="108"/>
    </row>
    <row r="421">
      <c r="A421" s="38"/>
      <c r="B421" s="38"/>
      <c r="C421" s="15"/>
      <c r="D421" s="17"/>
      <c r="E421" s="38"/>
      <c r="F421" s="38"/>
      <c r="G421" s="38"/>
      <c r="H421" s="38"/>
      <c r="I421" s="108"/>
    </row>
    <row r="422">
      <c r="A422" s="38"/>
      <c r="B422" s="38"/>
      <c r="C422" s="15"/>
      <c r="D422" s="17"/>
      <c r="E422" s="38"/>
      <c r="F422" s="38"/>
      <c r="G422" s="38"/>
      <c r="H422" s="38"/>
      <c r="I422" s="108"/>
    </row>
    <row r="423">
      <c r="A423" s="38"/>
      <c r="B423" s="38"/>
      <c r="C423" s="15"/>
      <c r="D423" s="17"/>
      <c r="E423" s="38"/>
      <c r="F423" s="38"/>
      <c r="G423" s="38"/>
      <c r="H423" s="38"/>
      <c r="I423" s="108"/>
    </row>
    <row r="424">
      <c r="A424" s="38"/>
      <c r="B424" s="38"/>
      <c r="C424" s="15"/>
      <c r="D424" s="17"/>
      <c r="E424" s="38"/>
      <c r="F424" s="38"/>
      <c r="G424" s="38"/>
      <c r="H424" s="38"/>
      <c r="I424" s="108"/>
    </row>
    <row r="425">
      <c r="A425" s="38"/>
      <c r="B425" s="38"/>
      <c r="C425" s="15"/>
      <c r="D425" s="17"/>
      <c r="E425" s="38"/>
      <c r="F425" s="38"/>
      <c r="G425" s="38"/>
      <c r="H425" s="38"/>
      <c r="I425" s="108"/>
    </row>
    <row r="426">
      <c r="A426" s="38"/>
      <c r="B426" s="38"/>
      <c r="C426" s="15"/>
      <c r="D426" s="17"/>
      <c r="E426" s="38"/>
      <c r="F426" s="38"/>
      <c r="G426" s="38"/>
      <c r="H426" s="38"/>
      <c r="I426" s="108"/>
    </row>
    <row r="427">
      <c r="A427" s="38"/>
      <c r="B427" s="38"/>
      <c r="C427" s="15"/>
      <c r="D427" s="17"/>
      <c r="E427" s="38"/>
      <c r="F427" s="38"/>
      <c r="G427" s="38"/>
      <c r="H427" s="38"/>
      <c r="I427" s="108"/>
    </row>
    <row r="428">
      <c r="A428" s="38"/>
      <c r="B428" s="38"/>
      <c r="C428" s="15"/>
      <c r="D428" s="17"/>
      <c r="E428" s="38"/>
      <c r="F428" s="38"/>
      <c r="G428" s="38"/>
      <c r="H428" s="38"/>
      <c r="I428" s="108"/>
    </row>
    <row r="429">
      <c r="A429" s="38"/>
      <c r="B429" s="38"/>
      <c r="C429" s="15"/>
      <c r="D429" s="17"/>
      <c r="E429" s="38"/>
      <c r="F429" s="38"/>
      <c r="G429" s="38"/>
      <c r="H429" s="38"/>
      <c r="I429" s="108"/>
    </row>
    <row r="430">
      <c r="A430" s="38"/>
      <c r="B430" s="38"/>
      <c r="C430" s="15"/>
      <c r="D430" s="17"/>
      <c r="E430" s="38"/>
      <c r="F430" s="38"/>
      <c r="G430" s="38"/>
      <c r="H430" s="38"/>
      <c r="I430" s="108"/>
    </row>
    <row r="431">
      <c r="A431" s="38"/>
      <c r="B431" s="38"/>
      <c r="C431" s="15"/>
      <c r="D431" s="17"/>
      <c r="E431" s="38"/>
      <c r="F431" s="38"/>
      <c r="G431" s="38"/>
      <c r="H431" s="38"/>
      <c r="I431" s="108"/>
    </row>
    <row r="432">
      <c r="A432" s="38"/>
      <c r="B432" s="38"/>
      <c r="C432" s="15"/>
      <c r="D432" s="17"/>
      <c r="E432" s="38"/>
      <c r="F432" s="38"/>
      <c r="G432" s="38"/>
      <c r="H432" s="38"/>
      <c r="I432" s="108"/>
    </row>
    <row r="433">
      <c r="A433" s="38"/>
      <c r="B433" s="38"/>
      <c r="C433" s="15"/>
      <c r="D433" s="17"/>
      <c r="E433" s="38"/>
      <c r="F433" s="38"/>
      <c r="G433" s="38"/>
      <c r="H433" s="38"/>
      <c r="I433" s="108"/>
    </row>
    <row r="434">
      <c r="A434" s="38"/>
      <c r="B434" s="38"/>
      <c r="C434" s="15"/>
      <c r="D434" s="17"/>
      <c r="E434" s="38"/>
      <c r="F434" s="38"/>
      <c r="G434" s="38"/>
      <c r="H434" s="38"/>
      <c r="I434" s="108"/>
    </row>
    <row r="435">
      <c r="A435" s="38"/>
      <c r="B435" s="38"/>
      <c r="C435" s="15"/>
      <c r="D435" s="17"/>
      <c r="E435" s="38"/>
      <c r="F435" s="38"/>
      <c r="G435" s="38"/>
      <c r="H435" s="38"/>
      <c r="I435" s="108"/>
    </row>
    <row r="436">
      <c r="A436" s="38"/>
      <c r="B436" s="38"/>
      <c r="C436" s="15"/>
      <c r="D436" s="17"/>
      <c r="E436" s="38"/>
      <c r="F436" s="38"/>
      <c r="G436" s="38"/>
      <c r="H436" s="38"/>
      <c r="I436" s="108"/>
    </row>
    <row r="437">
      <c r="A437" s="38"/>
      <c r="B437" s="38"/>
      <c r="C437" s="15"/>
      <c r="D437" s="17"/>
      <c r="E437" s="38"/>
      <c r="F437" s="38"/>
      <c r="G437" s="38"/>
      <c r="H437" s="38"/>
      <c r="I437" s="108"/>
    </row>
    <row r="438">
      <c r="A438" s="38"/>
      <c r="B438" s="38"/>
      <c r="C438" s="15"/>
      <c r="D438" s="17"/>
      <c r="E438" s="38"/>
      <c r="F438" s="38"/>
      <c r="G438" s="38"/>
      <c r="H438" s="38"/>
      <c r="I438" s="108"/>
    </row>
    <row r="439">
      <c r="A439" s="38"/>
      <c r="B439" s="38"/>
      <c r="C439" s="15"/>
      <c r="D439" s="17"/>
      <c r="E439" s="38"/>
      <c r="F439" s="38"/>
      <c r="G439" s="38"/>
      <c r="H439" s="38"/>
      <c r="I439" s="108"/>
    </row>
    <row r="440">
      <c r="A440" s="38"/>
      <c r="B440" s="38"/>
      <c r="C440" s="15"/>
      <c r="D440" s="17"/>
      <c r="E440" s="38"/>
      <c r="F440" s="38"/>
      <c r="G440" s="38"/>
      <c r="H440" s="38"/>
      <c r="I440" s="108"/>
    </row>
    <row r="441">
      <c r="A441" s="38"/>
      <c r="B441" s="38"/>
      <c r="C441" s="15"/>
      <c r="D441" s="17"/>
      <c r="E441" s="38"/>
      <c r="F441" s="38"/>
      <c r="G441" s="38"/>
      <c r="H441" s="38"/>
      <c r="I441" s="108"/>
    </row>
    <row r="442">
      <c r="A442" s="38"/>
      <c r="B442" s="38"/>
      <c r="C442" s="15"/>
      <c r="D442" s="17"/>
      <c r="E442" s="38"/>
      <c r="F442" s="38"/>
      <c r="G442" s="38"/>
      <c r="H442" s="38"/>
      <c r="I442" s="108"/>
    </row>
    <row r="443">
      <c r="A443" s="38"/>
      <c r="B443" s="38"/>
      <c r="C443" s="15"/>
      <c r="D443" s="17"/>
      <c r="E443" s="38"/>
      <c r="F443" s="38"/>
      <c r="G443" s="38"/>
      <c r="H443" s="38"/>
      <c r="I443" s="108"/>
    </row>
    <row r="444">
      <c r="A444" s="38"/>
      <c r="B444" s="38"/>
      <c r="C444" s="15"/>
      <c r="D444" s="17"/>
      <c r="E444" s="38"/>
      <c r="F444" s="38"/>
      <c r="G444" s="38"/>
      <c r="H444" s="38"/>
      <c r="I444" s="108"/>
    </row>
    <row r="445">
      <c r="A445" s="38"/>
      <c r="B445" s="38"/>
      <c r="C445" s="15"/>
      <c r="D445" s="17"/>
      <c r="E445" s="38"/>
      <c r="F445" s="38"/>
      <c r="G445" s="38"/>
      <c r="H445" s="38"/>
      <c r="I445" s="108"/>
    </row>
    <row r="446">
      <c r="A446" s="38"/>
      <c r="B446" s="38"/>
      <c r="C446" s="15"/>
      <c r="D446" s="17"/>
      <c r="E446" s="38"/>
      <c r="F446" s="38"/>
      <c r="G446" s="38"/>
      <c r="H446" s="38"/>
      <c r="I446" s="108"/>
    </row>
    <row r="447">
      <c r="A447" s="38"/>
      <c r="B447" s="38"/>
      <c r="C447" s="15"/>
      <c r="D447" s="17"/>
      <c r="E447" s="38"/>
      <c r="F447" s="38"/>
      <c r="G447" s="38"/>
      <c r="H447" s="38"/>
      <c r="I447" s="108"/>
    </row>
    <row r="448">
      <c r="A448" s="38"/>
      <c r="B448" s="38"/>
      <c r="C448" s="15"/>
      <c r="D448" s="17"/>
      <c r="E448" s="38"/>
      <c r="F448" s="38"/>
      <c r="G448" s="38"/>
      <c r="H448" s="38"/>
      <c r="I448" s="108"/>
    </row>
    <row r="449">
      <c r="A449" s="38"/>
      <c r="B449" s="38"/>
      <c r="C449" s="15"/>
      <c r="D449" s="17"/>
      <c r="E449" s="38"/>
      <c r="F449" s="38"/>
      <c r="G449" s="38"/>
      <c r="H449" s="38"/>
      <c r="I449" s="108"/>
    </row>
    <row r="450">
      <c r="A450" s="38"/>
      <c r="B450" s="38"/>
      <c r="C450" s="15"/>
      <c r="D450" s="17"/>
      <c r="E450" s="38"/>
      <c r="F450" s="38"/>
      <c r="G450" s="38"/>
      <c r="H450" s="38"/>
      <c r="I450" s="108"/>
    </row>
    <row r="451">
      <c r="A451" s="38"/>
      <c r="B451" s="38"/>
      <c r="C451" s="15"/>
      <c r="D451" s="17"/>
      <c r="E451" s="38"/>
      <c r="F451" s="38"/>
      <c r="G451" s="38"/>
      <c r="H451" s="38"/>
      <c r="I451" s="108"/>
    </row>
    <row r="452">
      <c r="A452" s="38"/>
      <c r="B452" s="38"/>
      <c r="C452" s="15"/>
      <c r="D452" s="17"/>
      <c r="E452" s="38"/>
      <c r="F452" s="38"/>
      <c r="G452" s="38"/>
      <c r="H452" s="38"/>
      <c r="I452" s="108"/>
    </row>
    <row r="453">
      <c r="A453" s="38"/>
      <c r="B453" s="38"/>
      <c r="C453" s="15"/>
      <c r="D453" s="17"/>
      <c r="E453" s="38"/>
      <c r="F453" s="38"/>
      <c r="G453" s="38"/>
      <c r="H453" s="38"/>
      <c r="I453" s="108"/>
    </row>
    <row r="454">
      <c r="A454" s="38"/>
      <c r="B454" s="38"/>
      <c r="C454" s="15"/>
      <c r="D454" s="17"/>
      <c r="E454" s="38"/>
      <c r="F454" s="38"/>
      <c r="G454" s="38"/>
      <c r="H454" s="38"/>
      <c r="I454" s="108"/>
    </row>
    <row r="455">
      <c r="A455" s="38"/>
      <c r="B455" s="38"/>
      <c r="C455" s="15"/>
      <c r="D455" s="17"/>
      <c r="E455" s="38"/>
      <c r="F455" s="38"/>
      <c r="G455" s="38"/>
      <c r="H455" s="38"/>
      <c r="I455" s="108"/>
    </row>
    <row r="456">
      <c r="A456" s="38"/>
      <c r="B456" s="38"/>
      <c r="C456" s="15"/>
      <c r="D456" s="17"/>
      <c r="E456" s="38"/>
      <c r="F456" s="38"/>
      <c r="G456" s="38"/>
      <c r="H456" s="38"/>
      <c r="I456" s="108"/>
    </row>
    <row r="457">
      <c r="A457" s="38"/>
      <c r="B457" s="38"/>
      <c r="C457" s="15"/>
      <c r="D457" s="17"/>
      <c r="E457" s="38"/>
      <c r="F457" s="38"/>
      <c r="G457" s="38"/>
      <c r="H457" s="38"/>
      <c r="I457" s="108"/>
    </row>
    <row r="458">
      <c r="A458" s="38"/>
      <c r="B458" s="38"/>
      <c r="C458" s="15"/>
      <c r="D458" s="17"/>
      <c r="E458" s="38"/>
      <c r="F458" s="38"/>
      <c r="G458" s="38"/>
      <c r="H458" s="38"/>
      <c r="I458" s="108"/>
    </row>
    <row r="459">
      <c r="A459" s="38"/>
      <c r="B459" s="38"/>
      <c r="C459" s="15"/>
      <c r="D459" s="17"/>
      <c r="E459" s="38"/>
      <c r="F459" s="38"/>
      <c r="G459" s="38"/>
      <c r="H459" s="38"/>
      <c r="I459" s="108"/>
    </row>
    <row r="460">
      <c r="A460" s="38"/>
      <c r="B460" s="38"/>
      <c r="C460" s="15"/>
      <c r="D460" s="17"/>
      <c r="E460" s="38"/>
      <c r="F460" s="38"/>
      <c r="G460" s="38"/>
      <c r="H460" s="38"/>
      <c r="I460" s="108"/>
    </row>
    <row r="461">
      <c r="A461" s="38"/>
      <c r="B461" s="38"/>
      <c r="C461" s="15"/>
      <c r="D461" s="17"/>
      <c r="E461" s="38"/>
      <c r="F461" s="38"/>
      <c r="G461" s="38"/>
      <c r="H461" s="38"/>
      <c r="I461" s="108"/>
    </row>
    <row r="462">
      <c r="A462" s="38"/>
      <c r="B462" s="38"/>
      <c r="C462" s="15"/>
      <c r="D462" s="17"/>
      <c r="E462" s="38"/>
      <c r="F462" s="38"/>
      <c r="G462" s="38"/>
      <c r="H462" s="38"/>
      <c r="I462" s="108"/>
    </row>
    <row r="463">
      <c r="A463" s="38"/>
      <c r="B463" s="38"/>
      <c r="C463" s="15"/>
      <c r="D463" s="17"/>
      <c r="E463" s="38"/>
      <c r="F463" s="38"/>
      <c r="G463" s="38"/>
      <c r="H463" s="38"/>
      <c r="I463" s="108"/>
    </row>
    <row r="464">
      <c r="A464" s="38"/>
      <c r="B464" s="38"/>
      <c r="C464" s="15"/>
      <c r="D464" s="17"/>
      <c r="E464" s="38"/>
      <c r="F464" s="38"/>
      <c r="G464" s="38"/>
      <c r="H464" s="38"/>
      <c r="I464" s="108"/>
    </row>
    <row r="465">
      <c r="A465" s="38"/>
      <c r="B465" s="38"/>
      <c r="C465" s="15"/>
      <c r="D465" s="17"/>
      <c r="E465" s="38"/>
      <c r="F465" s="38"/>
      <c r="G465" s="38"/>
      <c r="H465" s="38"/>
      <c r="I465" s="108"/>
    </row>
    <row r="466">
      <c r="A466" s="38"/>
      <c r="B466" s="38"/>
      <c r="C466" s="15"/>
      <c r="D466" s="17"/>
      <c r="E466" s="38"/>
      <c r="F466" s="38"/>
      <c r="G466" s="38"/>
      <c r="H466" s="38"/>
      <c r="I466" s="108"/>
    </row>
    <row r="467">
      <c r="A467" s="38"/>
      <c r="B467" s="38"/>
      <c r="C467" s="15"/>
      <c r="D467" s="17"/>
      <c r="E467" s="38"/>
      <c r="F467" s="38"/>
      <c r="G467" s="38"/>
      <c r="H467" s="38"/>
      <c r="I467" s="108"/>
    </row>
    <row r="468">
      <c r="A468" s="38"/>
      <c r="B468" s="38"/>
      <c r="C468" s="15"/>
      <c r="D468" s="17"/>
      <c r="E468" s="38"/>
      <c r="F468" s="38"/>
      <c r="G468" s="38"/>
      <c r="H468" s="38"/>
      <c r="I468" s="108"/>
    </row>
    <row r="469">
      <c r="A469" s="38"/>
      <c r="B469" s="38"/>
      <c r="C469" s="15"/>
      <c r="D469" s="17"/>
      <c r="E469" s="38"/>
      <c r="F469" s="38"/>
      <c r="G469" s="38"/>
      <c r="H469" s="38"/>
      <c r="I469" s="108"/>
    </row>
    <row r="470">
      <c r="A470" s="38"/>
      <c r="B470" s="38"/>
      <c r="C470" s="15"/>
      <c r="D470" s="17"/>
      <c r="E470" s="38"/>
      <c r="F470" s="38"/>
      <c r="G470" s="38"/>
      <c r="H470" s="38"/>
      <c r="I470" s="108"/>
    </row>
    <row r="471">
      <c r="A471" s="38"/>
      <c r="B471" s="38"/>
      <c r="C471" s="15"/>
      <c r="D471" s="17"/>
      <c r="E471" s="38"/>
      <c r="F471" s="38"/>
      <c r="G471" s="38"/>
      <c r="H471" s="38"/>
      <c r="I471" s="108"/>
    </row>
    <row r="472">
      <c r="A472" s="38"/>
      <c r="B472" s="38"/>
      <c r="C472" s="15"/>
      <c r="D472" s="17"/>
      <c r="E472" s="38"/>
      <c r="F472" s="38"/>
      <c r="G472" s="38"/>
      <c r="H472" s="38"/>
      <c r="I472" s="108"/>
    </row>
    <row r="473">
      <c r="A473" s="38"/>
      <c r="B473" s="38"/>
      <c r="C473" s="15"/>
      <c r="D473" s="17"/>
      <c r="E473" s="38"/>
      <c r="F473" s="38"/>
      <c r="G473" s="38"/>
      <c r="H473" s="38"/>
      <c r="I473" s="108"/>
    </row>
    <row r="474">
      <c r="A474" s="38"/>
      <c r="B474" s="38"/>
      <c r="C474" s="15"/>
      <c r="D474" s="17"/>
      <c r="E474" s="38"/>
      <c r="F474" s="38"/>
      <c r="G474" s="38"/>
      <c r="H474" s="38"/>
      <c r="I474" s="108"/>
    </row>
    <row r="475">
      <c r="A475" s="38"/>
      <c r="B475" s="38"/>
      <c r="C475" s="15"/>
      <c r="D475" s="17"/>
      <c r="E475" s="38"/>
      <c r="F475" s="38"/>
      <c r="G475" s="38"/>
      <c r="H475" s="38"/>
      <c r="I475" s="108"/>
    </row>
    <row r="476">
      <c r="A476" s="38"/>
      <c r="B476" s="38"/>
      <c r="C476" s="15"/>
      <c r="D476" s="17"/>
      <c r="E476" s="38"/>
      <c r="F476" s="38"/>
      <c r="G476" s="38"/>
      <c r="H476" s="38"/>
      <c r="I476" s="108"/>
    </row>
    <row r="477">
      <c r="A477" s="38"/>
      <c r="B477" s="38"/>
      <c r="C477" s="15"/>
      <c r="D477" s="17"/>
      <c r="E477" s="38"/>
      <c r="F477" s="38"/>
      <c r="G477" s="38"/>
      <c r="H477" s="38"/>
      <c r="I477" s="108"/>
    </row>
    <row r="478">
      <c r="A478" s="38"/>
      <c r="B478" s="38"/>
      <c r="C478" s="15"/>
      <c r="D478" s="17"/>
      <c r="E478" s="38"/>
      <c r="F478" s="38"/>
      <c r="G478" s="38"/>
      <c r="H478" s="38"/>
      <c r="I478" s="108"/>
    </row>
    <row r="479">
      <c r="A479" s="38"/>
      <c r="B479" s="38"/>
      <c r="C479" s="15"/>
      <c r="D479" s="17"/>
      <c r="E479" s="38"/>
      <c r="F479" s="38"/>
      <c r="G479" s="38"/>
      <c r="H479" s="38"/>
      <c r="I479" s="108"/>
    </row>
    <row r="480">
      <c r="A480" s="38"/>
      <c r="B480" s="38"/>
      <c r="C480" s="15"/>
      <c r="D480" s="17"/>
      <c r="E480" s="38"/>
      <c r="F480" s="38"/>
      <c r="G480" s="38"/>
      <c r="H480" s="38"/>
      <c r="I480" s="108"/>
    </row>
    <row r="481">
      <c r="A481" s="38"/>
      <c r="B481" s="38"/>
      <c r="C481" s="15"/>
      <c r="D481" s="17"/>
      <c r="E481" s="38"/>
      <c r="F481" s="38"/>
      <c r="G481" s="38"/>
      <c r="H481" s="38"/>
      <c r="I481" s="108"/>
    </row>
    <row r="482">
      <c r="A482" s="38"/>
      <c r="B482" s="38"/>
      <c r="C482" s="15"/>
      <c r="D482" s="17"/>
      <c r="E482" s="38"/>
      <c r="F482" s="38"/>
      <c r="G482" s="38"/>
      <c r="H482" s="38"/>
      <c r="I482" s="108"/>
    </row>
    <row r="483">
      <c r="A483" s="38"/>
      <c r="B483" s="38"/>
      <c r="C483" s="15"/>
      <c r="D483" s="17"/>
      <c r="E483" s="38"/>
      <c r="F483" s="38"/>
      <c r="G483" s="38"/>
      <c r="H483" s="38"/>
      <c r="I483" s="108"/>
    </row>
    <row r="484">
      <c r="A484" s="38"/>
      <c r="B484" s="38"/>
      <c r="C484" s="15"/>
      <c r="D484" s="17"/>
      <c r="E484" s="38"/>
      <c r="F484" s="38"/>
      <c r="G484" s="38"/>
      <c r="H484" s="38"/>
      <c r="I484" s="108"/>
    </row>
    <row r="485">
      <c r="A485" s="38"/>
      <c r="B485" s="38"/>
      <c r="C485" s="15"/>
      <c r="D485" s="17"/>
      <c r="E485" s="38"/>
      <c r="F485" s="38"/>
      <c r="G485" s="38"/>
      <c r="H485" s="38"/>
      <c r="I485" s="108"/>
    </row>
    <row r="486">
      <c r="A486" s="38"/>
      <c r="B486" s="38"/>
      <c r="C486" s="15"/>
      <c r="D486" s="17"/>
      <c r="E486" s="38"/>
      <c r="F486" s="38"/>
      <c r="G486" s="38"/>
      <c r="H486" s="38"/>
      <c r="I486" s="108"/>
    </row>
    <row r="487">
      <c r="A487" s="38"/>
      <c r="B487" s="38"/>
      <c r="C487" s="15"/>
      <c r="D487" s="17"/>
      <c r="E487" s="38"/>
      <c r="F487" s="38"/>
      <c r="G487" s="38"/>
      <c r="H487" s="38"/>
      <c r="I487" s="108"/>
    </row>
    <row r="488">
      <c r="A488" s="38"/>
      <c r="B488" s="38"/>
      <c r="C488" s="15"/>
      <c r="D488" s="17"/>
      <c r="E488" s="38"/>
      <c r="F488" s="38"/>
      <c r="G488" s="38"/>
      <c r="H488" s="38"/>
      <c r="I488" s="108"/>
    </row>
    <row r="489">
      <c r="A489" s="38"/>
      <c r="B489" s="38"/>
      <c r="C489" s="15"/>
      <c r="D489" s="17"/>
      <c r="E489" s="38"/>
      <c r="F489" s="38"/>
      <c r="G489" s="38"/>
      <c r="H489" s="38"/>
      <c r="I489" s="108"/>
    </row>
    <row r="490">
      <c r="A490" s="38"/>
      <c r="B490" s="38"/>
      <c r="C490" s="15"/>
      <c r="D490" s="17"/>
      <c r="E490" s="38"/>
      <c r="F490" s="38"/>
      <c r="G490" s="38"/>
      <c r="H490" s="38"/>
      <c r="I490" s="108"/>
    </row>
    <row r="491">
      <c r="A491" s="38"/>
      <c r="B491" s="38"/>
      <c r="C491" s="15"/>
      <c r="D491" s="17"/>
      <c r="E491" s="38"/>
      <c r="F491" s="38"/>
      <c r="G491" s="38"/>
      <c r="H491" s="38"/>
      <c r="I491" s="108"/>
    </row>
    <row r="492">
      <c r="A492" s="38"/>
      <c r="B492" s="38"/>
      <c r="C492" s="15"/>
      <c r="D492" s="17"/>
      <c r="E492" s="38"/>
      <c r="F492" s="38"/>
      <c r="G492" s="38"/>
      <c r="H492" s="38"/>
      <c r="I492" s="108"/>
    </row>
    <row r="493">
      <c r="A493" s="38"/>
      <c r="B493" s="38"/>
      <c r="C493" s="15"/>
      <c r="D493" s="17"/>
      <c r="E493" s="38"/>
      <c r="F493" s="38"/>
      <c r="G493" s="38"/>
      <c r="H493" s="38"/>
      <c r="I493" s="108"/>
    </row>
    <row r="494">
      <c r="A494" s="38"/>
      <c r="B494" s="38"/>
      <c r="C494" s="15"/>
      <c r="D494" s="17"/>
      <c r="E494" s="38"/>
      <c r="F494" s="38"/>
      <c r="G494" s="38"/>
      <c r="H494" s="38"/>
      <c r="I494" s="108"/>
    </row>
    <row r="495">
      <c r="A495" s="38"/>
      <c r="B495" s="38"/>
      <c r="C495" s="15"/>
      <c r="D495" s="17"/>
      <c r="E495" s="38"/>
      <c r="F495" s="38"/>
      <c r="G495" s="38"/>
      <c r="H495" s="38"/>
      <c r="I495" s="108"/>
    </row>
    <row r="496">
      <c r="A496" s="38"/>
      <c r="B496" s="38"/>
      <c r="C496" s="15"/>
      <c r="D496" s="17"/>
      <c r="E496" s="38"/>
      <c r="F496" s="38"/>
      <c r="G496" s="38"/>
      <c r="H496" s="38"/>
      <c r="I496" s="108"/>
    </row>
    <row r="497">
      <c r="A497" s="38"/>
      <c r="B497" s="38"/>
      <c r="C497" s="15"/>
      <c r="D497" s="17"/>
      <c r="E497" s="38"/>
      <c r="F497" s="38"/>
      <c r="G497" s="38"/>
      <c r="H497" s="38"/>
      <c r="I497" s="108"/>
    </row>
    <row r="498">
      <c r="A498" s="38"/>
      <c r="B498" s="38"/>
      <c r="C498" s="15"/>
      <c r="D498" s="17"/>
      <c r="E498" s="38"/>
      <c r="F498" s="38"/>
      <c r="G498" s="38"/>
      <c r="H498" s="38"/>
      <c r="I498" s="108"/>
    </row>
    <row r="499">
      <c r="A499" s="38"/>
      <c r="B499" s="38"/>
      <c r="C499" s="15"/>
      <c r="D499" s="17"/>
      <c r="E499" s="38"/>
      <c r="F499" s="38"/>
      <c r="G499" s="38"/>
      <c r="H499" s="38"/>
      <c r="I499" s="108"/>
    </row>
    <row r="500">
      <c r="A500" s="38"/>
      <c r="B500" s="38"/>
      <c r="C500" s="15"/>
      <c r="D500" s="17"/>
      <c r="E500" s="38"/>
      <c r="F500" s="38"/>
      <c r="G500" s="38"/>
      <c r="H500" s="38"/>
      <c r="I500" s="108"/>
    </row>
    <row r="501">
      <c r="D501" s="109"/>
    </row>
    <row r="502">
      <c r="D502" s="109"/>
    </row>
    <row r="503">
      <c r="D503" s="109"/>
    </row>
    <row r="504">
      <c r="D504" s="109"/>
    </row>
    <row r="505">
      <c r="D505" s="109"/>
    </row>
    <row r="506">
      <c r="D506" s="109"/>
    </row>
    <row r="507">
      <c r="D507" s="109"/>
    </row>
    <row r="508">
      <c r="D508" s="109"/>
    </row>
    <row r="509">
      <c r="D509" s="109"/>
    </row>
    <row r="510">
      <c r="D510" s="109"/>
    </row>
    <row r="511">
      <c r="D511" s="109"/>
    </row>
    <row r="512">
      <c r="D512" s="109"/>
    </row>
    <row r="513">
      <c r="D513" s="109"/>
    </row>
    <row r="514">
      <c r="D514" s="109"/>
    </row>
    <row r="515">
      <c r="D515" s="109"/>
    </row>
    <row r="516">
      <c r="D516" s="109"/>
    </row>
    <row r="517">
      <c r="D517" s="109"/>
    </row>
    <row r="518">
      <c r="D518" s="109"/>
    </row>
    <row r="519">
      <c r="D519" s="109"/>
    </row>
    <row r="520">
      <c r="D520" s="109"/>
    </row>
    <row r="521">
      <c r="D521" s="109"/>
    </row>
    <row r="522">
      <c r="D522" s="109"/>
    </row>
    <row r="523">
      <c r="D523" s="109"/>
    </row>
    <row r="524">
      <c r="D524" s="109"/>
    </row>
    <row r="525">
      <c r="D525" s="109"/>
    </row>
    <row r="526">
      <c r="D526" s="109"/>
    </row>
    <row r="527">
      <c r="D527" s="109"/>
    </row>
    <row r="528">
      <c r="D528" s="109"/>
    </row>
    <row r="529">
      <c r="D529" s="109"/>
    </row>
    <row r="530">
      <c r="D530" s="109"/>
    </row>
    <row r="531">
      <c r="D531" s="109"/>
    </row>
    <row r="532">
      <c r="D532" s="109"/>
    </row>
    <row r="533">
      <c r="D533" s="109"/>
    </row>
    <row r="534">
      <c r="D534" s="109"/>
    </row>
    <row r="535">
      <c r="D535" s="109"/>
    </row>
    <row r="536">
      <c r="D536" s="109"/>
    </row>
    <row r="537">
      <c r="D537" s="109"/>
    </row>
    <row r="538">
      <c r="D538" s="109"/>
    </row>
    <row r="539">
      <c r="D539" s="109"/>
    </row>
    <row r="540">
      <c r="D540" s="109"/>
    </row>
    <row r="541">
      <c r="D541" s="109"/>
    </row>
    <row r="542">
      <c r="D542" s="109"/>
    </row>
    <row r="543">
      <c r="D543" s="109"/>
    </row>
    <row r="544">
      <c r="D544" s="109"/>
    </row>
    <row r="545">
      <c r="D545" s="109"/>
    </row>
    <row r="546">
      <c r="D546" s="109"/>
    </row>
    <row r="547">
      <c r="D547" s="109"/>
    </row>
    <row r="548">
      <c r="D548" s="109"/>
    </row>
    <row r="549">
      <c r="D549" s="109"/>
    </row>
    <row r="550">
      <c r="D550" s="109"/>
    </row>
    <row r="551">
      <c r="D551" s="109"/>
    </row>
    <row r="552">
      <c r="D552" s="109"/>
    </row>
    <row r="553">
      <c r="D553" s="109"/>
    </row>
    <row r="554">
      <c r="D554" s="109"/>
    </row>
    <row r="555">
      <c r="D555" s="109"/>
    </row>
    <row r="556">
      <c r="D556" s="109"/>
    </row>
    <row r="557">
      <c r="D557" s="109"/>
    </row>
    <row r="558">
      <c r="D558" s="109"/>
    </row>
    <row r="559">
      <c r="D559" s="109"/>
    </row>
    <row r="560">
      <c r="D560" s="109"/>
    </row>
    <row r="561">
      <c r="D561" s="109"/>
    </row>
    <row r="562">
      <c r="D562" s="109"/>
    </row>
    <row r="563">
      <c r="D563" s="109"/>
    </row>
    <row r="564">
      <c r="D564" s="109"/>
    </row>
    <row r="565">
      <c r="D565" s="109"/>
    </row>
    <row r="566">
      <c r="D566" s="109"/>
    </row>
    <row r="567">
      <c r="D567" s="109"/>
    </row>
    <row r="568">
      <c r="D568" s="109"/>
    </row>
    <row r="569">
      <c r="D569" s="109"/>
    </row>
    <row r="570">
      <c r="D570" s="109"/>
    </row>
    <row r="571">
      <c r="D571" s="109"/>
    </row>
    <row r="572">
      <c r="D572" s="109"/>
    </row>
    <row r="573">
      <c r="D573" s="109"/>
    </row>
    <row r="574">
      <c r="D574" s="109"/>
    </row>
    <row r="575">
      <c r="D575" s="109"/>
    </row>
    <row r="576">
      <c r="D576" s="109"/>
    </row>
    <row r="577">
      <c r="D577" s="109"/>
    </row>
    <row r="578">
      <c r="D578" s="109"/>
    </row>
    <row r="579">
      <c r="D579" s="109"/>
    </row>
    <row r="580">
      <c r="D580" s="109"/>
    </row>
    <row r="581">
      <c r="D581" s="109"/>
    </row>
    <row r="582">
      <c r="D582" s="109"/>
    </row>
    <row r="583">
      <c r="D583" s="109"/>
    </row>
    <row r="584">
      <c r="D584" s="109"/>
    </row>
    <row r="585">
      <c r="D585" s="109"/>
    </row>
    <row r="586">
      <c r="D586" s="109"/>
    </row>
    <row r="587">
      <c r="D587" s="109"/>
    </row>
    <row r="588">
      <c r="D588" s="109"/>
    </row>
    <row r="589">
      <c r="D589" s="109"/>
    </row>
    <row r="590">
      <c r="D590" s="109"/>
    </row>
    <row r="591">
      <c r="D591" s="109"/>
    </row>
    <row r="592">
      <c r="D592" s="109"/>
    </row>
    <row r="593">
      <c r="D593" s="109"/>
    </row>
    <row r="594">
      <c r="D594" s="109"/>
    </row>
    <row r="595">
      <c r="D595" s="109"/>
    </row>
    <row r="596">
      <c r="D596" s="109"/>
    </row>
    <row r="597">
      <c r="D597" s="109"/>
    </row>
    <row r="598">
      <c r="D598" s="109"/>
    </row>
    <row r="599">
      <c r="D599" s="109"/>
    </row>
    <row r="600">
      <c r="D600" s="109"/>
    </row>
    <row r="601">
      <c r="D601" s="109"/>
    </row>
    <row r="602">
      <c r="D602" s="109"/>
    </row>
    <row r="603">
      <c r="D603" s="109"/>
    </row>
    <row r="604">
      <c r="D604" s="109"/>
    </row>
    <row r="605">
      <c r="D605" s="109"/>
    </row>
    <row r="606">
      <c r="D606" s="109"/>
    </row>
    <row r="607">
      <c r="D607" s="109"/>
    </row>
    <row r="608">
      <c r="D608" s="109"/>
    </row>
    <row r="609">
      <c r="D609" s="109"/>
    </row>
    <row r="610">
      <c r="D610" s="109"/>
    </row>
    <row r="611">
      <c r="D611" s="109"/>
    </row>
    <row r="612">
      <c r="D612" s="109"/>
    </row>
    <row r="613">
      <c r="D613" s="109"/>
    </row>
    <row r="614">
      <c r="D614" s="109"/>
    </row>
    <row r="615">
      <c r="D615" s="109"/>
    </row>
    <row r="616">
      <c r="D616" s="109"/>
    </row>
    <row r="617">
      <c r="D617" s="109"/>
    </row>
    <row r="618">
      <c r="D618" s="109"/>
    </row>
    <row r="619">
      <c r="D619" s="109"/>
    </row>
    <row r="620">
      <c r="D620" s="109"/>
    </row>
    <row r="621">
      <c r="D621" s="109"/>
    </row>
    <row r="622">
      <c r="D622" s="109"/>
    </row>
    <row r="623">
      <c r="D623" s="109"/>
    </row>
    <row r="624">
      <c r="D624" s="109"/>
    </row>
    <row r="625">
      <c r="D625" s="109"/>
    </row>
    <row r="626">
      <c r="D626" s="109"/>
    </row>
    <row r="627">
      <c r="D627" s="109"/>
    </row>
    <row r="628">
      <c r="D628" s="109"/>
    </row>
    <row r="629">
      <c r="D629" s="109"/>
    </row>
    <row r="630">
      <c r="D630" s="109"/>
    </row>
    <row r="631">
      <c r="D631" s="109"/>
    </row>
    <row r="632">
      <c r="D632" s="109"/>
    </row>
    <row r="633">
      <c r="D633" s="109"/>
    </row>
    <row r="634">
      <c r="D634" s="109"/>
    </row>
    <row r="635">
      <c r="D635" s="109"/>
    </row>
    <row r="636">
      <c r="D636" s="109"/>
    </row>
    <row r="637">
      <c r="D637" s="109"/>
    </row>
    <row r="638">
      <c r="D638" s="109"/>
    </row>
    <row r="639">
      <c r="D639" s="109"/>
    </row>
    <row r="640">
      <c r="D640" s="109"/>
    </row>
    <row r="641">
      <c r="D641" s="109"/>
    </row>
    <row r="642">
      <c r="D642" s="109"/>
    </row>
    <row r="643">
      <c r="D643" s="109"/>
    </row>
    <row r="644">
      <c r="D644" s="109"/>
    </row>
    <row r="645">
      <c r="D645" s="109"/>
    </row>
    <row r="646">
      <c r="D646" s="109"/>
    </row>
    <row r="647">
      <c r="D647" s="109"/>
    </row>
    <row r="648">
      <c r="D648" s="109"/>
    </row>
    <row r="649">
      <c r="D649" s="109"/>
    </row>
    <row r="650">
      <c r="D650" s="109"/>
    </row>
    <row r="651">
      <c r="D651" s="109"/>
    </row>
    <row r="652">
      <c r="D652" s="109"/>
    </row>
    <row r="653">
      <c r="D653" s="109"/>
    </row>
    <row r="654">
      <c r="D654" s="109"/>
    </row>
    <row r="655">
      <c r="D655" s="109"/>
    </row>
    <row r="656">
      <c r="D656" s="109"/>
    </row>
    <row r="657">
      <c r="D657" s="109"/>
    </row>
    <row r="658">
      <c r="D658" s="109"/>
    </row>
    <row r="659">
      <c r="D659" s="109"/>
    </row>
    <row r="660">
      <c r="D660" s="109"/>
    </row>
    <row r="661">
      <c r="D661" s="109"/>
    </row>
    <row r="662">
      <c r="D662" s="109"/>
    </row>
    <row r="663">
      <c r="D663" s="109"/>
    </row>
    <row r="664">
      <c r="D664" s="109"/>
    </row>
    <row r="665">
      <c r="D665" s="109"/>
    </row>
    <row r="666">
      <c r="D666" s="109"/>
    </row>
    <row r="667">
      <c r="D667" s="109"/>
    </row>
    <row r="668">
      <c r="D668" s="109"/>
    </row>
    <row r="669">
      <c r="D669" s="109"/>
    </row>
    <row r="670">
      <c r="D670" s="109"/>
    </row>
    <row r="671">
      <c r="D671" s="109"/>
    </row>
    <row r="672">
      <c r="D672" s="109"/>
    </row>
    <row r="673">
      <c r="D673" s="109"/>
    </row>
    <row r="674">
      <c r="D674" s="109"/>
    </row>
    <row r="675">
      <c r="D675" s="109"/>
    </row>
    <row r="676">
      <c r="D676" s="109"/>
    </row>
    <row r="677">
      <c r="D677" s="109"/>
    </row>
    <row r="678">
      <c r="D678" s="109"/>
    </row>
    <row r="679">
      <c r="D679" s="109"/>
    </row>
    <row r="680">
      <c r="D680" s="109"/>
    </row>
    <row r="681">
      <c r="D681" s="109"/>
    </row>
    <row r="682">
      <c r="D682" s="109"/>
    </row>
    <row r="683">
      <c r="D683" s="109"/>
    </row>
    <row r="684">
      <c r="D684" s="109"/>
    </row>
    <row r="685">
      <c r="D685" s="109"/>
    </row>
    <row r="686">
      <c r="D686" s="109"/>
    </row>
    <row r="687">
      <c r="D687" s="109"/>
    </row>
    <row r="688">
      <c r="D688" s="109"/>
    </row>
    <row r="689">
      <c r="D689" s="109"/>
    </row>
    <row r="690">
      <c r="D690" s="109"/>
    </row>
    <row r="691">
      <c r="D691" s="109"/>
    </row>
    <row r="692">
      <c r="D692" s="109"/>
    </row>
    <row r="693">
      <c r="D693" s="109"/>
    </row>
    <row r="694">
      <c r="D694" s="109"/>
    </row>
    <row r="695">
      <c r="D695" s="109"/>
    </row>
    <row r="696">
      <c r="D696" s="109"/>
    </row>
    <row r="697">
      <c r="D697" s="109"/>
    </row>
    <row r="698">
      <c r="D698" s="109"/>
    </row>
    <row r="699">
      <c r="D699" s="109"/>
    </row>
    <row r="700">
      <c r="D700" s="109"/>
    </row>
    <row r="701">
      <c r="D701" s="109"/>
    </row>
    <row r="702">
      <c r="D702" s="109"/>
    </row>
    <row r="703">
      <c r="D703" s="109"/>
    </row>
    <row r="704">
      <c r="D704" s="109"/>
    </row>
    <row r="705">
      <c r="D705" s="109"/>
    </row>
    <row r="706">
      <c r="D706" s="109"/>
    </row>
    <row r="707">
      <c r="D707" s="109"/>
    </row>
    <row r="708">
      <c r="D708" s="109"/>
    </row>
    <row r="709">
      <c r="D709" s="109"/>
    </row>
    <row r="710">
      <c r="D710" s="109"/>
    </row>
    <row r="711">
      <c r="D711" s="109"/>
    </row>
    <row r="712">
      <c r="D712" s="109"/>
    </row>
    <row r="713">
      <c r="D713" s="109"/>
    </row>
    <row r="714">
      <c r="D714" s="109"/>
    </row>
    <row r="715">
      <c r="D715" s="109"/>
    </row>
    <row r="716">
      <c r="D716" s="109"/>
    </row>
    <row r="717">
      <c r="D717" s="109"/>
    </row>
    <row r="718">
      <c r="D718" s="109"/>
    </row>
    <row r="719">
      <c r="D719" s="109"/>
    </row>
    <row r="720">
      <c r="D720" s="109"/>
    </row>
    <row r="721">
      <c r="D721" s="109"/>
    </row>
    <row r="722">
      <c r="D722" s="109"/>
    </row>
    <row r="723">
      <c r="D723" s="109"/>
    </row>
    <row r="724">
      <c r="D724" s="109"/>
    </row>
    <row r="725">
      <c r="D725" s="109"/>
    </row>
    <row r="726">
      <c r="D726" s="109"/>
    </row>
    <row r="727">
      <c r="D727" s="109"/>
    </row>
    <row r="728">
      <c r="D728" s="109"/>
    </row>
    <row r="729">
      <c r="D729" s="109"/>
    </row>
    <row r="730">
      <c r="D730" s="109"/>
    </row>
    <row r="731">
      <c r="D731" s="109"/>
    </row>
    <row r="732">
      <c r="D732" s="109"/>
    </row>
    <row r="733">
      <c r="D733" s="109"/>
    </row>
    <row r="734">
      <c r="D734" s="109"/>
    </row>
    <row r="735">
      <c r="D735" s="109"/>
    </row>
    <row r="736">
      <c r="D736" s="109"/>
    </row>
    <row r="737">
      <c r="D737" s="109"/>
    </row>
    <row r="738">
      <c r="D738" s="109"/>
    </row>
    <row r="739">
      <c r="D739" s="109"/>
    </row>
    <row r="740">
      <c r="D740" s="109"/>
    </row>
    <row r="741">
      <c r="D741" s="109"/>
    </row>
    <row r="742">
      <c r="D742" s="109"/>
    </row>
    <row r="743">
      <c r="D743" s="109"/>
    </row>
    <row r="744">
      <c r="D744" s="109"/>
    </row>
    <row r="745">
      <c r="D745" s="109"/>
    </row>
    <row r="746">
      <c r="D746" s="109"/>
    </row>
    <row r="747">
      <c r="D747" s="109"/>
    </row>
    <row r="748">
      <c r="D748" s="109"/>
    </row>
    <row r="749">
      <c r="D749" s="109"/>
    </row>
    <row r="750">
      <c r="D750" s="109"/>
    </row>
    <row r="751">
      <c r="D751" s="109"/>
    </row>
    <row r="752">
      <c r="D752" s="109"/>
    </row>
    <row r="753">
      <c r="D753" s="109"/>
    </row>
    <row r="754">
      <c r="D754" s="109"/>
    </row>
    <row r="755">
      <c r="D755" s="109"/>
    </row>
    <row r="756">
      <c r="D756" s="109"/>
    </row>
    <row r="757">
      <c r="D757" s="109"/>
    </row>
    <row r="758">
      <c r="D758" s="109"/>
    </row>
    <row r="759">
      <c r="D759" s="109"/>
    </row>
    <row r="760">
      <c r="D760" s="109"/>
    </row>
    <row r="761">
      <c r="D761" s="109"/>
    </row>
    <row r="762">
      <c r="D762" s="109"/>
    </row>
    <row r="763">
      <c r="D763" s="109"/>
    </row>
    <row r="764">
      <c r="D764" s="109"/>
    </row>
    <row r="765">
      <c r="D765" s="109"/>
    </row>
    <row r="766">
      <c r="D766" s="109"/>
    </row>
    <row r="767">
      <c r="D767" s="109"/>
    </row>
    <row r="768">
      <c r="D768" s="109"/>
    </row>
    <row r="769">
      <c r="D769" s="109"/>
    </row>
    <row r="770">
      <c r="D770" s="109"/>
    </row>
    <row r="771">
      <c r="D771" s="109"/>
    </row>
    <row r="772">
      <c r="D772" s="109"/>
    </row>
    <row r="773">
      <c r="D773" s="109"/>
    </row>
    <row r="774">
      <c r="D774" s="109"/>
    </row>
    <row r="775">
      <c r="D775" s="109"/>
    </row>
    <row r="776">
      <c r="D776" s="109"/>
    </row>
    <row r="777">
      <c r="D777" s="109"/>
    </row>
    <row r="778">
      <c r="D778" s="109"/>
    </row>
    <row r="779">
      <c r="D779" s="109"/>
    </row>
    <row r="780">
      <c r="D780" s="109"/>
    </row>
    <row r="781">
      <c r="D781" s="109"/>
    </row>
    <row r="782">
      <c r="D782" s="109"/>
    </row>
    <row r="783">
      <c r="D783" s="109"/>
    </row>
    <row r="784">
      <c r="D784" s="109"/>
    </row>
    <row r="785">
      <c r="D785" s="109"/>
    </row>
    <row r="786">
      <c r="D786" s="109"/>
    </row>
    <row r="787">
      <c r="D787" s="109"/>
    </row>
    <row r="788">
      <c r="D788" s="109"/>
    </row>
    <row r="789">
      <c r="D789" s="109"/>
    </row>
    <row r="790">
      <c r="D790" s="109"/>
    </row>
    <row r="791">
      <c r="D791" s="109"/>
    </row>
    <row r="792">
      <c r="D792" s="109"/>
    </row>
    <row r="793">
      <c r="D793" s="109"/>
    </row>
    <row r="794">
      <c r="D794" s="109"/>
    </row>
    <row r="795">
      <c r="D795" s="109"/>
    </row>
    <row r="796">
      <c r="D796" s="109"/>
    </row>
    <row r="797">
      <c r="D797" s="109"/>
    </row>
    <row r="798">
      <c r="D798" s="109"/>
    </row>
    <row r="799">
      <c r="D799" s="109"/>
    </row>
    <row r="800">
      <c r="D800" s="109"/>
    </row>
    <row r="801">
      <c r="D801" s="109"/>
    </row>
    <row r="802">
      <c r="D802" s="109"/>
    </row>
    <row r="803">
      <c r="D803" s="109"/>
    </row>
    <row r="804">
      <c r="D804" s="109"/>
    </row>
    <row r="805">
      <c r="D805" s="109"/>
    </row>
    <row r="806">
      <c r="D806" s="109"/>
    </row>
    <row r="807">
      <c r="D807" s="109"/>
    </row>
    <row r="808">
      <c r="D808" s="109"/>
    </row>
    <row r="809">
      <c r="D809" s="109"/>
    </row>
    <row r="810">
      <c r="D810" s="109"/>
    </row>
    <row r="811">
      <c r="D811" s="109"/>
    </row>
    <row r="812">
      <c r="D812" s="109"/>
    </row>
    <row r="813">
      <c r="D813" s="109"/>
    </row>
    <row r="814">
      <c r="D814" s="109"/>
    </row>
    <row r="815">
      <c r="D815" s="109"/>
    </row>
    <row r="816">
      <c r="D816" s="109"/>
    </row>
    <row r="817">
      <c r="D817" s="109"/>
    </row>
    <row r="818">
      <c r="D818" s="109"/>
    </row>
    <row r="819">
      <c r="D819" s="109"/>
    </row>
    <row r="820">
      <c r="D820" s="109"/>
    </row>
    <row r="821">
      <c r="D821" s="109"/>
    </row>
    <row r="822">
      <c r="D822" s="109"/>
    </row>
    <row r="823">
      <c r="D823" s="109"/>
    </row>
    <row r="824">
      <c r="D824" s="109"/>
    </row>
    <row r="825">
      <c r="D825" s="109"/>
    </row>
    <row r="826">
      <c r="D826" s="109"/>
    </row>
    <row r="827">
      <c r="D827" s="109"/>
    </row>
    <row r="828">
      <c r="D828" s="109"/>
    </row>
    <row r="829">
      <c r="D829" s="109"/>
    </row>
    <row r="830">
      <c r="D830" s="109"/>
    </row>
    <row r="831">
      <c r="D831" s="109"/>
    </row>
    <row r="832">
      <c r="D832" s="109"/>
    </row>
    <row r="833">
      <c r="D833" s="109"/>
    </row>
    <row r="834">
      <c r="D834" s="109"/>
    </row>
    <row r="835">
      <c r="D835" s="109"/>
    </row>
    <row r="836">
      <c r="D836" s="109"/>
    </row>
    <row r="837">
      <c r="D837" s="109"/>
    </row>
    <row r="838">
      <c r="D838" s="109"/>
    </row>
    <row r="839">
      <c r="D839" s="109"/>
    </row>
    <row r="840">
      <c r="D840" s="109"/>
    </row>
    <row r="841">
      <c r="D841" s="109"/>
    </row>
    <row r="842">
      <c r="D842" s="109"/>
    </row>
    <row r="843">
      <c r="D843" s="109"/>
    </row>
    <row r="844">
      <c r="D844" s="109"/>
    </row>
    <row r="845">
      <c r="D845" s="109"/>
    </row>
    <row r="846">
      <c r="D846" s="109"/>
    </row>
    <row r="847">
      <c r="D847" s="109"/>
    </row>
    <row r="848">
      <c r="D848" s="109"/>
    </row>
    <row r="849">
      <c r="D849" s="109"/>
    </row>
    <row r="850">
      <c r="D850" s="109"/>
    </row>
    <row r="851">
      <c r="D851" s="109"/>
    </row>
    <row r="852">
      <c r="D852" s="109"/>
    </row>
    <row r="853">
      <c r="D853" s="109"/>
    </row>
    <row r="854">
      <c r="D854" s="109"/>
    </row>
    <row r="855">
      <c r="D855" s="109"/>
    </row>
    <row r="856">
      <c r="D856" s="109"/>
    </row>
    <row r="857">
      <c r="D857" s="109"/>
    </row>
    <row r="858">
      <c r="D858" s="109"/>
    </row>
    <row r="859">
      <c r="D859" s="109"/>
    </row>
    <row r="860">
      <c r="D860" s="109"/>
    </row>
    <row r="861">
      <c r="D861" s="109"/>
    </row>
    <row r="862">
      <c r="D862" s="109"/>
    </row>
    <row r="863">
      <c r="D863" s="109"/>
    </row>
    <row r="864">
      <c r="D864" s="109"/>
    </row>
    <row r="865">
      <c r="D865" s="109"/>
    </row>
    <row r="866">
      <c r="D866" s="109"/>
    </row>
    <row r="867">
      <c r="D867" s="109"/>
    </row>
    <row r="868">
      <c r="D868" s="109"/>
    </row>
    <row r="869">
      <c r="D869" s="109"/>
    </row>
    <row r="870">
      <c r="D870" s="109"/>
    </row>
    <row r="871">
      <c r="D871" s="109"/>
    </row>
    <row r="872">
      <c r="D872" s="109"/>
    </row>
    <row r="873">
      <c r="D873" s="109"/>
    </row>
    <row r="874">
      <c r="D874" s="109"/>
    </row>
    <row r="875">
      <c r="D875" s="109"/>
    </row>
    <row r="876">
      <c r="D876" s="109"/>
    </row>
    <row r="877">
      <c r="D877" s="109"/>
    </row>
    <row r="878">
      <c r="D878" s="109"/>
    </row>
    <row r="879">
      <c r="D879" s="109"/>
    </row>
    <row r="880">
      <c r="D880" s="109"/>
    </row>
    <row r="881">
      <c r="D881" s="109"/>
    </row>
    <row r="882">
      <c r="D882" s="109"/>
    </row>
    <row r="883">
      <c r="D883" s="109"/>
    </row>
    <row r="884">
      <c r="D884" s="109"/>
    </row>
    <row r="885">
      <c r="D885" s="109"/>
    </row>
    <row r="886">
      <c r="D886" s="109"/>
    </row>
    <row r="887">
      <c r="D887" s="109"/>
    </row>
    <row r="888">
      <c r="D888" s="109"/>
    </row>
    <row r="889">
      <c r="D889" s="109"/>
    </row>
    <row r="890">
      <c r="D890" s="109"/>
    </row>
    <row r="891">
      <c r="D891" s="109"/>
    </row>
    <row r="892">
      <c r="D892" s="109"/>
    </row>
    <row r="893">
      <c r="D893" s="109"/>
    </row>
    <row r="894">
      <c r="D894" s="109"/>
    </row>
    <row r="895">
      <c r="D895" s="109"/>
    </row>
    <row r="896">
      <c r="D896" s="109"/>
    </row>
    <row r="897">
      <c r="D897" s="109"/>
    </row>
    <row r="898">
      <c r="D898" s="109"/>
    </row>
    <row r="899">
      <c r="D899" s="109"/>
    </row>
    <row r="900">
      <c r="D900" s="109"/>
    </row>
    <row r="901">
      <c r="D901" s="109"/>
    </row>
    <row r="902">
      <c r="D902" s="109"/>
    </row>
    <row r="903">
      <c r="D903" s="109"/>
    </row>
    <row r="904">
      <c r="D904" s="109"/>
    </row>
    <row r="905">
      <c r="D905" s="109"/>
    </row>
    <row r="906">
      <c r="D906" s="109"/>
    </row>
    <row r="907">
      <c r="D907" s="109"/>
    </row>
    <row r="908">
      <c r="D908" s="109"/>
    </row>
    <row r="909">
      <c r="D909" s="109"/>
    </row>
    <row r="910">
      <c r="D910" s="109"/>
    </row>
    <row r="911">
      <c r="D911" s="109"/>
    </row>
    <row r="912">
      <c r="D912" s="109"/>
    </row>
    <row r="913">
      <c r="D913" s="109"/>
    </row>
    <row r="914">
      <c r="D914" s="109"/>
    </row>
    <row r="915">
      <c r="D915" s="109"/>
    </row>
    <row r="916">
      <c r="D916" s="109"/>
    </row>
    <row r="917">
      <c r="D917" s="109"/>
    </row>
    <row r="918">
      <c r="D918" s="109"/>
    </row>
    <row r="919">
      <c r="D919" s="109"/>
    </row>
    <row r="920">
      <c r="D920" s="109"/>
    </row>
    <row r="921">
      <c r="D921" s="109"/>
    </row>
    <row r="922">
      <c r="D922" s="109"/>
    </row>
    <row r="923">
      <c r="D923" s="109"/>
    </row>
    <row r="924">
      <c r="D924" s="109"/>
    </row>
    <row r="925">
      <c r="D925" s="109"/>
    </row>
    <row r="926">
      <c r="D926" s="109"/>
    </row>
    <row r="927">
      <c r="D927" s="109"/>
    </row>
    <row r="928">
      <c r="D928" s="109"/>
    </row>
    <row r="929">
      <c r="D929" s="109"/>
    </row>
    <row r="930">
      <c r="D930" s="109"/>
    </row>
    <row r="931">
      <c r="D931" s="109"/>
    </row>
    <row r="932">
      <c r="D932" s="109"/>
    </row>
    <row r="933">
      <c r="D933" s="109"/>
    </row>
    <row r="934">
      <c r="D934" s="109"/>
    </row>
    <row r="935">
      <c r="D935" s="109"/>
    </row>
    <row r="936">
      <c r="D936" s="109"/>
    </row>
    <row r="937">
      <c r="D937" s="109"/>
    </row>
    <row r="938">
      <c r="D938" s="109"/>
    </row>
    <row r="939">
      <c r="D939" s="109"/>
    </row>
    <row r="940">
      <c r="D940" s="109"/>
    </row>
    <row r="941">
      <c r="D941" s="109"/>
    </row>
    <row r="942">
      <c r="D942" s="109"/>
    </row>
    <row r="943">
      <c r="D943" s="109"/>
    </row>
    <row r="944">
      <c r="D944" s="109"/>
    </row>
    <row r="945">
      <c r="D945" s="109"/>
    </row>
    <row r="946">
      <c r="D946" s="109"/>
    </row>
    <row r="947">
      <c r="D947" s="109"/>
    </row>
    <row r="948">
      <c r="D948" s="109"/>
    </row>
    <row r="949">
      <c r="D949" s="109"/>
    </row>
    <row r="950">
      <c r="D950" s="109"/>
    </row>
    <row r="951">
      <c r="D951" s="109"/>
    </row>
    <row r="952">
      <c r="D952" s="109"/>
    </row>
    <row r="953">
      <c r="D953" s="109"/>
    </row>
    <row r="954">
      <c r="D954" s="109"/>
    </row>
    <row r="955">
      <c r="D955" s="109"/>
    </row>
    <row r="956">
      <c r="D956" s="109"/>
    </row>
    <row r="957">
      <c r="D957" s="109"/>
    </row>
    <row r="958">
      <c r="D958" s="109"/>
    </row>
    <row r="959">
      <c r="D959" s="109"/>
    </row>
    <row r="960">
      <c r="D960" s="109"/>
    </row>
    <row r="961">
      <c r="D961" s="109"/>
    </row>
    <row r="962">
      <c r="D962" s="109"/>
    </row>
    <row r="963">
      <c r="D963" s="109"/>
    </row>
    <row r="964">
      <c r="D964" s="109"/>
    </row>
    <row r="965">
      <c r="D965" s="109"/>
    </row>
    <row r="966">
      <c r="D966" s="109"/>
    </row>
    <row r="967">
      <c r="D967" s="109"/>
    </row>
    <row r="968">
      <c r="D968" s="109"/>
    </row>
    <row r="969">
      <c r="D969" s="109"/>
    </row>
    <row r="970">
      <c r="D970" s="109"/>
    </row>
    <row r="971">
      <c r="D971" s="109"/>
    </row>
    <row r="972">
      <c r="D972" s="109"/>
    </row>
    <row r="973">
      <c r="D973" s="109"/>
    </row>
    <row r="974">
      <c r="D974" s="109"/>
    </row>
    <row r="975">
      <c r="D975" s="109"/>
    </row>
    <row r="976">
      <c r="D976" s="109"/>
    </row>
    <row r="977">
      <c r="D977" s="109"/>
    </row>
    <row r="978">
      <c r="D978" s="109"/>
    </row>
    <row r="979">
      <c r="D979" s="109"/>
    </row>
    <row r="980">
      <c r="D980" s="109"/>
    </row>
    <row r="981">
      <c r="D981" s="109"/>
    </row>
    <row r="982">
      <c r="D982" s="109"/>
    </row>
    <row r="983">
      <c r="D983" s="109"/>
    </row>
    <row r="984">
      <c r="D984" s="109"/>
    </row>
    <row r="985">
      <c r="D985" s="109"/>
    </row>
    <row r="986">
      <c r="D986" s="109"/>
    </row>
    <row r="987">
      <c r="D987" s="109"/>
    </row>
    <row r="988">
      <c r="D988" s="109"/>
    </row>
    <row r="989">
      <c r="D989" s="109"/>
    </row>
    <row r="990">
      <c r="D990" s="109"/>
    </row>
    <row r="991">
      <c r="D991" s="109"/>
    </row>
    <row r="992">
      <c r="D992" s="109"/>
    </row>
    <row r="993">
      <c r="D993" s="109"/>
    </row>
    <row r="994">
      <c r="D994" s="109"/>
    </row>
    <row r="995">
      <c r="D995" s="109"/>
    </row>
    <row r="996">
      <c r="D996" s="109"/>
    </row>
    <row r="997">
      <c r="D997" s="109"/>
    </row>
    <row r="998">
      <c r="D998" s="109"/>
    </row>
    <row r="999">
      <c r="D999" s="109"/>
    </row>
    <row r="1000">
      <c r="D1000" s="109"/>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'Chêne' ORDER BY Z ASC"", 1)"),"Assermenté")</f>
        <v>Assermenté</v>
      </c>
      <c r="B1" s="7" t="str">
        <f>IFERROR(__xludf.DUMMYFUNCTION("""COMPUTED_VALUE"""),"Grade")</f>
        <v>Grade</v>
      </c>
      <c r="C1" s="7" t="str">
        <f>IFERROR(__xludf.DUMMYFUNCTION("""COMPUTED_VALUE"""),"Prénom")</f>
        <v>Prénom</v>
      </c>
      <c r="D1" s="7"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IFERROR(__xludf.DUMMYFUNCTION("""COMPUTED_VALUE"""),TRUE)</f>
        <v>1</v>
      </c>
      <c r="B2" s="4" t="str">
        <f>IFERROR(__xludf.DUMMYFUNCTION("""COMPUTED_VALUE"""),"Major")</f>
        <v>Major</v>
      </c>
      <c r="C2" s="13" t="str">
        <f>IFERROR(__xludf.DUMMYFUNCTION("""COMPUTED_VALUE"""),"Rusco")</f>
        <v>Rusco</v>
      </c>
      <c r="D2" s="13"/>
      <c r="E2" s="4" t="str">
        <f>IFERROR(__xludf.DUMMYFUNCTION("""COMPUTED_VALUE"""),"Bois-de-Chêne")</f>
        <v>Bois-de-Chêne</v>
      </c>
      <c r="F2" s="5" t="str">
        <f>IFERROR(__xludf.DUMMYFUNCTION("""COMPUTED_VALUE"""),"Garde")</f>
        <v>Garde</v>
      </c>
      <c r="G2" s="4" t="str">
        <f>IFERROR(__xludf.DUMMYFUNCTION("""COMPUTED_VALUE"""),"En service actif")</f>
        <v>En service actif</v>
      </c>
      <c r="H2" s="4"/>
      <c r="I2" s="106"/>
      <c r="J2" s="38"/>
      <c r="K2" s="38"/>
      <c r="L2" s="38"/>
      <c r="M2" s="38"/>
      <c r="N2" s="38"/>
      <c r="O2" s="38"/>
      <c r="P2" s="38"/>
      <c r="Q2" s="38"/>
      <c r="R2" s="38"/>
      <c r="S2" s="38"/>
      <c r="T2" s="38"/>
      <c r="U2" s="38"/>
      <c r="V2" s="38"/>
      <c r="W2" s="38"/>
      <c r="X2" s="38"/>
      <c r="Y2" s="38"/>
      <c r="Z2" s="38"/>
    </row>
    <row r="3">
      <c r="A3" s="4" t="b">
        <f>IFERROR(__xludf.DUMMYFUNCTION("""COMPUTED_VALUE"""),FALSE)</f>
        <v>0</v>
      </c>
      <c r="B3" s="4" t="str">
        <f>IFERROR(__xludf.DUMMYFUNCTION("""COMPUTED_VALUE"""),"Recrue")</f>
        <v>Recrue</v>
      </c>
      <c r="C3" s="13" t="str">
        <f>IFERROR(__xludf.DUMMYFUNCTION("""COMPUTED_VALUE"""),"Darius")</f>
        <v>Darius</v>
      </c>
      <c r="D3" s="15" t="str">
        <f>IFERROR(__xludf.DUMMYFUNCTION("""COMPUTED_VALUE"""),"Blacktorn")</f>
        <v>Blacktorn</v>
      </c>
      <c r="E3" s="4" t="str">
        <f>IFERROR(__xludf.DUMMYFUNCTION("""COMPUTED_VALUE"""),"Bois-de-Chêne")</f>
        <v>Bois-de-Chêne</v>
      </c>
      <c r="F3" s="5" t="str">
        <f>IFERROR(__xludf.DUMMYFUNCTION("""COMPUTED_VALUE"""),"Garde, Collecteur de la garde")</f>
        <v>Garde, Collecteur de la garde</v>
      </c>
      <c r="G3" s="4" t="str">
        <f>IFERROR(__xludf.DUMMYFUNCTION("""COMPUTED_VALUE"""),"Radié du service actif")</f>
        <v>Radié du service actif</v>
      </c>
      <c r="H3" s="4"/>
      <c r="I3" s="106"/>
      <c r="J3" s="38"/>
      <c r="K3" s="38"/>
      <c r="L3" s="38"/>
      <c r="M3" s="38"/>
      <c r="N3" s="38"/>
      <c r="O3" s="38"/>
      <c r="P3" s="38"/>
      <c r="Q3" s="38"/>
      <c r="R3" s="38"/>
      <c r="S3" s="38"/>
      <c r="T3" s="38"/>
      <c r="U3" s="38"/>
      <c r="V3" s="38"/>
      <c r="W3" s="38"/>
      <c r="X3" s="38"/>
      <c r="Y3" s="38"/>
      <c r="Z3" s="38"/>
    </row>
    <row r="4">
      <c r="A4" s="4" t="b">
        <f>IFERROR(__xludf.DUMMYFUNCTION("""COMPUTED_VALUE"""),TRUE)</f>
        <v>1</v>
      </c>
      <c r="B4" s="4" t="str">
        <f>IFERROR(__xludf.DUMMYFUNCTION("""COMPUTED_VALUE"""),"Capitaine")</f>
        <v>Capitaine</v>
      </c>
      <c r="C4" s="13" t="str">
        <f>IFERROR(__xludf.DUMMYFUNCTION("""COMPUTED_VALUE"""),"Ra'zir")</f>
        <v>Ra'zir</v>
      </c>
      <c r="D4" s="15" t="str">
        <f>IFERROR(__xludf.DUMMYFUNCTION("""COMPUTED_VALUE"""),"Poing-de-fer")</f>
        <v>Poing-de-fer</v>
      </c>
      <c r="E4" s="4" t="str">
        <f>IFERROR(__xludf.DUMMYFUNCTION("""COMPUTED_VALUE"""),"Bois-de-Chêne")</f>
        <v>Bois-de-Chêne</v>
      </c>
      <c r="F4" s="5" t="str">
        <f>IFERROR(__xludf.DUMMYFUNCTION("""COMPUTED_VALUE"""),"Garde, Collecteur de la garde")</f>
        <v>Garde, Collecteur de la garde</v>
      </c>
      <c r="G4" s="4" t="str">
        <f>IFERROR(__xludf.DUMMYFUNCTION("""COMPUTED_VALUE"""),"En service actif")</f>
        <v>En service actif</v>
      </c>
      <c r="H4" s="4"/>
      <c r="I4" s="106"/>
      <c r="J4" s="38"/>
      <c r="K4" s="38"/>
      <c r="L4" s="38"/>
      <c r="M4" s="38"/>
      <c r="N4" s="38"/>
      <c r="O4" s="38"/>
      <c r="P4" s="38"/>
      <c r="Q4" s="38"/>
      <c r="R4" s="38"/>
      <c r="S4" s="38"/>
      <c r="T4" s="38"/>
      <c r="U4" s="38"/>
      <c r="V4" s="38"/>
      <c r="W4" s="38"/>
      <c r="X4" s="38"/>
      <c r="Y4" s="38"/>
      <c r="Z4" s="38"/>
    </row>
    <row r="5">
      <c r="A5" s="4" t="b">
        <f>IFERROR(__xludf.DUMMYFUNCTION("""COMPUTED_VALUE"""),TRUE)</f>
        <v>1</v>
      </c>
      <c r="B5" s="4" t="str">
        <f>IFERROR(__xludf.DUMMYFUNCTION("""COMPUTED_VALUE"""),"Sergent-Chef")</f>
        <v>Sergent-Chef</v>
      </c>
      <c r="C5" s="13" t="str">
        <f>IFERROR(__xludf.DUMMYFUNCTION("""COMPUTED_VALUE"""),"Björn")</f>
        <v>Björn</v>
      </c>
      <c r="D5" s="13" t="str">
        <f>IFERROR(__xludf.DUMMYFUNCTION("""COMPUTED_VALUE"""),"Horudin")</f>
        <v>Horudin</v>
      </c>
      <c r="E5" s="4" t="str">
        <f>IFERROR(__xludf.DUMMYFUNCTION("""COMPUTED_VALUE"""),"Bois-de-Chêne")</f>
        <v>Bois-de-Chêne</v>
      </c>
      <c r="F5" s="5" t="str">
        <f>IFERROR(__xludf.DUMMYFUNCTION("""COMPUTED_VALUE"""),"Garde")</f>
        <v>Garde</v>
      </c>
      <c r="G5" s="4" t="str">
        <f>IFERROR(__xludf.DUMMYFUNCTION("""COMPUTED_VALUE"""),"En service actif")</f>
        <v>En service actif</v>
      </c>
      <c r="H5" s="4"/>
      <c r="I5" s="106"/>
      <c r="J5" s="38"/>
      <c r="K5" s="38"/>
      <c r="L5" s="38"/>
      <c r="M5" s="38"/>
      <c r="N5" s="38"/>
      <c r="O5" s="38"/>
      <c r="P5" s="38"/>
      <c r="Q5" s="38"/>
      <c r="R5" s="38"/>
      <c r="S5" s="38"/>
      <c r="T5" s="38"/>
      <c r="U5" s="38"/>
      <c r="V5" s="38"/>
      <c r="W5" s="38"/>
      <c r="X5" s="38"/>
      <c r="Y5" s="38"/>
      <c r="Z5" s="38"/>
    </row>
    <row r="6">
      <c r="A6" s="4" t="b">
        <f>IFERROR(__xludf.DUMMYFUNCTION("""COMPUTED_VALUE"""),TRUE)</f>
        <v>1</v>
      </c>
      <c r="B6" s="4" t="str">
        <f>IFERROR(__xludf.DUMMYFUNCTION("""COMPUTED_VALUE"""),"Garde")</f>
        <v>Garde</v>
      </c>
      <c r="C6" s="13" t="str">
        <f>IFERROR(__xludf.DUMMYFUNCTION("""COMPUTED_VALUE"""),"Simon")</f>
        <v>Simon</v>
      </c>
      <c r="D6" s="13" t="str">
        <f>IFERROR(__xludf.DUMMYFUNCTION("""COMPUTED_VALUE"""),"Démont")</f>
        <v>Démont</v>
      </c>
      <c r="E6" s="4" t="str">
        <f>IFERROR(__xludf.DUMMYFUNCTION("""COMPUTED_VALUE"""),"Bois-de-Chêne")</f>
        <v>Bois-de-Chêne</v>
      </c>
      <c r="F6" s="5" t="str">
        <f>IFERROR(__xludf.DUMMYFUNCTION("""COMPUTED_VALUE"""),"Garde")</f>
        <v>Garde</v>
      </c>
      <c r="G6" s="4" t="str">
        <f>IFERROR(__xludf.DUMMYFUNCTION("""COMPUTED_VALUE"""),"Déserteur")</f>
        <v>Déserteur</v>
      </c>
      <c r="H6" s="4"/>
      <c r="I6" s="106"/>
      <c r="J6" s="38"/>
      <c r="K6" s="38"/>
      <c r="L6" s="38"/>
      <c r="M6" s="38"/>
      <c r="N6" s="38"/>
      <c r="O6" s="38"/>
      <c r="P6" s="38"/>
      <c r="Q6" s="38"/>
      <c r="R6" s="38"/>
      <c r="S6" s="38"/>
      <c r="T6" s="38"/>
      <c r="U6" s="38"/>
      <c r="V6" s="38"/>
      <c r="W6" s="38"/>
      <c r="X6" s="38"/>
      <c r="Y6" s="38"/>
      <c r="Z6" s="38"/>
    </row>
    <row r="7">
      <c r="A7" s="4" t="b">
        <f>IFERROR(__xludf.DUMMYFUNCTION("""COMPUTED_VALUE"""),FALSE)</f>
        <v>0</v>
      </c>
      <c r="B7" s="4" t="str">
        <f>IFERROR(__xludf.DUMMYFUNCTION("""COMPUTED_VALUE"""),"Sergent-Chef")</f>
        <v>Sergent-Chef</v>
      </c>
      <c r="C7" s="13" t="str">
        <f>IFERROR(__xludf.DUMMYFUNCTION("""COMPUTED_VALUE"""),"Thorulf")</f>
        <v>Thorulf</v>
      </c>
      <c r="D7" s="13"/>
      <c r="E7" s="4" t="str">
        <f>IFERROR(__xludf.DUMMYFUNCTION("""COMPUTED_VALUE"""),"Bois-de-Chêne")</f>
        <v>Bois-de-Chêne</v>
      </c>
      <c r="F7" s="5" t="str">
        <f>IFERROR(__xludf.DUMMYFUNCTION("""COMPUTED_VALUE"""),"Garde")</f>
        <v>Garde</v>
      </c>
      <c r="G7" s="4" t="str">
        <f>IFERROR(__xludf.DUMMYFUNCTION("""COMPUTED_VALUE"""),"En service actif")</f>
        <v>En service actif</v>
      </c>
      <c r="H7" s="38"/>
      <c r="I7" s="106"/>
      <c r="J7" s="38"/>
      <c r="K7" s="38"/>
      <c r="L7" s="38"/>
      <c r="M7" s="38"/>
      <c r="N7" s="38"/>
      <c r="O7" s="38"/>
      <c r="P7" s="38"/>
      <c r="Q7" s="38"/>
      <c r="R7" s="38"/>
      <c r="S7" s="38"/>
      <c r="T7" s="38"/>
      <c r="U7" s="38"/>
      <c r="V7" s="38"/>
      <c r="W7" s="38"/>
      <c r="X7" s="38"/>
      <c r="Y7" s="38"/>
      <c r="Z7" s="38"/>
    </row>
    <row r="8">
      <c r="A8" s="4" t="b">
        <f>IFERROR(__xludf.DUMMYFUNCTION("""COMPUTED_VALUE"""),FALSE)</f>
        <v>0</v>
      </c>
      <c r="B8" s="4" t="str">
        <f>IFERROR(__xludf.DUMMYFUNCTION("""COMPUTED_VALUE"""),"Garde")</f>
        <v>Garde</v>
      </c>
      <c r="C8" s="13" t="str">
        <f>IFERROR(__xludf.DUMMYFUNCTION("""COMPUTED_VALUE"""),"Aranthir")</f>
        <v>Aranthir</v>
      </c>
      <c r="D8" s="13"/>
      <c r="E8" s="4" t="str">
        <f>IFERROR(__xludf.DUMMYFUNCTION("""COMPUTED_VALUE"""),"Bois-de-Chêne")</f>
        <v>Bois-de-Chêne</v>
      </c>
      <c r="F8" s="5" t="str">
        <f>IFERROR(__xludf.DUMMYFUNCTION("""COMPUTED_VALUE"""),"Garde, Eclaireur")</f>
        <v>Garde, Eclaireur</v>
      </c>
      <c r="G8" s="4" t="str">
        <f>IFERROR(__xludf.DUMMYFUNCTION("""COMPUTED_VALUE"""),"Démissionnaire")</f>
        <v>Démissionnaire</v>
      </c>
      <c r="H8" s="38"/>
      <c r="I8" s="106"/>
      <c r="J8" s="38"/>
      <c r="K8" s="38"/>
      <c r="L8" s="38"/>
      <c r="M8" s="38"/>
      <c r="N8" s="38"/>
      <c r="O8" s="38"/>
      <c r="P8" s="38"/>
      <c r="Q8" s="38"/>
      <c r="R8" s="38"/>
      <c r="S8" s="38"/>
      <c r="T8" s="38"/>
      <c r="U8" s="38"/>
      <c r="V8" s="38"/>
      <c r="W8" s="38"/>
      <c r="X8" s="38"/>
      <c r="Y8" s="38"/>
      <c r="Z8" s="38"/>
    </row>
    <row r="9">
      <c r="A9" s="4" t="b">
        <f>IFERROR(__xludf.DUMMYFUNCTION("""COMPUTED_VALUE"""),FALSE)</f>
        <v>0</v>
      </c>
      <c r="B9" s="4" t="str">
        <f>IFERROR(__xludf.DUMMYFUNCTION("""COMPUTED_VALUE"""),"Garde")</f>
        <v>Garde</v>
      </c>
      <c r="C9" s="13" t="str">
        <f>IFERROR(__xludf.DUMMYFUNCTION("""COMPUTED_VALUE"""),"Hemar")</f>
        <v>Hemar</v>
      </c>
      <c r="D9" s="107" t="str">
        <f>IFERROR(__xludf.DUMMYFUNCTION("""COMPUTED_VALUE"""),"War-seer")</f>
        <v>War-seer</v>
      </c>
      <c r="E9" s="4" t="str">
        <f>IFERROR(__xludf.DUMMYFUNCTION("""COMPUTED_VALUE"""),"Bois-de-Chêne")</f>
        <v>Bois-de-Chêne</v>
      </c>
      <c r="F9" s="5" t="str">
        <f>IFERROR(__xludf.DUMMYFUNCTION("""COMPUTED_VALUE"""),"Garde")</f>
        <v>Garde</v>
      </c>
      <c r="G9" s="4" t="str">
        <f>IFERROR(__xludf.DUMMYFUNCTION("""COMPUTED_VALUE"""),"Déserteur")</f>
        <v>Déserteur</v>
      </c>
      <c r="H9" s="4"/>
      <c r="I9" s="106"/>
      <c r="J9" s="38"/>
      <c r="K9" s="38"/>
      <c r="L9" s="38"/>
      <c r="M9" s="38"/>
      <c r="N9" s="38"/>
      <c r="O9" s="38"/>
      <c r="P9" s="38"/>
      <c r="Q9" s="38"/>
      <c r="R9" s="38"/>
      <c r="S9" s="38"/>
      <c r="T9" s="38"/>
      <c r="U9" s="38"/>
      <c r="V9" s="38"/>
      <c r="W9" s="38"/>
      <c r="X9" s="38"/>
      <c r="Y9" s="38"/>
      <c r="Z9" s="38"/>
    </row>
    <row r="10">
      <c r="A10" s="38" t="b">
        <f>IFERROR(__xludf.DUMMYFUNCTION("""COMPUTED_VALUE"""),TRUE)</f>
        <v>1</v>
      </c>
      <c r="B10" s="4" t="str">
        <f>IFERROR(__xludf.DUMMYFUNCTION("""COMPUTED_VALUE"""),"Garde")</f>
        <v>Garde</v>
      </c>
      <c r="C10" s="13" t="str">
        <f>IFERROR(__xludf.DUMMYFUNCTION("""COMPUTED_VALUE"""),"Azan")</f>
        <v>Azan</v>
      </c>
      <c r="D10" s="13" t="str">
        <f>IFERROR(__xludf.DUMMYFUNCTION("""COMPUTED_VALUE"""),"Korf")</f>
        <v>Korf</v>
      </c>
      <c r="E10" s="4" t="str">
        <f>IFERROR(__xludf.DUMMYFUNCTION("""COMPUTED_VALUE"""),"Bois-de-Chêne")</f>
        <v>Bois-de-Chêne</v>
      </c>
      <c r="F10" s="5" t="str">
        <f>IFERROR(__xludf.DUMMYFUNCTION("""COMPUTED_VALUE"""),"Garde")</f>
        <v>Garde</v>
      </c>
      <c r="G10" s="4" t="str">
        <f>IFERROR(__xludf.DUMMYFUNCTION("""COMPUTED_VALUE"""),"Démissionnaire")</f>
        <v>Démissionnaire</v>
      </c>
      <c r="H10" s="38"/>
      <c r="I10" s="106"/>
      <c r="J10" s="38"/>
      <c r="K10" s="38"/>
      <c r="L10" s="38"/>
      <c r="M10" s="38"/>
      <c r="N10" s="38"/>
      <c r="O10" s="38"/>
      <c r="P10" s="38"/>
      <c r="Q10" s="38"/>
      <c r="R10" s="38"/>
      <c r="S10" s="38"/>
      <c r="T10" s="38"/>
      <c r="U10" s="38"/>
      <c r="V10" s="38"/>
      <c r="W10" s="38"/>
      <c r="X10" s="38"/>
      <c r="Y10" s="38"/>
      <c r="Z10" s="38"/>
    </row>
    <row r="11">
      <c r="A11" s="38" t="b">
        <f>IFERROR(__xludf.DUMMYFUNCTION("""COMPUTED_VALUE"""),FALSE)</f>
        <v>0</v>
      </c>
      <c r="B11" s="4" t="str">
        <f>IFERROR(__xludf.DUMMYFUNCTION("""COMPUTED_VALUE"""),"Garde")</f>
        <v>Garde</v>
      </c>
      <c r="C11" s="13" t="str">
        <f>IFERROR(__xludf.DUMMYFUNCTION("""COMPUTED_VALUE"""),"Balmyra")</f>
        <v>Balmyra</v>
      </c>
      <c r="D11" s="15"/>
      <c r="E11" s="4" t="str">
        <f>IFERROR(__xludf.DUMMYFUNCTION("""COMPUTED_VALUE"""),"Bois-de-Chêne")</f>
        <v>Bois-de-Chêne</v>
      </c>
      <c r="F11" s="5" t="str">
        <f>IFERROR(__xludf.DUMMYFUNCTION("""COMPUTED_VALUE"""),"Garde")</f>
        <v>Garde</v>
      </c>
      <c r="G11" s="4" t="str">
        <f>IFERROR(__xludf.DUMMYFUNCTION("""COMPUTED_VALUE"""),"En service actif")</f>
        <v>En service actif</v>
      </c>
      <c r="H11" s="38"/>
      <c r="I11" s="106"/>
      <c r="J11" s="38"/>
      <c r="K11" s="38"/>
      <c r="L11" s="38"/>
      <c r="M11" s="38"/>
      <c r="N11" s="38"/>
      <c r="O11" s="38"/>
      <c r="P11" s="38"/>
      <c r="Q11" s="38"/>
      <c r="R11" s="38"/>
      <c r="S11" s="38"/>
      <c r="T11" s="38"/>
      <c r="U11" s="38"/>
      <c r="V11" s="38"/>
      <c r="W11" s="38"/>
      <c r="X11" s="38"/>
      <c r="Y11" s="38"/>
      <c r="Z11" s="38"/>
    </row>
    <row r="12">
      <c r="A12" s="4"/>
      <c r="B12" s="4"/>
      <c r="C12" s="13"/>
      <c r="D12" s="15"/>
      <c r="E12" s="4"/>
      <c r="F12" s="5"/>
      <c r="G12" s="4"/>
      <c r="H12" s="4"/>
      <c r="I12" s="106"/>
    </row>
    <row r="13">
      <c r="A13" s="4"/>
      <c r="B13" s="4"/>
      <c r="C13" s="13"/>
      <c r="D13" s="15"/>
      <c r="E13" s="4"/>
      <c r="F13" s="5"/>
      <c r="G13" s="4"/>
      <c r="H13" s="4"/>
      <c r="I13" s="106"/>
    </row>
    <row r="14">
      <c r="A14" s="4"/>
      <c r="B14" s="4"/>
      <c r="C14" s="13"/>
      <c r="D14" s="13"/>
      <c r="E14" s="4"/>
      <c r="F14" s="5"/>
      <c r="G14" s="4"/>
      <c r="H14" s="38"/>
      <c r="I14" s="106"/>
    </row>
    <row r="15">
      <c r="A15" s="4"/>
      <c r="B15" s="4"/>
      <c r="C15" s="13"/>
      <c r="D15" s="13"/>
      <c r="E15" s="4"/>
      <c r="F15" s="5"/>
      <c r="G15" s="4"/>
      <c r="H15" s="38"/>
      <c r="I15" s="106"/>
    </row>
    <row r="16">
      <c r="A16" s="4"/>
      <c r="B16" s="4"/>
      <c r="C16" s="13"/>
      <c r="D16" s="13"/>
      <c r="E16" s="4"/>
      <c r="F16" s="5"/>
      <c r="G16" s="4"/>
      <c r="H16" s="38"/>
      <c r="I16" s="106"/>
    </row>
    <row r="17">
      <c r="A17" s="4"/>
      <c r="B17" s="4"/>
      <c r="C17" s="13"/>
      <c r="D17" s="13"/>
      <c r="E17" s="4"/>
      <c r="F17" s="5"/>
      <c r="G17" s="4"/>
      <c r="H17" s="38"/>
      <c r="I17" s="106"/>
    </row>
    <row r="18">
      <c r="A18" s="4"/>
      <c r="B18" s="4"/>
      <c r="C18" s="13"/>
      <c r="D18" s="15"/>
      <c r="E18" s="4"/>
      <c r="F18" s="5"/>
      <c r="G18" s="4"/>
      <c r="H18" s="38"/>
      <c r="I18" s="106"/>
    </row>
    <row r="19">
      <c r="A19" s="4"/>
      <c r="B19" s="4"/>
      <c r="C19" s="13"/>
      <c r="D19" s="15"/>
      <c r="E19" s="4"/>
      <c r="F19" s="5"/>
      <c r="G19" s="4"/>
      <c r="H19" s="38"/>
      <c r="I19" s="106"/>
    </row>
    <row r="20">
      <c r="A20" s="4"/>
      <c r="B20" s="4"/>
      <c r="C20" s="13"/>
      <c r="D20" s="15"/>
      <c r="E20" s="4"/>
      <c r="F20" s="5"/>
      <c r="G20" s="4"/>
      <c r="H20" s="38"/>
      <c r="I20" s="106"/>
    </row>
    <row r="21">
      <c r="A21" s="4"/>
      <c r="B21" s="4"/>
      <c r="C21" s="13"/>
      <c r="D21" s="13"/>
      <c r="E21" s="4"/>
      <c r="F21" s="5"/>
      <c r="G21" s="4"/>
      <c r="H21" s="4"/>
      <c r="I21" s="106"/>
    </row>
    <row r="22">
      <c r="A22" s="4"/>
      <c r="B22" s="4"/>
      <c r="C22" s="13"/>
      <c r="D22" s="13"/>
      <c r="E22" s="4"/>
      <c r="F22" s="5"/>
      <c r="G22" s="4"/>
      <c r="H22" s="4"/>
      <c r="I22" s="106"/>
    </row>
    <row r="23">
      <c r="A23" s="4"/>
      <c r="B23" s="4"/>
      <c r="C23" s="13"/>
      <c r="D23" s="13"/>
      <c r="E23" s="4"/>
      <c r="F23" s="5"/>
      <c r="G23" s="4"/>
      <c r="H23" s="4"/>
      <c r="I23" s="106"/>
    </row>
    <row r="24">
      <c r="A24" s="4"/>
      <c r="B24" s="4"/>
      <c r="C24" s="13"/>
      <c r="D24" s="15"/>
      <c r="E24" s="4"/>
      <c r="F24" s="5"/>
      <c r="G24" s="4"/>
      <c r="H24" s="4"/>
      <c r="I24" s="106"/>
    </row>
    <row r="25">
      <c r="A25" s="4"/>
      <c r="B25" s="4"/>
      <c r="C25" s="13"/>
      <c r="D25" s="13"/>
      <c r="E25" s="4"/>
      <c r="F25" s="5"/>
      <c r="G25" s="4"/>
      <c r="H25" s="38"/>
      <c r="I25" s="106"/>
    </row>
    <row r="26">
      <c r="A26" s="4"/>
      <c r="B26" s="4"/>
      <c r="C26" s="13"/>
      <c r="D26" s="15"/>
      <c r="E26" s="4"/>
      <c r="F26" s="5"/>
      <c r="G26" s="4"/>
      <c r="H26" s="38"/>
      <c r="I26" s="106"/>
    </row>
    <row r="27">
      <c r="A27" s="4"/>
      <c r="B27" s="4"/>
      <c r="C27" s="13"/>
      <c r="D27" s="15"/>
      <c r="E27" s="4"/>
      <c r="F27" s="5"/>
      <c r="G27" s="4"/>
      <c r="H27" s="38"/>
      <c r="I27" s="106"/>
    </row>
    <row r="28">
      <c r="A28" s="4"/>
      <c r="B28" s="4"/>
      <c r="C28" s="13"/>
      <c r="D28" s="13"/>
      <c r="E28" s="4"/>
      <c r="F28" s="5"/>
      <c r="G28" s="4"/>
      <c r="H28" s="38"/>
      <c r="I28" s="106"/>
    </row>
    <row r="29">
      <c r="A29" s="4"/>
      <c r="B29" s="4"/>
      <c r="C29" s="13"/>
      <c r="D29" s="13"/>
      <c r="E29" s="4"/>
      <c r="F29" s="5"/>
      <c r="G29" s="4"/>
      <c r="H29" s="38"/>
      <c r="I29" s="106"/>
    </row>
    <row r="30">
      <c r="A30" s="4"/>
      <c r="B30" s="4"/>
      <c r="C30" s="13"/>
      <c r="D30" s="15"/>
      <c r="E30" s="4"/>
      <c r="F30" s="5"/>
      <c r="G30" s="4"/>
      <c r="H30" s="38"/>
      <c r="I30" s="106"/>
    </row>
    <row r="31">
      <c r="A31" s="4"/>
      <c r="B31" s="4"/>
      <c r="C31" s="13"/>
      <c r="D31" s="15"/>
      <c r="E31" s="4"/>
      <c r="F31" s="5"/>
      <c r="G31" s="4"/>
      <c r="H31" s="38"/>
      <c r="I31" s="106"/>
    </row>
    <row r="32">
      <c r="A32" s="4"/>
      <c r="B32" s="4"/>
      <c r="C32" s="13"/>
      <c r="D32" s="13"/>
      <c r="E32" s="4"/>
      <c r="F32" s="5"/>
      <c r="G32" s="4"/>
      <c r="H32" s="38"/>
      <c r="I32" s="106"/>
    </row>
    <row r="33">
      <c r="A33" s="4"/>
      <c r="B33" s="4"/>
      <c r="C33" s="13"/>
      <c r="D33" s="13"/>
      <c r="E33" s="4"/>
      <c r="F33" s="5"/>
      <c r="G33" s="4"/>
      <c r="H33" s="38"/>
      <c r="I33" s="106"/>
    </row>
    <row r="34">
      <c r="A34" s="38"/>
      <c r="B34" s="4"/>
      <c r="C34" s="13"/>
      <c r="D34" s="15"/>
      <c r="E34" s="4"/>
      <c r="F34" s="5"/>
      <c r="G34" s="4"/>
      <c r="H34" s="38"/>
      <c r="I34" s="106"/>
    </row>
    <row r="35">
      <c r="A35" s="4"/>
      <c r="B35" s="4"/>
      <c r="C35" s="13"/>
      <c r="D35" s="15"/>
      <c r="E35" s="4"/>
      <c r="F35" s="5"/>
      <c r="G35" s="4"/>
      <c r="H35" s="38"/>
      <c r="I35" s="106"/>
    </row>
    <row r="36">
      <c r="A36" s="4"/>
      <c r="B36" s="4"/>
      <c r="C36" s="13"/>
      <c r="D36" s="13"/>
      <c r="E36" s="4"/>
      <c r="F36" s="5"/>
      <c r="G36" s="4"/>
      <c r="H36" s="38"/>
      <c r="I36" s="106"/>
    </row>
    <row r="37">
      <c r="A37" s="38"/>
      <c r="B37" s="4"/>
      <c r="C37" s="13"/>
      <c r="D37" s="13"/>
      <c r="E37" s="4"/>
      <c r="F37" s="5"/>
      <c r="G37" s="4"/>
      <c r="H37" s="38"/>
      <c r="I37" s="106"/>
    </row>
    <row r="38">
      <c r="A38" s="38"/>
      <c r="B38" s="4"/>
      <c r="C38" s="13"/>
      <c r="D38" s="13"/>
      <c r="E38" s="4"/>
      <c r="F38" s="5"/>
      <c r="G38" s="4"/>
      <c r="H38" s="38"/>
      <c r="I38" s="106"/>
    </row>
    <row r="39">
      <c r="A39" s="38"/>
      <c r="B39" s="4"/>
      <c r="C39" s="13"/>
      <c r="D39" s="15"/>
      <c r="E39" s="4"/>
      <c r="F39" s="5"/>
      <c r="G39" s="4"/>
      <c r="H39" s="38"/>
      <c r="I39" s="106"/>
    </row>
    <row r="40">
      <c r="A40" s="38"/>
      <c r="B40" s="4"/>
      <c r="C40" s="13"/>
      <c r="D40" s="15"/>
      <c r="E40" s="4"/>
      <c r="F40" s="5"/>
      <c r="G40" s="4"/>
      <c r="H40" s="4"/>
      <c r="I40" s="106"/>
    </row>
    <row r="41">
      <c r="A41" s="38"/>
      <c r="B41" s="38"/>
      <c r="C41" s="15"/>
      <c r="D41" s="15"/>
      <c r="E41" s="38"/>
      <c r="F41" s="38"/>
      <c r="G41" s="38"/>
      <c r="H41" s="38"/>
      <c r="I41" s="106"/>
    </row>
    <row r="42">
      <c r="A42" s="38"/>
      <c r="B42" s="38"/>
      <c r="C42" s="15"/>
      <c r="D42" s="15"/>
      <c r="E42" s="38"/>
      <c r="F42" s="38"/>
      <c r="G42" s="38"/>
      <c r="H42" s="38"/>
      <c r="I42" s="106"/>
    </row>
    <row r="43">
      <c r="A43" s="38"/>
      <c r="B43" s="38"/>
      <c r="C43" s="15"/>
      <c r="D43" s="15"/>
      <c r="E43" s="38"/>
      <c r="F43" s="38"/>
      <c r="G43" s="38"/>
      <c r="H43" s="38"/>
      <c r="I43" s="106"/>
    </row>
    <row r="44">
      <c r="A44" s="38"/>
      <c r="B44" s="38"/>
      <c r="C44" s="15"/>
      <c r="D44" s="15"/>
      <c r="E44" s="38"/>
      <c r="F44" s="38"/>
      <c r="G44" s="38"/>
      <c r="H44" s="38"/>
      <c r="I44" s="106"/>
    </row>
    <row r="45">
      <c r="A45" s="38"/>
      <c r="B45" s="38"/>
      <c r="C45" s="15"/>
      <c r="D45" s="15"/>
      <c r="E45" s="38"/>
      <c r="F45" s="38"/>
      <c r="G45" s="38"/>
      <c r="H45" s="38"/>
      <c r="I45" s="106"/>
    </row>
    <row r="46">
      <c r="A46" s="38"/>
      <c r="B46" s="38"/>
      <c r="C46" s="15"/>
      <c r="D46" s="15"/>
      <c r="E46" s="38"/>
      <c r="F46" s="38"/>
      <c r="G46" s="38"/>
      <c r="H46" s="38"/>
      <c r="I46" s="108"/>
    </row>
    <row r="47">
      <c r="A47" s="38"/>
      <c r="B47" s="38"/>
      <c r="C47" s="15"/>
      <c r="D47" s="15"/>
      <c r="E47" s="38"/>
      <c r="F47" s="38"/>
      <c r="G47" s="38"/>
      <c r="H47" s="38"/>
      <c r="I47" s="108"/>
    </row>
    <row r="48">
      <c r="A48" s="38"/>
      <c r="B48" s="38"/>
      <c r="C48" s="15"/>
      <c r="D48" s="15"/>
      <c r="E48" s="38"/>
      <c r="F48" s="38"/>
      <c r="G48" s="38"/>
      <c r="H48" s="38"/>
      <c r="I48" s="108"/>
    </row>
    <row r="49">
      <c r="A49" s="38"/>
      <c r="B49" s="38"/>
      <c r="C49" s="15"/>
      <c r="D49" s="15"/>
      <c r="E49" s="38"/>
      <c r="F49" s="38"/>
      <c r="G49" s="38"/>
      <c r="H49" s="38"/>
      <c r="I49" s="108"/>
    </row>
    <row r="50">
      <c r="A50" s="38"/>
      <c r="B50" s="38"/>
      <c r="C50" s="15"/>
      <c r="D50" s="15"/>
      <c r="E50" s="38"/>
      <c r="F50" s="38"/>
      <c r="G50" s="38"/>
      <c r="H50" s="38"/>
      <c r="I50" s="108"/>
    </row>
    <row r="51">
      <c r="A51" s="38"/>
      <c r="B51" s="38"/>
      <c r="C51" s="15"/>
      <c r="D51" s="15"/>
      <c r="E51" s="38"/>
      <c r="F51" s="38"/>
      <c r="G51" s="38"/>
      <c r="H51" s="38"/>
      <c r="I51" s="108"/>
    </row>
    <row r="52">
      <c r="A52" s="38"/>
      <c r="B52" s="38"/>
      <c r="C52" s="15"/>
      <c r="D52" s="15"/>
      <c r="E52" s="38"/>
      <c r="F52" s="38"/>
      <c r="G52" s="38"/>
      <c r="H52" s="38"/>
      <c r="I52" s="108"/>
    </row>
    <row r="53">
      <c r="A53" s="38"/>
      <c r="B53" s="38"/>
      <c r="C53" s="15"/>
      <c r="D53" s="15"/>
      <c r="E53" s="38"/>
      <c r="F53" s="38"/>
      <c r="G53" s="38"/>
      <c r="H53" s="38"/>
      <c r="I53" s="108"/>
    </row>
    <row r="54">
      <c r="A54" s="38"/>
      <c r="B54" s="38"/>
      <c r="C54" s="15"/>
      <c r="D54" s="15"/>
      <c r="E54" s="38"/>
      <c r="F54" s="38"/>
      <c r="G54" s="38"/>
      <c r="H54" s="38"/>
      <c r="I54" s="108"/>
    </row>
    <row r="55">
      <c r="A55" s="38"/>
      <c r="B55" s="38"/>
      <c r="C55" s="15"/>
      <c r="D55" s="15"/>
      <c r="E55" s="38"/>
      <c r="F55" s="38"/>
      <c r="G55" s="38"/>
      <c r="H55" s="38"/>
      <c r="I55" s="108"/>
    </row>
    <row r="56">
      <c r="A56" s="38"/>
      <c r="B56" s="38"/>
      <c r="C56" s="15"/>
      <c r="D56" s="15"/>
      <c r="E56" s="38"/>
      <c r="F56" s="38"/>
      <c r="G56" s="38"/>
      <c r="H56" s="38"/>
      <c r="I56" s="108"/>
    </row>
    <row r="57">
      <c r="A57" s="38"/>
      <c r="B57" s="38"/>
      <c r="C57" s="15"/>
      <c r="D57" s="15"/>
      <c r="E57" s="38"/>
      <c r="F57" s="38"/>
      <c r="G57" s="38"/>
      <c r="H57" s="38"/>
      <c r="I57" s="108"/>
    </row>
    <row r="58">
      <c r="A58" s="38"/>
      <c r="B58" s="38"/>
      <c r="C58" s="15"/>
      <c r="D58" s="15"/>
      <c r="E58" s="38"/>
      <c r="F58" s="38"/>
      <c r="G58" s="38"/>
      <c r="H58" s="38"/>
      <c r="I58" s="108"/>
    </row>
    <row r="59">
      <c r="A59" s="38"/>
      <c r="B59" s="38"/>
      <c r="C59" s="15"/>
      <c r="D59" s="15"/>
      <c r="E59" s="38"/>
      <c r="F59" s="38"/>
      <c r="G59" s="38"/>
      <c r="H59" s="38"/>
      <c r="I59" s="108"/>
    </row>
    <row r="60">
      <c r="A60" s="38"/>
      <c r="B60" s="38"/>
      <c r="C60" s="15"/>
      <c r="D60" s="15"/>
      <c r="E60" s="38"/>
      <c r="F60" s="38"/>
      <c r="G60" s="38"/>
      <c r="H60" s="38"/>
      <c r="I60" s="108"/>
    </row>
    <row r="61">
      <c r="A61" s="38"/>
      <c r="B61" s="38"/>
      <c r="C61" s="15"/>
      <c r="D61" s="15"/>
      <c r="E61" s="38"/>
      <c r="F61" s="38"/>
      <c r="G61" s="38"/>
      <c r="H61" s="38"/>
      <c r="I61" s="108"/>
    </row>
    <row r="62">
      <c r="A62" s="38"/>
      <c r="B62" s="38"/>
      <c r="C62" s="15"/>
      <c r="D62" s="15"/>
      <c r="E62" s="38"/>
      <c r="F62" s="38"/>
      <c r="G62" s="38"/>
      <c r="H62" s="38"/>
      <c r="I62" s="108"/>
    </row>
    <row r="63">
      <c r="A63" s="38"/>
      <c r="B63" s="38"/>
      <c r="C63" s="15"/>
      <c r="D63" s="15"/>
      <c r="E63" s="38"/>
      <c r="F63" s="38"/>
      <c r="G63" s="38"/>
      <c r="H63" s="38"/>
      <c r="I63" s="108"/>
    </row>
    <row r="64">
      <c r="A64" s="38"/>
      <c r="B64" s="38"/>
      <c r="C64" s="15"/>
      <c r="D64" s="15"/>
      <c r="E64" s="38"/>
      <c r="F64" s="38"/>
      <c r="G64" s="38"/>
      <c r="H64" s="38"/>
      <c r="I64" s="108"/>
    </row>
    <row r="65">
      <c r="A65" s="38"/>
      <c r="B65" s="38"/>
      <c r="C65" s="15"/>
      <c r="D65" s="15"/>
      <c r="E65" s="38"/>
      <c r="F65" s="38"/>
      <c r="G65" s="38"/>
      <c r="H65" s="38"/>
      <c r="I65" s="108"/>
    </row>
    <row r="66">
      <c r="A66" s="38"/>
      <c r="B66" s="38"/>
      <c r="C66" s="15"/>
      <c r="D66" s="15"/>
      <c r="E66" s="38"/>
      <c r="F66" s="38"/>
      <c r="G66" s="38"/>
      <c r="H66" s="38"/>
      <c r="I66" s="108"/>
    </row>
    <row r="67">
      <c r="A67" s="38"/>
      <c r="B67" s="38"/>
      <c r="C67" s="15"/>
      <c r="D67" s="15"/>
      <c r="E67" s="38"/>
      <c r="F67" s="38"/>
      <c r="G67" s="38"/>
      <c r="H67" s="38"/>
      <c r="I67" s="108"/>
    </row>
    <row r="68">
      <c r="A68" s="38"/>
      <c r="B68" s="38"/>
      <c r="C68" s="15"/>
      <c r="D68" s="15"/>
      <c r="E68" s="38"/>
      <c r="F68" s="38"/>
      <c r="G68" s="38"/>
      <c r="H68" s="38"/>
      <c r="I68" s="108"/>
    </row>
    <row r="69">
      <c r="A69" s="38"/>
      <c r="B69" s="38"/>
      <c r="C69" s="15"/>
      <c r="D69" s="15"/>
      <c r="E69" s="38"/>
      <c r="F69" s="38"/>
      <c r="G69" s="38"/>
      <c r="H69" s="38"/>
      <c r="I69" s="108"/>
    </row>
    <row r="70">
      <c r="A70" s="38"/>
      <c r="B70" s="38"/>
      <c r="C70" s="15"/>
      <c r="D70" s="15"/>
      <c r="E70" s="38"/>
      <c r="F70" s="38"/>
      <c r="G70" s="38"/>
      <c r="H70" s="38"/>
      <c r="I70" s="108"/>
    </row>
    <row r="71">
      <c r="A71" s="38"/>
      <c r="B71" s="38"/>
      <c r="C71" s="15"/>
      <c r="D71" s="15"/>
      <c r="E71" s="38"/>
      <c r="F71" s="38"/>
      <c r="G71" s="38"/>
      <c r="H71" s="38"/>
      <c r="I71" s="108"/>
    </row>
    <row r="72">
      <c r="A72" s="38"/>
      <c r="B72" s="38"/>
      <c r="C72" s="15"/>
      <c r="D72" s="15"/>
      <c r="E72" s="38"/>
      <c r="F72" s="38"/>
      <c r="G72" s="38"/>
      <c r="H72" s="38"/>
      <c r="I72" s="108"/>
    </row>
    <row r="73">
      <c r="A73" s="38"/>
      <c r="B73" s="38"/>
      <c r="C73" s="15"/>
      <c r="D73" s="15"/>
      <c r="E73" s="38"/>
      <c r="F73" s="38"/>
      <c r="G73" s="38"/>
      <c r="H73" s="38"/>
      <c r="I73" s="108"/>
    </row>
    <row r="74">
      <c r="A74" s="38"/>
      <c r="B74" s="38"/>
      <c r="C74" s="15"/>
      <c r="D74" s="15"/>
      <c r="E74" s="38"/>
      <c r="F74" s="38"/>
      <c r="G74" s="38"/>
      <c r="H74" s="38"/>
      <c r="I74" s="108"/>
    </row>
    <row r="75">
      <c r="A75" s="38"/>
      <c r="B75" s="38"/>
      <c r="C75" s="15"/>
      <c r="D75" s="15"/>
      <c r="E75" s="38"/>
      <c r="F75" s="38"/>
      <c r="G75" s="38"/>
      <c r="H75" s="38"/>
      <c r="I75" s="108"/>
    </row>
    <row r="76">
      <c r="A76" s="38"/>
      <c r="B76" s="38"/>
      <c r="C76" s="15"/>
      <c r="D76" s="15"/>
      <c r="E76" s="38"/>
      <c r="F76" s="38"/>
      <c r="G76" s="38"/>
      <c r="H76" s="38"/>
      <c r="I76" s="108"/>
    </row>
    <row r="77">
      <c r="A77" s="38"/>
      <c r="B77" s="38"/>
      <c r="C77" s="15"/>
      <c r="D77" s="15"/>
      <c r="E77" s="38"/>
      <c r="F77" s="38"/>
      <c r="G77" s="38"/>
      <c r="H77" s="38"/>
      <c r="I77" s="108"/>
    </row>
    <row r="78">
      <c r="A78" s="38"/>
      <c r="B78" s="38"/>
      <c r="C78" s="15"/>
      <c r="D78" s="15"/>
      <c r="E78" s="38"/>
      <c r="F78" s="38"/>
      <c r="G78" s="38"/>
      <c r="H78" s="38"/>
      <c r="I78" s="108"/>
    </row>
    <row r="79">
      <c r="A79" s="38"/>
      <c r="B79" s="38"/>
      <c r="C79" s="15"/>
      <c r="D79" s="15"/>
      <c r="E79" s="38"/>
      <c r="F79" s="38"/>
      <c r="G79" s="38"/>
      <c r="H79" s="38"/>
      <c r="I79" s="108"/>
    </row>
    <row r="80">
      <c r="A80" s="38"/>
      <c r="B80" s="38"/>
      <c r="C80" s="15"/>
      <c r="D80" s="15"/>
      <c r="E80" s="38"/>
      <c r="F80" s="38"/>
      <c r="G80" s="38"/>
      <c r="H80" s="38"/>
      <c r="I80" s="108"/>
    </row>
    <row r="81">
      <c r="A81" s="38"/>
      <c r="B81" s="38"/>
      <c r="C81" s="15"/>
      <c r="D81" s="15"/>
      <c r="E81" s="38"/>
      <c r="F81" s="38"/>
      <c r="G81" s="38"/>
      <c r="H81" s="38"/>
      <c r="I81" s="108"/>
    </row>
    <row r="82">
      <c r="A82" s="38"/>
      <c r="B82" s="38"/>
      <c r="C82" s="15"/>
      <c r="D82" s="15"/>
      <c r="E82" s="38"/>
      <c r="F82" s="38"/>
      <c r="G82" s="38"/>
      <c r="H82" s="38"/>
      <c r="I82" s="108"/>
    </row>
    <row r="83">
      <c r="A83" s="38"/>
      <c r="B83" s="38"/>
      <c r="C83" s="15"/>
      <c r="D83" s="15"/>
      <c r="E83" s="38"/>
      <c r="F83" s="38"/>
      <c r="G83" s="38"/>
      <c r="H83" s="38"/>
      <c r="I83" s="108"/>
    </row>
    <row r="84">
      <c r="A84" s="38"/>
      <c r="B84" s="38"/>
      <c r="C84" s="15"/>
      <c r="D84" s="15"/>
      <c r="E84" s="38"/>
      <c r="F84" s="38"/>
      <c r="G84" s="38"/>
      <c r="H84" s="38"/>
      <c r="I84" s="108"/>
    </row>
    <row r="85">
      <c r="A85" s="38"/>
      <c r="B85" s="38"/>
      <c r="C85" s="15"/>
      <c r="D85" s="15"/>
      <c r="E85" s="38"/>
      <c r="F85" s="38"/>
      <c r="G85" s="38"/>
      <c r="H85" s="38"/>
      <c r="I85" s="108"/>
    </row>
    <row r="86">
      <c r="A86" s="38"/>
      <c r="B86" s="38"/>
      <c r="C86" s="15"/>
      <c r="D86" s="15"/>
      <c r="E86" s="38"/>
      <c r="F86" s="38"/>
      <c r="G86" s="38"/>
      <c r="H86" s="38"/>
      <c r="I86" s="108"/>
    </row>
    <row r="87">
      <c r="A87" s="38"/>
      <c r="B87" s="38"/>
      <c r="C87" s="15"/>
      <c r="D87" s="15"/>
      <c r="E87" s="38"/>
      <c r="F87" s="38"/>
      <c r="G87" s="38"/>
      <c r="H87" s="38"/>
      <c r="I87" s="108"/>
    </row>
    <row r="88">
      <c r="A88" s="38"/>
      <c r="B88" s="38"/>
      <c r="C88" s="15"/>
      <c r="D88" s="15"/>
      <c r="E88" s="38"/>
      <c r="F88" s="38"/>
      <c r="G88" s="38"/>
      <c r="H88" s="38"/>
      <c r="I88" s="108"/>
    </row>
    <row r="89">
      <c r="A89" s="38"/>
      <c r="B89" s="38"/>
      <c r="C89" s="15"/>
      <c r="D89" s="15"/>
      <c r="E89" s="38"/>
      <c r="F89" s="38"/>
      <c r="G89" s="38"/>
      <c r="H89" s="38"/>
      <c r="I89" s="108"/>
    </row>
    <row r="90">
      <c r="A90" s="38"/>
      <c r="B90" s="38"/>
      <c r="C90" s="15"/>
      <c r="D90" s="15"/>
      <c r="E90" s="38"/>
      <c r="F90" s="38"/>
      <c r="G90" s="38"/>
      <c r="H90" s="38"/>
      <c r="I90" s="108"/>
    </row>
    <row r="91">
      <c r="A91" s="38"/>
      <c r="B91" s="38"/>
      <c r="C91" s="15"/>
      <c r="D91" s="15"/>
      <c r="E91" s="38"/>
      <c r="F91" s="38"/>
      <c r="G91" s="38"/>
      <c r="H91" s="38"/>
      <c r="I91" s="108"/>
    </row>
    <row r="92">
      <c r="A92" s="38"/>
      <c r="B92" s="38"/>
      <c r="C92" s="15"/>
      <c r="D92" s="15"/>
      <c r="E92" s="38"/>
      <c r="F92" s="38"/>
      <c r="G92" s="38"/>
      <c r="H92" s="38"/>
      <c r="I92" s="108"/>
    </row>
    <row r="93">
      <c r="A93" s="38"/>
      <c r="B93" s="38"/>
      <c r="C93" s="15"/>
      <c r="D93" s="15"/>
      <c r="E93" s="38"/>
      <c r="F93" s="38"/>
      <c r="G93" s="38"/>
      <c r="H93" s="38"/>
      <c r="I93" s="108"/>
    </row>
    <row r="94">
      <c r="A94" s="38"/>
      <c r="B94" s="38"/>
      <c r="C94" s="15"/>
      <c r="D94" s="15"/>
      <c r="E94" s="38"/>
      <c r="F94" s="38"/>
      <c r="G94" s="38"/>
      <c r="H94" s="38"/>
      <c r="I94" s="108"/>
    </row>
    <row r="95">
      <c r="A95" s="38"/>
      <c r="B95" s="38"/>
      <c r="C95" s="15"/>
      <c r="D95" s="15"/>
      <c r="E95" s="38"/>
      <c r="F95" s="38"/>
      <c r="G95" s="38"/>
      <c r="H95" s="38"/>
      <c r="I95" s="108"/>
    </row>
    <row r="96">
      <c r="A96" s="38"/>
      <c r="B96" s="38"/>
      <c r="C96" s="15"/>
      <c r="D96" s="15"/>
      <c r="E96" s="38"/>
      <c r="F96" s="38"/>
      <c r="G96" s="38"/>
      <c r="H96" s="38"/>
      <c r="I96" s="108"/>
    </row>
    <row r="97">
      <c r="A97" s="38"/>
      <c r="B97" s="38"/>
      <c r="C97" s="15"/>
      <c r="D97" s="15"/>
      <c r="E97" s="38"/>
      <c r="F97" s="38"/>
      <c r="G97" s="38"/>
      <c r="H97" s="38"/>
      <c r="I97" s="108"/>
    </row>
    <row r="98">
      <c r="A98" s="38"/>
      <c r="B98" s="38"/>
      <c r="C98" s="15"/>
      <c r="D98" s="15"/>
      <c r="E98" s="38"/>
      <c r="F98" s="38"/>
      <c r="G98" s="38"/>
      <c r="H98" s="38"/>
      <c r="I98" s="108"/>
    </row>
    <row r="99">
      <c r="A99" s="38"/>
      <c r="B99" s="38"/>
      <c r="C99" s="15"/>
      <c r="D99" s="15"/>
      <c r="E99" s="38"/>
      <c r="F99" s="38"/>
      <c r="G99" s="38"/>
      <c r="H99" s="38"/>
      <c r="I99" s="108"/>
    </row>
    <row r="100">
      <c r="A100" s="38"/>
      <c r="B100" s="38"/>
      <c r="C100" s="15"/>
      <c r="D100" s="15"/>
      <c r="E100" s="38"/>
      <c r="F100" s="38"/>
      <c r="G100" s="38"/>
      <c r="H100" s="38"/>
      <c r="I100" s="108"/>
    </row>
    <row r="101">
      <c r="A101" s="38"/>
      <c r="B101" s="38"/>
      <c r="C101" s="15"/>
      <c r="D101" s="15"/>
      <c r="E101" s="38"/>
      <c r="F101" s="38"/>
      <c r="G101" s="38"/>
      <c r="H101" s="38"/>
      <c r="I101" s="108"/>
    </row>
    <row r="102">
      <c r="A102" s="38"/>
      <c r="B102" s="38"/>
      <c r="C102" s="15"/>
      <c r="D102" s="15"/>
      <c r="E102" s="38"/>
      <c r="F102" s="38"/>
      <c r="G102" s="38"/>
      <c r="H102" s="38"/>
      <c r="I102" s="108"/>
    </row>
    <row r="103">
      <c r="A103" s="38"/>
      <c r="B103" s="38"/>
      <c r="C103" s="15"/>
      <c r="D103" s="15"/>
      <c r="E103" s="38"/>
      <c r="F103" s="38"/>
      <c r="G103" s="38"/>
      <c r="H103" s="38"/>
      <c r="I103" s="108"/>
    </row>
    <row r="104">
      <c r="A104" s="38"/>
      <c r="B104" s="38"/>
      <c r="C104" s="15"/>
      <c r="D104" s="15"/>
      <c r="E104" s="38"/>
      <c r="F104" s="38"/>
      <c r="G104" s="38"/>
      <c r="H104" s="38"/>
      <c r="I104" s="108"/>
    </row>
    <row r="105">
      <c r="A105" s="38"/>
      <c r="B105" s="38"/>
      <c r="C105" s="15"/>
      <c r="D105" s="15"/>
      <c r="E105" s="38"/>
      <c r="F105" s="38"/>
      <c r="G105" s="38"/>
      <c r="H105" s="38"/>
      <c r="I105" s="108"/>
    </row>
    <row r="106">
      <c r="A106" s="38"/>
      <c r="B106" s="38"/>
      <c r="C106" s="15"/>
      <c r="D106" s="15"/>
      <c r="E106" s="38"/>
      <c r="F106" s="38"/>
      <c r="G106" s="38"/>
      <c r="H106" s="38"/>
      <c r="I106" s="108"/>
    </row>
    <row r="107">
      <c r="A107" s="38"/>
      <c r="B107" s="38"/>
      <c r="C107" s="15"/>
      <c r="D107" s="15"/>
      <c r="E107" s="38"/>
      <c r="F107" s="38"/>
      <c r="G107" s="38"/>
      <c r="H107" s="38"/>
      <c r="I107" s="108"/>
    </row>
    <row r="108">
      <c r="A108" s="38"/>
      <c r="B108" s="38"/>
      <c r="C108" s="15"/>
      <c r="D108" s="15"/>
      <c r="E108" s="38"/>
      <c r="F108" s="38"/>
      <c r="G108" s="38"/>
      <c r="H108" s="38"/>
      <c r="I108" s="108"/>
    </row>
    <row r="109">
      <c r="A109" s="38"/>
      <c r="B109" s="38"/>
      <c r="C109" s="15"/>
      <c r="D109" s="15"/>
      <c r="E109" s="38"/>
      <c r="F109" s="38"/>
      <c r="G109" s="38"/>
      <c r="H109" s="38"/>
      <c r="I109" s="108"/>
    </row>
    <row r="110">
      <c r="A110" s="38"/>
      <c r="B110" s="38"/>
      <c r="C110" s="15"/>
      <c r="D110" s="15"/>
      <c r="E110" s="38"/>
      <c r="F110" s="38"/>
      <c r="G110" s="38"/>
      <c r="H110" s="38"/>
      <c r="I110" s="108"/>
    </row>
    <row r="111">
      <c r="A111" s="38"/>
      <c r="B111" s="38"/>
      <c r="C111" s="15"/>
      <c r="D111" s="15"/>
      <c r="E111" s="38"/>
      <c r="F111" s="38"/>
      <c r="G111" s="38"/>
      <c r="H111" s="38"/>
      <c r="I111" s="108"/>
    </row>
    <row r="112">
      <c r="A112" s="38"/>
      <c r="B112" s="38"/>
      <c r="C112" s="15"/>
      <c r="D112" s="15"/>
      <c r="E112" s="38"/>
      <c r="F112" s="38"/>
      <c r="G112" s="38"/>
      <c r="H112" s="38"/>
      <c r="I112" s="108"/>
    </row>
    <row r="113">
      <c r="A113" s="38"/>
      <c r="B113" s="38"/>
      <c r="C113" s="15"/>
      <c r="D113" s="15"/>
      <c r="E113" s="38"/>
      <c r="F113" s="38"/>
      <c r="G113" s="38"/>
      <c r="H113" s="38"/>
      <c r="I113" s="108"/>
    </row>
    <row r="114">
      <c r="A114" s="38"/>
      <c r="B114" s="38"/>
      <c r="C114" s="15"/>
      <c r="D114" s="15"/>
      <c r="E114" s="38"/>
      <c r="F114" s="38"/>
      <c r="G114" s="38"/>
      <c r="H114" s="38"/>
      <c r="I114" s="108"/>
    </row>
    <row r="115">
      <c r="A115" s="38"/>
      <c r="B115" s="38"/>
      <c r="C115" s="15"/>
      <c r="D115" s="15"/>
      <c r="E115" s="38"/>
      <c r="F115" s="38"/>
      <c r="G115" s="38"/>
      <c r="H115" s="38"/>
      <c r="I115" s="108"/>
    </row>
    <row r="116">
      <c r="A116" s="38"/>
      <c r="B116" s="38"/>
      <c r="C116" s="15"/>
      <c r="D116" s="15"/>
      <c r="E116" s="38"/>
      <c r="F116" s="38"/>
      <c r="G116" s="38"/>
      <c r="H116" s="38"/>
      <c r="I116" s="108"/>
    </row>
    <row r="117">
      <c r="A117" s="38"/>
      <c r="B117" s="38"/>
      <c r="C117" s="15"/>
      <c r="D117" s="15"/>
      <c r="E117" s="38"/>
      <c r="F117" s="38"/>
      <c r="G117" s="38"/>
      <c r="H117" s="38"/>
      <c r="I117" s="108"/>
    </row>
    <row r="118">
      <c r="A118" s="38"/>
      <c r="B118" s="38"/>
      <c r="C118" s="15"/>
      <c r="D118" s="15"/>
      <c r="E118" s="38"/>
      <c r="F118" s="38"/>
      <c r="G118" s="38"/>
      <c r="H118" s="38"/>
      <c r="I118" s="108"/>
    </row>
    <row r="119">
      <c r="A119" s="38"/>
      <c r="B119" s="38"/>
      <c r="C119" s="15"/>
      <c r="D119" s="15"/>
      <c r="E119" s="38"/>
      <c r="F119" s="38"/>
      <c r="G119" s="38"/>
      <c r="H119" s="38"/>
      <c r="I119" s="108"/>
    </row>
    <row r="120">
      <c r="A120" s="38"/>
      <c r="B120" s="38"/>
      <c r="C120" s="15"/>
      <c r="D120" s="15"/>
      <c r="E120" s="38"/>
      <c r="F120" s="38"/>
      <c r="G120" s="38"/>
      <c r="H120" s="38"/>
      <c r="I120" s="108"/>
    </row>
    <row r="121">
      <c r="A121" s="38"/>
      <c r="B121" s="38"/>
      <c r="C121" s="15"/>
      <c r="D121" s="15"/>
      <c r="E121" s="38"/>
      <c r="F121" s="38"/>
      <c r="G121" s="38"/>
      <c r="H121" s="38"/>
      <c r="I121" s="108"/>
    </row>
    <row r="122">
      <c r="A122" s="38"/>
      <c r="B122" s="38"/>
      <c r="C122" s="15"/>
      <c r="D122" s="15"/>
      <c r="E122" s="38"/>
      <c r="F122" s="38"/>
      <c r="G122" s="38"/>
      <c r="H122" s="38"/>
      <c r="I122" s="108"/>
    </row>
    <row r="123">
      <c r="A123" s="38"/>
      <c r="B123" s="38"/>
      <c r="C123" s="15"/>
      <c r="D123" s="15"/>
      <c r="E123" s="38"/>
      <c r="F123" s="38"/>
      <c r="G123" s="38"/>
      <c r="H123" s="38"/>
      <c r="I123" s="108"/>
    </row>
    <row r="124">
      <c r="A124" s="38"/>
      <c r="B124" s="38"/>
      <c r="C124" s="15"/>
      <c r="D124" s="15"/>
      <c r="E124" s="38"/>
      <c r="F124" s="38"/>
      <c r="G124" s="38"/>
      <c r="H124" s="38"/>
      <c r="I124" s="108"/>
    </row>
    <row r="125">
      <c r="A125" s="38"/>
      <c r="B125" s="38"/>
      <c r="C125" s="15"/>
      <c r="D125" s="15"/>
      <c r="E125" s="38"/>
      <c r="F125" s="38"/>
      <c r="G125" s="38"/>
      <c r="H125" s="38"/>
      <c r="I125" s="108"/>
    </row>
    <row r="126">
      <c r="A126" s="38"/>
      <c r="B126" s="38"/>
      <c r="C126" s="15"/>
      <c r="D126" s="15"/>
      <c r="E126" s="38"/>
      <c r="F126" s="38"/>
      <c r="G126" s="38"/>
      <c r="H126" s="38"/>
      <c r="I126" s="108"/>
    </row>
    <row r="127">
      <c r="A127" s="38"/>
      <c r="B127" s="38"/>
      <c r="C127" s="15"/>
      <c r="D127" s="15"/>
      <c r="E127" s="38"/>
      <c r="F127" s="38"/>
      <c r="G127" s="38"/>
      <c r="H127" s="38"/>
      <c r="I127" s="108"/>
    </row>
    <row r="128">
      <c r="A128" s="38"/>
      <c r="B128" s="38"/>
      <c r="C128" s="15"/>
      <c r="D128" s="15"/>
      <c r="E128" s="38"/>
      <c r="F128" s="38"/>
      <c r="G128" s="38"/>
      <c r="H128" s="38"/>
      <c r="I128" s="108"/>
    </row>
    <row r="129">
      <c r="A129" s="38"/>
      <c r="B129" s="38"/>
      <c r="C129" s="15"/>
      <c r="D129" s="15"/>
      <c r="E129" s="38"/>
      <c r="F129" s="38"/>
      <c r="G129" s="38"/>
      <c r="H129" s="38"/>
      <c r="I129" s="108"/>
    </row>
    <row r="130">
      <c r="A130" s="38"/>
      <c r="B130" s="38"/>
      <c r="C130" s="15"/>
      <c r="D130" s="15"/>
      <c r="E130" s="38"/>
      <c r="F130" s="38"/>
      <c r="G130" s="38"/>
      <c r="H130" s="38"/>
      <c r="I130" s="108"/>
    </row>
    <row r="131">
      <c r="A131" s="38"/>
      <c r="B131" s="38"/>
      <c r="C131" s="15"/>
      <c r="D131" s="15"/>
      <c r="E131" s="38"/>
      <c r="F131" s="38"/>
      <c r="G131" s="38"/>
      <c r="H131" s="38"/>
      <c r="I131" s="108"/>
    </row>
    <row r="132">
      <c r="A132" s="38"/>
      <c r="B132" s="38"/>
      <c r="C132" s="15"/>
      <c r="D132" s="15"/>
      <c r="E132" s="38"/>
      <c r="F132" s="38"/>
      <c r="G132" s="38"/>
      <c r="H132" s="38"/>
      <c r="I132" s="108"/>
    </row>
    <row r="133">
      <c r="A133" s="38"/>
      <c r="B133" s="38"/>
      <c r="C133" s="15"/>
      <c r="D133" s="15"/>
      <c r="E133" s="38"/>
      <c r="F133" s="38"/>
      <c r="G133" s="38"/>
      <c r="H133" s="38"/>
      <c r="I133" s="108"/>
    </row>
    <row r="134">
      <c r="A134" s="38"/>
      <c r="B134" s="38"/>
      <c r="C134" s="15"/>
      <c r="D134" s="15"/>
      <c r="E134" s="38"/>
      <c r="F134" s="38"/>
      <c r="G134" s="38"/>
      <c r="H134" s="38"/>
      <c r="I134" s="108"/>
    </row>
    <row r="135">
      <c r="A135" s="38"/>
      <c r="B135" s="38"/>
      <c r="C135" s="15"/>
      <c r="D135" s="15"/>
      <c r="E135" s="38"/>
      <c r="F135" s="38"/>
      <c r="G135" s="38"/>
      <c r="H135" s="38"/>
      <c r="I135" s="108"/>
    </row>
    <row r="136">
      <c r="A136" s="38"/>
      <c r="B136" s="38"/>
      <c r="C136" s="15"/>
      <c r="D136" s="15"/>
      <c r="E136" s="38"/>
      <c r="F136" s="38"/>
      <c r="G136" s="38"/>
      <c r="H136" s="38"/>
      <c r="I136" s="108"/>
    </row>
    <row r="137">
      <c r="A137" s="38"/>
      <c r="B137" s="38"/>
      <c r="C137" s="15"/>
      <c r="D137" s="15"/>
      <c r="E137" s="38"/>
      <c r="F137" s="38"/>
      <c r="G137" s="38"/>
      <c r="H137" s="38"/>
      <c r="I137" s="108"/>
    </row>
    <row r="138">
      <c r="A138" s="38"/>
      <c r="B138" s="38"/>
      <c r="C138" s="15"/>
      <c r="D138" s="15"/>
      <c r="E138" s="38"/>
      <c r="F138" s="38"/>
      <c r="G138" s="38"/>
      <c r="H138" s="38"/>
      <c r="I138" s="108"/>
    </row>
    <row r="139">
      <c r="A139" s="38"/>
      <c r="B139" s="38"/>
      <c r="C139" s="15"/>
      <c r="D139" s="15"/>
      <c r="E139" s="38"/>
      <c r="F139" s="38"/>
      <c r="G139" s="38"/>
      <c r="H139" s="38"/>
      <c r="I139" s="108"/>
    </row>
    <row r="140">
      <c r="A140" s="38"/>
      <c r="B140" s="38"/>
      <c r="C140" s="15"/>
      <c r="D140" s="15"/>
      <c r="E140" s="38"/>
      <c r="F140" s="38"/>
      <c r="G140" s="38"/>
      <c r="H140" s="38"/>
      <c r="I140" s="108"/>
    </row>
    <row r="141">
      <c r="A141" s="38"/>
      <c r="B141" s="38"/>
      <c r="C141" s="15"/>
      <c r="D141" s="15"/>
      <c r="E141" s="38"/>
      <c r="F141" s="38"/>
      <c r="G141" s="38"/>
      <c r="H141" s="38"/>
      <c r="I141" s="108"/>
    </row>
    <row r="142">
      <c r="A142" s="38"/>
      <c r="B142" s="38"/>
      <c r="C142" s="15"/>
      <c r="D142" s="15"/>
      <c r="E142" s="38"/>
      <c r="F142" s="38"/>
      <c r="G142" s="38"/>
      <c r="H142" s="38"/>
      <c r="I142" s="108"/>
    </row>
    <row r="143">
      <c r="A143" s="38"/>
      <c r="B143" s="38"/>
      <c r="C143" s="15"/>
      <c r="D143" s="15"/>
      <c r="E143" s="38"/>
      <c r="F143" s="38"/>
      <c r="G143" s="38"/>
      <c r="H143" s="38"/>
      <c r="I143" s="108"/>
    </row>
    <row r="144">
      <c r="A144" s="38"/>
      <c r="B144" s="38"/>
      <c r="C144" s="15"/>
      <c r="D144" s="15"/>
      <c r="E144" s="38"/>
      <c r="F144" s="38"/>
      <c r="G144" s="38"/>
      <c r="H144" s="38"/>
      <c r="I144" s="108"/>
    </row>
    <row r="145">
      <c r="A145" s="38"/>
      <c r="B145" s="38"/>
      <c r="C145" s="15"/>
      <c r="D145" s="15"/>
      <c r="E145" s="38"/>
      <c r="F145" s="38"/>
      <c r="G145" s="38"/>
      <c r="H145" s="38"/>
      <c r="I145" s="108"/>
    </row>
    <row r="146">
      <c r="A146" s="38"/>
      <c r="B146" s="38"/>
      <c r="C146" s="15"/>
      <c r="D146" s="15"/>
      <c r="E146" s="38"/>
      <c r="F146" s="38"/>
      <c r="G146" s="38"/>
      <c r="H146" s="38"/>
      <c r="I146" s="108"/>
    </row>
    <row r="147">
      <c r="A147" s="38"/>
      <c r="B147" s="38"/>
      <c r="C147" s="15"/>
      <c r="D147" s="15"/>
      <c r="E147" s="38"/>
      <c r="F147" s="38"/>
      <c r="G147" s="38"/>
      <c r="H147" s="38"/>
      <c r="I147" s="108"/>
    </row>
    <row r="148">
      <c r="A148" s="38"/>
      <c r="B148" s="38"/>
      <c r="C148" s="15"/>
      <c r="D148" s="15"/>
      <c r="E148" s="38"/>
      <c r="F148" s="38"/>
      <c r="G148" s="38"/>
      <c r="H148" s="38"/>
      <c r="I148" s="108"/>
    </row>
    <row r="149">
      <c r="A149" s="38"/>
      <c r="B149" s="38"/>
      <c r="C149" s="15"/>
      <c r="D149" s="15"/>
      <c r="E149" s="38"/>
      <c r="F149" s="38"/>
      <c r="G149" s="38"/>
      <c r="H149" s="38"/>
      <c r="I149" s="108"/>
    </row>
    <row r="150">
      <c r="A150" s="38"/>
      <c r="B150" s="38"/>
      <c r="C150" s="15"/>
      <c r="D150" s="15"/>
      <c r="E150" s="38"/>
      <c r="F150" s="38"/>
      <c r="G150" s="38"/>
      <c r="H150" s="38"/>
      <c r="I150" s="108"/>
    </row>
    <row r="151">
      <c r="A151" s="38"/>
      <c r="B151" s="38"/>
      <c r="C151" s="15"/>
      <c r="D151" s="15"/>
      <c r="E151" s="38"/>
      <c r="F151" s="38"/>
      <c r="G151" s="38"/>
      <c r="H151" s="38"/>
      <c r="I151" s="108"/>
    </row>
    <row r="152">
      <c r="A152" s="38"/>
      <c r="B152" s="38"/>
      <c r="C152" s="15"/>
      <c r="D152" s="15"/>
      <c r="E152" s="38"/>
      <c r="F152" s="38"/>
      <c r="G152" s="38"/>
      <c r="H152" s="38"/>
      <c r="I152" s="108"/>
    </row>
    <row r="153">
      <c r="A153" s="38"/>
      <c r="B153" s="38"/>
      <c r="C153" s="15"/>
      <c r="D153" s="15"/>
      <c r="E153" s="38"/>
      <c r="F153" s="38"/>
      <c r="G153" s="38"/>
      <c r="H153" s="38"/>
      <c r="I153" s="108"/>
    </row>
    <row r="154">
      <c r="A154" s="38"/>
      <c r="B154" s="38"/>
      <c r="C154" s="15"/>
      <c r="D154" s="15"/>
      <c r="E154" s="38"/>
      <c r="F154" s="38"/>
      <c r="G154" s="38"/>
      <c r="H154" s="38"/>
      <c r="I154" s="108"/>
    </row>
    <row r="155">
      <c r="A155" s="38"/>
      <c r="B155" s="38"/>
      <c r="C155" s="15"/>
      <c r="D155" s="15"/>
      <c r="E155" s="38"/>
      <c r="F155" s="38"/>
      <c r="G155" s="38"/>
      <c r="H155" s="38"/>
      <c r="I155" s="108"/>
    </row>
    <row r="156">
      <c r="A156" s="38"/>
      <c r="B156" s="38"/>
      <c r="C156" s="15"/>
      <c r="D156" s="15"/>
      <c r="E156" s="38"/>
      <c r="F156" s="38"/>
      <c r="G156" s="38"/>
      <c r="H156" s="38"/>
      <c r="I156" s="108"/>
    </row>
    <row r="157">
      <c r="A157" s="38"/>
      <c r="B157" s="38"/>
      <c r="C157" s="15"/>
      <c r="D157" s="15"/>
      <c r="E157" s="38"/>
      <c r="F157" s="38"/>
      <c r="G157" s="38"/>
      <c r="H157" s="38"/>
      <c r="I157" s="108"/>
    </row>
    <row r="158">
      <c r="A158" s="38"/>
      <c r="B158" s="38"/>
      <c r="C158" s="15"/>
      <c r="D158" s="15"/>
      <c r="E158" s="38"/>
      <c r="F158" s="38"/>
      <c r="G158" s="38"/>
      <c r="H158" s="38"/>
      <c r="I158" s="108"/>
    </row>
    <row r="159">
      <c r="A159" s="38"/>
      <c r="B159" s="38"/>
      <c r="C159" s="15"/>
      <c r="D159" s="15"/>
      <c r="E159" s="38"/>
      <c r="F159" s="38"/>
      <c r="G159" s="38"/>
      <c r="H159" s="38"/>
      <c r="I159" s="108"/>
    </row>
    <row r="160">
      <c r="A160" s="38"/>
      <c r="B160" s="38"/>
      <c r="C160" s="15"/>
      <c r="D160" s="15"/>
      <c r="E160" s="38"/>
      <c r="F160" s="38"/>
      <c r="G160" s="38"/>
      <c r="H160" s="38"/>
      <c r="I160" s="108"/>
    </row>
    <row r="161">
      <c r="A161" s="38"/>
      <c r="B161" s="38"/>
      <c r="C161" s="15"/>
      <c r="D161" s="15"/>
      <c r="E161" s="38"/>
      <c r="F161" s="38"/>
      <c r="G161" s="38"/>
      <c r="H161" s="38"/>
      <c r="I161" s="108"/>
    </row>
    <row r="162">
      <c r="A162" s="38"/>
      <c r="B162" s="38"/>
      <c r="C162" s="15"/>
      <c r="D162" s="15"/>
      <c r="E162" s="38"/>
      <c r="F162" s="38"/>
      <c r="G162" s="38"/>
      <c r="H162" s="38"/>
      <c r="I162" s="108"/>
    </row>
    <row r="163">
      <c r="A163" s="38"/>
      <c r="B163" s="38"/>
      <c r="C163" s="15"/>
      <c r="D163" s="15"/>
      <c r="E163" s="38"/>
      <c r="F163" s="38"/>
      <c r="G163" s="38"/>
      <c r="H163" s="38"/>
      <c r="I163" s="108"/>
    </row>
    <row r="164">
      <c r="A164" s="38"/>
      <c r="B164" s="38"/>
      <c r="C164" s="15"/>
      <c r="D164" s="15"/>
      <c r="E164" s="38"/>
      <c r="F164" s="38"/>
      <c r="G164" s="38"/>
      <c r="H164" s="38"/>
      <c r="I164" s="108"/>
    </row>
    <row r="165">
      <c r="A165" s="38"/>
      <c r="B165" s="38"/>
      <c r="C165" s="15"/>
      <c r="D165" s="15"/>
      <c r="E165" s="38"/>
      <c r="F165" s="38"/>
      <c r="G165" s="38"/>
      <c r="H165" s="38"/>
      <c r="I165" s="108"/>
    </row>
    <row r="166">
      <c r="A166" s="38"/>
      <c r="B166" s="38"/>
      <c r="C166" s="15"/>
      <c r="D166" s="15"/>
      <c r="E166" s="38"/>
      <c r="F166" s="38"/>
      <c r="G166" s="38"/>
      <c r="H166" s="38"/>
      <c r="I166" s="108"/>
    </row>
    <row r="167">
      <c r="A167" s="38"/>
      <c r="B167" s="38"/>
      <c r="C167" s="15"/>
      <c r="D167" s="15"/>
      <c r="E167" s="38"/>
      <c r="F167" s="38"/>
      <c r="G167" s="38"/>
      <c r="H167" s="38"/>
      <c r="I167" s="108"/>
    </row>
    <row r="168">
      <c r="A168" s="38"/>
      <c r="B168" s="38"/>
      <c r="C168" s="15"/>
      <c r="D168" s="15"/>
      <c r="E168" s="38"/>
      <c r="F168" s="38"/>
      <c r="G168" s="38"/>
      <c r="H168" s="38"/>
      <c r="I168" s="108"/>
    </row>
    <row r="169">
      <c r="A169" s="38"/>
      <c r="B169" s="38"/>
      <c r="C169" s="15"/>
      <c r="D169" s="15"/>
      <c r="E169" s="38"/>
      <c r="F169" s="38"/>
      <c r="G169" s="38"/>
      <c r="H169" s="38"/>
      <c r="I169" s="108"/>
    </row>
    <row r="170">
      <c r="A170" s="38"/>
      <c r="B170" s="38"/>
      <c r="C170" s="15"/>
      <c r="D170" s="15"/>
      <c r="E170" s="38"/>
      <c r="F170" s="38"/>
      <c r="G170" s="38"/>
      <c r="H170" s="38"/>
      <c r="I170" s="108"/>
    </row>
    <row r="171">
      <c r="A171" s="38"/>
      <c r="B171" s="38"/>
      <c r="C171" s="15"/>
      <c r="D171" s="15"/>
      <c r="E171" s="38"/>
      <c r="F171" s="38"/>
      <c r="G171" s="38"/>
      <c r="H171" s="38"/>
      <c r="I171" s="108"/>
    </row>
    <row r="172">
      <c r="A172" s="38"/>
      <c r="B172" s="38"/>
      <c r="C172" s="15"/>
      <c r="D172" s="15"/>
      <c r="E172" s="38"/>
      <c r="F172" s="38"/>
      <c r="G172" s="38"/>
      <c r="H172" s="38"/>
      <c r="I172" s="108"/>
    </row>
    <row r="173">
      <c r="A173" s="38"/>
      <c r="B173" s="38"/>
      <c r="C173" s="15"/>
      <c r="D173" s="15"/>
      <c r="E173" s="38"/>
      <c r="F173" s="38"/>
      <c r="G173" s="38"/>
      <c r="H173" s="38"/>
      <c r="I173" s="108"/>
    </row>
    <row r="174">
      <c r="A174" s="38"/>
      <c r="B174" s="38"/>
      <c r="C174" s="15"/>
      <c r="D174" s="15"/>
      <c r="E174" s="38"/>
      <c r="F174" s="38"/>
      <c r="G174" s="38"/>
      <c r="H174" s="38"/>
      <c r="I174" s="108"/>
    </row>
    <row r="175">
      <c r="A175" s="38"/>
      <c r="B175" s="38"/>
      <c r="C175" s="15"/>
      <c r="D175" s="15"/>
      <c r="E175" s="38"/>
      <c r="F175" s="38"/>
      <c r="G175" s="38"/>
      <c r="H175" s="38"/>
      <c r="I175" s="108"/>
    </row>
    <row r="176">
      <c r="A176" s="38"/>
      <c r="B176" s="38"/>
      <c r="C176" s="15"/>
      <c r="D176" s="15"/>
      <c r="E176" s="38"/>
      <c r="F176" s="38"/>
      <c r="G176" s="38"/>
      <c r="H176" s="38"/>
      <c r="I176" s="108"/>
    </row>
    <row r="177">
      <c r="A177" s="38"/>
      <c r="B177" s="38"/>
      <c r="C177" s="15"/>
      <c r="D177" s="15"/>
      <c r="E177" s="38"/>
      <c r="F177" s="38"/>
      <c r="G177" s="38"/>
      <c r="H177" s="38"/>
      <c r="I177" s="108"/>
    </row>
    <row r="178">
      <c r="A178" s="38"/>
      <c r="B178" s="38"/>
      <c r="C178" s="15"/>
      <c r="D178" s="15"/>
      <c r="E178" s="38"/>
      <c r="F178" s="38"/>
      <c r="G178" s="38"/>
      <c r="H178" s="38"/>
      <c r="I178" s="108"/>
    </row>
    <row r="179">
      <c r="A179" s="38"/>
      <c r="B179" s="38"/>
      <c r="C179" s="15"/>
      <c r="D179" s="15"/>
      <c r="E179" s="38"/>
      <c r="F179" s="38"/>
      <c r="G179" s="38"/>
      <c r="H179" s="38"/>
      <c r="I179" s="108"/>
    </row>
    <row r="180">
      <c r="A180" s="38"/>
      <c r="B180" s="38"/>
      <c r="C180" s="15"/>
      <c r="D180" s="15"/>
      <c r="E180" s="38"/>
      <c r="F180" s="38"/>
      <c r="G180" s="38"/>
      <c r="H180" s="38"/>
      <c r="I180" s="108"/>
    </row>
    <row r="181">
      <c r="A181" s="38"/>
      <c r="B181" s="38"/>
      <c r="C181" s="15"/>
      <c r="D181" s="15"/>
      <c r="E181" s="38"/>
      <c r="F181" s="38"/>
      <c r="G181" s="38"/>
      <c r="H181" s="38"/>
      <c r="I181" s="108"/>
    </row>
    <row r="182">
      <c r="A182" s="38"/>
      <c r="B182" s="38"/>
      <c r="C182" s="15"/>
      <c r="D182" s="15"/>
      <c r="E182" s="38"/>
      <c r="F182" s="38"/>
      <c r="G182" s="38"/>
      <c r="H182" s="38"/>
      <c r="I182" s="108"/>
    </row>
    <row r="183">
      <c r="A183" s="38"/>
      <c r="B183" s="38"/>
      <c r="C183" s="15"/>
      <c r="D183" s="15"/>
      <c r="E183" s="38"/>
      <c r="F183" s="38"/>
      <c r="G183" s="38"/>
      <c r="H183" s="38"/>
      <c r="I183" s="108"/>
    </row>
    <row r="184">
      <c r="A184" s="38"/>
      <c r="B184" s="38"/>
      <c r="C184" s="15"/>
      <c r="D184" s="15"/>
      <c r="E184" s="38"/>
      <c r="F184" s="38"/>
      <c r="G184" s="38"/>
      <c r="H184" s="38"/>
      <c r="I184" s="108"/>
    </row>
    <row r="185">
      <c r="A185" s="38"/>
      <c r="B185" s="38"/>
      <c r="C185" s="15"/>
      <c r="D185" s="15"/>
      <c r="E185" s="38"/>
      <c r="F185" s="38"/>
      <c r="G185" s="38"/>
      <c r="H185" s="38"/>
      <c r="I185" s="108"/>
    </row>
    <row r="186">
      <c r="A186" s="38"/>
      <c r="B186" s="38"/>
      <c r="C186" s="15"/>
      <c r="D186" s="15"/>
      <c r="E186" s="38"/>
      <c r="F186" s="38"/>
      <c r="G186" s="38"/>
      <c r="H186" s="38"/>
      <c r="I186" s="108"/>
    </row>
    <row r="187">
      <c r="A187" s="38"/>
      <c r="B187" s="38"/>
      <c r="C187" s="15"/>
      <c r="D187" s="15"/>
      <c r="E187" s="38"/>
      <c r="F187" s="38"/>
      <c r="G187" s="38"/>
      <c r="H187" s="38"/>
      <c r="I187" s="108"/>
    </row>
    <row r="188">
      <c r="A188" s="38"/>
      <c r="B188" s="38"/>
      <c r="C188" s="15"/>
      <c r="D188" s="15"/>
      <c r="E188" s="38"/>
      <c r="F188" s="38"/>
      <c r="G188" s="38"/>
      <c r="H188" s="38"/>
      <c r="I188" s="108"/>
    </row>
    <row r="189">
      <c r="A189" s="38"/>
      <c r="B189" s="38"/>
      <c r="C189" s="15"/>
      <c r="D189" s="15"/>
      <c r="E189" s="38"/>
      <c r="F189" s="38"/>
      <c r="G189" s="38"/>
      <c r="H189" s="38"/>
      <c r="I189" s="108"/>
    </row>
    <row r="190">
      <c r="A190" s="38"/>
      <c r="B190" s="38"/>
      <c r="C190" s="15"/>
      <c r="D190" s="15"/>
      <c r="E190" s="38"/>
      <c r="F190" s="38"/>
      <c r="G190" s="38"/>
      <c r="H190" s="38"/>
      <c r="I190" s="108"/>
    </row>
    <row r="191">
      <c r="A191" s="38"/>
      <c r="B191" s="38"/>
      <c r="C191" s="15"/>
      <c r="D191" s="15"/>
      <c r="E191" s="38"/>
      <c r="F191" s="38"/>
      <c r="G191" s="38"/>
      <c r="H191" s="38"/>
      <c r="I191" s="108"/>
    </row>
    <row r="192">
      <c r="A192" s="38"/>
      <c r="B192" s="38"/>
      <c r="C192" s="15"/>
      <c r="D192" s="15"/>
      <c r="E192" s="38"/>
      <c r="F192" s="38"/>
      <c r="G192" s="38"/>
      <c r="H192" s="38"/>
      <c r="I192" s="108"/>
    </row>
    <row r="193">
      <c r="A193" s="38"/>
      <c r="B193" s="38"/>
      <c r="C193" s="15"/>
      <c r="D193" s="15"/>
      <c r="E193" s="38"/>
      <c r="F193" s="38"/>
      <c r="G193" s="38"/>
      <c r="H193" s="38"/>
      <c r="I193" s="108"/>
    </row>
    <row r="194">
      <c r="A194" s="38"/>
      <c r="B194" s="38"/>
      <c r="C194" s="15"/>
      <c r="D194" s="15"/>
      <c r="E194" s="38"/>
      <c r="F194" s="38"/>
      <c r="G194" s="38"/>
      <c r="H194" s="38"/>
      <c r="I194" s="108"/>
    </row>
    <row r="195">
      <c r="A195" s="38"/>
      <c r="B195" s="38"/>
      <c r="C195" s="15"/>
      <c r="D195" s="15"/>
      <c r="E195" s="38"/>
      <c r="F195" s="38"/>
      <c r="G195" s="38"/>
      <c r="H195" s="38"/>
      <c r="I195" s="108"/>
    </row>
    <row r="196">
      <c r="A196" s="38"/>
      <c r="B196" s="38"/>
      <c r="C196" s="15"/>
      <c r="D196" s="15"/>
      <c r="E196" s="38"/>
      <c r="F196" s="38"/>
      <c r="G196" s="38"/>
      <c r="H196" s="38"/>
      <c r="I196" s="108"/>
    </row>
    <row r="197">
      <c r="A197" s="38"/>
      <c r="B197" s="38"/>
      <c r="C197" s="15"/>
      <c r="D197" s="15"/>
      <c r="E197" s="38"/>
      <c r="F197" s="38"/>
      <c r="G197" s="38"/>
      <c r="H197" s="38"/>
      <c r="I197" s="108"/>
    </row>
    <row r="198">
      <c r="A198" s="38"/>
      <c r="B198" s="38"/>
      <c r="C198" s="15"/>
      <c r="D198" s="15"/>
      <c r="E198" s="38"/>
      <c r="F198" s="38"/>
      <c r="G198" s="38"/>
      <c r="H198" s="38"/>
      <c r="I198" s="108"/>
    </row>
    <row r="199">
      <c r="A199" s="38"/>
      <c r="B199" s="38"/>
      <c r="C199" s="15"/>
      <c r="D199" s="15"/>
      <c r="E199" s="38"/>
      <c r="F199" s="38"/>
      <c r="G199" s="38"/>
      <c r="H199" s="38"/>
      <c r="I199" s="108"/>
    </row>
    <row r="200">
      <c r="A200" s="38"/>
      <c r="B200" s="38"/>
      <c r="C200" s="15"/>
      <c r="D200" s="15"/>
      <c r="E200" s="38"/>
      <c r="F200" s="38"/>
      <c r="G200" s="38"/>
      <c r="H200" s="38"/>
      <c r="I200" s="108"/>
    </row>
    <row r="201">
      <c r="A201" s="38"/>
      <c r="B201" s="38"/>
      <c r="C201" s="15"/>
      <c r="D201" s="15"/>
      <c r="E201" s="38"/>
      <c r="F201" s="38"/>
      <c r="G201" s="38"/>
      <c r="H201" s="38"/>
      <c r="I201" s="108"/>
    </row>
    <row r="202">
      <c r="A202" s="38"/>
      <c r="B202" s="38"/>
      <c r="C202" s="15"/>
      <c r="D202" s="15"/>
      <c r="E202" s="38"/>
      <c r="F202" s="38"/>
      <c r="G202" s="38"/>
      <c r="H202" s="38"/>
      <c r="I202" s="108"/>
    </row>
    <row r="203">
      <c r="A203" s="38"/>
      <c r="B203" s="38"/>
      <c r="C203" s="15"/>
      <c r="D203" s="15"/>
      <c r="E203" s="38"/>
      <c r="F203" s="38"/>
      <c r="G203" s="38"/>
      <c r="H203" s="38"/>
      <c r="I203" s="108"/>
    </row>
    <row r="204">
      <c r="A204" s="38"/>
      <c r="B204" s="38"/>
      <c r="C204" s="15"/>
      <c r="D204" s="15"/>
      <c r="E204" s="38"/>
      <c r="F204" s="38"/>
      <c r="G204" s="38"/>
      <c r="H204" s="38"/>
      <c r="I204" s="108"/>
    </row>
    <row r="205">
      <c r="A205" s="38"/>
      <c r="B205" s="38"/>
      <c r="C205" s="15"/>
      <c r="D205" s="15"/>
      <c r="E205" s="38"/>
      <c r="F205" s="38"/>
      <c r="G205" s="38"/>
      <c r="H205" s="38"/>
      <c r="I205" s="108"/>
    </row>
    <row r="206">
      <c r="A206" s="38"/>
      <c r="B206" s="38"/>
      <c r="C206" s="15"/>
      <c r="D206" s="15"/>
      <c r="E206" s="38"/>
      <c r="F206" s="38"/>
      <c r="G206" s="38"/>
      <c r="H206" s="38"/>
      <c r="I206" s="108"/>
    </row>
    <row r="207">
      <c r="A207" s="38"/>
      <c r="B207" s="38"/>
      <c r="C207" s="15"/>
      <c r="D207" s="15"/>
      <c r="E207" s="38"/>
      <c r="F207" s="38"/>
      <c r="G207" s="38"/>
      <c r="H207" s="38"/>
      <c r="I207" s="108"/>
    </row>
    <row r="208">
      <c r="A208" s="38"/>
      <c r="B208" s="38"/>
      <c r="C208" s="15"/>
      <c r="D208" s="15"/>
      <c r="E208" s="38"/>
      <c r="F208" s="38"/>
      <c r="G208" s="38"/>
      <c r="H208" s="38"/>
      <c r="I208" s="108"/>
    </row>
    <row r="209">
      <c r="A209" s="38"/>
      <c r="B209" s="38"/>
      <c r="C209" s="15"/>
      <c r="D209" s="15"/>
      <c r="E209" s="38"/>
      <c r="F209" s="38"/>
      <c r="G209" s="38"/>
      <c r="H209" s="38"/>
      <c r="I209" s="108"/>
    </row>
    <row r="210">
      <c r="A210" s="38"/>
      <c r="B210" s="38"/>
      <c r="C210" s="15"/>
      <c r="D210" s="15"/>
      <c r="E210" s="38"/>
      <c r="F210" s="38"/>
      <c r="G210" s="38"/>
      <c r="H210" s="38"/>
      <c r="I210" s="108"/>
    </row>
    <row r="211">
      <c r="A211" s="38"/>
      <c r="B211" s="38"/>
      <c r="C211" s="15"/>
      <c r="D211" s="15"/>
      <c r="E211" s="38"/>
      <c r="F211" s="38"/>
      <c r="G211" s="38"/>
      <c r="H211" s="38"/>
      <c r="I211" s="108"/>
    </row>
    <row r="212">
      <c r="A212" s="38"/>
      <c r="B212" s="38"/>
      <c r="C212" s="15"/>
      <c r="D212" s="15"/>
      <c r="E212" s="38"/>
      <c r="F212" s="38"/>
      <c r="G212" s="38"/>
      <c r="H212" s="38"/>
      <c r="I212" s="108"/>
    </row>
    <row r="213">
      <c r="A213" s="38"/>
      <c r="B213" s="38"/>
      <c r="C213" s="15"/>
      <c r="D213" s="15"/>
      <c r="E213" s="38"/>
      <c r="F213" s="38"/>
      <c r="G213" s="38"/>
      <c r="H213" s="38"/>
      <c r="I213" s="108"/>
    </row>
    <row r="214">
      <c r="A214" s="38"/>
      <c r="B214" s="38"/>
      <c r="C214" s="15"/>
      <c r="D214" s="15"/>
      <c r="E214" s="38"/>
      <c r="F214" s="38"/>
      <c r="G214" s="38"/>
      <c r="H214" s="38"/>
      <c r="I214" s="108"/>
    </row>
    <row r="215">
      <c r="A215" s="38"/>
      <c r="B215" s="38"/>
      <c r="C215" s="15"/>
      <c r="D215" s="15"/>
      <c r="E215" s="38"/>
      <c r="F215" s="38"/>
      <c r="G215" s="38"/>
      <c r="H215" s="38"/>
      <c r="I215" s="108"/>
    </row>
    <row r="216">
      <c r="A216" s="38"/>
      <c r="B216" s="38"/>
      <c r="C216" s="15"/>
      <c r="D216" s="15"/>
      <c r="E216" s="38"/>
      <c r="F216" s="38"/>
      <c r="G216" s="38"/>
      <c r="H216" s="38"/>
      <c r="I216" s="108"/>
    </row>
    <row r="217">
      <c r="A217" s="38"/>
      <c r="B217" s="38"/>
      <c r="C217" s="15"/>
      <c r="D217" s="15"/>
      <c r="E217" s="38"/>
      <c r="F217" s="38"/>
      <c r="G217" s="38"/>
      <c r="H217" s="38"/>
      <c r="I217" s="108"/>
    </row>
    <row r="218">
      <c r="A218" s="38"/>
      <c r="B218" s="38"/>
      <c r="C218" s="15"/>
      <c r="D218" s="15"/>
      <c r="E218" s="38"/>
      <c r="F218" s="38"/>
      <c r="G218" s="38"/>
      <c r="H218" s="38"/>
      <c r="I218" s="108"/>
    </row>
    <row r="219">
      <c r="A219" s="38"/>
      <c r="B219" s="38"/>
      <c r="C219" s="15"/>
      <c r="D219" s="15"/>
      <c r="E219" s="38"/>
      <c r="F219" s="38"/>
      <c r="G219" s="38"/>
      <c r="H219" s="38"/>
      <c r="I219" s="108"/>
    </row>
    <row r="220">
      <c r="A220" s="38"/>
      <c r="B220" s="38"/>
      <c r="C220" s="15"/>
      <c r="D220" s="15"/>
      <c r="E220" s="38"/>
      <c r="F220" s="38"/>
      <c r="G220" s="38"/>
      <c r="H220" s="38"/>
      <c r="I220" s="108"/>
    </row>
    <row r="221">
      <c r="A221" s="38"/>
      <c r="B221" s="38"/>
      <c r="C221" s="15"/>
      <c r="D221" s="15"/>
      <c r="E221" s="38"/>
      <c r="F221" s="38"/>
      <c r="G221" s="38"/>
      <c r="H221" s="38"/>
      <c r="I221" s="108"/>
    </row>
    <row r="222">
      <c r="A222" s="38"/>
      <c r="B222" s="38"/>
      <c r="C222" s="15"/>
      <c r="D222" s="15"/>
      <c r="E222" s="38"/>
      <c r="F222" s="38"/>
      <c r="G222" s="38"/>
      <c r="H222" s="38"/>
      <c r="I222" s="108"/>
    </row>
    <row r="223">
      <c r="A223" s="38"/>
      <c r="B223" s="38"/>
      <c r="C223" s="15"/>
      <c r="D223" s="15"/>
      <c r="E223" s="38"/>
      <c r="F223" s="38"/>
      <c r="G223" s="38"/>
      <c r="H223" s="38"/>
      <c r="I223" s="108"/>
    </row>
    <row r="224">
      <c r="A224" s="38"/>
      <c r="B224" s="38"/>
      <c r="C224" s="15"/>
      <c r="D224" s="15"/>
      <c r="E224" s="38"/>
      <c r="F224" s="38"/>
      <c r="G224" s="38"/>
      <c r="H224" s="38"/>
      <c r="I224" s="108"/>
    </row>
    <row r="225">
      <c r="A225" s="38"/>
      <c r="B225" s="38"/>
      <c r="C225" s="15"/>
      <c r="D225" s="15"/>
      <c r="E225" s="38"/>
      <c r="F225" s="38"/>
      <c r="G225" s="38"/>
      <c r="H225" s="38"/>
      <c r="I225" s="108"/>
    </row>
    <row r="226">
      <c r="A226" s="38"/>
      <c r="B226" s="38"/>
      <c r="C226" s="15"/>
      <c r="D226" s="15"/>
      <c r="E226" s="38"/>
      <c r="F226" s="38"/>
      <c r="G226" s="38"/>
      <c r="H226" s="38"/>
      <c r="I226" s="108"/>
    </row>
    <row r="227">
      <c r="A227" s="38"/>
      <c r="B227" s="38"/>
      <c r="C227" s="15"/>
      <c r="D227" s="15"/>
      <c r="E227" s="38"/>
      <c r="F227" s="38"/>
      <c r="G227" s="38"/>
      <c r="H227" s="38"/>
      <c r="I227" s="108"/>
    </row>
    <row r="228">
      <c r="A228" s="38"/>
      <c r="B228" s="38"/>
      <c r="C228" s="15"/>
      <c r="D228" s="15"/>
      <c r="E228" s="38"/>
      <c r="F228" s="38"/>
      <c r="G228" s="38"/>
      <c r="H228" s="38"/>
      <c r="I228" s="108"/>
    </row>
    <row r="229">
      <c r="A229" s="38"/>
      <c r="B229" s="38"/>
      <c r="C229" s="15"/>
      <c r="D229" s="15"/>
      <c r="E229" s="38"/>
      <c r="F229" s="38"/>
      <c r="G229" s="38"/>
      <c r="H229" s="38"/>
      <c r="I229" s="108"/>
    </row>
    <row r="230">
      <c r="A230" s="38"/>
      <c r="B230" s="38"/>
      <c r="C230" s="15"/>
      <c r="D230" s="15"/>
      <c r="E230" s="38"/>
      <c r="F230" s="38"/>
      <c r="G230" s="38"/>
      <c r="H230" s="38"/>
      <c r="I230" s="108"/>
    </row>
    <row r="231">
      <c r="A231" s="38"/>
      <c r="B231" s="38"/>
      <c r="C231" s="15"/>
      <c r="D231" s="15"/>
      <c r="E231" s="38"/>
      <c r="F231" s="38"/>
      <c r="G231" s="38"/>
      <c r="H231" s="38"/>
      <c r="I231" s="108"/>
    </row>
    <row r="232">
      <c r="A232" s="38"/>
      <c r="B232" s="38"/>
      <c r="C232" s="15"/>
      <c r="D232" s="15"/>
      <c r="E232" s="38"/>
      <c r="F232" s="38"/>
      <c r="G232" s="38"/>
      <c r="H232" s="38"/>
      <c r="I232" s="108"/>
    </row>
    <row r="233">
      <c r="A233" s="38"/>
      <c r="B233" s="38"/>
      <c r="C233" s="15"/>
      <c r="D233" s="15"/>
      <c r="E233" s="38"/>
      <c r="F233" s="38"/>
      <c r="G233" s="38"/>
      <c r="H233" s="38"/>
      <c r="I233" s="108"/>
    </row>
    <row r="234">
      <c r="A234" s="38"/>
      <c r="B234" s="38"/>
      <c r="C234" s="15"/>
      <c r="D234" s="15"/>
      <c r="E234" s="38"/>
      <c r="F234" s="38"/>
      <c r="G234" s="38"/>
      <c r="H234" s="38"/>
      <c r="I234" s="108"/>
    </row>
    <row r="235">
      <c r="A235" s="38"/>
      <c r="B235" s="38"/>
      <c r="C235" s="15"/>
      <c r="D235" s="15"/>
      <c r="E235" s="38"/>
      <c r="F235" s="38"/>
      <c r="G235" s="38"/>
      <c r="H235" s="38"/>
      <c r="I235" s="108"/>
    </row>
    <row r="236">
      <c r="A236" s="38"/>
      <c r="B236" s="38"/>
      <c r="C236" s="15"/>
      <c r="D236" s="15"/>
      <c r="E236" s="38"/>
      <c r="F236" s="38"/>
      <c r="G236" s="38"/>
      <c r="H236" s="38"/>
      <c r="I236" s="108"/>
    </row>
    <row r="237">
      <c r="A237" s="38"/>
      <c r="B237" s="38"/>
      <c r="C237" s="15"/>
      <c r="D237" s="15"/>
      <c r="E237" s="38"/>
      <c r="F237" s="38"/>
      <c r="G237" s="38"/>
      <c r="H237" s="38"/>
      <c r="I237" s="108"/>
    </row>
    <row r="238">
      <c r="A238" s="38"/>
      <c r="B238" s="38"/>
      <c r="C238" s="15"/>
      <c r="D238" s="15"/>
      <c r="E238" s="38"/>
      <c r="F238" s="38"/>
      <c r="G238" s="38"/>
      <c r="H238" s="38"/>
      <c r="I238" s="108"/>
    </row>
    <row r="239">
      <c r="A239" s="38"/>
      <c r="B239" s="38"/>
      <c r="C239" s="15"/>
      <c r="D239" s="15"/>
      <c r="E239" s="38"/>
      <c r="F239" s="38"/>
      <c r="G239" s="38"/>
      <c r="H239" s="38"/>
      <c r="I239" s="108"/>
    </row>
    <row r="240">
      <c r="A240" s="38"/>
      <c r="B240" s="38"/>
      <c r="C240" s="15"/>
      <c r="D240" s="15"/>
      <c r="E240" s="38"/>
      <c r="F240" s="38"/>
      <c r="G240" s="38"/>
      <c r="H240" s="38"/>
      <c r="I240" s="108"/>
    </row>
    <row r="241">
      <c r="A241" s="38"/>
      <c r="B241" s="38"/>
      <c r="C241" s="15"/>
      <c r="D241" s="15"/>
      <c r="E241" s="38"/>
      <c r="F241" s="38"/>
      <c r="G241" s="38"/>
      <c r="H241" s="38"/>
      <c r="I241" s="108"/>
    </row>
    <row r="242">
      <c r="A242" s="38"/>
      <c r="B242" s="38"/>
      <c r="C242" s="15"/>
      <c r="D242" s="15"/>
      <c r="E242" s="38"/>
      <c r="F242" s="38"/>
      <c r="G242" s="38"/>
      <c r="H242" s="38"/>
      <c r="I242" s="108"/>
    </row>
    <row r="243">
      <c r="A243" s="38"/>
      <c r="B243" s="38"/>
      <c r="C243" s="15"/>
      <c r="D243" s="15"/>
      <c r="E243" s="38"/>
      <c r="F243" s="38"/>
      <c r="G243" s="38"/>
      <c r="H243" s="38"/>
      <c r="I243" s="108"/>
    </row>
    <row r="244">
      <c r="A244" s="38"/>
      <c r="B244" s="38"/>
      <c r="C244" s="15"/>
      <c r="D244" s="15"/>
      <c r="E244" s="38"/>
      <c r="F244" s="38"/>
      <c r="G244" s="38"/>
      <c r="H244" s="38"/>
      <c r="I244" s="108"/>
    </row>
    <row r="245">
      <c r="A245" s="38"/>
      <c r="B245" s="38"/>
      <c r="C245" s="15"/>
      <c r="D245" s="15"/>
      <c r="E245" s="38"/>
      <c r="F245" s="38"/>
      <c r="G245" s="38"/>
      <c r="H245" s="38"/>
      <c r="I245" s="108"/>
    </row>
    <row r="246">
      <c r="A246" s="38"/>
      <c r="B246" s="38"/>
      <c r="C246" s="15"/>
      <c r="D246" s="15"/>
      <c r="E246" s="38"/>
      <c r="F246" s="38"/>
      <c r="G246" s="38"/>
      <c r="H246" s="38"/>
      <c r="I246" s="108"/>
    </row>
    <row r="247">
      <c r="A247" s="38"/>
      <c r="B247" s="38"/>
      <c r="C247" s="15"/>
      <c r="D247" s="15"/>
      <c r="E247" s="38"/>
      <c r="F247" s="38"/>
      <c r="G247" s="38"/>
      <c r="H247" s="38"/>
      <c r="I247" s="108"/>
    </row>
    <row r="248">
      <c r="A248" s="38"/>
      <c r="B248" s="38"/>
      <c r="C248" s="15"/>
      <c r="D248" s="15"/>
      <c r="E248" s="38"/>
      <c r="F248" s="38"/>
      <c r="G248" s="38"/>
      <c r="H248" s="38"/>
      <c r="I248" s="108"/>
    </row>
    <row r="249">
      <c r="A249" s="38"/>
      <c r="B249" s="38"/>
      <c r="C249" s="15"/>
      <c r="D249" s="15"/>
      <c r="E249" s="38"/>
      <c r="F249" s="38"/>
      <c r="G249" s="38"/>
      <c r="H249" s="38"/>
      <c r="I249" s="108"/>
    </row>
    <row r="250">
      <c r="A250" s="38"/>
      <c r="B250" s="38"/>
      <c r="C250" s="15"/>
      <c r="D250" s="15"/>
      <c r="E250" s="38"/>
      <c r="F250" s="38"/>
      <c r="G250" s="38"/>
      <c r="H250" s="38"/>
      <c r="I250" s="108"/>
    </row>
    <row r="251">
      <c r="A251" s="38"/>
      <c r="B251" s="38"/>
      <c r="C251" s="15"/>
      <c r="D251" s="15"/>
      <c r="E251" s="38"/>
      <c r="F251" s="38"/>
      <c r="G251" s="38"/>
      <c r="H251" s="38"/>
      <c r="I251" s="108"/>
    </row>
    <row r="252">
      <c r="A252" s="38"/>
      <c r="B252" s="38"/>
      <c r="C252" s="15"/>
      <c r="D252" s="15"/>
      <c r="E252" s="38"/>
      <c r="F252" s="38"/>
      <c r="G252" s="38"/>
      <c r="H252" s="38"/>
      <c r="I252" s="108"/>
    </row>
    <row r="253">
      <c r="A253" s="38"/>
      <c r="B253" s="38"/>
      <c r="C253" s="15"/>
      <c r="D253" s="15"/>
      <c r="E253" s="38"/>
      <c r="F253" s="38"/>
      <c r="G253" s="38"/>
      <c r="H253" s="38"/>
      <c r="I253" s="108"/>
    </row>
    <row r="254">
      <c r="A254" s="38"/>
      <c r="B254" s="38"/>
      <c r="C254" s="15"/>
      <c r="D254" s="15"/>
      <c r="E254" s="38"/>
      <c r="F254" s="38"/>
      <c r="G254" s="38"/>
      <c r="H254" s="38"/>
      <c r="I254" s="108"/>
    </row>
    <row r="255">
      <c r="A255" s="38"/>
      <c r="B255" s="38"/>
      <c r="C255" s="15"/>
      <c r="D255" s="15"/>
      <c r="E255" s="38"/>
      <c r="F255" s="38"/>
      <c r="G255" s="38"/>
      <c r="H255" s="38"/>
      <c r="I255" s="108"/>
    </row>
    <row r="256">
      <c r="A256" s="38"/>
      <c r="B256" s="38"/>
      <c r="C256" s="15"/>
      <c r="D256" s="15"/>
      <c r="E256" s="38"/>
      <c r="F256" s="38"/>
      <c r="G256" s="38"/>
      <c r="H256" s="38"/>
      <c r="I256" s="108"/>
    </row>
    <row r="257">
      <c r="A257" s="38"/>
      <c r="B257" s="38"/>
      <c r="C257" s="15"/>
      <c r="D257" s="15"/>
      <c r="E257" s="38"/>
      <c r="F257" s="38"/>
      <c r="G257" s="38"/>
      <c r="H257" s="38"/>
      <c r="I257" s="108"/>
    </row>
    <row r="258">
      <c r="A258" s="38"/>
      <c r="B258" s="38"/>
      <c r="C258" s="15"/>
      <c r="D258" s="15"/>
      <c r="E258" s="38"/>
      <c r="F258" s="38"/>
      <c r="G258" s="38"/>
      <c r="H258" s="38"/>
      <c r="I258" s="108"/>
    </row>
    <row r="259">
      <c r="A259" s="38"/>
      <c r="B259" s="38"/>
      <c r="C259" s="15"/>
      <c r="D259" s="15"/>
      <c r="E259" s="38"/>
      <c r="F259" s="38"/>
      <c r="G259" s="38"/>
      <c r="H259" s="38"/>
      <c r="I259" s="108"/>
    </row>
    <row r="260">
      <c r="A260" s="38"/>
      <c r="B260" s="38"/>
      <c r="C260" s="15"/>
      <c r="D260" s="15"/>
      <c r="E260" s="38"/>
      <c r="F260" s="38"/>
      <c r="G260" s="38"/>
      <c r="H260" s="38"/>
      <c r="I260" s="108"/>
    </row>
    <row r="261">
      <c r="A261" s="38"/>
      <c r="B261" s="38"/>
      <c r="C261" s="15"/>
      <c r="D261" s="15"/>
      <c r="E261" s="38"/>
      <c r="F261" s="38"/>
      <c r="G261" s="38"/>
      <c r="H261" s="38"/>
      <c r="I261" s="108"/>
    </row>
    <row r="262">
      <c r="A262" s="38"/>
      <c r="B262" s="38"/>
      <c r="C262" s="15"/>
      <c r="D262" s="15"/>
      <c r="E262" s="38"/>
      <c r="F262" s="38"/>
      <c r="G262" s="38"/>
      <c r="H262" s="38"/>
      <c r="I262" s="108"/>
    </row>
    <row r="263">
      <c r="A263" s="38"/>
      <c r="B263" s="38"/>
      <c r="C263" s="15"/>
      <c r="D263" s="15"/>
      <c r="E263" s="38"/>
      <c r="F263" s="38"/>
      <c r="G263" s="38"/>
      <c r="H263" s="38"/>
      <c r="I263" s="108"/>
    </row>
    <row r="264">
      <c r="A264" s="38"/>
      <c r="B264" s="38"/>
      <c r="C264" s="15"/>
      <c r="D264" s="15"/>
      <c r="E264" s="38"/>
      <c r="F264" s="38"/>
      <c r="G264" s="38"/>
      <c r="H264" s="38"/>
      <c r="I264" s="108"/>
    </row>
    <row r="265">
      <c r="A265" s="38"/>
      <c r="B265" s="38"/>
      <c r="C265" s="15"/>
      <c r="D265" s="15"/>
      <c r="E265" s="38"/>
      <c r="F265" s="38"/>
      <c r="G265" s="38"/>
      <c r="H265" s="38"/>
      <c r="I265" s="108"/>
    </row>
    <row r="266">
      <c r="A266" s="38"/>
      <c r="B266" s="38"/>
      <c r="C266" s="15"/>
      <c r="D266" s="15"/>
      <c r="E266" s="38"/>
      <c r="F266" s="38"/>
      <c r="G266" s="38"/>
      <c r="H266" s="38"/>
      <c r="I266" s="108"/>
    </row>
    <row r="267">
      <c r="A267" s="38"/>
      <c r="B267" s="38"/>
      <c r="C267" s="15"/>
      <c r="D267" s="15"/>
      <c r="E267" s="38"/>
      <c r="F267" s="38"/>
      <c r="G267" s="38"/>
      <c r="H267" s="38"/>
      <c r="I267" s="108"/>
    </row>
    <row r="268">
      <c r="A268" s="38"/>
      <c r="B268" s="38"/>
      <c r="C268" s="15"/>
      <c r="D268" s="15"/>
      <c r="E268" s="38"/>
      <c r="F268" s="38"/>
      <c r="G268" s="38"/>
      <c r="H268" s="38"/>
      <c r="I268" s="108"/>
    </row>
    <row r="269">
      <c r="A269" s="38"/>
      <c r="B269" s="38"/>
      <c r="C269" s="15"/>
      <c r="D269" s="15"/>
      <c r="E269" s="38"/>
      <c r="F269" s="38"/>
      <c r="G269" s="38"/>
      <c r="H269" s="38"/>
      <c r="I269" s="108"/>
    </row>
    <row r="270">
      <c r="A270" s="38"/>
      <c r="B270" s="38"/>
      <c r="C270" s="15"/>
      <c r="D270" s="15"/>
      <c r="E270" s="38"/>
      <c r="F270" s="38"/>
      <c r="G270" s="38"/>
      <c r="H270" s="38"/>
      <c r="I270" s="108"/>
    </row>
    <row r="271">
      <c r="A271" s="38"/>
      <c r="B271" s="38"/>
      <c r="C271" s="15"/>
      <c r="D271" s="15"/>
      <c r="E271" s="38"/>
      <c r="F271" s="38"/>
      <c r="G271" s="38"/>
      <c r="H271" s="38"/>
      <c r="I271" s="108"/>
    </row>
    <row r="272">
      <c r="A272" s="38"/>
      <c r="B272" s="38"/>
      <c r="C272" s="15"/>
      <c r="D272" s="15"/>
      <c r="E272" s="38"/>
      <c r="F272" s="38"/>
      <c r="G272" s="38"/>
      <c r="H272" s="38"/>
      <c r="I272" s="108"/>
    </row>
    <row r="273">
      <c r="A273" s="38"/>
      <c r="B273" s="38"/>
      <c r="C273" s="15"/>
      <c r="D273" s="15"/>
      <c r="E273" s="38"/>
      <c r="F273" s="38"/>
      <c r="G273" s="38"/>
      <c r="H273" s="38"/>
      <c r="I273" s="108"/>
    </row>
    <row r="274">
      <c r="A274" s="38"/>
      <c r="B274" s="38"/>
      <c r="C274" s="15"/>
      <c r="D274" s="15"/>
      <c r="E274" s="38"/>
      <c r="F274" s="38"/>
      <c r="G274" s="38"/>
      <c r="H274" s="38"/>
      <c r="I274" s="108"/>
    </row>
    <row r="275">
      <c r="A275" s="38"/>
      <c r="B275" s="38"/>
      <c r="C275" s="15"/>
      <c r="D275" s="15"/>
      <c r="E275" s="38"/>
      <c r="F275" s="38"/>
      <c r="G275" s="38"/>
      <c r="H275" s="38"/>
      <c r="I275" s="108"/>
    </row>
    <row r="276">
      <c r="A276" s="38"/>
      <c r="B276" s="38"/>
      <c r="C276" s="15"/>
      <c r="D276" s="15"/>
      <c r="E276" s="38"/>
      <c r="F276" s="38"/>
      <c r="G276" s="38"/>
      <c r="H276" s="38"/>
      <c r="I276" s="108"/>
    </row>
    <row r="277">
      <c r="A277" s="38"/>
      <c r="B277" s="38"/>
      <c r="C277" s="15"/>
      <c r="D277" s="15"/>
      <c r="E277" s="38"/>
      <c r="F277" s="38"/>
      <c r="G277" s="38"/>
      <c r="H277" s="38"/>
      <c r="I277" s="108"/>
    </row>
    <row r="278">
      <c r="A278" s="38"/>
      <c r="B278" s="38"/>
      <c r="C278" s="15"/>
      <c r="D278" s="15"/>
      <c r="E278" s="38"/>
      <c r="F278" s="38"/>
      <c r="G278" s="38"/>
      <c r="H278" s="38"/>
      <c r="I278" s="108"/>
    </row>
    <row r="279">
      <c r="A279" s="38"/>
      <c r="B279" s="38"/>
      <c r="C279" s="15"/>
      <c r="D279" s="15"/>
      <c r="E279" s="38"/>
      <c r="F279" s="38"/>
      <c r="G279" s="38"/>
      <c r="H279" s="38"/>
      <c r="I279" s="108"/>
    </row>
    <row r="280">
      <c r="A280" s="38"/>
      <c r="B280" s="38"/>
      <c r="C280" s="15"/>
      <c r="D280" s="15"/>
      <c r="E280" s="38"/>
      <c r="F280" s="38"/>
      <c r="G280" s="38"/>
      <c r="H280" s="38"/>
      <c r="I280" s="108"/>
    </row>
    <row r="281">
      <c r="A281" s="38"/>
      <c r="B281" s="38"/>
      <c r="C281" s="15"/>
      <c r="D281" s="15"/>
      <c r="E281" s="38"/>
      <c r="F281" s="38"/>
      <c r="G281" s="38"/>
      <c r="H281" s="38"/>
      <c r="I281" s="108"/>
    </row>
    <row r="282">
      <c r="A282" s="38"/>
      <c r="B282" s="38"/>
      <c r="C282" s="15"/>
      <c r="D282" s="15"/>
      <c r="E282" s="38"/>
      <c r="F282" s="38"/>
      <c r="G282" s="38"/>
      <c r="H282" s="38"/>
      <c r="I282" s="108"/>
    </row>
    <row r="283">
      <c r="A283" s="38"/>
      <c r="B283" s="38"/>
      <c r="C283" s="15"/>
      <c r="D283" s="15"/>
      <c r="E283" s="38"/>
      <c r="F283" s="38"/>
      <c r="G283" s="38"/>
      <c r="H283" s="38"/>
      <c r="I283" s="108"/>
    </row>
    <row r="284">
      <c r="A284" s="38"/>
      <c r="B284" s="38"/>
      <c r="C284" s="15"/>
      <c r="D284" s="15"/>
      <c r="E284" s="38"/>
      <c r="F284" s="38"/>
      <c r="G284" s="38"/>
      <c r="H284" s="38"/>
      <c r="I284" s="108"/>
    </row>
    <row r="285">
      <c r="A285" s="38"/>
      <c r="B285" s="38"/>
      <c r="C285" s="15"/>
      <c r="D285" s="15"/>
      <c r="E285" s="38"/>
      <c r="F285" s="38"/>
      <c r="G285" s="38"/>
      <c r="H285" s="38"/>
      <c r="I285" s="108"/>
    </row>
    <row r="286">
      <c r="A286" s="38"/>
      <c r="B286" s="38"/>
      <c r="C286" s="15"/>
      <c r="D286" s="15"/>
      <c r="E286" s="38"/>
      <c r="F286" s="38"/>
      <c r="G286" s="38"/>
      <c r="H286" s="38"/>
      <c r="I286" s="108"/>
    </row>
    <row r="287">
      <c r="A287" s="38"/>
      <c r="B287" s="38"/>
      <c r="C287" s="15"/>
      <c r="D287" s="15"/>
      <c r="E287" s="38"/>
      <c r="F287" s="38"/>
      <c r="G287" s="38"/>
      <c r="H287" s="38"/>
      <c r="I287" s="108"/>
    </row>
    <row r="288">
      <c r="A288" s="38"/>
      <c r="B288" s="38"/>
      <c r="C288" s="15"/>
      <c r="D288" s="15"/>
      <c r="E288" s="38"/>
      <c r="F288" s="38"/>
      <c r="G288" s="38"/>
      <c r="H288" s="38"/>
      <c r="I288" s="108"/>
    </row>
    <row r="289">
      <c r="A289" s="38"/>
      <c r="B289" s="38"/>
      <c r="C289" s="15"/>
      <c r="D289" s="15"/>
      <c r="E289" s="38"/>
      <c r="F289" s="38"/>
      <c r="G289" s="38"/>
      <c r="H289" s="38"/>
      <c r="I289" s="108"/>
    </row>
    <row r="290">
      <c r="A290" s="38"/>
      <c r="B290" s="38"/>
      <c r="C290" s="15"/>
      <c r="D290" s="15"/>
      <c r="E290" s="38"/>
      <c r="F290" s="38"/>
      <c r="G290" s="38"/>
      <c r="H290" s="38"/>
      <c r="I290" s="108"/>
    </row>
    <row r="291">
      <c r="A291" s="38"/>
      <c r="B291" s="38"/>
      <c r="C291" s="15"/>
      <c r="D291" s="15"/>
      <c r="E291" s="38"/>
      <c r="F291" s="38"/>
      <c r="G291" s="38"/>
      <c r="H291" s="38"/>
      <c r="I291" s="108"/>
    </row>
    <row r="292">
      <c r="A292" s="38"/>
      <c r="B292" s="38"/>
      <c r="C292" s="15"/>
      <c r="D292" s="15"/>
      <c r="E292" s="38"/>
      <c r="F292" s="38"/>
      <c r="G292" s="38"/>
      <c r="H292" s="38"/>
      <c r="I292" s="108"/>
    </row>
    <row r="293">
      <c r="A293" s="38"/>
      <c r="B293" s="38"/>
      <c r="C293" s="15"/>
      <c r="D293" s="15"/>
      <c r="E293" s="38"/>
      <c r="F293" s="38"/>
      <c r="G293" s="38"/>
      <c r="H293" s="38"/>
      <c r="I293" s="108"/>
    </row>
    <row r="294">
      <c r="A294" s="38"/>
      <c r="B294" s="38"/>
      <c r="C294" s="15"/>
      <c r="D294" s="15"/>
      <c r="E294" s="38"/>
      <c r="F294" s="38"/>
      <c r="G294" s="38"/>
      <c r="H294" s="38"/>
      <c r="I294" s="108"/>
    </row>
    <row r="295">
      <c r="A295" s="38"/>
      <c r="B295" s="38"/>
      <c r="C295" s="15"/>
      <c r="D295" s="15"/>
      <c r="E295" s="38"/>
      <c r="F295" s="38"/>
      <c r="G295" s="38"/>
      <c r="H295" s="38"/>
      <c r="I295" s="108"/>
    </row>
    <row r="296">
      <c r="A296" s="38"/>
      <c r="B296" s="38"/>
      <c r="C296" s="15"/>
      <c r="D296" s="15"/>
      <c r="E296" s="38"/>
      <c r="F296" s="38"/>
      <c r="G296" s="38"/>
      <c r="H296" s="38"/>
      <c r="I296" s="108"/>
    </row>
    <row r="297">
      <c r="A297" s="38"/>
      <c r="B297" s="38"/>
      <c r="C297" s="15"/>
      <c r="D297" s="15"/>
      <c r="E297" s="38"/>
      <c r="F297" s="38"/>
      <c r="G297" s="38"/>
      <c r="H297" s="38"/>
      <c r="I297" s="108"/>
    </row>
    <row r="298">
      <c r="A298" s="38"/>
      <c r="B298" s="38"/>
      <c r="C298" s="15"/>
      <c r="D298" s="15"/>
      <c r="E298" s="38"/>
      <c r="F298" s="38"/>
      <c r="G298" s="38"/>
      <c r="H298" s="38"/>
      <c r="I298" s="108"/>
    </row>
    <row r="299">
      <c r="A299" s="38"/>
      <c r="B299" s="38"/>
      <c r="C299" s="15"/>
      <c r="D299" s="15"/>
      <c r="E299" s="38"/>
      <c r="F299" s="38"/>
      <c r="G299" s="38"/>
      <c r="H299" s="38"/>
      <c r="I299" s="108"/>
    </row>
    <row r="300">
      <c r="A300" s="38"/>
      <c r="B300" s="38"/>
      <c r="C300" s="15"/>
      <c r="D300" s="15"/>
      <c r="E300" s="38"/>
      <c r="F300" s="38"/>
      <c r="G300" s="38"/>
      <c r="H300" s="38"/>
      <c r="I300" s="108"/>
    </row>
    <row r="301">
      <c r="A301" s="38"/>
      <c r="B301" s="38"/>
      <c r="C301" s="15"/>
      <c r="D301" s="15"/>
      <c r="E301" s="38"/>
      <c r="F301" s="38"/>
      <c r="G301" s="38"/>
      <c r="H301" s="38"/>
      <c r="I301" s="108"/>
    </row>
    <row r="302">
      <c r="A302" s="38"/>
      <c r="B302" s="38"/>
      <c r="C302" s="15"/>
      <c r="D302" s="15"/>
      <c r="E302" s="38"/>
      <c r="F302" s="38"/>
      <c r="G302" s="38"/>
      <c r="H302" s="38"/>
      <c r="I302" s="108"/>
    </row>
    <row r="303">
      <c r="A303" s="38"/>
      <c r="B303" s="38"/>
      <c r="C303" s="15"/>
      <c r="D303" s="15"/>
      <c r="E303" s="38"/>
      <c r="F303" s="38"/>
      <c r="G303" s="38"/>
      <c r="H303" s="38"/>
      <c r="I303" s="108"/>
    </row>
    <row r="304">
      <c r="A304" s="38"/>
      <c r="B304" s="38"/>
      <c r="C304" s="15"/>
      <c r="D304" s="15"/>
      <c r="E304" s="38"/>
      <c r="F304" s="38"/>
      <c r="G304" s="38"/>
      <c r="H304" s="38"/>
      <c r="I304" s="108"/>
    </row>
    <row r="305">
      <c r="A305" s="38"/>
      <c r="B305" s="38"/>
      <c r="C305" s="15"/>
      <c r="D305" s="15"/>
      <c r="E305" s="38"/>
      <c r="F305" s="38"/>
      <c r="G305" s="38"/>
      <c r="H305" s="38"/>
      <c r="I305" s="108"/>
    </row>
    <row r="306">
      <c r="A306" s="38"/>
      <c r="B306" s="38"/>
      <c r="C306" s="15"/>
      <c r="D306" s="15"/>
      <c r="E306" s="38"/>
      <c r="F306" s="38"/>
      <c r="G306" s="38"/>
      <c r="H306" s="38"/>
      <c r="I306" s="108"/>
    </row>
    <row r="307">
      <c r="A307" s="38"/>
      <c r="B307" s="38"/>
      <c r="C307" s="15"/>
      <c r="D307" s="15"/>
      <c r="E307" s="38"/>
      <c r="F307" s="38"/>
      <c r="G307" s="38"/>
      <c r="H307" s="38"/>
      <c r="I307" s="108"/>
    </row>
    <row r="308">
      <c r="A308" s="38"/>
      <c r="B308" s="38"/>
      <c r="C308" s="15"/>
      <c r="D308" s="15"/>
      <c r="E308" s="38"/>
      <c r="F308" s="38"/>
      <c r="G308" s="38"/>
      <c r="H308" s="38"/>
      <c r="I308" s="108"/>
    </row>
    <row r="309">
      <c r="A309" s="38"/>
      <c r="B309" s="38"/>
      <c r="C309" s="15"/>
      <c r="D309" s="15"/>
      <c r="E309" s="38"/>
      <c r="F309" s="38"/>
      <c r="G309" s="38"/>
      <c r="H309" s="38"/>
      <c r="I309" s="108"/>
    </row>
    <row r="310">
      <c r="A310" s="38"/>
      <c r="B310" s="38"/>
      <c r="C310" s="15"/>
      <c r="D310" s="15"/>
      <c r="E310" s="38"/>
      <c r="F310" s="38"/>
      <c r="G310" s="38"/>
      <c r="H310" s="38"/>
      <c r="I310" s="108"/>
    </row>
    <row r="311">
      <c r="A311" s="38"/>
      <c r="B311" s="38"/>
      <c r="C311" s="15"/>
      <c r="D311" s="15"/>
      <c r="E311" s="38"/>
      <c r="F311" s="38"/>
      <c r="G311" s="38"/>
      <c r="H311" s="38"/>
      <c r="I311" s="108"/>
    </row>
    <row r="312">
      <c r="A312" s="38"/>
      <c r="B312" s="38"/>
      <c r="C312" s="15"/>
      <c r="D312" s="15"/>
      <c r="E312" s="38"/>
      <c r="F312" s="38"/>
      <c r="G312" s="38"/>
      <c r="H312" s="38"/>
      <c r="I312" s="108"/>
    </row>
    <row r="313">
      <c r="A313" s="38"/>
      <c r="B313" s="38"/>
      <c r="C313" s="15"/>
      <c r="D313" s="15"/>
      <c r="E313" s="38"/>
      <c r="F313" s="38"/>
      <c r="G313" s="38"/>
      <c r="H313" s="38"/>
      <c r="I313" s="108"/>
    </row>
    <row r="314">
      <c r="A314" s="38"/>
      <c r="B314" s="38"/>
      <c r="C314" s="15"/>
      <c r="D314" s="15"/>
      <c r="E314" s="38"/>
      <c r="F314" s="38"/>
      <c r="G314" s="38"/>
      <c r="H314" s="38"/>
      <c r="I314" s="108"/>
    </row>
    <row r="315">
      <c r="A315" s="38"/>
      <c r="B315" s="38"/>
      <c r="C315" s="15"/>
      <c r="D315" s="15"/>
      <c r="E315" s="38"/>
      <c r="F315" s="38"/>
      <c r="G315" s="38"/>
      <c r="H315" s="38"/>
      <c r="I315" s="108"/>
    </row>
    <row r="316">
      <c r="A316" s="38"/>
      <c r="B316" s="38"/>
      <c r="C316" s="15"/>
      <c r="D316" s="15"/>
      <c r="E316" s="38"/>
      <c r="F316" s="38"/>
      <c r="G316" s="38"/>
      <c r="H316" s="38"/>
      <c r="I316" s="108"/>
    </row>
    <row r="317">
      <c r="A317" s="38"/>
      <c r="B317" s="38"/>
      <c r="C317" s="15"/>
      <c r="D317" s="15"/>
      <c r="E317" s="38"/>
      <c r="F317" s="38"/>
      <c r="G317" s="38"/>
      <c r="H317" s="38"/>
      <c r="I317" s="108"/>
    </row>
    <row r="318">
      <c r="A318" s="38"/>
      <c r="B318" s="38"/>
      <c r="C318" s="15"/>
      <c r="D318" s="15"/>
      <c r="E318" s="38"/>
      <c r="F318" s="38"/>
      <c r="G318" s="38"/>
      <c r="H318" s="38"/>
      <c r="I318" s="108"/>
    </row>
    <row r="319">
      <c r="A319" s="38"/>
      <c r="B319" s="38"/>
      <c r="C319" s="15"/>
      <c r="D319" s="15"/>
      <c r="E319" s="38"/>
      <c r="F319" s="38"/>
      <c r="G319" s="38"/>
      <c r="H319" s="38"/>
      <c r="I319" s="108"/>
    </row>
    <row r="320">
      <c r="A320" s="38"/>
      <c r="B320" s="38"/>
      <c r="C320" s="15"/>
      <c r="D320" s="15"/>
      <c r="E320" s="38"/>
      <c r="F320" s="38"/>
      <c r="G320" s="38"/>
      <c r="H320" s="38"/>
      <c r="I320" s="108"/>
    </row>
    <row r="321">
      <c r="A321" s="38"/>
      <c r="B321" s="38"/>
      <c r="C321" s="15"/>
      <c r="D321" s="15"/>
      <c r="E321" s="38"/>
      <c r="F321" s="38"/>
      <c r="G321" s="38"/>
      <c r="H321" s="38"/>
      <c r="I321" s="108"/>
    </row>
    <row r="322">
      <c r="A322" s="38"/>
      <c r="B322" s="38"/>
      <c r="C322" s="15"/>
      <c r="D322" s="15"/>
      <c r="E322" s="38"/>
      <c r="F322" s="38"/>
      <c r="G322" s="38"/>
      <c r="H322" s="38"/>
      <c r="I322" s="108"/>
    </row>
    <row r="323">
      <c r="A323" s="38"/>
      <c r="B323" s="38"/>
      <c r="C323" s="15"/>
      <c r="D323" s="15"/>
      <c r="E323" s="38"/>
      <c r="F323" s="38"/>
      <c r="G323" s="38"/>
      <c r="H323" s="38"/>
      <c r="I323" s="108"/>
    </row>
    <row r="324">
      <c r="A324" s="38"/>
      <c r="B324" s="38"/>
      <c r="C324" s="15"/>
      <c r="D324" s="15"/>
      <c r="E324" s="38"/>
      <c r="F324" s="38"/>
      <c r="G324" s="38"/>
      <c r="H324" s="38"/>
      <c r="I324" s="108"/>
    </row>
    <row r="325">
      <c r="A325" s="38"/>
      <c r="B325" s="38"/>
      <c r="C325" s="15"/>
      <c r="D325" s="15"/>
      <c r="E325" s="38"/>
      <c r="F325" s="38"/>
      <c r="G325" s="38"/>
      <c r="H325" s="38"/>
      <c r="I325" s="108"/>
    </row>
    <row r="326">
      <c r="A326" s="38"/>
      <c r="B326" s="38"/>
      <c r="C326" s="15"/>
      <c r="D326" s="15"/>
      <c r="E326" s="38"/>
      <c r="F326" s="38"/>
      <c r="G326" s="38"/>
      <c r="H326" s="38"/>
      <c r="I326" s="108"/>
    </row>
    <row r="327">
      <c r="A327" s="38"/>
      <c r="B327" s="38"/>
      <c r="C327" s="15"/>
      <c r="D327" s="15"/>
      <c r="E327" s="38"/>
      <c r="F327" s="38"/>
      <c r="G327" s="38"/>
      <c r="H327" s="38"/>
      <c r="I327" s="108"/>
    </row>
    <row r="328">
      <c r="A328" s="38"/>
      <c r="B328" s="38"/>
      <c r="C328" s="15"/>
      <c r="D328" s="15"/>
      <c r="E328" s="38"/>
      <c r="F328" s="38"/>
      <c r="G328" s="38"/>
      <c r="H328" s="38"/>
      <c r="I328" s="108"/>
    </row>
    <row r="329">
      <c r="A329" s="38"/>
      <c r="B329" s="38"/>
      <c r="C329" s="15"/>
      <c r="D329" s="15"/>
      <c r="E329" s="38"/>
      <c r="F329" s="38"/>
      <c r="G329" s="38"/>
      <c r="H329" s="38"/>
      <c r="I329" s="108"/>
    </row>
    <row r="330">
      <c r="A330" s="38"/>
      <c r="B330" s="38"/>
      <c r="C330" s="15"/>
      <c r="D330" s="15"/>
      <c r="E330" s="38"/>
      <c r="F330" s="38"/>
      <c r="G330" s="38"/>
      <c r="H330" s="38"/>
      <c r="I330" s="108"/>
    </row>
    <row r="331">
      <c r="A331" s="38"/>
      <c r="B331" s="38"/>
      <c r="C331" s="15"/>
      <c r="D331" s="15"/>
      <c r="E331" s="38"/>
      <c r="F331" s="38"/>
      <c r="G331" s="38"/>
      <c r="H331" s="38"/>
      <c r="I331" s="108"/>
    </row>
    <row r="332">
      <c r="A332" s="38"/>
      <c r="B332" s="38"/>
      <c r="C332" s="15"/>
      <c r="D332" s="15"/>
      <c r="E332" s="38"/>
      <c r="F332" s="38"/>
      <c r="G332" s="38"/>
      <c r="H332" s="38"/>
      <c r="I332" s="108"/>
    </row>
    <row r="333">
      <c r="A333" s="38"/>
      <c r="B333" s="38"/>
      <c r="C333" s="15"/>
      <c r="D333" s="15"/>
      <c r="E333" s="38"/>
      <c r="F333" s="38"/>
      <c r="G333" s="38"/>
      <c r="H333" s="38"/>
      <c r="I333" s="108"/>
    </row>
    <row r="334">
      <c r="A334" s="38"/>
      <c r="B334" s="38"/>
      <c r="C334" s="15"/>
      <c r="D334" s="15"/>
      <c r="E334" s="38"/>
      <c r="F334" s="38"/>
      <c r="G334" s="38"/>
      <c r="H334" s="38"/>
      <c r="I334" s="108"/>
    </row>
    <row r="335">
      <c r="A335" s="38"/>
      <c r="B335" s="38"/>
      <c r="C335" s="15"/>
      <c r="D335" s="15"/>
      <c r="E335" s="38"/>
      <c r="F335" s="38"/>
      <c r="G335" s="38"/>
      <c r="H335" s="38"/>
      <c r="I335" s="108"/>
    </row>
    <row r="336">
      <c r="A336" s="38"/>
      <c r="B336" s="38"/>
      <c r="C336" s="15"/>
      <c r="D336" s="15"/>
      <c r="E336" s="38"/>
      <c r="F336" s="38"/>
      <c r="G336" s="38"/>
      <c r="H336" s="38"/>
      <c r="I336" s="108"/>
    </row>
    <row r="337">
      <c r="A337" s="38"/>
      <c r="B337" s="38"/>
      <c r="C337" s="15"/>
      <c r="D337" s="15"/>
      <c r="E337" s="38"/>
      <c r="F337" s="38"/>
      <c r="G337" s="38"/>
      <c r="H337" s="38"/>
      <c r="I337" s="108"/>
    </row>
    <row r="338">
      <c r="A338" s="38"/>
      <c r="B338" s="38"/>
      <c r="C338" s="15"/>
      <c r="D338" s="15"/>
      <c r="E338" s="38"/>
      <c r="F338" s="38"/>
      <c r="G338" s="38"/>
      <c r="H338" s="38"/>
      <c r="I338" s="108"/>
    </row>
    <row r="339">
      <c r="A339" s="38"/>
      <c r="B339" s="38"/>
      <c r="C339" s="15"/>
      <c r="D339" s="15"/>
      <c r="E339" s="38"/>
      <c r="F339" s="38"/>
      <c r="G339" s="38"/>
      <c r="H339" s="38"/>
      <c r="I339" s="108"/>
    </row>
    <row r="340">
      <c r="A340" s="38"/>
      <c r="B340" s="38"/>
      <c r="C340" s="15"/>
      <c r="D340" s="15"/>
      <c r="E340" s="38"/>
      <c r="F340" s="38"/>
      <c r="G340" s="38"/>
      <c r="H340" s="38"/>
      <c r="I340" s="108"/>
    </row>
    <row r="341">
      <c r="A341" s="38"/>
      <c r="B341" s="38"/>
      <c r="C341" s="15"/>
      <c r="D341" s="15"/>
      <c r="E341" s="38"/>
      <c r="F341" s="38"/>
      <c r="G341" s="38"/>
      <c r="H341" s="38"/>
      <c r="I341" s="108"/>
    </row>
    <row r="342">
      <c r="A342" s="38"/>
      <c r="B342" s="38"/>
      <c r="C342" s="15"/>
      <c r="D342" s="15"/>
      <c r="E342" s="38"/>
      <c r="F342" s="38"/>
      <c r="G342" s="38"/>
      <c r="H342" s="38"/>
      <c r="I342" s="108"/>
    </row>
    <row r="343">
      <c r="A343" s="38"/>
      <c r="B343" s="38"/>
      <c r="C343" s="15"/>
      <c r="D343" s="15"/>
      <c r="E343" s="38"/>
      <c r="F343" s="38"/>
      <c r="G343" s="38"/>
      <c r="H343" s="38"/>
      <c r="I343" s="108"/>
    </row>
    <row r="344">
      <c r="A344" s="38"/>
      <c r="B344" s="38"/>
      <c r="C344" s="15"/>
      <c r="D344" s="15"/>
      <c r="E344" s="38"/>
      <c r="F344" s="38"/>
      <c r="G344" s="38"/>
      <c r="H344" s="38"/>
      <c r="I344" s="108"/>
    </row>
    <row r="345">
      <c r="A345" s="38"/>
      <c r="B345" s="38"/>
      <c r="C345" s="15"/>
      <c r="D345" s="15"/>
      <c r="E345" s="38"/>
      <c r="F345" s="38"/>
      <c r="G345" s="38"/>
      <c r="H345" s="38"/>
      <c r="I345" s="108"/>
    </row>
    <row r="346">
      <c r="A346" s="38"/>
      <c r="B346" s="38"/>
      <c r="C346" s="15"/>
      <c r="D346" s="15"/>
      <c r="E346" s="38"/>
      <c r="F346" s="38"/>
      <c r="G346" s="38"/>
      <c r="H346" s="38"/>
      <c r="I346" s="108"/>
    </row>
    <row r="347">
      <c r="A347" s="38"/>
      <c r="B347" s="38"/>
      <c r="C347" s="15"/>
      <c r="D347" s="15"/>
      <c r="E347" s="38"/>
      <c r="F347" s="38"/>
      <c r="G347" s="38"/>
      <c r="H347" s="38"/>
      <c r="I347" s="108"/>
    </row>
    <row r="348">
      <c r="A348" s="38"/>
      <c r="B348" s="38"/>
      <c r="C348" s="15"/>
      <c r="D348" s="15"/>
      <c r="E348" s="38"/>
      <c r="F348" s="38"/>
      <c r="G348" s="38"/>
      <c r="H348" s="38"/>
      <c r="I348" s="108"/>
    </row>
    <row r="349">
      <c r="A349" s="38"/>
      <c r="B349" s="38"/>
      <c r="C349" s="15"/>
      <c r="D349" s="15"/>
      <c r="E349" s="38"/>
      <c r="F349" s="38"/>
      <c r="G349" s="38"/>
      <c r="H349" s="38"/>
      <c r="I349" s="108"/>
    </row>
    <row r="350">
      <c r="A350" s="38"/>
      <c r="B350" s="38"/>
      <c r="C350" s="15"/>
      <c r="D350" s="15"/>
      <c r="E350" s="38"/>
      <c r="F350" s="38"/>
      <c r="G350" s="38"/>
      <c r="H350" s="38"/>
      <c r="I350" s="108"/>
    </row>
    <row r="351">
      <c r="A351" s="38"/>
      <c r="B351" s="38"/>
      <c r="C351" s="15"/>
      <c r="D351" s="15"/>
      <c r="E351" s="38"/>
      <c r="F351" s="38"/>
      <c r="G351" s="38"/>
      <c r="H351" s="38"/>
      <c r="I351" s="108"/>
    </row>
    <row r="352">
      <c r="A352" s="38"/>
      <c r="B352" s="38"/>
      <c r="C352" s="15"/>
      <c r="D352" s="15"/>
      <c r="E352" s="38"/>
      <c r="F352" s="38"/>
      <c r="G352" s="38"/>
      <c r="H352" s="38"/>
      <c r="I352" s="108"/>
    </row>
    <row r="353">
      <c r="A353" s="38"/>
      <c r="B353" s="38"/>
      <c r="C353" s="15"/>
      <c r="D353" s="15"/>
      <c r="E353" s="38"/>
      <c r="F353" s="38"/>
      <c r="G353" s="38"/>
      <c r="H353" s="38"/>
      <c r="I353" s="108"/>
    </row>
    <row r="354">
      <c r="A354" s="38"/>
      <c r="B354" s="38"/>
      <c r="C354" s="15"/>
      <c r="D354" s="15"/>
      <c r="E354" s="38"/>
      <c r="F354" s="38"/>
      <c r="G354" s="38"/>
      <c r="H354" s="38"/>
      <c r="I354" s="108"/>
    </row>
    <row r="355">
      <c r="A355" s="38"/>
      <c r="B355" s="38"/>
      <c r="C355" s="15"/>
      <c r="D355" s="15"/>
      <c r="E355" s="38"/>
      <c r="F355" s="38"/>
      <c r="G355" s="38"/>
      <c r="H355" s="38"/>
      <c r="I355" s="108"/>
    </row>
    <row r="356">
      <c r="A356" s="38"/>
      <c r="B356" s="38"/>
      <c r="C356" s="15"/>
      <c r="D356" s="15"/>
      <c r="E356" s="38"/>
      <c r="F356" s="38"/>
      <c r="G356" s="38"/>
      <c r="H356" s="38"/>
      <c r="I356" s="108"/>
    </row>
    <row r="357">
      <c r="A357" s="38"/>
      <c r="B357" s="38"/>
      <c r="C357" s="15"/>
      <c r="D357" s="15"/>
      <c r="E357" s="38"/>
      <c r="F357" s="38"/>
      <c r="G357" s="38"/>
      <c r="H357" s="38"/>
      <c r="I357" s="108"/>
    </row>
    <row r="358">
      <c r="A358" s="38"/>
      <c r="B358" s="38"/>
      <c r="C358" s="15"/>
      <c r="D358" s="15"/>
      <c r="E358" s="38"/>
      <c r="F358" s="38"/>
      <c r="G358" s="38"/>
      <c r="H358" s="38"/>
      <c r="I358" s="108"/>
    </row>
    <row r="359">
      <c r="A359" s="38"/>
      <c r="B359" s="38"/>
      <c r="C359" s="15"/>
      <c r="D359" s="15"/>
      <c r="E359" s="38"/>
      <c r="F359" s="38"/>
      <c r="G359" s="38"/>
      <c r="H359" s="38"/>
      <c r="I359" s="108"/>
    </row>
    <row r="360">
      <c r="A360" s="38"/>
      <c r="B360" s="38"/>
      <c r="C360" s="15"/>
      <c r="D360" s="15"/>
      <c r="E360" s="38"/>
      <c r="F360" s="38"/>
      <c r="G360" s="38"/>
      <c r="H360" s="38"/>
      <c r="I360" s="108"/>
    </row>
    <row r="361">
      <c r="A361" s="38"/>
      <c r="B361" s="38"/>
      <c r="C361" s="15"/>
      <c r="D361" s="15"/>
      <c r="E361" s="38"/>
      <c r="F361" s="38"/>
      <c r="G361" s="38"/>
      <c r="H361" s="38"/>
      <c r="I361" s="108"/>
    </row>
    <row r="362">
      <c r="A362" s="38"/>
      <c r="B362" s="38"/>
      <c r="C362" s="15"/>
      <c r="D362" s="15"/>
      <c r="E362" s="38"/>
      <c r="F362" s="38"/>
      <c r="G362" s="38"/>
      <c r="H362" s="38"/>
      <c r="I362" s="108"/>
    </row>
    <row r="363">
      <c r="A363" s="38"/>
      <c r="B363" s="38"/>
      <c r="C363" s="15"/>
      <c r="D363" s="15"/>
      <c r="E363" s="38"/>
      <c r="F363" s="38"/>
      <c r="G363" s="38"/>
      <c r="H363" s="38"/>
      <c r="I363" s="108"/>
    </row>
    <row r="364">
      <c r="A364" s="38"/>
      <c r="B364" s="38"/>
      <c r="C364" s="15"/>
      <c r="D364" s="15"/>
      <c r="E364" s="38"/>
      <c r="F364" s="38"/>
      <c r="G364" s="38"/>
      <c r="H364" s="38"/>
      <c r="I364" s="108"/>
    </row>
    <row r="365">
      <c r="A365" s="38"/>
      <c r="B365" s="38"/>
      <c r="C365" s="15"/>
      <c r="D365" s="15"/>
      <c r="E365" s="38"/>
      <c r="F365" s="38"/>
      <c r="G365" s="38"/>
      <c r="H365" s="38"/>
      <c r="I365" s="108"/>
    </row>
    <row r="366">
      <c r="A366" s="38"/>
      <c r="B366" s="38"/>
      <c r="C366" s="15"/>
      <c r="D366" s="15"/>
      <c r="E366" s="38"/>
      <c r="F366" s="38"/>
      <c r="G366" s="38"/>
      <c r="H366" s="38"/>
      <c r="I366" s="108"/>
    </row>
    <row r="367">
      <c r="A367" s="38"/>
      <c r="B367" s="38"/>
      <c r="C367" s="15"/>
      <c r="D367" s="15"/>
      <c r="E367" s="38"/>
      <c r="F367" s="38"/>
      <c r="G367" s="38"/>
      <c r="H367" s="38"/>
      <c r="I367" s="108"/>
    </row>
    <row r="368">
      <c r="A368" s="38"/>
      <c r="B368" s="38"/>
      <c r="C368" s="15"/>
      <c r="D368" s="15"/>
      <c r="E368" s="38"/>
      <c r="F368" s="38"/>
      <c r="G368" s="38"/>
      <c r="H368" s="38"/>
      <c r="I368" s="108"/>
    </row>
    <row r="369">
      <c r="A369" s="38"/>
      <c r="B369" s="38"/>
      <c r="C369" s="15"/>
      <c r="D369" s="15"/>
      <c r="E369" s="38"/>
      <c r="F369" s="38"/>
      <c r="G369" s="38"/>
      <c r="H369" s="38"/>
      <c r="I369" s="108"/>
    </row>
    <row r="370">
      <c r="A370" s="38"/>
      <c r="B370" s="38"/>
      <c r="C370" s="15"/>
      <c r="D370" s="15"/>
      <c r="E370" s="38"/>
      <c r="F370" s="38"/>
      <c r="G370" s="38"/>
      <c r="H370" s="38"/>
      <c r="I370" s="108"/>
    </row>
    <row r="371">
      <c r="A371" s="38"/>
      <c r="B371" s="38"/>
      <c r="C371" s="15"/>
      <c r="D371" s="15"/>
      <c r="E371" s="38"/>
      <c r="F371" s="38"/>
      <c r="G371" s="38"/>
      <c r="H371" s="38"/>
      <c r="I371" s="108"/>
    </row>
    <row r="372">
      <c r="A372" s="38"/>
      <c r="B372" s="38"/>
      <c r="C372" s="15"/>
      <c r="D372" s="15"/>
      <c r="E372" s="38"/>
      <c r="F372" s="38"/>
      <c r="G372" s="38"/>
      <c r="H372" s="38"/>
      <c r="I372" s="108"/>
    </row>
    <row r="373">
      <c r="A373" s="38"/>
      <c r="B373" s="38"/>
      <c r="C373" s="15"/>
      <c r="D373" s="15"/>
      <c r="E373" s="38"/>
      <c r="F373" s="38"/>
      <c r="G373" s="38"/>
      <c r="H373" s="38"/>
      <c r="I373" s="108"/>
    </row>
    <row r="374">
      <c r="A374" s="38"/>
      <c r="B374" s="38"/>
      <c r="C374" s="15"/>
      <c r="D374" s="15"/>
      <c r="E374" s="38"/>
      <c r="F374" s="38"/>
      <c r="G374" s="38"/>
      <c r="H374" s="38"/>
      <c r="I374" s="108"/>
    </row>
    <row r="375">
      <c r="A375" s="38"/>
      <c r="B375" s="38"/>
      <c r="C375" s="15"/>
      <c r="D375" s="15"/>
      <c r="E375" s="38"/>
      <c r="F375" s="38"/>
      <c r="G375" s="38"/>
      <c r="H375" s="38"/>
      <c r="I375" s="108"/>
    </row>
    <row r="376">
      <c r="A376" s="38"/>
      <c r="B376" s="38"/>
      <c r="C376" s="15"/>
      <c r="D376" s="15"/>
      <c r="E376" s="38"/>
      <c r="F376" s="38"/>
      <c r="G376" s="38"/>
      <c r="H376" s="38"/>
      <c r="I376" s="108"/>
    </row>
    <row r="377">
      <c r="A377" s="38"/>
      <c r="B377" s="38"/>
      <c r="C377" s="15"/>
      <c r="D377" s="15"/>
      <c r="E377" s="38"/>
      <c r="F377" s="38"/>
      <c r="G377" s="38"/>
      <c r="H377" s="38"/>
      <c r="I377" s="108"/>
    </row>
    <row r="378">
      <c r="A378" s="38"/>
      <c r="B378" s="38"/>
      <c r="C378" s="15"/>
      <c r="D378" s="15"/>
      <c r="E378" s="38"/>
      <c r="F378" s="38"/>
      <c r="G378" s="38"/>
      <c r="H378" s="38"/>
      <c r="I378" s="108"/>
    </row>
    <row r="379">
      <c r="A379" s="38"/>
      <c r="B379" s="38"/>
      <c r="C379" s="15"/>
      <c r="D379" s="15"/>
      <c r="E379" s="38"/>
      <c r="F379" s="38"/>
      <c r="G379" s="38"/>
      <c r="H379" s="38"/>
      <c r="I379" s="108"/>
    </row>
    <row r="380">
      <c r="A380" s="38"/>
      <c r="B380" s="38"/>
      <c r="C380" s="15"/>
      <c r="D380" s="15"/>
      <c r="E380" s="38"/>
      <c r="F380" s="38"/>
      <c r="G380" s="38"/>
      <c r="H380" s="38"/>
      <c r="I380" s="108"/>
    </row>
    <row r="381">
      <c r="A381" s="38"/>
      <c r="B381" s="38"/>
      <c r="C381" s="15"/>
      <c r="D381" s="15"/>
      <c r="E381" s="38"/>
      <c r="F381" s="38"/>
      <c r="G381" s="38"/>
      <c r="H381" s="38"/>
      <c r="I381" s="108"/>
    </row>
    <row r="382">
      <c r="A382" s="38"/>
      <c r="B382" s="38"/>
      <c r="C382" s="15"/>
      <c r="D382" s="15"/>
      <c r="E382" s="38"/>
      <c r="F382" s="38"/>
      <c r="G382" s="38"/>
      <c r="H382" s="38"/>
      <c r="I382" s="108"/>
    </row>
    <row r="383">
      <c r="A383" s="38"/>
      <c r="B383" s="38"/>
      <c r="C383" s="15"/>
      <c r="D383" s="15"/>
      <c r="E383" s="38"/>
      <c r="F383" s="38"/>
      <c r="G383" s="38"/>
      <c r="H383" s="38"/>
      <c r="I383" s="108"/>
    </row>
    <row r="384">
      <c r="A384" s="38"/>
      <c r="B384" s="38"/>
      <c r="C384" s="15"/>
      <c r="D384" s="15"/>
      <c r="E384" s="38"/>
      <c r="F384" s="38"/>
      <c r="G384" s="38"/>
      <c r="H384" s="38"/>
      <c r="I384" s="108"/>
    </row>
    <row r="385">
      <c r="A385" s="38"/>
      <c r="B385" s="38"/>
      <c r="C385" s="15"/>
      <c r="D385" s="15"/>
      <c r="E385" s="38"/>
      <c r="F385" s="38"/>
      <c r="G385" s="38"/>
      <c r="H385" s="38"/>
      <c r="I385" s="108"/>
    </row>
    <row r="386">
      <c r="A386" s="38"/>
      <c r="B386" s="38"/>
      <c r="C386" s="15"/>
      <c r="D386" s="15"/>
      <c r="E386" s="38"/>
      <c r="F386" s="38"/>
      <c r="G386" s="38"/>
      <c r="H386" s="38"/>
      <c r="I386" s="108"/>
    </row>
    <row r="387">
      <c r="A387" s="38"/>
      <c r="B387" s="38"/>
      <c r="C387" s="15"/>
      <c r="D387" s="15"/>
      <c r="E387" s="38"/>
      <c r="F387" s="38"/>
      <c r="G387" s="38"/>
      <c r="H387" s="38"/>
      <c r="I387" s="108"/>
    </row>
    <row r="388">
      <c r="A388" s="38"/>
      <c r="B388" s="38"/>
      <c r="C388" s="15"/>
      <c r="D388" s="15"/>
      <c r="E388" s="38"/>
      <c r="F388" s="38"/>
      <c r="G388" s="38"/>
      <c r="H388" s="38"/>
      <c r="I388" s="108"/>
    </row>
    <row r="389">
      <c r="A389" s="38"/>
      <c r="B389" s="38"/>
      <c r="C389" s="15"/>
      <c r="D389" s="15"/>
      <c r="E389" s="38"/>
      <c r="F389" s="38"/>
      <c r="G389" s="38"/>
      <c r="H389" s="38"/>
      <c r="I389" s="108"/>
    </row>
    <row r="390">
      <c r="A390" s="38"/>
      <c r="B390" s="38"/>
      <c r="C390" s="15"/>
      <c r="D390" s="15"/>
      <c r="E390" s="38"/>
      <c r="F390" s="38"/>
      <c r="G390" s="38"/>
      <c r="H390" s="38"/>
      <c r="I390" s="108"/>
    </row>
    <row r="391">
      <c r="A391" s="38"/>
      <c r="B391" s="38"/>
      <c r="C391" s="15"/>
      <c r="D391" s="15"/>
      <c r="E391" s="38"/>
      <c r="F391" s="38"/>
      <c r="G391" s="38"/>
      <c r="H391" s="38"/>
      <c r="I391" s="108"/>
    </row>
    <row r="392">
      <c r="A392" s="38"/>
      <c r="B392" s="38"/>
      <c r="C392" s="15"/>
      <c r="D392" s="15"/>
      <c r="E392" s="38"/>
      <c r="F392" s="38"/>
      <c r="G392" s="38"/>
      <c r="H392" s="38"/>
      <c r="I392" s="108"/>
    </row>
    <row r="393">
      <c r="A393" s="38"/>
      <c r="B393" s="38"/>
      <c r="C393" s="15"/>
      <c r="D393" s="15"/>
      <c r="E393" s="38"/>
      <c r="F393" s="38"/>
      <c r="G393" s="38"/>
      <c r="H393" s="38"/>
      <c r="I393" s="108"/>
    </row>
    <row r="394">
      <c r="A394" s="38"/>
      <c r="B394" s="38"/>
      <c r="C394" s="15"/>
      <c r="D394" s="15"/>
      <c r="E394" s="38"/>
      <c r="F394" s="38"/>
      <c r="G394" s="38"/>
      <c r="H394" s="38"/>
      <c r="I394" s="108"/>
    </row>
    <row r="395">
      <c r="A395" s="38"/>
      <c r="B395" s="38"/>
      <c r="C395" s="15"/>
      <c r="D395" s="15"/>
      <c r="E395" s="38"/>
      <c r="F395" s="38"/>
      <c r="G395" s="38"/>
      <c r="H395" s="38"/>
      <c r="I395" s="108"/>
    </row>
    <row r="396">
      <c r="A396" s="38"/>
      <c r="B396" s="38"/>
      <c r="C396" s="15"/>
      <c r="D396" s="15"/>
      <c r="E396" s="38"/>
      <c r="F396" s="38"/>
      <c r="G396" s="38"/>
      <c r="H396" s="38"/>
      <c r="I396" s="108"/>
    </row>
    <row r="397">
      <c r="A397" s="38"/>
      <c r="B397" s="38"/>
      <c r="C397" s="15"/>
      <c r="D397" s="15"/>
      <c r="E397" s="38"/>
      <c r="F397" s="38"/>
      <c r="G397" s="38"/>
      <c r="H397" s="38"/>
      <c r="I397" s="108"/>
    </row>
    <row r="398">
      <c r="A398" s="38"/>
      <c r="B398" s="38"/>
      <c r="C398" s="15"/>
      <c r="D398" s="15"/>
      <c r="E398" s="38"/>
      <c r="F398" s="38"/>
      <c r="G398" s="38"/>
      <c r="H398" s="38"/>
      <c r="I398" s="108"/>
    </row>
    <row r="399">
      <c r="A399" s="38"/>
      <c r="B399" s="38"/>
      <c r="C399" s="15"/>
      <c r="D399" s="15"/>
      <c r="E399" s="38"/>
      <c r="F399" s="38"/>
      <c r="G399" s="38"/>
      <c r="H399" s="38"/>
      <c r="I399" s="108"/>
    </row>
    <row r="400">
      <c r="A400" s="38"/>
      <c r="B400" s="38"/>
      <c r="C400" s="15"/>
      <c r="D400" s="15"/>
      <c r="E400" s="38"/>
      <c r="F400" s="38"/>
      <c r="G400" s="38"/>
      <c r="H400" s="38"/>
      <c r="I400" s="108"/>
    </row>
    <row r="401">
      <c r="A401" s="38"/>
      <c r="B401" s="38"/>
      <c r="C401" s="15"/>
      <c r="D401" s="15"/>
      <c r="E401" s="38"/>
      <c r="F401" s="38"/>
      <c r="G401" s="38"/>
      <c r="H401" s="38"/>
      <c r="I401" s="108"/>
    </row>
    <row r="402">
      <c r="A402" s="38"/>
      <c r="B402" s="38"/>
      <c r="C402" s="15"/>
      <c r="D402" s="15"/>
      <c r="E402" s="38"/>
      <c r="F402" s="38"/>
      <c r="G402" s="38"/>
      <c r="H402" s="38"/>
      <c r="I402" s="108"/>
    </row>
    <row r="403">
      <c r="A403" s="38"/>
      <c r="B403" s="38"/>
      <c r="C403" s="15"/>
      <c r="D403" s="15"/>
      <c r="E403" s="38"/>
      <c r="F403" s="38"/>
      <c r="G403" s="38"/>
      <c r="H403" s="38"/>
      <c r="I403" s="108"/>
    </row>
    <row r="404">
      <c r="A404" s="38"/>
      <c r="B404" s="38"/>
      <c r="C404" s="15"/>
      <c r="D404" s="15"/>
      <c r="E404" s="38"/>
      <c r="F404" s="38"/>
      <c r="G404" s="38"/>
      <c r="H404" s="38"/>
      <c r="I404" s="108"/>
    </row>
    <row r="405">
      <c r="A405" s="38"/>
      <c r="B405" s="38"/>
      <c r="C405" s="15"/>
      <c r="D405" s="15"/>
      <c r="E405" s="38"/>
      <c r="F405" s="38"/>
      <c r="G405" s="38"/>
      <c r="H405" s="38"/>
      <c r="I405" s="108"/>
    </row>
    <row r="406">
      <c r="A406" s="38"/>
      <c r="B406" s="38"/>
      <c r="C406" s="15"/>
      <c r="D406" s="15"/>
      <c r="E406" s="38"/>
      <c r="F406" s="38"/>
      <c r="G406" s="38"/>
      <c r="H406" s="38"/>
      <c r="I406" s="108"/>
    </row>
    <row r="407">
      <c r="A407" s="38"/>
      <c r="B407" s="38"/>
      <c r="C407" s="15"/>
      <c r="D407" s="15"/>
      <c r="E407" s="38"/>
      <c r="F407" s="38"/>
      <c r="G407" s="38"/>
      <c r="H407" s="38"/>
      <c r="I407" s="108"/>
    </row>
    <row r="408">
      <c r="A408" s="38"/>
      <c r="B408" s="38"/>
      <c r="C408" s="15"/>
      <c r="D408" s="15"/>
      <c r="E408" s="38"/>
      <c r="F408" s="38"/>
      <c r="G408" s="38"/>
      <c r="H408" s="38"/>
      <c r="I408" s="108"/>
    </row>
    <row r="409">
      <c r="A409" s="38"/>
      <c r="B409" s="38"/>
      <c r="C409" s="15"/>
      <c r="D409" s="15"/>
      <c r="E409" s="38"/>
      <c r="F409" s="38"/>
      <c r="G409" s="38"/>
      <c r="H409" s="38"/>
      <c r="I409" s="108"/>
    </row>
    <row r="410">
      <c r="A410" s="38"/>
      <c r="B410" s="38"/>
      <c r="C410" s="15"/>
      <c r="D410" s="15"/>
      <c r="E410" s="38"/>
      <c r="F410" s="38"/>
      <c r="G410" s="38"/>
      <c r="H410" s="38"/>
      <c r="I410" s="108"/>
    </row>
    <row r="411">
      <c r="A411" s="38"/>
      <c r="B411" s="38"/>
      <c r="C411" s="15"/>
      <c r="D411" s="15"/>
      <c r="E411" s="38"/>
      <c r="F411" s="38"/>
      <c r="G411" s="38"/>
      <c r="H411" s="38"/>
      <c r="I411" s="108"/>
    </row>
    <row r="412">
      <c r="A412" s="38"/>
      <c r="B412" s="38"/>
      <c r="C412" s="15"/>
      <c r="D412" s="15"/>
      <c r="E412" s="38"/>
      <c r="F412" s="38"/>
      <c r="G412" s="38"/>
      <c r="H412" s="38"/>
      <c r="I412" s="108"/>
    </row>
    <row r="413">
      <c r="A413" s="38"/>
      <c r="B413" s="38"/>
      <c r="C413" s="15"/>
      <c r="D413" s="15"/>
      <c r="E413" s="38"/>
      <c r="F413" s="38"/>
      <c r="G413" s="38"/>
      <c r="H413" s="38"/>
      <c r="I413" s="108"/>
    </row>
    <row r="414">
      <c r="A414" s="38"/>
      <c r="B414" s="38"/>
      <c r="C414" s="15"/>
      <c r="D414" s="15"/>
      <c r="E414" s="38"/>
      <c r="F414" s="38"/>
      <c r="G414" s="38"/>
      <c r="H414" s="38"/>
      <c r="I414" s="108"/>
    </row>
    <row r="415">
      <c r="A415" s="38"/>
      <c r="B415" s="38"/>
      <c r="C415" s="15"/>
      <c r="D415" s="15"/>
      <c r="E415" s="38"/>
      <c r="F415" s="38"/>
      <c r="G415" s="38"/>
      <c r="H415" s="38"/>
      <c r="I415" s="108"/>
    </row>
    <row r="416">
      <c r="A416" s="38"/>
      <c r="B416" s="38"/>
      <c r="C416" s="15"/>
      <c r="D416" s="15"/>
      <c r="E416" s="38"/>
      <c r="F416" s="38"/>
      <c r="G416" s="38"/>
      <c r="H416" s="38"/>
      <c r="I416" s="108"/>
    </row>
    <row r="417">
      <c r="A417" s="38"/>
      <c r="B417" s="38"/>
      <c r="C417" s="15"/>
      <c r="D417" s="15"/>
      <c r="E417" s="38"/>
      <c r="F417" s="38"/>
      <c r="G417" s="38"/>
      <c r="H417" s="38"/>
      <c r="I417" s="108"/>
    </row>
    <row r="418">
      <c r="A418" s="38"/>
      <c r="B418" s="38"/>
      <c r="C418" s="15"/>
      <c r="D418" s="15"/>
      <c r="E418" s="38"/>
      <c r="F418" s="38"/>
      <c r="G418" s="38"/>
      <c r="H418" s="38"/>
      <c r="I418" s="108"/>
    </row>
    <row r="419">
      <c r="A419" s="38"/>
      <c r="B419" s="38"/>
      <c r="C419" s="15"/>
      <c r="D419" s="15"/>
      <c r="E419" s="38"/>
      <c r="F419" s="38"/>
      <c r="G419" s="38"/>
      <c r="H419" s="38"/>
      <c r="I419" s="108"/>
    </row>
    <row r="420">
      <c r="A420" s="38"/>
      <c r="B420" s="38"/>
      <c r="C420" s="15"/>
      <c r="D420" s="15"/>
      <c r="E420" s="38"/>
      <c r="F420" s="38"/>
      <c r="G420" s="38"/>
      <c r="H420" s="38"/>
      <c r="I420" s="108"/>
    </row>
    <row r="421">
      <c r="A421" s="38"/>
      <c r="B421" s="38"/>
      <c r="C421" s="15"/>
      <c r="D421" s="15"/>
      <c r="E421" s="38"/>
      <c r="F421" s="38"/>
      <c r="G421" s="38"/>
      <c r="H421" s="38"/>
      <c r="I421" s="108"/>
    </row>
    <row r="422">
      <c r="A422" s="38"/>
      <c r="B422" s="38"/>
      <c r="C422" s="15"/>
      <c r="D422" s="15"/>
      <c r="E422" s="38"/>
      <c r="F422" s="38"/>
      <c r="G422" s="38"/>
      <c r="H422" s="38"/>
      <c r="I422" s="108"/>
    </row>
    <row r="423">
      <c r="A423" s="38"/>
      <c r="B423" s="38"/>
      <c r="C423" s="15"/>
      <c r="D423" s="15"/>
      <c r="E423" s="38"/>
      <c r="F423" s="38"/>
      <c r="G423" s="38"/>
      <c r="H423" s="38"/>
      <c r="I423" s="108"/>
    </row>
    <row r="424">
      <c r="A424" s="38"/>
      <c r="B424" s="38"/>
      <c r="C424" s="15"/>
      <c r="D424" s="15"/>
      <c r="E424" s="38"/>
      <c r="F424" s="38"/>
      <c r="G424" s="38"/>
      <c r="H424" s="38"/>
      <c r="I424" s="108"/>
    </row>
    <row r="425">
      <c r="A425" s="38"/>
      <c r="B425" s="38"/>
      <c r="C425" s="15"/>
      <c r="D425" s="15"/>
      <c r="E425" s="38"/>
      <c r="F425" s="38"/>
      <c r="G425" s="38"/>
      <c r="H425" s="38"/>
      <c r="I425" s="108"/>
    </row>
    <row r="426">
      <c r="A426" s="38"/>
      <c r="B426" s="38"/>
      <c r="C426" s="15"/>
      <c r="D426" s="15"/>
      <c r="E426" s="38"/>
      <c r="F426" s="38"/>
      <c r="G426" s="38"/>
      <c r="H426" s="38"/>
      <c r="I426" s="108"/>
    </row>
    <row r="427">
      <c r="A427" s="38"/>
      <c r="B427" s="38"/>
      <c r="C427" s="15"/>
      <c r="D427" s="15"/>
      <c r="E427" s="38"/>
      <c r="F427" s="38"/>
      <c r="G427" s="38"/>
      <c r="H427" s="38"/>
      <c r="I427" s="108"/>
    </row>
    <row r="428">
      <c r="A428" s="38"/>
      <c r="B428" s="38"/>
      <c r="C428" s="15"/>
      <c r="D428" s="15"/>
      <c r="E428" s="38"/>
      <c r="F428" s="38"/>
      <c r="G428" s="38"/>
      <c r="H428" s="38"/>
      <c r="I428" s="108"/>
    </row>
    <row r="429">
      <c r="A429" s="38"/>
      <c r="B429" s="38"/>
      <c r="C429" s="15"/>
      <c r="D429" s="15"/>
      <c r="E429" s="38"/>
      <c r="F429" s="38"/>
      <c r="G429" s="38"/>
      <c r="H429" s="38"/>
      <c r="I429" s="108"/>
    </row>
    <row r="430">
      <c r="A430" s="38"/>
      <c r="B430" s="38"/>
      <c r="C430" s="15"/>
      <c r="D430" s="15"/>
      <c r="E430" s="38"/>
      <c r="F430" s="38"/>
      <c r="G430" s="38"/>
      <c r="H430" s="38"/>
      <c r="I430" s="108"/>
    </row>
    <row r="431">
      <c r="A431" s="38"/>
      <c r="B431" s="38"/>
      <c r="C431" s="15"/>
      <c r="D431" s="15"/>
      <c r="E431" s="38"/>
      <c r="F431" s="38"/>
      <c r="G431" s="38"/>
      <c r="H431" s="38"/>
      <c r="I431" s="108"/>
    </row>
    <row r="432">
      <c r="A432" s="38"/>
      <c r="B432" s="38"/>
      <c r="C432" s="15"/>
      <c r="D432" s="15"/>
      <c r="E432" s="38"/>
      <c r="F432" s="38"/>
      <c r="G432" s="38"/>
      <c r="H432" s="38"/>
      <c r="I432" s="108"/>
    </row>
    <row r="433">
      <c r="A433" s="38"/>
      <c r="B433" s="38"/>
      <c r="C433" s="15"/>
      <c r="D433" s="15"/>
      <c r="E433" s="38"/>
      <c r="F433" s="38"/>
      <c r="G433" s="38"/>
      <c r="H433" s="38"/>
      <c r="I433" s="108"/>
    </row>
    <row r="434">
      <c r="A434" s="38"/>
      <c r="B434" s="38"/>
      <c r="C434" s="15"/>
      <c r="D434" s="15"/>
      <c r="E434" s="38"/>
      <c r="F434" s="38"/>
      <c r="G434" s="38"/>
      <c r="H434" s="38"/>
      <c r="I434" s="108"/>
    </row>
    <row r="435">
      <c r="A435" s="38"/>
      <c r="B435" s="38"/>
      <c r="C435" s="15"/>
      <c r="D435" s="15"/>
      <c r="E435" s="38"/>
      <c r="F435" s="38"/>
      <c r="G435" s="38"/>
      <c r="H435" s="38"/>
      <c r="I435" s="108"/>
    </row>
    <row r="436">
      <c r="A436" s="38"/>
      <c r="B436" s="38"/>
      <c r="C436" s="15"/>
      <c r="D436" s="15"/>
      <c r="E436" s="38"/>
      <c r="F436" s="38"/>
      <c r="G436" s="38"/>
      <c r="H436" s="38"/>
      <c r="I436" s="108"/>
    </row>
    <row r="437">
      <c r="A437" s="38"/>
      <c r="B437" s="38"/>
      <c r="C437" s="15"/>
      <c r="D437" s="15"/>
      <c r="E437" s="38"/>
      <c r="F437" s="38"/>
      <c r="G437" s="38"/>
      <c r="H437" s="38"/>
      <c r="I437" s="108"/>
    </row>
    <row r="438">
      <c r="A438" s="38"/>
      <c r="B438" s="38"/>
      <c r="C438" s="15"/>
      <c r="D438" s="15"/>
      <c r="E438" s="38"/>
      <c r="F438" s="38"/>
      <c r="G438" s="38"/>
      <c r="H438" s="38"/>
      <c r="I438" s="108"/>
    </row>
    <row r="439">
      <c r="A439" s="38"/>
      <c r="B439" s="38"/>
      <c r="C439" s="15"/>
      <c r="D439" s="15"/>
      <c r="E439" s="38"/>
      <c r="F439" s="38"/>
      <c r="G439" s="38"/>
      <c r="H439" s="38"/>
      <c r="I439" s="108"/>
    </row>
    <row r="440">
      <c r="A440" s="38"/>
      <c r="B440" s="38"/>
      <c r="C440" s="15"/>
      <c r="D440" s="15"/>
      <c r="E440" s="38"/>
      <c r="F440" s="38"/>
      <c r="G440" s="38"/>
      <c r="H440" s="38"/>
      <c r="I440" s="108"/>
    </row>
    <row r="441">
      <c r="A441" s="38"/>
      <c r="B441" s="38"/>
      <c r="C441" s="15"/>
      <c r="D441" s="15"/>
      <c r="E441" s="38"/>
      <c r="F441" s="38"/>
      <c r="G441" s="38"/>
      <c r="H441" s="38"/>
      <c r="I441" s="108"/>
    </row>
    <row r="442">
      <c r="A442" s="38"/>
      <c r="B442" s="38"/>
      <c r="C442" s="15"/>
      <c r="D442" s="15"/>
      <c r="E442" s="38"/>
      <c r="F442" s="38"/>
      <c r="G442" s="38"/>
      <c r="H442" s="38"/>
      <c r="I442" s="108"/>
    </row>
    <row r="443">
      <c r="A443" s="38"/>
      <c r="B443" s="38"/>
      <c r="C443" s="15"/>
      <c r="D443" s="15"/>
      <c r="E443" s="38"/>
      <c r="F443" s="38"/>
      <c r="G443" s="38"/>
      <c r="H443" s="38"/>
      <c r="I443" s="108"/>
    </row>
    <row r="444">
      <c r="A444" s="38"/>
      <c r="B444" s="38"/>
      <c r="C444" s="15"/>
      <c r="D444" s="15"/>
      <c r="E444" s="38"/>
      <c r="F444" s="38"/>
      <c r="G444" s="38"/>
      <c r="H444" s="38"/>
      <c r="I444" s="108"/>
    </row>
    <row r="445">
      <c r="A445" s="38"/>
      <c r="B445" s="38"/>
      <c r="C445" s="15"/>
      <c r="D445" s="15"/>
      <c r="E445" s="38"/>
      <c r="F445" s="38"/>
      <c r="G445" s="38"/>
      <c r="H445" s="38"/>
      <c r="I445" s="108"/>
    </row>
    <row r="446">
      <c r="A446" s="38"/>
      <c r="B446" s="38"/>
      <c r="C446" s="15"/>
      <c r="D446" s="15"/>
      <c r="E446" s="38"/>
      <c r="F446" s="38"/>
      <c r="G446" s="38"/>
      <c r="H446" s="38"/>
      <c r="I446" s="108"/>
    </row>
    <row r="447">
      <c r="A447" s="38"/>
      <c r="B447" s="38"/>
      <c r="C447" s="15"/>
      <c r="D447" s="15"/>
      <c r="E447" s="38"/>
      <c r="F447" s="38"/>
      <c r="G447" s="38"/>
      <c r="H447" s="38"/>
      <c r="I447" s="108"/>
    </row>
    <row r="448">
      <c r="A448" s="38"/>
      <c r="B448" s="38"/>
      <c r="C448" s="15"/>
      <c r="D448" s="15"/>
      <c r="E448" s="38"/>
      <c r="F448" s="38"/>
      <c r="G448" s="38"/>
      <c r="H448" s="38"/>
      <c r="I448" s="108"/>
    </row>
    <row r="449">
      <c r="A449" s="38"/>
      <c r="B449" s="38"/>
      <c r="C449" s="15"/>
      <c r="D449" s="15"/>
      <c r="E449" s="38"/>
      <c r="F449" s="38"/>
      <c r="G449" s="38"/>
      <c r="H449" s="38"/>
      <c r="I449" s="108"/>
    </row>
    <row r="450">
      <c r="A450" s="38"/>
      <c r="B450" s="38"/>
      <c r="C450" s="15"/>
      <c r="D450" s="15"/>
      <c r="E450" s="38"/>
      <c r="F450" s="38"/>
      <c r="G450" s="38"/>
      <c r="H450" s="38"/>
      <c r="I450" s="108"/>
    </row>
    <row r="451">
      <c r="A451" s="38"/>
      <c r="B451" s="38"/>
      <c r="C451" s="15"/>
      <c r="D451" s="15"/>
      <c r="E451" s="38"/>
      <c r="F451" s="38"/>
      <c r="G451" s="38"/>
      <c r="H451" s="38"/>
      <c r="I451" s="108"/>
    </row>
    <row r="452">
      <c r="A452" s="38"/>
      <c r="B452" s="38"/>
      <c r="C452" s="15"/>
      <c r="D452" s="15"/>
      <c r="E452" s="38"/>
      <c r="F452" s="38"/>
      <c r="G452" s="38"/>
      <c r="H452" s="38"/>
      <c r="I452" s="108"/>
    </row>
    <row r="453">
      <c r="A453" s="38"/>
      <c r="B453" s="38"/>
      <c r="C453" s="15"/>
      <c r="D453" s="15"/>
      <c r="E453" s="38"/>
      <c r="F453" s="38"/>
      <c r="G453" s="38"/>
      <c r="H453" s="38"/>
      <c r="I453" s="108"/>
    </row>
    <row r="454">
      <c r="A454" s="38"/>
      <c r="B454" s="38"/>
      <c r="C454" s="15"/>
      <c r="D454" s="15"/>
      <c r="E454" s="38"/>
      <c r="F454" s="38"/>
      <c r="G454" s="38"/>
      <c r="H454" s="38"/>
      <c r="I454" s="108"/>
    </row>
    <row r="455">
      <c r="A455" s="38"/>
      <c r="B455" s="38"/>
      <c r="C455" s="15"/>
      <c r="D455" s="15"/>
      <c r="E455" s="38"/>
      <c r="F455" s="38"/>
      <c r="G455" s="38"/>
      <c r="H455" s="38"/>
      <c r="I455" s="108"/>
    </row>
    <row r="456">
      <c r="A456" s="38"/>
      <c r="B456" s="38"/>
      <c r="C456" s="15"/>
      <c r="D456" s="15"/>
      <c r="E456" s="38"/>
      <c r="F456" s="38"/>
      <c r="G456" s="38"/>
      <c r="H456" s="38"/>
      <c r="I456" s="108"/>
    </row>
    <row r="457">
      <c r="A457" s="38"/>
      <c r="B457" s="38"/>
      <c r="C457" s="15"/>
      <c r="D457" s="15"/>
      <c r="E457" s="38"/>
      <c r="F457" s="38"/>
      <c r="G457" s="38"/>
      <c r="H457" s="38"/>
      <c r="I457" s="108"/>
    </row>
    <row r="458">
      <c r="A458" s="38"/>
      <c r="B458" s="38"/>
      <c r="C458" s="15"/>
      <c r="D458" s="15"/>
      <c r="E458" s="38"/>
      <c r="F458" s="38"/>
      <c r="G458" s="38"/>
      <c r="H458" s="38"/>
      <c r="I458" s="108"/>
    </row>
    <row r="459">
      <c r="A459" s="38"/>
      <c r="B459" s="38"/>
      <c r="C459" s="15"/>
      <c r="D459" s="15"/>
      <c r="E459" s="38"/>
      <c r="F459" s="38"/>
      <c r="G459" s="38"/>
      <c r="H459" s="38"/>
      <c r="I459" s="108"/>
    </row>
    <row r="460">
      <c r="A460" s="38"/>
      <c r="B460" s="38"/>
      <c r="C460" s="15"/>
      <c r="D460" s="15"/>
      <c r="E460" s="38"/>
      <c r="F460" s="38"/>
      <c r="G460" s="38"/>
      <c r="H460" s="38"/>
      <c r="I460" s="108"/>
    </row>
    <row r="461">
      <c r="A461" s="38"/>
      <c r="B461" s="38"/>
      <c r="C461" s="15"/>
      <c r="D461" s="15"/>
      <c r="E461" s="38"/>
      <c r="F461" s="38"/>
      <c r="G461" s="38"/>
      <c r="H461" s="38"/>
      <c r="I461" s="108"/>
    </row>
    <row r="462">
      <c r="A462" s="38"/>
      <c r="B462" s="38"/>
      <c r="C462" s="15"/>
      <c r="D462" s="15"/>
      <c r="E462" s="38"/>
      <c r="F462" s="38"/>
      <c r="G462" s="38"/>
      <c r="H462" s="38"/>
      <c r="I462" s="108"/>
    </row>
    <row r="463">
      <c r="A463" s="38"/>
      <c r="B463" s="38"/>
      <c r="C463" s="15"/>
      <c r="D463" s="15"/>
      <c r="E463" s="38"/>
      <c r="F463" s="38"/>
      <c r="G463" s="38"/>
      <c r="H463" s="38"/>
      <c r="I463" s="108"/>
    </row>
    <row r="464">
      <c r="A464" s="38"/>
      <c r="B464" s="38"/>
      <c r="C464" s="15"/>
      <c r="D464" s="15"/>
      <c r="E464" s="38"/>
      <c r="F464" s="38"/>
      <c r="G464" s="38"/>
      <c r="H464" s="38"/>
      <c r="I464" s="108"/>
    </row>
    <row r="465">
      <c r="A465" s="38"/>
      <c r="B465" s="38"/>
      <c r="C465" s="15"/>
      <c r="D465" s="15"/>
      <c r="E465" s="38"/>
      <c r="F465" s="38"/>
      <c r="G465" s="38"/>
      <c r="H465" s="38"/>
      <c r="I465" s="108"/>
    </row>
    <row r="466">
      <c r="A466" s="38"/>
      <c r="B466" s="38"/>
      <c r="C466" s="15"/>
      <c r="D466" s="15"/>
      <c r="E466" s="38"/>
      <c r="F466" s="38"/>
      <c r="G466" s="38"/>
      <c r="H466" s="38"/>
      <c r="I466" s="108"/>
    </row>
    <row r="467">
      <c r="A467" s="38"/>
      <c r="B467" s="38"/>
      <c r="C467" s="15"/>
      <c r="D467" s="15"/>
      <c r="E467" s="38"/>
      <c r="F467" s="38"/>
      <c r="G467" s="38"/>
      <c r="H467" s="38"/>
      <c r="I467" s="108"/>
    </row>
    <row r="468">
      <c r="A468" s="38"/>
      <c r="B468" s="38"/>
      <c r="C468" s="15"/>
      <c r="D468" s="15"/>
      <c r="E468" s="38"/>
      <c r="F468" s="38"/>
      <c r="G468" s="38"/>
      <c r="H468" s="38"/>
      <c r="I468" s="108"/>
    </row>
    <row r="469">
      <c r="A469" s="38"/>
      <c r="B469" s="38"/>
      <c r="C469" s="15"/>
      <c r="D469" s="15"/>
      <c r="E469" s="38"/>
      <c r="F469" s="38"/>
      <c r="G469" s="38"/>
      <c r="H469" s="38"/>
      <c r="I469" s="108"/>
    </row>
    <row r="470">
      <c r="A470" s="38"/>
      <c r="B470" s="38"/>
      <c r="C470" s="15"/>
      <c r="D470" s="15"/>
      <c r="E470" s="38"/>
      <c r="F470" s="38"/>
      <c r="G470" s="38"/>
      <c r="H470" s="38"/>
      <c r="I470" s="108"/>
    </row>
    <row r="471">
      <c r="A471" s="38"/>
      <c r="B471" s="38"/>
      <c r="C471" s="15"/>
      <c r="D471" s="15"/>
      <c r="E471" s="38"/>
      <c r="F471" s="38"/>
      <c r="G471" s="38"/>
      <c r="H471" s="38"/>
      <c r="I471" s="108"/>
    </row>
    <row r="472">
      <c r="A472" s="38"/>
      <c r="B472" s="38"/>
      <c r="C472" s="15"/>
      <c r="D472" s="15"/>
      <c r="E472" s="38"/>
      <c r="F472" s="38"/>
      <c r="G472" s="38"/>
      <c r="H472" s="38"/>
      <c r="I472" s="108"/>
    </row>
    <row r="473">
      <c r="A473" s="38"/>
      <c r="B473" s="38"/>
      <c r="C473" s="15"/>
      <c r="D473" s="15"/>
      <c r="E473" s="38"/>
      <c r="F473" s="38"/>
      <c r="G473" s="38"/>
      <c r="H473" s="38"/>
      <c r="I473" s="108"/>
    </row>
    <row r="474">
      <c r="A474" s="38"/>
      <c r="B474" s="38"/>
      <c r="C474" s="15"/>
      <c r="D474" s="15"/>
      <c r="E474" s="38"/>
      <c r="F474" s="38"/>
      <c r="G474" s="38"/>
      <c r="H474" s="38"/>
      <c r="I474" s="108"/>
    </row>
    <row r="475">
      <c r="A475" s="38"/>
      <c r="B475" s="38"/>
      <c r="C475" s="15"/>
      <c r="D475" s="15"/>
      <c r="E475" s="38"/>
      <c r="F475" s="38"/>
      <c r="G475" s="38"/>
      <c r="H475" s="38"/>
      <c r="I475" s="108"/>
    </row>
    <row r="476">
      <c r="A476" s="38"/>
      <c r="B476" s="38"/>
      <c r="C476" s="15"/>
      <c r="D476" s="15"/>
      <c r="E476" s="38"/>
      <c r="F476" s="38"/>
      <c r="G476" s="38"/>
      <c r="H476" s="38"/>
      <c r="I476" s="108"/>
    </row>
    <row r="477">
      <c r="A477" s="38"/>
      <c r="B477" s="38"/>
      <c r="C477" s="15"/>
      <c r="D477" s="15"/>
      <c r="E477" s="38"/>
      <c r="F477" s="38"/>
      <c r="G477" s="38"/>
      <c r="H477" s="38"/>
      <c r="I477" s="108"/>
    </row>
    <row r="478">
      <c r="A478" s="38"/>
      <c r="B478" s="38"/>
      <c r="C478" s="15"/>
      <c r="D478" s="15"/>
      <c r="E478" s="38"/>
      <c r="F478" s="38"/>
      <c r="G478" s="38"/>
      <c r="H478" s="38"/>
      <c r="I478" s="108"/>
    </row>
    <row r="479">
      <c r="A479" s="38"/>
      <c r="B479" s="38"/>
      <c r="C479" s="15"/>
      <c r="D479" s="15"/>
      <c r="E479" s="38"/>
      <c r="F479" s="38"/>
      <c r="G479" s="38"/>
      <c r="H479" s="38"/>
      <c r="I479" s="108"/>
    </row>
    <row r="480">
      <c r="A480" s="38"/>
      <c r="B480" s="38"/>
      <c r="C480" s="15"/>
      <c r="D480" s="15"/>
      <c r="E480" s="38"/>
      <c r="F480" s="38"/>
      <c r="G480" s="38"/>
      <c r="H480" s="38"/>
      <c r="I480" s="108"/>
    </row>
    <row r="481">
      <c r="A481" s="38"/>
      <c r="B481" s="38"/>
      <c r="C481" s="15"/>
      <c r="D481" s="15"/>
      <c r="E481" s="38"/>
      <c r="F481" s="38"/>
      <c r="G481" s="38"/>
      <c r="H481" s="38"/>
      <c r="I481" s="108"/>
    </row>
    <row r="482">
      <c r="A482" s="38"/>
      <c r="B482" s="38"/>
      <c r="C482" s="15"/>
      <c r="D482" s="15"/>
      <c r="E482" s="38"/>
      <c r="F482" s="38"/>
      <c r="G482" s="38"/>
      <c r="H482" s="38"/>
      <c r="I482" s="108"/>
    </row>
    <row r="483">
      <c r="A483" s="38"/>
      <c r="B483" s="38"/>
      <c r="C483" s="15"/>
      <c r="D483" s="15"/>
      <c r="E483" s="38"/>
      <c r="F483" s="38"/>
      <c r="G483" s="38"/>
      <c r="H483" s="38"/>
      <c r="I483" s="108"/>
    </row>
    <row r="484">
      <c r="A484" s="38"/>
      <c r="B484" s="38"/>
      <c r="C484" s="15"/>
      <c r="D484" s="15"/>
      <c r="E484" s="38"/>
      <c r="F484" s="38"/>
      <c r="G484" s="38"/>
      <c r="H484" s="38"/>
      <c r="I484" s="108"/>
    </row>
    <row r="485">
      <c r="A485" s="38"/>
      <c r="B485" s="38"/>
      <c r="C485" s="15"/>
      <c r="D485" s="15"/>
      <c r="E485" s="38"/>
      <c r="F485" s="38"/>
      <c r="G485" s="38"/>
      <c r="H485" s="38"/>
      <c r="I485" s="108"/>
    </row>
    <row r="486">
      <c r="A486" s="38"/>
      <c r="B486" s="38"/>
      <c r="C486" s="15"/>
      <c r="D486" s="15"/>
      <c r="E486" s="38"/>
      <c r="F486" s="38"/>
      <c r="G486" s="38"/>
      <c r="H486" s="38"/>
      <c r="I486" s="108"/>
    </row>
    <row r="487">
      <c r="A487" s="38"/>
      <c r="B487" s="38"/>
      <c r="C487" s="15"/>
      <c r="D487" s="15"/>
      <c r="E487" s="38"/>
      <c r="F487" s="38"/>
      <c r="G487" s="38"/>
      <c r="H487" s="38"/>
      <c r="I487" s="108"/>
    </row>
    <row r="488">
      <c r="A488" s="38"/>
      <c r="B488" s="38"/>
      <c r="C488" s="15"/>
      <c r="D488" s="15"/>
      <c r="E488" s="38"/>
      <c r="F488" s="38"/>
      <c r="G488" s="38"/>
      <c r="H488" s="38"/>
      <c r="I488" s="108"/>
    </row>
    <row r="489">
      <c r="A489" s="38"/>
      <c r="B489" s="38"/>
      <c r="C489" s="15"/>
      <c r="D489" s="15"/>
      <c r="E489" s="38"/>
      <c r="F489" s="38"/>
      <c r="G489" s="38"/>
      <c r="H489" s="38"/>
      <c r="I489" s="108"/>
    </row>
    <row r="490">
      <c r="A490" s="38"/>
      <c r="B490" s="38"/>
      <c r="C490" s="15"/>
      <c r="D490" s="15"/>
      <c r="E490" s="38"/>
      <c r="F490" s="38"/>
      <c r="G490" s="38"/>
      <c r="H490" s="38"/>
      <c r="I490" s="108"/>
    </row>
    <row r="491">
      <c r="A491" s="38"/>
      <c r="B491" s="38"/>
      <c r="C491" s="15"/>
      <c r="D491" s="15"/>
      <c r="E491" s="38"/>
      <c r="F491" s="38"/>
      <c r="G491" s="38"/>
      <c r="H491" s="38"/>
      <c r="I491" s="108"/>
    </row>
    <row r="492">
      <c r="A492" s="38"/>
      <c r="B492" s="38"/>
      <c r="C492" s="15"/>
      <c r="D492" s="15"/>
      <c r="E492" s="38"/>
      <c r="F492" s="38"/>
      <c r="G492" s="38"/>
      <c r="H492" s="38"/>
      <c r="I492" s="108"/>
    </row>
    <row r="493">
      <c r="A493" s="38"/>
      <c r="B493" s="38"/>
      <c r="C493" s="15"/>
      <c r="D493" s="15"/>
      <c r="E493" s="38"/>
      <c r="F493" s="38"/>
      <c r="G493" s="38"/>
      <c r="H493" s="38"/>
      <c r="I493" s="108"/>
    </row>
    <row r="494">
      <c r="A494" s="38"/>
      <c r="B494" s="38"/>
      <c r="C494" s="15"/>
      <c r="D494" s="15"/>
      <c r="E494" s="38"/>
      <c r="F494" s="38"/>
      <c r="G494" s="38"/>
      <c r="H494" s="38"/>
      <c r="I494" s="108"/>
    </row>
    <row r="495">
      <c r="A495" s="38"/>
      <c r="B495" s="38"/>
      <c r="C495" s="15"/>
      <c r="D495" s="15"/>
      <c r="E495" s="38"/>
      <c r="F495" s="38"/>
      <c r="G495" s="38"/>
      <c r="H495" s="38"/>
      <c r="I495" s="108"/>
    </row>
    <row r="496">
      <c r="A496" s="38"/>
      <c r="B496" s="38"/>
      <c r="C496" s="15"/>
      <c r="D496" s="15"/>
      <c r="E496" s="38"/>
      <c r="F496" s="38"/>
      <c r="G496" s="38"/>
      <c r="H496" s="38"/>
      <c r="I496" s="108"/>
    </row>
    <row r="497">
      <c r="A497" s="38"/>
      <c r="B497" s="38"/>
      <c r="C497" s="15"/>
      <c r="D497" s="15"/>
      <c r="E497" s="38"/>
      <c r="F497" s="38"/>
      <c r="G497" s="38"/>
      <c r="H497" s="38"/>
      <c r="I497" s="108"/>
    </row>
    <row r="498">
      <c r="A498" s="38"/>
      <c r="B498" s="38"/>
      <c r="C498" s="15"/>
      <c r="D498" s="15"/>
      <c r="E498" s="38"/>
      <c r="F498" s="38"/>
      <c r="G498" s="38"/>
      <c r="H498" s="38"/>
      <c r="I498" s="108"/>
    </row>
    <row r="499">
      <c r="A499" s="38"/>
      <c r="B499" s="38"/>
      <c r="C499" s="15"/>
      <c r="D499" s="15"/>
      <c r="E499" s="38"/>
      <c r="F499" s="38"/>
      <c r="G499" s="38"/>
      <c r="H499" s="38"/>
      <c r="I499" s="108"/>
    </row>
    <row r="500">
      <c r="A500" s="38"/>
      <c r="B500" s="38"/>
      <c r="C500" s="15"/>
      <c r="D500" s="15"/>
      <c r="E500" s="38"/>
      <c r="F500" s="38"/>
      <c r="G500" s="38"/>
      <c r="H500" s="38"/>
      <c r="I500" s="108"/>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'Rivebois' ORDER BY Z ASC"", 1)"),"Assermenté")</f>
        <v>Assermenté</v>
      </c>
      <c r="B1" s="7" t="str">
        <f>IFERROR(__xludf.DUMMYFUNCTION("""COMPUTED_VALUE"""),"Grade")</f>
        <v>Grade</v>
      </c>
      <c r="C1" s="7" t="str">
        <f>IFERROR(__xludf.DUMMYFUNCTION("""COMPUTED_VALUE"""),"Prénom")</f>
        <v>Prénom</v>
      </c>
      <c r="D1" s="7"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IFERROR(__xludf.DUMMYFUNCTION("""COMPUTED_VALUE"""),FALSE)</f>
        <v>0</v>
      </c>
      <c r="B2" s="4" t="str">
        <f>IFERROR(__xludf.DUMMYFUNCTION("""COMPUTED_VALUE"""),"Capitaine")</f>
        <v>Capitaine</v>
      </c>
      <c r="C2" s="13" t="str">
        <f>IFERROR(__xludf.DUMMYFUNCTION("""COMPUTED_VALUE"""),"Sigurd")</f>
        <v>Sigurd</v>
      </c>
      <c r="D2" s="13" t="str">
        <f>IFERROR(__xludf.DUMMYFUNCTION("""COMPUTED_VALUE"""),"Grisetoison")</f>
        <v>Grisetoison</v>
      </c>
      <c r="E2" s="4" t="str">
        <f>IFERROR(__xludf.DUMMYFUNCTION("""COMPUTED_VALUE"""),"Rivebois")</f>
        <v>Rivebois</v>
      </c>
      <c r="F2" s="5" t="str">
        <f>IFERROR(__xludf.DUMMYFUNCTION("""COMPUTED_VALUE"""),"Garde, Collecteur de la garde")</f>
        <v>Garde, Collecteur de la garde</v>
      </c>
      <c r="G2" s="4" t="str">
        <f>IFERROR(__xludf.DUMMYFUNCTION("""COMPUTED_VALUE"""),"Déserteur")</f>
        <v>Déserteur</v>
      </c>
      <c r="H2" s="4"/>
      <c r="I2" s="106"/>
      <c r="J2" s="38"/>
      <c r="K2" s="38"/>
      <c r="L2" s="38"/>
      <c r="M2" s="38"/>
      <c r="N2" s="38"/>
      <c r="O2" s="38"/>
      <c r="P2" s="38"/>
      <c r="Q2" s="38"/>
      <c r="R2" s="38"/>
      <c r="S2" s="38"/>
      <c r="T2" s="38"/>
      <c r="U2" s="38"/>
      <c r="V2" s="38"/>
      <c r="W2" s="38"/>
      <c r="X2" s="38"/>
      <c r="Y2" s="38"/>
      <c r="Z2" s="38"/>
    </row>
    <row r="3">
      <c r="A3" s="4" t="b">
        <f>IFERROR(__xludf.DUMMYFUNCTION("""COMPUTED_VALUE"""),TRUE)</f>
        <v>1</v>
      </c>
      <c r="B3" s="4" t="str">
        <f>IFERROR(__xludf.DUMMYFUNCTION("""COMPUTED_VALUE"""),"Lieutenant")</f>
        <v>Lieutenant</v>
      </c>
      <c r="C3" s="13" t="str">
        <f>IFERROR(__xludf.DUMMYFUNCTION("""COMPUTED_VALUE"""),"Daric")</f>
        <v>Daric</v>
      </c>
      <c r="D3" s="15"/>
      <c r="E3" s="4" t="str">
        <f>IFERROR(__xludf.DUMMYFUNCTION("""COMPUTED_VALUE"""),"Rivebois")</f>
        <v>Rivebois</v>
      </c>
      <c r="F3" s="5" t="str">
        <f>IFERROR(__xludf.DUMMYFUNCTION("""COMPUTED_VALUE"""),"Garde")</f>
        <v>Garde</v>
      </c>
      <c r="G3" s="4" t="str">
        <f>IFERROR(__xludf.DUMMYFUNCTION("""COMPUTED_VALUE"""),"En service actif")</f>
        <v>En service actif</v>
      </c>
      <c r="H3" s="4"/>
      <c r="I3" s="106"/>
      <c r="J3" s="38"/>
      <c r="K3" s="38"/>
      <c r="L3" s="38"/>
      <c r="M3" s="38"/>
      <c r="N3" s="38"/>
      <c r="O3" s="38"/>
      <c r="P3" s="38"/>
      <c r="Q3" s="38"/>
      <c r="R3" s="38"/>
      <c r="S3" s="38"/>
      <c r="T3" s="38"/>
      <c r="U3" s="38"/>
      <c r="V3" s="38"/>
      <c r="W3" s="38"/>
      <c r="X3" s="38"/>
      <c r="Y3" s="38"/>
      <c r="Z3" s="38"/>
    </row>
    <row r="4">
      <c r="A4" s="4" t="b">
        <f>IFERROR(__xludf.DUMMYFUNCTION("""COMPUTED_VALUE"""),TRUE)</f>
        <v>1</v>
      </c>
      <c r="B4" s="4" t="str">
        <f>IFERROR(__xludf.DUMMYFUNCTION("""COMPUTED_VALUE"""),"Caporal")</f>
        <v>Caporal</v>
      </c>
      <c r="C4" s="13" t="str">
        <f>IFERROR(__xludf.DUMMYFUNCTION("""COMPUTED_VALUE"""),"Athlan")</f>
        <v>Athlan</v>
      </c>
      <c r="D4" s="15"/>
      <c r="E4" s="4" t="str">
        <f>IFERROR(__xludf.DUMMYFUNCTION("""COMPUTED_VALUE"""),"Rivebois")</f>
        <v>Rivebois</v>
      </c>
      <c r="F4" s="5" t="str">
        <f>IFERROR(__xludf.DUMMYFUNCTION("""COMPUTED_VALUE"""),"Garde")</f>
        <v>Garde</v>
      </c>
      <c r="G4" s="4" t="str">
        <f>IFERROR(__xludf.DUMMYFUNCTION("""COMPUTED_VALUE"""),"En service actif")</f>
        <v>En service actif</v>
      </c>
      <c r="H4" s="4"/>
      <c r="I4" s="106"/>
      <c r="J4" s="38"/>
      <c r="K4" s="38"/>
      <c r="L4" s="38"/>
      <c r="M4" s="38"/>
      <c r="N4" s="38"/>
      <c r="O4" s="38"/>
      <c r="P4" s="38"/>
      <c r="Q4" s="38"/>
      <c r="R4" s="38"/>
      <c r="S4" s="38"/>
      <c r="T4" s="38"/>
      <c r="U4" s="38"/>
      <c r="V4" s="38"/>
      <c r="W4" s="38"/>
      <c r="X4" s="38"/>
      <c r="Y4" s="38"/>
      <c r="Z4" s="38"/>
    </row>
    <row r="5">
      <c r="A5" s="4" t="b">
        <f>IFERROR(__xludf.DUMMYFUNCTION("""COMPUTED_VALUE"""),FALSE)</f>
        <v>0</v>
      </c>
      <c r="B5" s="4" t="str">
        <f>IFERROR(__xludf.DUMMYFUNCTION("""COMPUTED_VALUE"""),"Major")</f>
        <v>Major</v>
      </c>
      <c r="C5" s="13" t="str">
        <f>IFERROR(__xludf.DUMMYFUNCTION("""COMPUTED_VALUE"""),"Krakan ")</f>
        <v>Krakan </v>
      </c>
      <c r="D5" s="13" t="str">
        <f>IFERROR(__xludf.DUMMYFUNCTION("""COMPUTED_VALUE"""),"Valyn")</f>
        <v>Valyn</v>
      </c>
      <c r="E5" s="4" t="str">
        <f>IFERROR(__xludf.DUMMYFUNCTION("""COMPUTED_VALUE"""),"Rivebois")</f>
        <v>Rivebois</v>
      </c>
      <c r="F5" s="5" t="str">
        <f>IFERROR(__xludf.DUMMYFUNCTION("""COMPUTED_VALUE"""),"Garde")</f>
        <v>Garde</v>
      </c>
      <c r="G5" s="4" t="str">
        <f>IFERROR(__xludf.DUMMYFUNCTION("""COMPUTED_VALUE"""),"En service actif")</f>
        <v>En service actif</v>
      </c>
      <c r="H5" s="4"/>
      <c r="I5" s="106"/>
      <c r="J5" s="38"/>
      <c r="K5" s="38"/>
      <c r="L5" s="38"/>
      <c r="M5" s="38"/>
      <c r="N5" s="38"/>
      <c r="O5" s="38"/>
      <c r="P5" s="38"/>
      <c r="Q5" s="38"/>
      <c r="R5" s="38"/>
      <c r="S5" s="38"/>
      <c r="T5" s="38"/>
      <c r="U5" s="38"/>
      <c r="V5" s="38"/>
      <c r="W5" s="38"/>
      <c r="X5" s="38"/>
      <c r="Y5" s="38"/>
      <c r="Z5" s="38"/>
    </row>
    <row r="6">
      <c r="A6" s="4" t="b">
        <f>IFERROR(__xludf.DUMMYFUNCTION("""COMPUTED_VALUE"""),FALSE)</f>
        <v>0</v>
      </c>
      <c r="B6" s="4" t="str">
        <f>IFERROR(__xludf.DUMMYFUNCTION("""COMPUTED_VALUE"""),"Capitaine")</f>
        <v>Capitaine</v>
      </c>
      <c r="C6" s="13" t="str">
        <f>IFERROR(__xludf.DUMMYFUNCTION("""COMPUTED_VALUE"""),"Hakon")</f>
        <v>Hakon</v>
      </c>
      <c r="D6" s="13" t="str">
        <f>IFERROR(__xludf.DUMMYFUNCTION("""COMPUTED_VALUE"""),"Grisetoison")</f>
        <v>Grisetoison</v>
      </c>
      <c r="E6" s="4" t="str">
        <f>IFERROR(__xludf.DUMMYFUNCTION("""COMPUTED_VALUE"""),"Rivebois")</f>
        <v>Rivebois</v>
      </c>
      <c r="F6" s="5" t="str">
        <f>IFERROR(__xludf.DUMMYFUNCTION("""COMPUTED_VALUE"""),"Garde, Collecteur de la garde")</f>
        <v>Garde, Collecteur de la garde</v>
      </c>
      <c r="G6" s="4" t="str">
        <f>IFERROR(__xludf.DUMMYFUNCTION("""COMPUTED_VALUE"""),"Mort en service actif")</f>
        <v>Mort en service actif</v>
      </c>
      <c r="H6" s="4"/>
      <c r="I6" s="106"/>
      <c r="J6" s="38"/>
      <c r="K6" s="38"/>
      <c r="L6" s="38"/>
      <c r="M6" s="38"/>
      <c r="N6" s="38"/>
      <c r="O6" s="38"/>
      <c r="P6" s="38"/>
      <c r="Q6" s="38"/>
      <c r="R6" s="38"/>
      <c r="S6" s="38"/>
      <c r="T6" s="38"/>
      <c r="U6" s="38"/>
      <c r="V6" s="38"/>
      <c r="W6" s="38"/>
      <c r="X6" s="38"/>
      <c r="Y6" s="38"/>
      <c r="Z6" s="38"/>
    </row>
    <row r="7">
      <c r="A7" s="4" t="b">
        <f>IFERROR(__xludf.DUMMYFUNCTION("""COMPUTED_VALUE"""),FALSE)</f>
        <v>0</v>
      </c>
      <c r="B7" s="4" t="str">
        <f>IFERROR(__xludf.DUMMYFUNCTION("""COMPUTED_VALUE"""),"Caporal-Chef")</f>
        <v>Caporal-Chef</v>
      </c>
      <c r="C7" s="13" t="str">
        <f>IFERROR(__xludf.DUMMYFUNCTION("""COMPUTED_VALUE"""),"Lous")</f>
        <v>Lous</v>
      </c>
      <c r="D7" s="13" t="str">
        <f>IFERROR(__xludf.DUMMYFUNCTION("""COMPUTED_VALUE"""),"Bois")</f>
        <v>Bois</v>
      </c>
      <c r="E7" s="4" t="str">
        <f>IFERROR(__xludf.DUMMYFUNCTION("""COMPUTED_VALUE"""),"Rivebois")</f>
        <v>Rivebois</v>
      </c>
      <c r="F7" s="5" t="str">
        <f>IFERROR(__xludf.DUMMYFUNCTION("""COMPUTED_VALUE"""),"Garde")</f>
        <v>Garde</v>
      </c>
      <c r="G7" s="4" t="str">
        <f>IFERROR(__xludf.DUMMYFUNCTION("""COMPUTED_VALUE"""),"En service actif")</f>
        <v>En service actif</v>
      </c>
      <c r="H7" s="38"/>
      <c r="I7" s="106"/>
      <c r="J7" s="38"/>
      <c r="K7" s="38"/>
      <c r="L7" s="38"/>
      <c r="M7" s="38"/>
      <c r="N7" s="38"/>
      <c r="O7" s="38"/>
      <c r="P7" s="38"/>
      <c r="Q7" s="38"/>
      <c r="R7" s="38"/>
      <c r="S7" s="38"/>
      <c r="T7" s="38"/>
      <c r="U7" s="38"/>
      <c r="V7" s="38"/>
      <c r="W7" s="38"/>
      <c r="X7" s="38"/>
      <c r="Y7" s="38"/>
      <c r="Z7" s="38"/>
    </row>
    <row r="8">
      <c r="A8" s="4" t="b">
        <f>IFERROR(__xludf.DUMMYFUNCTION("""COMPUTED_VALUE"""),FALSE)</f>
        <v>0</v>
      </c>
      <c r="B8" s="4" t="str">
        <f>IFERROR(__xludf.DUMMYFUNCTION("""COMPUTED_VALUE"""),"Capitaine")</f>
        <v>Capitaine</v>
      </c>
      <c r="C8" s="13" t="str">
        <f>IFERROR(__xludf.DUMMYFUNCTION("""COMPUTED_VALUE"""),"Brand")</f>
        <v>Brand</v>
      </c>
      <c r="D8" s="13" t="str">
        <f>IFERROR(__xludf.DUMMYFUNCTION("""COMPUTED_VALUE"""),"Grisetoison")</f>
        <v>Grisetoison</v>
      </c>
      <c r="E8" s="4" t="str">
        <f>IFERROR(__xludf.DUMMYFUNCTION("""COMPUTED_VALUE"""),"Rivebois")</f>
        <v>Rivebois</v>
      </c>
      <c r="F8" s="5" t="str">
        <f>IFERROR(__xludf.DUMMYFUNCTION("""COMPUTED_VALUE"""),"Garde, Collecteur de la garde")</f>
        <v>Garde, Collecteur de la garde</v>
      </c>
      <c r="G8" s="4" t="str">
        <f>IFERROR(__xludf.DUMMYFUNCTION("""COMPUTED_VALUE"""),"Mort en service actif")</f>
        <v>Mort en service actif</v>
      </c>
      <c r="H8" s="38"/>
      <c r="I8" s="106"/>
      <c r="J8" s="38"/>
      <c r="K8" s="38"/>
      <c r="L8" s="38"/>
      <c r="M8" s="38"/>
      <c r="N8" s="38"/>
      <c r="O8" s="38"/>
      <c r="P8" s="38"/>
      <c r="Q8" s="38"/>
      <c r="R8" s="38"/>
      <c r="S8" s="38"/>
      <c r="T8" s="38"/>
      <c r="U8" s="38"/>
      <c r="V8" s="38"/>
      <c r="W8" s="38"/>
      <c r="X8" s="38"/>
      <c r="Y8" s="38"/>
      <c r="Z8" s="38"/>
    </row>
    <row r="9">
      <c r="A9" s="4" t="b">
        <f>IFERROR(__xludf.DUMMYFUNCTION("""COMPUTED_VALUE"""),FALSE)</f>
        <v>0</v>
      </c>
      <c r="B9" s="4" t="str">
        <f>IFERROR(__xludf.DUMMYFUNCTION("""COMPUTED_VALUE"""),"Garde")</f>
        <v>Garde</v>
      </c>
      <c r="C9" s="13" t="str">
        <f>IFERROR(__xludf.DUMMYFUNCTION("""COMPUTED_VALUE"""),"Silvius")</f>
        <v>Silvius</v>
      </c>
      <c r="D9" s="107" t="str">
        <f>IFERROR(__xludf.DUMMYFUNCTION("""COMPUTED_VALUE"""),"Varro")</f>
        <v>Varro</v>
      </c>
      <c r="E9" s="4" t="str">
        <f>IFERROR(__xludf.DUMMYFUNCTION("""COMPUTED_VALUE"""),"Rivebois")</f>
        <v>Rivebois</v>
      </c>
      <c r="F9" s="5" t="str">
        <f>IFERROR(__xludf.DUMMYFUNCTION("""COMPUTED_VALUE"""),"Garde")</f>
        <v>Garde</v>
      </c>
      <c r="G9" s="4" t="str">
        <f>IFERROR(__xludf.DUMMYFUNCTION("""COMPUTED_VALUE"""),"En service actif")</f>
        <v>En service actif</v>
      </c>
      <c r="H9" s="4"/>
      <c r="I9" s="106"/>
      <c r="J9" s="38"/>
      <c r="K9" s="38"/>
      <c r="L9" s="38"/>
      <c r="M9" s="38"/>
      <c r="N9" s="38"/>
      <c r="O9" s="38"/>
      <c r="P9" s="38"/>
      <c r="Q9" s="38"/>
      <c r="R9" s="38"/>
      <c r="S9" s="38"/>
      <c r="T9" s="38"/>
      <c r="U9" s="38"/>
      <c r="V9" s="38"/>
      <c r="W9" s="38"/>
      <c r="X9" s="38"/>
      <c r="Y9" s="38"/>
      <c r="Z9" s="38"/>
    </row>
    <row r="10">
      <c r="A10" s="38" t="b">
        <f>IFERROR(__xludf.DUMMYFUNCTION("""COMPUTED_VALUE"""),FALSE)</f>
        <v>0</v>
      </c>
      <c r="B10" s="4" t="str">
        <f>IFERROR(__xludf.DUMMYFUNCTION("""COMPUTED_VALUE"""),"Garde")</f>
        <v>Garde</v>
      </c>
      <c r="C10" s="13" t="str">
        <f>IFERROR(__xludf.DUMMYFUNCTION("""COMPUTED_VALUE"""),"Chasse-poulet")</f>
        <v>Chasse-poulet</v>
      </c>
      <c r="D10" s="13"/>
      <c r="E10" s="4" t="str">
        <f>IFERROR(__xludf.DUMMYFUNCTION("""COMPUTED_VALUE"""),"Rivebois")</f>
        <v>Rivebois</v>
      </c>
      <c r="F10" s="5" t="str">
        <f>IFERROR(__xludf.DUMMYFUNCTION("""COMPUTED_VALUE"""),"Garde")</f>
        <v>Garde</v>
      </c>
      <c r="G10" s="4" t="str">
        <f>IFERROR(__xludf.DUMMYFUNCTION("""COMPUTED_VALUE"""),"En service actif")</f>
        <v>En service actif</v>
      </c>
      <c r="H10" s="38"/>
      <c r="I10" s="106"/>
      <c r="J10" s="38"/>
      <c r="K10" s="38"/>
      <c r="L10" s="38"/>
      <c r="M10" s="38"/>
      <c r="N10" s="38"/>
      <c r="O10" s="38"/>
      <c r="P10" s="38"/>
      <c r="Q10" s="38"/>
      <c r="R10" s="38"/>
      <c r="S10" s="38"/>
      <c r="T10" s="38"/>
      <c r="U10" s="38"/>
      <c r="V10" s="38"/>
      <c r="W10" s="38"/>
      <c r="X10" s="38"/>
      <c r="Y10" s="38"/>
      <c r="Z10" s="38"/>
    </row>
    <row r="11">
      <c r="A11" s="38" t="b">
        <f>IFERROR(__xludf.DUMMYFUNCTION("""COMPUTED_VALUE"""),FALSE)</f>
        <v>0</v>
      </c>
      <c r="B11" s="4" t="str">
        <f>IFERROR(__xludf.DUMMYFUNCTION("""COMPUTED_VALUE"""),"Garde")</f>
        <v>Garde</v>
      </c>
      <c r="C11" s="13" t="str">
        <f>IFERROR(__xludf.DUMMYFUNCTION("""COMPUTED_VALUE"""),"Hrolf")</f>
        <v>Hrolf</v>
      </c>
      <c r="D11" s="15" t="str">
        <f>IFERROR(__xludf.DUMMYFUNCTION("""COMPUTED_VALUE"""),"Fine-Lame")</f>
        <v>Fine-Lame</v>
      </c>
      <c r="E11" s="4" t="str">
        <f>IFERROR(__xludf.DUMMYFUNCTION("""COMPUTED_VALUE"""),"Rivebois")</f>
        <v>Rivebois</v>
      </c>
      <c r="F11" s="5" t="str">
        <f>IFERROR(__xludf.DUMMYFUNCTION("""COMPUTED_VALUE"""),"Garde")</f>
        <v>Garde</v>
      </c>
      <c r="G11" s="4" t="str">
        <f>IFERROR(__xludf.DUMMYFUNCTION("""COMPUTED_VALUE"""),"En service actif")</f>
        <v>En service actif</v>
      </c>
      <c r="H11" s="38"/>
      <c r="I11" s="106"/>
      <c r="J11" s="38"/>
      <c r="K11" s="38"/>
      <c r="L11" s="38"/>
      <c r="M11" s="38"/>
      <c r="N11" s="38"/>
      <c r="O11" s="38"/>
      <c r="P11" s="38"/>
      <c r="Q11" s="38"/>
      <c r="R11" s="38"/>
      <c r="S11" s="38"/>
      <c r="T11" s="38"/>
      <c r="U11" s="38"/>
      <c r="V11" s="38"/>
      <c r="W11" s="38"/>
      <c r="X11" s="38"/>
      <c r="Y11" s="38"/>
      <c r="Z11" s="38"/>
    </row>
    <row r="12">
      <c r="A12" s="4" t="b">
        <f>IFERROR(__xludf.DUMMYFUNCTION("""COMPUTED_VALUE"""),FALSE)</f>
        <v>0</v>
      </c>
      <c r="B12" s="4" t="str">
        <f>IFERROR(__xludf.DUMMYFUNCTION("""COMPUTED_VALUE"""),"Caporal")</f>
        <v>Caporal</v>
      </c>
      <c r="C12" s="13" t="str">
        <f>IFERROR(__xludf.DUMMYFUNCTION("""COMPUTED_VALUE"""),"Laguerta")</f>
        <v>Laguerta</v>
      </c>
      <c r="D12" s="15" t="str">
        <f>IFERROR(__xludf.DUMMYFUNCTION("""COMPUTED_VALUE"""),"Fende-Sillon")</f>
        <v>Fende-Sillon</v>
      </c>
      <c r="E12" s="4" t="str">
        <f>IFERROR(__xludf.DUMMYFUNCTION("""COMPUTED_VALUE"""),"Rivebois")</f>
        <v>Rivebois</v>
      </c>
      <c r="F12" s="5" t="str">
        <f>IFERROR(__xludf.DUMMYFUNCTION("""COMPUTED_VALUE"""),"Garde")</f>
        <v>Garde</v>
      </c>
      <c r="G12" s="4" t="str">
        <f>IFERROR(__xludf.DUMMYFUNCTION("""COMPUTED_VALUE"""),"En service actif")</f>
        <v>En service actif</v>
      </c>
      <c r="H12" s="4"/>
      <c r="I12" s="106"/>
      <c r="J12" s="38"/>
      <c r="K12" s="38"/>
      <c r="L12" s="38"/>
      <c r="M12" s="38"/>
      <c r="N12" s="38"/>
      <c r="O12" s="38"/>
      <c r="P12" s="38"/>
      <c r="Q12" s="38"/>
      <c r="R12" s="38"/>
      <c r="S12" s="38"/>
      <c r="T12" s="38"/>
      <c r="U12" s="38"/>
      <c r="V12" s="38"/>
      <c r="W12" s="38"/>
      <c r="X12" s="38"/>
      <c r="Y12" s="38"/>
      <c r="Z12" s="38"/>
    </row>
    <row r="13">
      <c r="A13" s="4" t="b">
        <f>IFERROR(__xludf.DUMMYFUNCTION("""COMPUTED_VALUE"""),FALSE)</f>
        <v>0</v>
      </c>
      <c r="B13" s="4" t="str">
        <f>IFERROR(__xludf.DUMMYFUNCTION("""COMPUTED_VALUE"""),"Garde")</f>
        <v>Garde</v>
      </c>
      <c r="C13" s="13" t="str">
        <f>IFERROR(__xludf.DUMMYFUNCTION("""COMPUTED_VALUE"""),"Naevor")</f>
        <v>Naevor</v>
      </c>
      <c r="D13" s="15" t="str">
        <f>IFERROR(__xludf.DUMMYFUNCTION("""COMPUTED_VALUE"""),"Feuille-Sombre")</f>
        <v>Feuille-Sombre</v>
      </c>
      <c r="E13" s="4" t="str">
        <f>IFERROR(__xludf.DUMMYFUNCTION("""COMPUTED_VALUE"""),"Rivebois")</f>
        <v>Rivebois</v>
      </c>
      <c r="F13" s="5" t="str">
        <f>IFERROR(__xludf.DUMMYFUNCTION("""COMPUTED_VALUE"""),"Garde")</f>
        <v>Garde</v>
      </c>
      <c r="G13" s="4" t="str">
        <f>IFERROR(__xludf.DUMMYFUNCTION("""COMPUTED_VALUE"""),"En service actif")</f>
        <v>En service actif</v>
      </c>
      <c r="H13" s="4"/>
      <c r="I13" s="106"/>
      <c r="J13" s="38"/>
      <c r="K13" s="38"/>
      <c r="L13" s="38"/>
      <c r="M13" s="38"/>
      <c r="N13" s="38"/>
      <c r="O13" s="38"/>
      <c r="P13" s="38"/>
      <c r="Q13" s="38"/>
      <c r="R13" s="38"/>
      <c r="S13" s="38"/>
      <c r="T13" s="38"/>
      <c r="U13" s="38"/>
      <c r="V13" s="38"/>
      <c r="W13" s="38"/>
      <c r="X13" s="38"/>
      <c r="Y13" s="38"/>
      <c r="Z13" s="38"/>
    </row>
    <row r="14">
      <c r="A14" s="4" t="b">
        <f>IFERROR(__xludf.DUMMYFUNCTION("""COMPUTED_VALUE"""),FALSE)</f>
        <v>0</v>
      </c>
      <c r="B14" s="4" t="str">
        <f>IFERROR(__xludf.DUMMYFUNCTION("""COMPUTED_VALUE"""),"Lieutenant-Chef")</f>
        <v>Lieutenant-Chef</v>
      </c>
      <c r="C14" s="13" t="str">
        <f>IFERROR(__xludf.DUMMYFUNCTION("""COMPUTED_VALUE"""),"Ulfgar")</f>
        <v>Ulfgar</v>
      </c>
      <c r="D14" s="13" t="str">
        <f>IFERROR(__xludf.DUMMYFUNCTION("""COMPUTED_VALUE"""),"L'oiseau de nuit")</f>
        <v>L'oiseau de nuit</v>
      </c>
      <c r="E14" s="4" t="str">
        <f>IFERROR(__xludf.DUMMYFUNCTION("""COMPUTED_VALUE"""),"Rivebois")</f>
        <v>Rivebois</v>
      </c>
      <c r="F14" s="5" t="str">
        <f>IFERROR(__xludf.DUMMYFUNCTION("""COMPUTED_VALUE"""),"Garde")</f>
        <v>Garde</v>
      </c>
      <c r="G14" s="4" t="str">
        <f>IFERROR(__xludf.DUMMYFUNCTION("""COMPUTED_VALUE"""),"En service actif")</f>
        <v>En service actif</v>
      </c>
      <c r="H14" s="38"/>
      <c r="I14" s="106"/>
      <c r="J14" s="38"/>
      <c r="K14" s="38"/>
      <c r="L14" s="38"/>
      <c r="M14" s="38"/>
      <c r="N14" s="38"/>
      <c r="O14" s="38"/>
      <c r="P14" s="38"/>
      <c r="Q14" s="38"/>
      <c r="R14" s="38"/>
      <c r="S14" s="38"/>
      <c r="T14" s="38"/>
      <c r="U14" s="38"/>
      <c r="V14" s="38"/>
      <c r="W14" s="38"/>
      <c r="X14" s="38"/>
      <c r="Y14" s="38"/>
      <c r="Z14" s="38"/>
    </row>
    <row r="15">
      <c r="A15" s="4"/>
      <c r="B15" s="4"/>
      <c r="C15" s="13"/>
      <c r="D15" s="13"/>
      <c r="E15" s="4"/>
      <c r="F15" s="5"/>
      <c r="G15" s="4"/>
      <c r="H15" s="38"/>
      <c r="I15" s="106"/>
    </row>
    <row r="16">
      <c r="A16" s="4"/>
      <c r="B16" s="4"/>
      <c r="C16" s="13"/>
      <c r="D16" s="13"/>
      <c r="E16" s="4"/>
      <c r="F16" s="5"/>
      <c r="G16" s="4"/>
      <c r="H16" s="38"/>
      <c r="I16" s="106"/>
    </row>
    <row r="17">
      <c r="A17" s="4"/>
      <c r="B17" s="4"/>
      <c r="C17" s="13"/>
      <c r="D17" s="13"/>
      <c r="E17" s="4"/>
      <c r="F17" s="5"/>
      <c r="G17" s="4"/>
      <c r="H17" s="38"/>
      <c r="I17" s="106"/>
    </row>
    <row r="18">
      <c r="A18" s="4"/>
      <c r="B18" s="4"/>
      <c r="C18" s="13"/>
      <c r="D18" s="15"/>
      <c r="E18" s="4"/>
      <c r="F18" s="5"/>
      <c r="G18" s="4"/>
      <c r="H18" s="38"/>
      <c r="I18" s="106"/>
    </row>
    <row r="19">
      <c r="A19" s="4"/>
      <c r="B19" s="4"/>
      <c r="C19" s="13"/>
      <c r="D19" s="15"/>
      <c r="E19" s="4"/>
      <c r="F19" s="5"/>
      <c r="G19" s="4"/>
      <c r="H19" s="38"/>
      <c r="I19" s="106"/>
    </row>
    <row r="20">
      <c r="A20" s="4"/>
      <c r="B20" s="4"/>
      <c r="C20" s="13"/>
      <c r="D20" s="15"/>
      <c r="E20" s="4"/>
      <c r="F20" s="5"/>
      <c r="G20" s="4"/>
      <c r="H20" s="38"/>
      <c r="I20" s="106"/>
    </row>
    <row r="21">
      <c r="A21" s="4"/>
      <c r="B21" s="4"/>
      <c r="C21" s="13"/>
      <c r="D21" s="13"/>
      <c r="E21" s="4"/>
      <c r="F21" s="5"/>
      <c r="G21" s="4"/>
      <c r="H21" s="4"/>
      <c r="I21" s="106"/>
    </row>
    <row r="22">
      <c r="A22" s="4"/>
      <c r="B22" s="4"/>
      <c r="C22" s="13"/>
      <c r="D22" s="13"/>
      <c r="E22" s="4"/>
      <c r="F22" s="5"/>
      <c r="G22" s="4"/>
      <c r="H22" s="4"/>
      <c r="I22" s="106"/>
    </row>
    <row r="23">
      <c r="A23" s="4"/>
      <c r="B23" s="4"/>
      <c r="C23" s="13"/>
      <c r="D23" s="13"/>
      <c r="E23" s="4"/>
      <c r="F23" s="5"/>
      <c r="G23" s="4"/>
      <c r="H23" s="4"/>
      <c r="I23" s="106"/>
    </row>
    <row r="24">
      <c r="A24" s="4"/>
      <c r="B24" s="4"/>
      <c r="C24" s="13"/>
      <c r="D24" s="15"/>
      <c r="E24" s="4"/>
      <c r="F24" s="5"/>
      <c r="G24" s="4"/>
      <c r="H24" s="4"/>
      <c r="I24" s="106"/>
    </row>
    <row r="25">
      <c r="A25" s="4"/>
      <c r="B25" s="4"/>
      <c r="C25" s="13"/>
      <c r="D25" s="13"/>
      <c r="E25" s="4"/>
      <c r="F25" s="5"/>
      <c r="G25" s="4"/>
      <c r="H25" s="38"/>
      <c r="I25" s="106"/>
    </row>
    <row r="26">
      <c r="A26" s="4"/>
      <c r="B26" s="4"/>
      <c r="C26" s="13"/>
      <c r="D26" s="15"/>
      <c r="E26" s="4"/>
      <c r="F26" s="5"/>
      <c r="G26" s="4"/>
      <c r="H26" s="38"/>
      <c r="I26" s="106"/>
    </row>
    <row r="27">
      <c r="A27" s="4"/>
      <c r="B27" s="4"/>
      <c r="C27" s="13"/>
      <c r="D27" s="15"/>
      <c r="E27" s="4"/>
      <c r="F27" s="5"/>
      <c r="G27" s="4"/>
      <c r="H27" s="38"/>
      <c r="I27" s="106"/>
    </row>
    <row r="28">
      <c r="A28" s="4"/>
      <c r="B28" s="4"/>
      <c r="C28" s="13"/>
      <c r="D28" s="13"/>
      <c r="E28" s="4"/>
      <c r="F28" s="5"/>
      <c r="G28" s="4"/>
      <c r="H28" s="38"/>
      <c r="I28" s="106"/>
    </row>
    <row r="29">
      <c r="A29" s="4"/>
      <c r="B29" s="4"/>
      <c r="C29" s="13"/>
      <c r="D29" s="13"/>
      <c r="E29" s="4"/>
      <c r="F29" s="5"/>
      <c r="G29" s="4"/>
      <c r="H29" s="38"/>
      <c r="I29" s="106"/>
    </row>
    <row r="30">
      <c r="A30" s="4"/>
      <c r="B30" s="4"/>
      <c r="C30" s="13"/>
      <c r="D30" s="15"/>
      <c r="E30" s="4"/>
      <c r="F30" s="5"/>
      <c r="G30" s="4"/>
      <c r="H30" s="38"/>
      <c r="I30" s="106"/>
    </row>
    <row r="31">
      <c r="A31" s="4"/>
      <c r="B31" s="4"/>
      <c r="C31" s="13"/>
      <c r="D31" s="15"/>
      <c r="E31" s="4"/>
      <c r="F31" s="5"/>
      <c r="G31" s="4"/>
      <c r="H31" s="38"/>
      <c r="I31" s="106"/>
    </row>
    <row r="32">
      <c r="A32" s="4"/>
      <c r="B32" s="4"/>
      <c r="C32" s="13"/>
      <c r="D32" s="13"/>
      <c r="E32" s="4"/>
      <c r="F32" s="5"/>
      <c r="G32" s="4"/>
      <c r="H32" s="38"/>
      <c r="I32" s="106"/>
    </row>
    <row r="33">
      <c r="A33" s="4"/>
      <c r="B33" s="4"/>
      <c r="C33" s="13"/>
      <c r="D33" s="13"/>
      <c r="E33" s="4"/>
      <c r="F33" s="5"/>
      <c r="G33" s="4"/>
      <c r="H33" s="38"/>
      <c r="I33" s="106"/>
    </row>
    <row r="34">
      <c r="A34" s="38"/>
      <c r="B34" s="4"/>
      <c r="C34" s="13"/>
      <c r="D34" s="15"/>
      <c r="E34" s="4"/>
      <c r="F34" s="5"/>
      <c r="G34" s="4"/>
      <c r="H34" s="38"/>
      <c r="I34" s="106"/>
    </row>
    <row r="35">
      <c r="A35" s="4"/>
      <c r="B35" s="4"/>
      <c r="C35" s="13"/>
      <c r="D35" s="15"/>
      <c r="E35" s="4"/>
      <c r="F35" s="5"/>
      <c r="G35" s="4"/>
      <c r="H35" s="38"/>
      <c r="I35" s="106"/>
    </row>
    <row r="36">
      <c r="A36" s="4"/>
      <c r="B36" s="4"/>
      <c r="C36" s="13"/>
      <c r="D36" s="13"/>
      <c r="E36" s="4"/>
      <c r="F36" s="5"/>
      <c r="G36" s="4"/>
      <c r="H36" s="38"/>
      <c r="I36" s="106"/>
    </row>
    <row r="37">
      <c r="A37" s="38"/>
      <c r="B37" s="4"/>
      <c r="C37" s="13"/>
      <c r="D37" s="13"/>
      <c r="E37" s="4"/>
      <c r="F37" s="5"/>
      <c r="G37" s="4"/>
      <c r="H37" s="38"/>
      <c r="I37" s="106"/>
    </row>
    <row r="38">
      <c r="A38" s="38"/>
      <c r="B38" s="4"/>
      <c r="C38" s="13"/>
      <c r="D38" s="13"/>
      <c r="E38" s="4"/>
      <c r="F38" s="5"/>
      <c r="G38" s="4"/>
      <c r="H38" s="38"/>
      <c r="I38" s="106"/>
    </row>
    <row r="39">
      <c r="A39" s="38"/>
      <c r="B39" s="4"/>
      <c r="C39" s="13"/>
      <c r="D39" s="15"/>
      <c r="E39" s="4"/>
      <c r="F39" s="5"/>
      <c r="G39" s="4"/>
      <c r="H39" s="38"/>
      <c r="I39" s="106"/>
    </row>
    <row r="40">
      <c r="A40" s="38"/>
      <c r="B40" s="4"/>
      <c r="C40" s="13"/>
      <c r="D40" s="15"/>
      <c r="E40" s="4"/>
      <c r="F40" s="5"/>
      <c r="G40" s="4"/>
      <c r="H40" s="4"/>
      <c r="I40" s="106"/>
    </row>
    <row r="41">
      <c r="A41" s="38"/>
      <c r="B41" s="38"/>
      <c r="C41" s="15"/>
      <c r="D41" s="15"/>
      <c r="E41" s="38"/>
      <c r="F41" s="38"/>
      <c r="G41" s="38"/>
      <c r="H41" s="38"/>
      <c r="I41" s="106"/>
    </row>
    <row r="42">
      <c r="A42" s="38"/>
      <c r="B42" s="38"/>
      <c r="C42" s="15"/>
      <c r="D42" s="15"/>
      <c r="E42" s="38"/>
      <c r="F42" s="38"/>
      <c r="G42" s="38"/>
      <c r="H42" s="38"/>
      <c r="I42" s="106"/>
    </row>
    <row r="43">
      <c r="A43" s="38"/>
      <c r="B43" s="38"/>
      <c r="C43" s="15"/>
      <c r="D43" s="15"/>
      <c r="E43" s="38"/>
      <c r="F43" s="38"/>
      <c r="G43" s="38"/>
      <c r="H43" s="38"/>
      <c r="I43" s="106"/>
    </row>
    <row r="44">
      <c r="A44" s="38"/>
      <c r="B44" s="38"/>
      <c r="C44" s="15"/>
      <c r="D44" s="15"/>
      <c r="E44" s="38"/>
      <c r="F44" s="38"/>
      <c r="G44" s="38"/>
      <c r="H44" s="38"/>
      <c r="I44" s="106"/>
    </row>
    <row r="45">
      <c r="A45" s="38"/>
      <c r="B45" s="38"/>
      <c r="C45" s="15"/>
      <c r="D45" s="15"/>
      <c r="E45" s="38"/>
      <c r="F45" s="38"/>
      <c r="G45" s="38"/>
      <c r="H45" s="38"/>
      <c r="I45" s="106"/>
    </row>
    <row r="46">
      <c r="A46" s="38"/>
      <c r="B46" s="38"/>
      <c r="C46" s="15"/>
      <c r="D46" s="15"/>
      <c r="E46" s="38"/>
      <c r="F46" s="38"/>
      <c r="G46" s="38"/>
      <c r="H46" s="38"/>
      <c r="I46" s="108"/>
    </row>
    <row r="47">
      <c r="A47" s="38"/>
      <c r="B47" s="38"/>
      <c r="C47" s="15"/>
      <c r="D47" s="15"/>
      <c r="E47" s="38"/>
      <c r="F47" s="38"/>
      <c r="G47" s="38"/>
      <c r="H47" s="38"/>
      <c r="I47" s="108"/>
    </row>
    <row r="48">
      <c r="A48" s="38"/>
      <c r="B48" s="38"/>
      <c r="C48" s="15"/>
      <c r="D48" s="15"/>
      <c r="E48" s="38"/>
      <c r="F48" s="38"/>
      <c r="G48" s="38"/>
      <c r="H48" s="38"/>
      <c r="I48" s="108"/>
    </row>
    <row r="49">
      <c r="A49" s="38"/>
      <c r="B49" s="38"/>
      <c r="C49" s="15"/>
      <c r="D49" s="15"/>
      <c r="E49" s="38"/>
      <c r="F49" s="38"/>
      <c r="G49" s="38"/>
      <c r="H49" s="38"/>
      <c r="I49" s="108"/>
    </row>
    <row r="50">
      <c r="A50" s="38"/>
      <c r="B50" s="38"/>
      <c r="C50" s="15"/>
      <c r="D50" s="15"/>
      <c r="E50" s="38"/>
      <c r="F50" s="38"/>
      <c r="G50" s="38"/>
      <c r="H50" s="38"/>
      <c r="I50" s="108"/>
    </row>
    <row r="51">
      <c r="A51" s="38"/>
      <c r="B51" s="38"/>
      <c r="C51" s="15"/>
      <c r="D51" s="15"/>
      <c r="E51" s="38"/>
      <c r="F51" s="38"/>
      <c r="G51" s="38"/>
      <c r="H51" s="38"/>
      <c r="I51" s="108"/>
    </row>
    <row r="52">
      <c r="A52" s="38"/>
      <c r="B52" s="38"/>
      <c r="C52" s="15"/>
      <c r="D52" s="15"/>
      <c r="E52" s="38"/>
      <c r="F52" s="38"/>
      <c r="G52" s="38"/>
      <c r="H52" s="38"/>
      <c r="I52" s="108"/>
    </row>
    <row r="53">
      <c r="A53" s="38"/>
      <c r="B53" s="38"/>
      <c r="C53" s="15"/>
      <c r="D53" s="15"/>
      <c r="E53" s="38"/>
      <c r="F53" s="38"/>
      <c r="G53" s="38"/>
      <c r="H53" s="38"/>
      <c r="I53" s="108"/>
    </row>
    <row r="54">
      <c r="A54" s="38"/>
      <c r="B54" s="38"/>
      <c r="C54" s="15"/>
      <c r="D54" s="15"/>
      <c r="E54" s="38"/>
      <c r="F54" s="38"/>
      <c r="G54" s="38"/>
      <c r="H54" s="38"/>
      <c r="I54" s="108"/>
    </row>
    <row r="55">
      <c r="A55" s="38"/>
      <c r="B55" s="38"/>
      <c r="C55" s="15"/>
      <c r="D55" s="15"/>
      <c r="E55" s="38"/>
      <c r="F55" s="38"/>
      <c r="G55" s="38"/>
      <c r="H55" s="38"/>
      <c r="I55" s="108"/>
    </row>
    <row r="56">
      <c r="A56" s="38"/>
      <c r="B56" s="38"/>
      <c r="C56" s="15"/>
      <c r="D56" s="15"/>
      <c r="E56" s="38"/>
      <c r="F56" s="38"/>
      <c r="G56" s="38"/>
      <c r="H56" s="38"/>
      <c r="I56" s="108"/>
    </row>
    <row r="57">
      <c r="A57" s="38"/>
      <c r="B57" s="38"/>
      <c r="C57" s="15"/>
      <c r="D57" s="15"/>
      <c r="E57" s="38"/>
      <c r="F57" s="38"/>
      <c r="G57" s="38"/>
      <c r="H57" s="38"/>
      <c r="I57" s="108"/>
    </row>
    <row r="58">
      <c r="A58" s="38"/>
      <c r="B58" s="38"/>
      <c r="C58" s="15"/>
      <c r="D58" s="15"/>
      <c r="E58" s="38"/>
      <c r="F58" s="38"/>
      <c r="G58" s="38"/>
      <c r="H58" s="38"/>
      <c r="I58" s="108"/>
    </row>
    <row r="59">
      <c r="A59" s="38"/>
      <c r="B59" s="38"/>
      <c r="C59" s="15"/>
      <c r="D59" s="15"/>
      <c r="E59" s="38"/>
      <c r="F59" s="38"/>
      <c r="G59" s="38"/>
      <c r="H59" s="38"/>
      <c r="I59" s="108"/>
    </row>
    <row r="60">
      <c r="A60" s="38"/>
      <c r="B60" s="38"/>
      <c r="C60" s="15"/>
      <c r="D60" s="15"/>
      <c r="E60" s="38"/>
      <c r="F60" s="38"/>
      <c r="G60" s="38"/>
      <c r="H60" s="38"/>
      <c r="I60" s="108"/>
    </row>
    <row r="61">
      <c r="A61" s="38"/>
      <c r="B61" s="38"/>
      <c r="C61" s="15"/>
      <c r="D61" s="15"/>
      <c r="E61" s="38"/>
      <c r="F61" s="38"/>
      <c r="G61" s="38"/>
      <c r="H61" s="38"/>
      <c r="I61" s="108"/>
    </row>
    <row r="62">
      <c r="A62" s="38"/>
      <c r="B62" s="38"/>
      <c r="C62" s="15"/>
      <c r="D62" s="15"/>
      <c r="E62" s="38"/>
      <c r="F62" s="38"/>
      <c r="G62" s="38"/>
      <c r="H62" s="38"/>
      <c r="I62" s="108"/>
    </row>
    <row r="63">
      <c r="A63" s="38"/>
      <c r="B63" s="38"/>
      <c r="C63" s="15"/>
      <c r="D63" s="15"/>
      <c r="E63" s="38"/>
      <c r="F63" s="38"/>
      <c r="G63" s="38"/>
      <c r="H63" s="38"/>
      <c r="I63" s="108"/>
    </row>
    <row r="64">
      <c r="A64" s="38"/>
      <c r="B64" s="38"/>
      <c r="C64" s="15"/>
      <c r="D64" s="15"/>
      <c r="E64" s="38"/>
      <c r="F64" s="38"/>
      <c r="G64" s="38"/>
      <c r="H64" s="38"/>
      <c r="I64" s="108"/>
    </row>
    <row r="65">
      <c r="A65" s="38"/>
      <c r="B65" s="38"/>
      <c r="C65" s="15"/>
      <c r="D65" s="15"/>
      <c r="E65" s="38"/>
      <c r="F65" s="38"/>
      <c r="G65" s="38"/>
      <c r="H65" s="38"/>
      <c r="I65" s="108"/>
    </row>
    <row r="66">
      <c r="A66" s="38"/>
      <c r="B66" s="38"/>
      <c r="C66" s="15"/>
      <c r="D66" s="15"/>
      <c r="E66" s="38"/>
      <c r="F66" s="38"/>
      <c r="G66" s="38"/>
      <c r="H66" s="38"/>
      <c r="I66" s="108"/>
    </row>
    <row r="67">
      <c r="A67" s="38"/>
      <c r="B67" s="38"/>
      <c r="C67" s="15"/>
      <c r="D67" s="15"/>
      <c r="E67" s="38"/>
      <c r="F67" s="38"/>
      <c r="G67" s="38"/>
      <c r="H67" s="38"/>
      <c r="I67" s="108"/>
    </row>
    <row r="68">
      <c r="A68" s="38"/>
      <c r="B68" s="38"/>
      <c r="C68" s="15"/>
      <c r="D68" s="15"/>
      <c r="E68" s="38"/>
      <c r="F68" s="38"/>
      <c r="G68" s="38"/>
      <c r="H68" s="38"/>
      <c r="I68" s="108"/>
    </row>
    <row r="69">
      <c r="A69" s="38"/>
      <c r="B69" s="38"/>
      <c r="C69" s="15"/>
      <c r="D69" s="15"/>
      <c r="E69" s="38"/>
      <c r="F69" s="38"/>
      <c r="G69" s="38"/>
      <c r="H69" s="38"/>
      <c r="I69" s="108"/>
    </row>
    <row r="70">
      <c r="A70" s="38"/>
      <c r="B70" s="38"/>
      <c r="C70" s="15"/>
      <c r="D70" s="15"/>
      <c r="E70" s="38"/>
      <c r="F70" s="38"/>
      <c r="G70" s="38"/>
      <c r="H70" s="38"/>
      <c r="I70" s="108"/>
    </row>
    <row r="71">
      <c r="A71" s="38"/>
      <c r="B71" s="38"/>
      <c r="C71" s="15"/>
      <c r="D71" s="15"/>
      <c r="E71" s="38"/>
      <c r="F71" s="38"/>
      <c r="G71" s="38"/>
      <c r="H71" s="38"/>
      <c r="I71" s="108"/>
    </row>
    <row r="72">
      <c r="A72" s="38"/>
      <c r="B72" s="38"/>
      <c r="C72" s="15"/>
      <c r="D72" s="15"/>
      <c r="E72" s="38"/>
      <c r="F72" s="38"/>
      <c r="G72" s="38"/>
      <c r="H72" s="38"/>
      <c r="I72" s="108"/>
    </row>
    <row r="73">
      <c r="A73" s="38"/>
      <c r="B73" s="38"/>
      <c r="C73" s="15"/>
      <c r="D73" s="15"/>
      <c r="E73" s="38"/>
      <c r="F73" s="38"/>
      <c r="G73" s="38"/>
      <c r="H73" s="38"/>
      <c r="I73" s="108"/>
    </row>
    <row r="74">
      <c r="A74" s="38"/>
      <c r="B74" s="38"/>
      <c r="C74" s="15"/>
      <c r="D74" s="15"/>
      <c r="E74" s="38"/>
      <c r="F74" s="38"/>
      <c r="G74" s="38"/>
      <c r="H74" s="38"/>
      <c r="I74" s="108"/>
    </row>
    <row r="75">
      <c r="A75" s="38"/>
      <c r="B75" s="38"/>
      <c r="C75" s="15"/>
      <c r="D75" s="15"/>
      <c r="E75" s="38"/>
      <c r="F75" s="38"/>
      <c r="G75" s="38"/>
      <c r="H75" s="38"/>
      <c r="I75" s="108"/>
    </row>
    <row r="76">
      <c r="A76" s="38"/>
      <c r="B76" s="38"/>
      <c r="C76" s="15"/>
      <c r="D76" s="15"/>
      <c r="E76" s="38"/>
      <c r="F76" s="38"/>
      <c r="G76" s="38"/>
      <c r="H76" s="38"/>
      <c r="I76" s="108"/>
    </row>
    <row r="77">
      <c r="A77" s="38"/>
      <c r="B77" s="38"/>
      <c r="C77" s="15"/>
      <c r="D77" s="15"/>
      <c r="E77" s="38"/>
      <c r="F77" s="38"/>
      <c r="G77" s="38"/>
      <c r="H77" s="38"/>
      <c r="I77" s="108"/>
    </row>
    <row r="78">
      <c r="A78" s="38"/>
      <c r="B78" s="38"/>
      <c r="C78" s="15"/>
      <c r="D78" s="15"/>
      <c r="E78" s="38"/>
      <c r="F78" s="38"/>
      <c r="G78" s="38"/>
      <c r="H78" s="38"/>
      <c r="I78" s="108"/>
    </row>
    <row r="79">
      <c r="A79" s="38"/>
      <c r="B79" s="38"/>
      <c r="C79" s="15"/>
      <c r="D79" s="15"/>
      <c r="E79" s="38"/>
      <c r="F79" s="38"/>
      <c r="G79" s="38"/>
      <c r="H79" s="38"/>
      <c r="I79" s="108"/>
    </row>
    <row r="80">
      <c r="A80" s="38"/>
      <c r="B80" s="38"/>
      <c r="C80" s="15"/>
      <c r="D80" s="15"/>
      <c r="E80" s="38"/>
      <c r="F80" s="38"/>
      <c r="G80" s="38"/>
      <c r="H80" s="38"/>
      <c r="I80" s="108"/>
    </row>
    <row r="81">
      <c r="A81" s="38"/>
      <c r="B81" s="38"/>
      <c r="C81" s="15"/>
      <c r="D81" s="15"/>
      <c r="E81" s="38"/>
      <c r="F81" s="38"/>
      <c r="G81" s="38"/>
      <c r="H81" s="38"/>
      <c r="I81" s="108"/>
    </row>
    <row r="82">
      <c r="A82" s="38"/>
      <c r="B82" s="38"/>
      <c r="C82" s="15"/>
      <c r="D82" s="15"/>
      <c r="E82" s="38"/>
      <c r="F82" s="38"/>
      <c r="G82" s="38"/>
      <c r="H82" s="38"/>
      <c r="I82" s="108"/>
    </row>
    <row r="83">
      <c r="A83" s="38"/>
      <c r="B83" s="38"/>
      <c r="C83" s="15"/>
      <c r="D83" s="15"/>
      <c r="E83" s="38"/>
      <c r="F83" s="38"/>
      <c r="G83" s="38"/>
      <c r="H83" s="38"/>
      <c r="I83" s="108"/>
    </row>
    <row r="84">
      <c r="A84" s="38"/>
      <c r="B84" s="38"/>
      <c r="C84" s="15"/>
      <c r="D84" s="15"/>
      <c r="E84" s="38"/>
      <c r="F84" s="38"/>
      <c r="G84" s="38"/>
      <c r="H84" s="38"/>
      <c r="I84" s="108"/>
    </row>
    <row r="85">
      <c r="A85" s="38"/>
      <c r="B85" s="38"/>
      <c r="C85" s="15"/>
      <c r="D85" s="15"/>
      <c r="E85" s="38"/>
      <c r="F85" s="38"/>
      <c r="G85" s="38"/>
      <c r="H85" s="38"/>
      <c r="I85" s="108"/>
    </row>
    <row r="86">
      <c r="A86" s="38"/>
      <c r="B86" s="38"/>
      <c r="C86" s="15"/>
      <c r="D86" s="15"/>
      <c r="E86" s="38"/>
      <c r="F86" s="38"/>
      <c r="G86" s="38"/>
      <c r="H86" s="38"/>
      <c r="I86" s="108"/>
    </row>
    <row r="87">
      <c r="A87" s="38"/>
      <c r="B87" s="38"/>
      <c r="C87" s="15"/>
      <c r="D87" s="15"/>
      <c r="E87" s="38"/>
      <c r="F87" s="38"/>
      <c r="G87" s="38"/>
      <c r="H87" s="38"/>
      <c r="I87" s="108"/>
    </row>
    <row r="88">
      <c r="A88" s="38"/>
      <c r="B88" s="38"/>
      <c r="C88" s="15"/>
      <c r="D88" s="15"/>
      <c r="E88" s="38"/>
      <c r="F88" s="38"/>
      <c r="G88" s="38"/>
      <c r="H88" s="38"/>
      <c r="I88" s="108"/>
    </row>
    <row r="89">
      <c r="A89" s="38"/>
      <c r="B89" s="38"/>
      <c r="C89" s="15"/>
      <c r="D89" s="15"/>
      <c r="E89" s="38"/>
      <c r="F89" s="38"/>
      <c r="G89" s="38"/>
      <c r="H89" s="38"/>
      <c r="I89" s="108"/>
    </row>
    <row r="90">
      <c r="A90" s="38"/>
      <c r="B90" s="38"/>
      <c r="C90" s="15"/>
      <c r="D90" s="15"/>
      <c r="E90" s="38"/>
      <c r="F90" s="38"/>
      <c r="G90" s="38"/>
      <c r="H90" s="38"/>
      <c r="I90" s="108"/>
    </row>
    <row r="91">
      <c r="A91" s="38"/>
      <c r="B91" s="38"/>
      <c r="C91" s="15"/>
      <c r="D91" s="15"/>
      <c r="E91" s="38"/>
      <c r="F91" s="38"/>
      <c r="G91" s="38"/>
      <c r="H91" s="38"/>
      <c r="I91" s="108"/>
    </row>
    <row r="92">
      <c r="A92" s="38"/>
      <c r="B92" s="38"/>
      <c r="C92" s="15"/>
      <c r="D92" s="15"/>
      <c r="E92" s="38"/>
      <c r="F92" s="38"/>
      <c r="G92" s="38"/>
      <c r="H92" s="38"/>
      <c r="I92" s="108"/>
    </row>
    <row r="93">
      <c r="A93" s="38"/>
      <c r="B93" s="38"/>
      <c r="C93" s="15"/>
      <c r="D93" s="15"/>
      <c r="E93" s="38"/>
      <c r="F93" s="38"/>
      <c r="G93" s="38"/>
      <c r="H93" s="38"/>
      <c r="I93" s="108"/>
    </row>
    <row r="94">
      <c r="A94" s="38"/>
      <c r="B94" s="38"/>
      <c r="C94" s="15"/>
      <c r="D94" s="15"/>
      <c r="E94" s="38"/>
      <c r="F94" s="38"/>
      <c r="G94" s="38"/>
      <c r="H94" s="38"/>
      <c r="I94" s="108"/>
    </row>
    <row r="95">
      <c r="A95" s="38"/>
      <c r="B95" s="38"/>
      <c r="C95" s="15"/>
      <c r="D95" s="15"/>
      <c r="E95" s="38"/>
      <c r="F95" s="38"/>
      <c r="G95" s="38"/>
      <c r="H95" s="38"/>
      <c r="I95" s="108"/>
    </row>
    <row r="96">
      <c r="A96" s="38"/>
      <c r="B96" s="38"/>
      <c r="C96" s="15"/>
      <c r="D96" s="15"/>
      <c r="E96" s="38"/>
      <c r="F96" s="38"/>
      <c r="G96" s="38"/>
      <c r="H96" s="38"/>
      <c r="I96" s="108"/>
    </row>
    <row r="97">
      <c r="A97" s="38"/>
      <c r="B97" s="38"/>
      <c r="C97" s="15"/>
      <c r="D97" s="15"/>
      <c r="E97" s="38"/>
      <c r="F97" s="38"/>
      <c r="G97" s="38"/>
      <c r="H97" s="38"/>
      <c r="I97" s="108"/>
    </row>
    <row r="98">
      <c r="A98" s="38"/>
      <c r="B98" s="38"/>
      <c r="C98" s="15"/>
      <c r="D98" s="15"/>
      <c r="E98" s="38"/>
      <c r="F98" s="38"/>
      <c r="G98" s="38"/>
      <c r="H98" s="38"/>
      <c r="I98" s="108"/>
    </row>
    <row r="99">
      <c r="A99" s="38"/>
      <c r="B99" s="38"/>
      <c r="C99" s="15"/>
      <c r="D99" s="15"/>
      <c r="E99" s="38"/>
      <c r="F99" s="38"/>
      <c r="G99" s="38"/>
      <c r="H99" s="38"/>
      <c r="I99" s="108"/>
    </row>
    <row r="100">
      <c r="A100" s="38"/>
      <c r="B100" s="38"/>
      <c r="C100" s="15"/>
      <c r="D100" s="15"/>
      <c r="E100" s="38"/>
      <c r="F100" s="38"/>
      <c r="G100" s="38"/>
      <c r="H100" s="38"/>
      <c r="I100" s="108"/>
    </row>
    <row r="101">
      <c r="A101" s="38"/>
      <c r="B101" s="38"/>
      <c r="C101" s="15"/>
      <c r="D101" s="15"/>
      <c r="E101" s="38"/>
      <c r="F101" s="38"/>
      <c r="G101" s="38"/>
      <c r="H101" s="38"/>
      <c r="I101" s="108"/>
    </row>
    <row r="102">
      <c r="A102" s="38"/>
      <c r="B102" s="38"/>
      <c r="C102" s="15"/>
      <c r="D102" s="15"/>
      <c r="E102" s="38"/>
      <c r="F102" s="38"/>
      <c r="G102" s="38"/>
      <c r="H102" s="38"/>
      <c r="I102" s="108"/>
    </row>
    <row r="103">
      <c r="A103" s="38"/>
      <c r="B103" s="38"/>
      <c r="C103" s="15"/>
      <c r="D103" s="15"/>
      <c r="E103" s="38"/>
      <c r="F103" s="38"/>
      <c r="G103" s="38"/>
      <c r="H103" s="38"/>
      <c r="I103" s="108"/>
    </row>
    <row r="104">
      <c r="A104" s="38"/>
      <c r="B104" s="38"/>
      <c r="C104" s="15"/>
      <c r="D104" s="15"/>
      <c r="E104" s="38"/>
      <c r="F104" s="38"/>
      <c r="G104" s="38"/>
      <c r="H104" s="38"/>
      <c r="I104" s="108"/>
    </row>
    <row r="105">
      <c r="A105" s="38"/>
      <c r="B105" s="38"/>
      <c r="C105" s="15"/>
      <c r="D105" s="15"/>
      <c r="E105" s="38"/>
      <c r="F105" s="38"/>
      <c r="G105" s="38"/>
      <c r="H105" s="38"/>
      <c r="I105" s="108"/>
    </row>
    <row r="106">
      <c r="A106" s="38"/>
      <c r="B106" s="38"/>
      <c r="C106" s="15"/>
      <c r="D106" s="15"/>
      <c r="E106" s="38"/>
      <c r="F106" s="38"/>
      <c r="G106" s="38"/>
      <c r="H106" s="38"/>
      <c r="I106" s="108"/>
    </row>
    <row r="107">
      <c r="A107" s="38"/>
      <c r="B107" s="38"/>
      <c r="C107" s="15"/>
      <c r="D107" s="15"/>
      <c r="E107" s="38"/>
      <c r="F107" s="38"/>
      <c r="G107" s="38"/>
      <c r="H107" s="38"/>
      <c r="I107" s="108"/>
    </row>
    <row r="108">
      <c r="A108" s="38"/>
      <c r="B108" s="38"/>
      <c r="C108" s="15"/>
      <c r="D108" s="15"/>
      <c r="E108" s="38"/>
      <c r="F108" s="38"/>
      <c r="G108" s="38"/>
      <c r="H108" s="38"/>
      <c r="I108" s="108"/>
    </row>
    <row r="109">
      <c r="A109" s="38"/>
      <c r="B109" s="38"/>
      <c r="C109" s="15"/>
      <c r="D109" s="15"/>
      <c r="E109" s="38"/>
      <c r="F109" s="38"/>
      <c r="G109" s="38"/>
      <c r="H109" s="38"/>
      <c r="I109" s="108"/>
    </row>
    <row r="110">
      <c r="A110" s="38"/>
      <c r="B110" s="38"/>
      <c r="C110" s="15"/>
      <c r="D110" s="15"/>
      <c r="E110" s="38"/>
      <c r="F110" s="38"/>
      <c r="G110" s="38"/>
      <c r="H110" s="38"/>
      <c r="I110" s="108"/>
    </row>
    <row r="111">
      <c r="A111" s="38"/>
      <c r="B111" s="38"/>
      <c r="C111" s="15"/>
      <c r="D111" s="15"/>
      <c r="E111" s="38"/>
      <c r="F111" s="38"/>
      <c r="G111" s="38"/>
      <c r="H111" s="38"/>
      <c r="I111" s="108"/>
    </row>
    <row r="112">
      <c r="A112" s="38"/>
      <c r="B112" s="38"/>
      <c r="C112" s="15"/>
      <c r="D112" s="15"/>
      <c r="E112" s="38"/>
      <c r="F112" s="38"/>
      <c r="G112" s="38"/>
      <c r="H112" s="38"/>
      <c r="I112" s="108"/>
    </row>
    <row r="113">
      <c r="A113" s="38"/>
      <c r="B113" s="38"/>
      <c r="C113" s="15"/>
      <c r="D113" s="15"/>
      <c r="E113" s="38"/>
      <c r="F113" s="38"/>
      <c r="G113" s="38"/>
      <c r="H113" s="38"/>
      <c r="I113" s="108"/>
    </row>
    <row r="114">
      <c r="A114" s="38"/>
      <c r="B114" s="38"/>
      <c r="C114" s="15"/>
      <c r="D114" s="15"/>
      <c r="E114" s="38"/>
      <c r="F114" s="38"/>
      <c r="G114" s="38"/>
      <c r="H114" s="38"/>
      <c r="I114" s="108"/>
    </row>
    <row r="115">
      <c r="A115" s="38"/>
      <c r="B115" s="38"/>
      <c r="C115" s="15"/>
      <c r="D115" s="15"/>
      <c r="E115" s="38"/>
      <c r="F115" s="38"/>
      <c r="G115" s="38"/>
      <c r="H115" s="38"/>
      <c r="I115" s="108"/>
    </row>
    <row r="116">
      <c r="A116" s="38"/>
      <c r="B116" s="38"/>
      <c r="C116" s="15"/>
      <c r="D116" s="15"/>
      <c r="E116" s="38"/>
      <c r="F116" s="38"/>
      <c r="G116" s="38"/>
      <c r="H116" s="38"/>
      <c r="I116" s="108"/>
    </row>
    <row r="117">
      <c r="A117" s="38"/>
      <c r="B117" s="38"/>
      <c r="C117" s="15"/>
      <c r="D117" s="15"/>
      <c r="E117" s="38"/>
      <c r="F117" s="38"/>
      <c r="G117" s="38"/>
      <c r="H117" s="38"/>
      <c r="I117" s="108"/>
    </row>
    <row r="118">
      <c r="A118" s="38"/>
      <c r="B118" s="38"/>
      <c r="C118" s="15"/>
      <c r="D118" s="15"/>
      <c r="E118" s="38"/>
      <c r="F118" s="38"/>
      <c r="G118" s="38"/>
      <c r="H118" s="38"/>
      <c r="I118" s="108"/>
    </row>
    <row r="119">
      <c r="A119" s="38"/>
      <c r="B119" s="38"/>
      <c r="C119" s="15"/>
      <c r="D119" s="15"/>
      <c r="E119" s="38"/>
      <c r="F119" s="38"/>
      <c r="G119" s="38"/>
      <c r="H119" s="38"/>
      <c r="I119" s="108"/>
    </row>
    <row r="120">
      <c r="A120" s="38"/>
      <c r="B120" s="38"/>
      <c r="C120" s="15"/>
      <c r="D120" s="15"/>
      <c r="E120" s="38"/>
      <c r="F120" s="38"/>
      <c r="G120" s="38"/>
      <c r="H120" s="38"/>
      <c r="I120" s="108"/>
    </row>
    <row r="121">
      <c r="A121" s="38"/>
      <c r="B121" s="38"/>
      <c r="C121" s="15"/>
      <c r="D121" s="15"/>
      <c r="E121" s="38"/>
      <c r="F121" s="38"/>
      <c r="G121" s="38"/>
      <c r="H121" s="38"/>
      <c r="I121" s="108"/>
    </row>
    <row r="122">
      <c r="A122" s="38"/>
      <c r="B122" s="38"/>
      <c r="C122" s="15"/>
      <c r="D122" s="15"/>
      <c r="E122" s="38"/>
      <c r="F122" s="38"/>
      <c r="G122" s="38"/>
      <c r="H122" s="38"/>
      <c r="I122" s="108"/>
    </row>
    <row r="123">
      <c r="A123" s="38"/>
      <c r="B123" s="38"/>
      <c r="C123" s="15"/>
      <c r="D123" s="15"/>
      <c r="E123" s="38"/>
      <c r="F123" s="38"/>
      <c r="G123" s="38"/>
      <c r="H123" s="38"/>
      <c r="I123" s="108"/>
    </row>
    <row r="124">
      <c r="A124" s="38"/>
      <c r="B124" s="38"/>
      <c r="C124" s="15"/>
      <c r="D124" s="15"/>
      <c r="E124" s="38"/>
      <c r="F124" s="38"/>
      <c r="G124" s="38"/>
      <c r="H124" s="38"/>
      <c r="I124" s="108"/>
    </row>
    <row r="125">
      <c r="A125" s="38"/>
      <c r="B125" s="38"/>
      <c r="C125" s="15"/>
      <c r="D125" s="15"/>
      <c r="E125" s="38"/>
      <c r="F125" s="38"/>
      <c r="G125" s="38"/>
      <c r="H125" s="38"/>
      <c r="I125" s="108"/>
    </row>
    <row r="126">
      <c r="A126" s="38"/>
      <c r="B126" s="38"/>
      <c r="C126" s="15"/>
      <c r="D126" s="15"/>
      <c r="E126" s="38"/>
      <c r="F126" s="38"/>
      <c r="G126" s="38"/>
      <c r="H126" s="38"/>
      <c r="I126" s="108"/>
    </row>
    <row r="127">
      <c r="A127" s="38"/>
      <c r="B127" s="38"/>
      <c r="C127" s="15"/>
      <c r="D127" s="15"/>
      <c r="E127" s="38"/>
      <c r="F127" s="38"/>
      <c r="G127" s="38"/>
      <c r="H127" s="38"/>
      <c r="I127" s="108"/>
    </row>
    <row r="128">
      <c r="A128" s="38"/>
      <c r="B128" s="38"/>
      <c r="C128" s="15"/>
      <c r="D128" s="15"/>
      <c r="E128" s="38"/>
      <c r="F128" s="38"/>
      <c r="G128" s="38"/>
      <c r="H128" s="38"/>
      <c r="I128" s="108"/>
    </row>
    <row r="129">
      <c r="A129" s="38"/>
      <c r="B129" s="38"/>
      <c r="C129" s="15"/>
      <c r="D129" s="15"/>
      <c r="E129" s="38"/>
      <c r="F129" s="38"/>
      <c r="G129" s="38"/>
      <c r="H129" s="38"/>
      <c r="I129" s="108"/>
    </row>
    <row r="130">
      <c r="A130" s="38"/>
      <c r="B130" s="38"/>
      <c r="C130" s="15"/>
      <c r="D130" s="15"/>
      <c r="E130" s="38"/>
      <c r="F130" s="38"/>
      <c r="G130" s="38"/>
      <c r="H130" s="38"/>
      <c r="I130" s="108"/>
    </row>
    <row r="131">
      <c r="A131" s="38"/>
      <c r="B131" s="38"/>
      <c r="C131" s="15"/>
      <c r="D131" s="15"/>
      <c r="E131" s="38"/>
      <c r="F131" s="38"/>
      <c r="G131" s="38"/>
      <c r="H131" s="38"/>
      <c r="I131" s="108"/>
    </row>
    <row r="132">
      <c r="A132" s="38"/>
      <c r="B132" s="38"/>
      <c r="C132" s="15"/>
      <c r="D132" s="15"/>
      <c r="E132" s="38"/>
      <c r="F132" s="38"/>
      <c r="G132" s="38"/>
      <c r="H132" s="38"/>
      <c r="I132" s="108"/>
    </row>
    <row r="133">
      <c r="A133" s="38"/>
      <c r="B133" s="38"/>
      <c r="C133" s="15"/>
      <c r="D133" s="15"/>
      <c r="E133" s="38"/>
      <c r="F133" s="38"/>
      <c r="G133" s="38"/>
      <c r="H133" s="38"/>
      <c r="I133" s="108"/>
    </row>
    <row r="134">
      <c r="A134" s="38"/>
      <c r="B134" s="38"/>
      <c r="C134" s="15"/>
      <c r="D134" s="15"/>
      <c r="E134" s="38"/>
      <c r="F134" s="38"/>
      <c r="G134" s="38"/>
      <c r="H134" s="38"/>
      <c r="I134" s="108"/>
    </row>
    <row r="135">
      <c r="A135" s="38"/>
      <c r="B135" s="38"/>
      <c r="C135" s="15"/>
      <c r="D135" s="15"/>
      <c r="E135" s="38"/>
      <c r="F135" s="38"/>
      <c r="G135" s="38"/>
      <c r="H135" s="38"/>
      <c r="I135" s="108"/>
    </row>
    <row r="136">
      <c r="A136" s="38"/>
      <c r="B136" s="38"/>
      <c r="C136" s="15"/>
      <c r="D136" s="15"/>
      <c r="E136" s="38"/>
      <c r="F136" s="38"/>
      <c r="G136" s="38"/>
      <c r="H136" s="38"/>
      <c r="I136" s="108"/>
    </row>
    <row r="137">
      <c r="A137" s="38"/>
      <c r="B137" s="38"/>
      <c r="C137" s="15"/>
      <c r="D137" s="15"/>
      <c r="E137" s="38"/>
      <c r="F137" s="38"/>
      <c r="G137" s="38"/>
      <c r="H137" s="38"/>
      <c r="I137" s="108"/>
    </row>
    <row r="138">
      <c r="A138" s="38"/>
      <c r="B138" s="38"/>
      <c r="C138" s="15"/>
      <c r="D138" s="15"/>
      <c r="E138" s="38"/>
      <c r="F138" s="38"/>
      <c r="G138" s="38"/>
      <c r="H138" s="38"/>
      <c r="I138" s="108"/>
    </row>
    <row r="139">
      <c r="A139" s="38"/>
      <c r="B139" s="38"/>
      <c r="C139" s="15"/>
      <c r="D139" s="15"/>
      <c r="E139" s="38"/>
      <c r="F139" s="38"/>
      <c r="G139" s="38"/>
      <c r="H139" s="38"/>
      <c r="I139" s="108"/>
    </row>
    <row r="140">
      <c r="A140" s="38"/>
      <c r="B140" s="38"/>
      <c r="C140" s="15"/>
      <c r="D140" s="15"/>
      <c r="E140" s="38"/>
      <c r="F140" s="38"/>
      <c r="G140" s="38"/>
      <c r="H140" s="38"/>
      <c r="I140" s="108"/>
    </row>
    <row r="141">
      <c r="A141" s="38"/>
      <c r="B141" s="38"/>
      <c r="C141" s="15"/>
      <c r="D141" s="15"/>
      <c r="E141" s="38"/>
      <c r="F141" s="38"/>
      <c r="G141" s="38"/>
      <c r="H141" s="38"/>
      <c r="I141" s="108"/>
    </row>
    <row r="142">
      <c r="A142" s="38"/>
      <c r="B142" s="38"/>
      <c r="C142" s="15"/>
      <c r="D142" s="15"/>
      <c r="E142" s="38"/>
      <c r="F142" s="38"/>
      <c r="G142" s="38"/>
      <c r="H142" s="38"/>
      <c r="I142" s="108"/>
    </row>
    <row r="143">
      <c r="A143" s="38"/>
      <c r="B143" s="38"/>
      <c r="C143" s="15"/>
      <c r="D143" s="15"/>
      <c r="E143" s="38"/>
      <c r="F143" s="38"/>
      <c r="G143" s="38"/>
      <c r="H143" s="38"/>
      <c r="I143" s="108"/>
    </row>
    <row r="144">
      <c r="A144" s="38"/>
      <c r="B144" s="38"/>
      <c r="C144" s="15"/>
      <c r="D144" s="15"/>
      <c r="E144" s="38"/>
      <c r="F144" s="38"/>
      <c r="G144" s="38"/>
      <c r="H144" s="38"/>
      <c r="I144" s="108"/>
    </row>
    <row r="145">
      <c r="A145" s="38"/>
      <c r="B145" s="38"/>
      <c r="C145" s="15"/>
      <c r="D145" s="15"/>
      <c r="E145" s="38"/>
      <c r="F145" s="38"/>
      <c r="G145" s="38"/>
      <c r="H145" s="38"/>
      <c r="I145" s="108"/>
    </row>
    <row r="146">
      <c r="A146" s="38"/>
      <c r="B146" s="38"/>
      <c r="C146" s="15"/>
      <c r="D146" s="15"/>
      <c r="E146" s="38"/>
      <c r="F146" s="38"/>
      <c r="G146" s="38"/>
      <c r="H146" s="38"/>
      <c r="I146" s="108"/>
    </row>
    <row r="147">
      <c r="A147" s="38"/>
      <c r="B147" s="38"/>
      <c r="C147" s="15"/>
      <c r="D147" s="15"/>
      <c r="E147" s="38"/>
      <c r="F147" s="38"/>
      <c r="G147" s="38"/>
      <c r="H147" s="38"/>
      <c r="I147" s="108"/>
    </row>
    <row r="148">
      <c r="A148" s="38"/>
      <c r="B148" s="38"/>
      <c r="C148" s="15"/>
      <c r="D148" s="15"/>
      <c r="E148" s="38"/>
      <c r="F148" s="38"/>
      <c r="G148" s="38"/>
      <c r="H148" s="38"/>
      <c r="I148" s="108"/>
    </row>
    <row r="149">
      <c r="A149" s="38"/>
      <c r="B149" s="38"/>
      <c r="C149" s="15"/>
      <c r="D149" s="15"/>
      <c r="E149" s="38"/>
      <c r="F149" s="38"/>
      <c r="G149" s="38"/>
      <c r="H149" s="38"/>
      <c r="I149" s="108"/>
    </row>
    <row r="150">
      <c r="A150" s="38"/>
      <c r="B150" s="38"/>
      <c r="C150" s="15"/>
      <c r="D150" s="15"/>
      <c r="E150" s="38"/>
      <c r="F150" s="38"/>
      <c r="G150" s="38"/>
      <c r="H150" s="38"/>
      <c r="I150" s="108"/>
    </row>
    <row r="151">
      <c r="A151" s="38"/>
      <c r="B151" s="38"/>
      <c r="C151" s="15"/>
      <c r="D151" s="15"/>
      <c r="E151" s="38"/>
      <c r="F151" s="38"/>
      <c r="G151" s="38"/>
      <c r="H151" s="38"/>
      <c r="I151" s="108"/>
    </row>
    <row r="152">
      <c r="A152" s="38"/>
      <c r="B152" s="38"/>
      <c r="C152" s="15"/>
      <c r="D152" s="15"/>
      <c r="E152" s="38"/>
      <c r="F152" s="38"/>
      <c r="G152" s="38"/>
      <c r="H152" s="38"/>
      <c r="I152" s="108"/>
    </row>
    <row r="153">
      <c r="A153" s="38"/>
      <c r="B153" s="38"/>
      <c r="C153" s="15"/>
      <c r="D153" s="15"/>
      <c r="E153" s="38"/>
      <c r="F153" s="38"/>
      <c r="G153" s="38"/>
      <c r="H153" s="38"/>
      <c r="I153" s="108"/>
    </row>
    <row r="154">
      <c r="A154" s="38"/>
      <c r="B154" s="38"/>
      <c r="C154" s="15"/>
      <c r="D154" s="15"/>
      <c r="E154" s="38"/>
      <c r="F154" s="38"/>
      <c r="G154" s="38"/>
      <c r="H154" s="38"/>
      <c r="I154" s="108"/>
    </row>
    <row r="155">
      <c r="A155" s="38"/>
      <c r="B155" s="38"/>
      <c r="C155" s="15"/>
      <c r="D155" s="15"/>
      <c r="E155" s="38"/>
      <c r="F155" s="38"/>
      <c r="G155" s="38"/>
      <c r="H155" s="38"/>
      <c r="I155" s="108"/>
    </row>
    <row r="156">
      <c r="A156" s="38"/>
      <c r="B156" s="38"/>
      <c r="C156" s="15"/>
      <c r="D156" s="15"/>
      <c r="E156" s="38"/>
      <c r="F156" s="38"/>
      <c r="G156" s="38"/>
      <c r="H156" s="38"/>
      <c r="I156" s="108"/>
    </row>
    <row r="157">
      <c r="A157" s="38"/>
      <c r="B157" s="38"/>
      <c r="C157" s="15"/>
      <c r="D157" s="15"/>
      <c r="E157" s="38"/>
      <c r="F157" s="38"/>
      <c r="G157" s="38"/>
      <c r="H157" s="38"/>
      <c r="I157" s="108"/>
    </row>
    <row r="158">
      <c r="A158" s="38"/>
      <c r="B158" s="38"/>
      <c r="C158" s="15"/>
      <c r="D158" s="15"/>
      <c r="E158" s="38"/>
      <c r="F158" s="38"/>
      <c r="G158" s="38"/>
      <c r="H158" s="38"/>
      <c r="I158" s="108"/>
    </row>
    <row r="159">
      <c r="A159" s="38"/>
      <c r="B159" s="38"/>
      <c r="C159" s="15"/>
      <c r="D159" s="15"/>
      <c r="E159" s="38"/>
      <c r="F159" s="38"/>
      <c r="G159" s="38"/>
      <c r="H159" s="38"/>
      <c r="I159" s="108"/>
    </row>
    <row r="160">
      <c r="A160" s="38"/>
      <c r="B160" s="38"/>
      <c r="C160" s="15"/>
      <c r="D160" s="15"/>
      <c r="E160" s="38"/>
      <c r="F160" s="38"/>
      <c r="G160" s="38"/>
      <c r="H160" s="38"/>
      <c r="I160" s="108"/>
    </row>
    <row r="161">
      <c r="A161" s="38"/>
      <c r="B161" s="38"/>
      <c r="C161" s="15"/>
      <c r="D161" s="15"/>
      <c r="E161" s="38"/>
      <c r="F161" s="38"/>
      <c r="G161" s="38"/>
      <c r="H161" s="38"/>
      <c r="I161" s="108"/>
    </row>
    <row r="162">
      <c r="A162" s="38"/>
      <c r="B162" s="38"/>
      <c r="C162" s="15"/>
      <c r="D162" s="15"/>
      <c r="E162" s="38"/>
      <c r="F162" s="38"/>
      <c r="G162" s="38"/>
      <c r="H162" s="38"/>
      <c r="I162" s="108"/>
    </row>
    <row r="163">
      <c r="A163" s="38"/>
      <c r="B163" s="38"/>
      <c r="C163" s="15"/>
      <c r="D163" s="15"/>
      <c r="E163" s="38"/>
      <c r="F163" s="38"/>
      <c r="G163" s="38"/>
      <c r="H163" s="38"/>
      <c r="I163" s="108"/>
    </row>
    <row r="164">
      <c r="A164" s="38"/>
      <c r="B164" s="38"/>
      <c r="C164" s="15"/>
      <c r="D164" s="15"/>
      <c r="E164" s="38"/>
      <c r="F164" s="38"/>
      <c r="G164" s="38"/>
      <c r="H164" s="38"/>
      <c r="I164" s="108"/>
    </row>
    <row r="165">
      <c r="A165" s="38"/>
      <c r="B165" s="38"/>
      <c r="C165" s="15"/>
      <c r="D165" s="15"/>
      <c r="E165" s="38"/>
      <c r="F165" s="38"/>
      <c r="G165" s="38"/>
      <c r="H165" s="38"/>
      <c r="I165" s="108"/>
    </row>
    <row r="166">
      <c r="A166" s="38"/>
      <c r="B166" s="38"/>
      <c r="C166" s="15"/>
      <c r="D166" s="15"/>
      <c r="E166" s="38"/>
      <c r="F166" s="38"/>
      <c r="G166" s="38"/>
      <c r="H166" s="38"/>
      <c r="I166" s="108"/>
    </row>
    <row r="167">
      <c r="A167" s="38"/>
      <c r="B167" s="38"/>
      <c r="C167" s="15"/>
      <c r="D167" s="15"/>
      <c r="E167" s="38"/>
      <c r="F167" s="38"/>
      <c r="G167" s="38"/>
      <c r="H167" s="38"/>
      <c r="I167" s="108"/>
    </row>
    <row r="168">
      <c r="A168" s="38"/>
      <c r="B168" s="38"/>
      <c r="C168" s="15"/>
      <c r="D168" s="15"/>
      <c r="E168" s="38"/>
      <c r="F168" s="38"/>
      <c r="G168" s="38"/>
      <c r="H168" s="38"/>
      <c r="I168" s="108"/>
    </row>
    <row r="169">
      <c r="A169" s="38"/>
      <c r="B169" s="38"/>
      <c r="C169" s="15"/>
      <c r="D169" s="15"/>
      <c r="E169" s="38"/>
      <c r="F169" s="38"/>
      <c r="G169" s="38"/>
      <c r="H169" s="38"/>
      <c r="I169" s="108"/>
    </row>
    <row r="170">
      <c r="A170" s="38"/>
      <c r="B170" s="38"/>
      <c r="C170" s="15"/>
      <c r="D170" s="15"/>
      <c r="E170" s="38"/>
      <c r="F170" s="38"/>
      <c r="G170" s="38"/>
      <c r="H170" s="38"/>
      <c r="I170" s="108"/>
    </row>
    <row r="171">
      <c r="A171" s="38"/>
      <c r="B171" s="38"/>
      <c r="C171" s="15"/>
      <c r="D171" s="15"/>
      <c r="E171" s="38"/>
      <c r="F171" s="38"/>
      <c r="G171" s="38"/>
      <c r="H171" s="38"/>
      <c r="I171" s="108"/>
    </row>
    <row r="172">
      <c r="A172" s="38"/>
      <c r="B172" s="38"/>
      <c r="C172" s="15"/>
      <c r="D172" s="15"/>
      <c r="E172" s="38"/>
      <c r="F172" s="38"/>
      <c r="G172" s="38"/>
      <c r="H172" s="38"/>
      <c r="I172" s="108"/>
    </row>
    <row r="173">
      <c r="A173" s="38"/>
      <c r="B173" s="38"/>
      <c r="C173" s="15"/>
      <c r="D173" s="15"/>
      <c r="E173" s="38"/>
      <c r="F173" s="38"/>
      <c r="G173" s="38"/>
      <c r="H173" s="38"/>
      <c r="I173" s="108"/>
    </row>
    <row r="174">
      <c r="A174" s="38"/>
      <c r="B174" s="38"/>
      <c r="C174" s="15"/>
      <c r="D174" s="15"/>
      <c r="E174" s="38"/>
      <c r="F174" s="38"/>
      <c r="G174" s="38"/>
      <c r="H174" s="38"/>
      <c r="I174" s="108"/>
    </row>
    <row r="175">
      <c r="A175" s="38"/>
      <c r="B175" s="38"/>
      <c r="C175" s="15"/>
      <c r="D175" s="15"/>
      <c r="E175" s="38"/>
      <c r="F175" s="38"/>
      <c r="G175" s="38"/>
      <c r="H175" s="38"/>
      <c r="I175" s="108"/>
    </row>
    <row r="176">
      <c r="A176" s="38"/>
      <c r="B176" s="38"/>
      <c r="C176" s="15"/>
      <c r="D176" s="15"/>
      <c r="E176" s="38"/>
      <c r="F176" s="38"/>
      <c r="G176" s="38"/>
      <c r="H176" s="38"/>
      <c r="I176" s="108"/>
    </row>
    <row r="177">
      <c r="A177" s="38"/>
      <c r="B177" s="38"/>
      <c r="C177" s="15"/>
      <c r="D177" s="15"/>
      <c r="E177" s="38"/>
      <c r="F177" s="38"/>
      <c r="G177" s="38"/>
      <c r="H177" s="38"/>
      <c r="I177" s="108"/>
    </row>
    <row r="178">
      <c r="A178" s="38"/>
      <c r="B178" s="38"/>
      <c r="C178" s="15"/>
      <c r="D178" s="15"/>
      <c r="E178" s="38"/>
      <c r="F178" s="38"/>
      <c r="G178" s="38"/>
      <c r="H178" s="38"/>
      <c r="I178" s="108"/>
    </row>
    <row r="179">
      <c r="A179" s="38"/>
      <c r="B179" s="38"/>
      <c r="C179" s="15"/>
      <c r="D179" s="15"/>
      <c r="E179" s="38"/>
      <c r="F179" s="38"/>
      <c r="G179" s="38"/>
      <c r="H179" s="38"/>
      <c r="I179" s="108"/>
    </row>
    <row r="180">
      <c r="A180" s="38"/>
      <c r="B180" s="38"/>
      <c r="C180" s="15"/>
      <c r="D180" s="15"/>
      <c r="E180" s="38"/>
      <c r="F180" s="38"/>
      <c r="G180" s="38"/>
      <c r="H180" s="38"/>
      <c r="I180" s="108"/>
    </row>
    <row r="181">
      <c r="A181" s="38"/>
      <c r="B181" s="38"/>
      <c r="C181" s="15"/>
      <c r="D181" s="15"/>
      <c r="E181" s="38"/>
      <c r="F181" s="38"/>
      <c r="G181" s="38"/>
      <c r="H181" s="38"/>
      <c r="I181" s="108"/>
    </row>
    <row r="182">
      <c r="A182" s="38"/>
      <c r="B182" s="38"/>
      <c r="C182" s="15"/>
      <c r="D182" s="15"/>
      <c r="E182" s="38"/>
      <c r="F182" s="38"/>
      <c r="G182" s="38"/>
      <c r="H182" s="38"/>
      <c r="I182" s="108"/>
    </row>
    <row r="183">
      <c r="A183" s="38"/>
      <c r="B183" s="38"/>
      <c r="C183" s="15"/>
      <c r="D183" s="15"/>
      <c r="E183" s="38"/>
      <c r="F183" s="38"/>
      <c r="G183" s="38"/>
      <c r="H183" s="38"/>
      <c r="I183" s="108"/>
    </row>
    <row r="184">
      <c r="A184" s="38"/>
      <c r="B184" s="38"/>
      <c r="C184" s="15"/>
      <c r="D184" s="15"/>
      <c r="E184" s="38"/>
      <c r="F184" s="38"/>
      <c r="G184" s="38"/>
      <c r="H184" s="38"/>
      <c r="I184" s="108"/>
    </row>
    <row r="185">
      <c r="A185" s="38"/>
      <c r="B185" s="38"/>
      <c r="C185" s="15"/>
      <c r="D185" s="15"/>
      <c r="E185" s="38"/>
      <c r="F185" s="38"/>
      <c r="G185" s="38"/>
      <c r="H185" s="38"/>
      <c r="I185" s="108"/>
    </row>
    <row r="186">
      <c r="A186" s="38"/>
      <c r="B186" s="38"/>
      <c r="C186" s="15"/>
      <c r="D186" s="15"/>
      <c r="E186" s="38"/>
      <c r="F186" s="38"/>
      <c r="G186" s="38"/>
      <c r="H186" s="38"/>
      <c r="I186" s="108"/>
    </row>
    <row r="187">
      <c r="A187" s="38"/>
      <c r="B187" s="38"/>
      <c r="C187" s="15"/>
      <c r="D187" s="15"/>
      <c r="E187" s="38"/>
      <c r="F187" s="38"/>
      <c r="G187" s="38"/>
      <c r="H187" s="38"/>
      <c r="I187" s="108"/>
    </row>
    <row r="188">
      <c r="A188" s="38"/>
      <c r="B188" s="38"/>
      <c r="C188" s="15"/>
      <c r="D188" s="15"/>
      <c r="E188" s="38"/>
      <c r="F188" s="38"/>
      <c r="G188" s="38"/>
      <c r="H188" s="38"/>
      <c r="I188" s="108"/>
    </row>
    <row r="189">
      <c r="A189" s="38"/>
      <c r="B189" s="38"/>
      <c r="C189" s="15"/>
      <c r="D189" s="15"/>
      <c r="E189" s="38"/>
      <c r="F189" s="38"/>
      <c r="G189" s="38"/>
      <c r="H189" s="38"/>
      <c r="I189" s="108"/>
    </row>
    <row r="190">
      <c r="A190" s="38"/>
      <c r="B190" s="38"/>
      <c r="C190" s="15"/>
      <c r="D190" s="15"/>
      <c r="E190" s="38"/>
      <c r="F190" s="38"/>
      <c r="G190" s="38"/>
      <c r="H190" s="38"/>
      <c r="I190" s="108"/>
    </row>
    <row r="191">
      <c r="A191" s="38"/>
      <c r="B191" s="38"/>
      <c r="C191" s="15"/>
      <c r="D191" s="15"/>
      <c r="E191" s="38"/>
      <c r="F191" s="38"/>
      <c r="G191" s="38"/>
      <c r="H191" s="38"/>
      <c r="I191" s="108"/>
    </row>
    <row r="192">
      <c r="A192" s="38"/>
      <c r="B192" s="38"/>
      <c r="C192" s="15"/>
      <c r="D192" s="15"/>
      <c r="E192" s="38"/>
      <c r="F192" s="38"/>
      <c r="G192" s="38"/>
      <c r="H192" s="38"/>
      <c r="I192" s="108"/>
    </row>
    <row r="193">
      <c r="A193" s="38"/>
      <c r="B193" s="38"/>
      <c r="C193" s="15"/>
      <c r="D193" s="15"/>
      <c r="E193" s="38"/>
      <c r="F193" s="38"/>
      <c r="G193" s="38"/>
      <c r="H193" s="38"/>
      <c r="I193" s="108"/>
    </row>
    <row r="194">
      <c r="A194" s="38"/>
      <c r="B194" s="38"/>
      <c r="C194" s="15"/>
      <c r="D194" s="15"/>
      <c r="E194" s="38"/>
      <c r="F194" s="38"/>
      <c r="G194" s="38"/>
      <c r="H194" s="38"/>
      <c r="I194" s="108"/>
    </row>
    <row r="195">
      <c r="A195" s="38"/>
      <c r="B195" s="38"/>
      <c r="C195" s="15"/>
      <c r="D195" s="15"/>
      <c r="E195" s="38"/>
      <c r="F195" s="38"/>
      <c r="G195" s="38"/>
      <c r="H195" s="38"/>
      <c r="I195" s="108"/>
    </row>
    <row r="196">
      <c r="A196" s="38"/>
      <c r="B196" s="38"/>
      <c r="C196" s="15"/>
      <c r="D196" s="15"/>
      <c r="E196" s="38"/>
      <c r="F196" s="38"/>
      <c r="G196" s="38"/>
      <c r="H196" s="38"/>
      <c r="I196" s="108"/>
    </row>
    <row r="197">
      <c r="A197" s="38"/>
      <c r="B197" s="38"/>
      <c r="C197" s="15"/>
      <c r="D197" s="15"/>
      <c r="E197" s="38"/>
      <c r="F197" s="38"/>
      <c r="G197" s="38"/>
      <c r="H197" s="38"/>
      <c r="I197" s="108"/>
    </row>
    <row r="198">
      <c r="A198" s="38"/>
      <c r="B198" s="38"/>
      <c r="C198" s="15"/>
      <c r="D198" s="15"/>
      <c r="E198" s="38"/>
      <c r="F198" s="38"/>
      <c r="G198" s="38"/>
      <c r="H198" s="38"/>
      <c r="I198" s="108"/>
    </row>
    <row r="199">
      <c r="A199" s="38"/>
      <c r="B199" s="38"/>
      <c r="C199" s="15"/>
      <c r="D199" s="15"/>
      <c r="E199" s="38"/>
      <c r="F199" s="38"/>
      <c r="G199" s="38"/>
      <c r="H199" s="38"/>
      <c r="I199" s="108"/>
    </row>
    <row r="200">
      <c r="A200" s="38"/>
      <c r="B200" s="38"/>
      <c r="C200" s="15"/>
      <c r="D200" s="15"/>
      <c r="E200" s="38"/>
      <c r="F200" s="38"/>
      <c r="G200" s="38"/>
      <c r="H200" s="38"/>
      <c r="I200" s="108"/>
    </row>
    <row r="201">
      <c r="A201" s="38"/>
      <c r="B201" s="38"/>
      <c r="C201" s="15"/>
      <c r="D201" s="15"/>
      <c r="E201" s="38"/>
      <c r="F201" s="38"/>
      <c r="G201" s="38"/>
      <c r="H201" s="38"/>
      <c r="I201" s="108"/>
    </row>
    <row r="202">
      <c r="A202" s="38"/>
      <c r="B202" s="38"/>
      <c r="C202" s="15"/>
      <c r="D202" s="15"/>
      <c r="E202" s="38"/>
      <c r="F202" s="38"/>
      <c r="G202" s="38"/>
      <c r="H202" s="38"/>
      <c r="I202" s="108"/>
    </row>
    <row r="203">
      <c r="A203" s="38"/>
      <c r="B203" s="38"/>
      <c r="C203" s="15"/>
      <c r="D203" s="15"/>
      <c r="E203" s="38"/>
      <c r="F203" s="38"/>
      <c r="G203" s="38"/>
      <c r="H203" s="38"/>
      <c r="I203" s="108"/>
    </row>
    <row r="204">
      <c r="A204" s="38"/>
      <c r="B204" s="38"/>
      <c r="C204" s="15"/>
      <c r="D204" s="15"/>
      <c r="E204" s="38"/>
      <c r="F204" s="38"/>
      <c r="G204" s="38"/>
      <c r="H204" s="38"/>
      <c r="I204" s="108"/>
    </row>
    <row r="205">
      <c r="A205" s="38"/>
      <c r="B205" s="38"/>
      <c r="C205" s="15"/>
      <c r="D205" s="15"/>
      <c r="E205" s="38"/>
      <c r="F205" s="38"/>
      <c r="G205" s="38"/>
      <c r="H205" s="38"/>
      <c r="I205" s="108"/>
    </row>
    <row r="206">
      <c r="A206" s="38"/>
      <c r="B206" s="38"/>
      <c r="C206" s="15"/>
      <c r="D206" s="15"/>
      <c r="E206" s="38"/>
      <c r="F206" s="38"/>
      <c r="G206" s="38"/>
      <c r="H206" s="38"/>
      <c r="I206" s="108"/>
    </row>
    <row r="207">
      <c r="A207" s="38"/>
      <c r="B207" s="38"/>
      <c r="C207" s="15"/>
      <c r="D207" s="15"/>
      <c r="E207" s="38"/>
      <c r="F207" s="38"/>
      <c r="G207" s="38"/>
      <c r="H207" s="38"/>
      <c r="I207" s="108"/>
    </row>
    <row r="208">
      <c r="A208" s="38"/>
      <c r="B208" s="38"/>
      <c r="C208" s="15"/>
      <c r="D208" s="15"/>
      <c r="E208" s="38"/>
      <c r="F208" s="38"/>
      <c r="G208" s="38"/>
      <c r="H208" s="38"/>
      <c r="I208" s="108"/>
    </row>
    <row r="209">
      <c r="A209" s="38"/>
      <c r="B209" s="38"/>
      <c r="C209" s="15"/>
      <c r="D209" s="15"/>
      <c r="E209" s="38"/>
      <c r="F209" s="38"/>
      <c r="G209" s="38"/>
      <c r="H209" s="38"/>
      <c r="I209" s="108"/>
    </row>
    <row r="210">
      <c r="A210" s="38"/>
      <c r="B210" s="38"/>
      <c r="C210" s="15"/>
      <c r="D210" s="15"/>
      <c r="E210" s="38"/>
      <c r="F210" s="38"/>
      <c r="G210" s="38"/>
      <c r="H210" s="38"/>
      <c r="I210" s="108"/>
    </row>
    <row r="211">
      <c r="A211" s="38"/>
      <c r="B211" s="38"/>
      <c r="C211" s="15"/>
      <c r="D211" s="15"/>
      <c r="E211" s="38"/>
      <c r="F211" s="38"/>
      <c r="G211" s="38"/>
      <c r="H211" s="38"/>
      <c r="I211" s="108"/>
    </row>
    <row r="212">
      <c r="A212" s="38"/>
      <c r="B212" s="38"/>
      <c r="C212" s="15"/>
      <c r="D212" s="15"/>
      <c r="E212" s="38"/>
      <c r="F212" s="38"/>
      <c r="G212" s="38"/>
      <c r="H212" s="38"/>
      <c r="I212" s="108"/>
    </row>
    <row r="213">
      <c r="A213" s="38"/>
      <c r="B213" s="38"/>
      <c r="C213" s="15"/>
      <c r="D213" s="15"/>
      <c r="E213" s="38"/>
      <c r="F213" s="38"/>
      <c r="G213" s="38"/>
      <c r="H213" s="38"/>
      <c r="I213" s="108"/>
    </row>
    <row r="214">
      <c r="A214" s="38"/>
      <c r="B214" s="38"/>
      <c r="C214" s="15"/>
      <c r="D214" s="15"/>
      <c r="E214" s="38"/>
      <c r="F214" s="38"/>
      <c r="G214" s="38"/>
      <c r="H214" s="38"/>
      <c r="I214" s="108"/>
    </row>
    <row r="215">
      <c r="A215" s="38"/>
      <c r="B215" s="38"/>
      <c r="C215" s="15"/>
      <c r="D215" s="15"/>
      <c r="E215" s="38"/>
      <c r="F215" s="38"/>
      <c r="G215" s="38"/>
      <c r="H215" s="38"/>
      <c r="I215" s="108"/>
    </row>
    <row r="216">
      <c r="A216" s="38"/>
      <c r="B216" s="38"/>
      <c r="C216" s="15"/>
      <c r="D216" s="15"/>
      <c r="E216" s="38"/>
      <c r="F216" s="38"/>
      <c r="G216" s="38"/>
      <c r="H216" s="38"/>
      <c r="I216" s="108"/>
    </row>
    <row r="217">
      <c r="A217" s="38"/>
      <c r="B217" s="38"/>
      <c r="C217" s="15"/>
      <c r="D217" s="15"/>
      <c r="E217" s="38"/>
      <c r="F217" s="38"/>
      <c r="G217" s="38"/>
      <c r="H217" s="38"/>
      <c r="I217" s="108"/>
    </row>
    <row r="218">
      <c r="A218" s="38"/>
      <c r="B218" s="38"/>
      <c r="C218" s="15"/>
      <c r="D218" s="15"/>
      <c r="E218" s="38"/>
      <c r="F218" s="38"/>
      <c r="G218" s="38"/>
      <c r="H218" s="38"/>
      <c r="I218" s="108"/>
    </row>
    <row r="219">
      <c r="A219" s="38"/>
      <c r="B219" s="38"/>
      <c r="C219" s="15"/>
      <c r="D219" s="15"/>
      <c r="E219" s="38"/>
      <c r="F219" s="38"/>
      <c r="G219" s="38"/>
      <c r="H219" s="38"/>
      <c r="I219" s="108"/>
    </row>
    <row r="220">
      <c r="A220" s="38"/>
      <c r="B220" s="38"/>
      <c r="C220" s="15"/>
      <c r="D220" s="15"/>
      <c r="E220" s="38"/>
      <c r="F220" s="38"/>
      <c r="G220" s="38"/>
      <c r="H220" s="38"/>
      <c r="I220" s="108"/>
    </row>
    <row r="221">
      <c r="A221" s="38"/>
      <c r="B221" s="38"/>
      <c r="C221" s="15"/>
      <c r="D221" s="15"/>
      <c r="E221" s="38"/>
      <c r="F221" s="38"/>
      <c r="G221" s="38"/>
      <c r="H221" s="38"/>
      <c r="I221" s="108"/>
    </row>
    <row r="222">
      <c r="A222" s="38"/>
      <c r="B222" s="38"/>
      <c r="C222" s="15"/>
      <c r="D222" s="15"/>
      <c r="E222" s="38"/>
      <c r="F222" s="38"/>
      <c r="G222" s="38"/>
      <c r="H222" s="38"/>
      <c r="I222" s="108"/>
    </row>
    <row r="223">
      <c r="A223" s="38"/>
      <c r="B223" s="38"/>
      <c r="C223" s="15"/>
      <c r="D223" s="15"/>
      <c r="E223" s="38"/>
      <c r="F223" s="38"/>
      <c r="G223" s="38"/>
      <c r="H223" s="38"/>
      <c r="I223" s="108"/>
    </row>
    <row r="224">
      <c r="A224" s="38"/>
      <c r="B224" s="38"/>
      <c r="C224" s="15"/>
      <c r="D224" s="15"/>
      <c r="E224" s="38"/>
      <c r="F224" s="38"/>
      <c r="G224" s="38"/>
      <c r="H224" s="38"/>
      <c r="I224" s="108"/>
    </row>
    <row r="225">
      <c r="A225" s="38"/>
      <c r="B225" s="38"/>
      <c r="C225" s="15"/>
      <c r="D225" s="15"/>
      <c r="E225" s="38"/>
      <c r="F225" s="38"/>
      <c r="G225" s="38"/>
      <c r="H225" s="38"/>
      <c r="I225" s="108"/>
    </row>
    <row r="226">
      <c r="A226" s="38"/>
      <c r="B226" s="38"/>
      <c r="C226" s="15"/>
      <c r="D226" s="15"/>
      <c r="E226" s="38"/>
      <c r="F226" s="38"/>
      <c r="G226" s="38"/>
      <c r="H226" s="38"/>
      <c r="I226" s="108"/>
    </row>
    <row r="227">
      <c r="A227" s="38"/>
      <c r="B227" s="38"/>
      <c r="C227" s="15"/>
      <c r="D227" s="15"/>
      <c r="E227" s="38"/>
      <c r="F227" s="38"/>
      <c r="G227" s="38"/>
      <c r="H227" s="38"/>
      <c r="I227" s="108"/>
    </row>
    <row r="228">
      <c r="A228" s="38"/>
      <c r="B228" s="38"/>
      <c r="C228" s="15"/>
      <c r="D228" s="15"/>
      <c r="E228" s="38"/>
      <c r="F228" s="38"/>
      <c r="G228" s="38"/>
      <c r="H228" s="38"/>
      <c r="I228" s="108"/>
    </row>
    <row r="229">
      <c r="A229" s="38"/>
      <c r="B229" s="38"/>
      <c r="C229" s="15"/>
      <c r="D229" s="15"/>
      <c r="E229" s="38"/>
      <c r="F229" s="38"/>
      <c r="G229" s="38"/>
      <c r="H229" s="38"/>
      <c r="I229" s="108"/>
    </row>
    <row r="230">
      <c r="A230" s="38"/>
      <c r="B230" s="38"/>
      <c r="C230" s="15"/>
      <c r="D230" s="15"/>
      <c r="E230" s="38"/>
      <c r="F230" s="38"/>
      <c r="G230" s="38"/>
      <c r="H230" s="38"/>
      <c r="I230" s="108"/>
    </row>
    <row r="231">
      <c r="A231" s="38"/>
      <c r="B231" s="38"/>
      <c r="C231" s="15"/>
      <c r="D231" s="15"/>
      <c r="E231" s="38"/>
      <c r="F231" s="38"/>
      <c r="G231" s="38"/>
      <c r="H231" s="38"/>
      <c r="I231" s="108"/>
    </row>
    <row r="232">
      <c r="A232" s="38"/>
      <c r="B232" s="38"/>
      <c r="C232" s="15"/>
      <c r="D232" s="15"/>
      <c r="E232" s="38"/>
      <c r="F232" s="38"/>
      <c r="G232" s="38"/>
      <c r="H232" s="38"/>
      <c r="I232" s="108"/>
    </row>
    <row r="233">
      <c r="A233" s="38"/>
      <c r="B233" s="38"/>
      <c r="C233" s="15"/>
      <c r="D233" s="15"/>
      <c r="E233" s="38"/>
      <c r="F233" s="38"/>
      <c r="G233" s="38"/>
      <c r="H233" s="38"/>
      <c r="I233" s="108"/>
    </row>
    <row r="234">
      <c r="A234" s="38"/>
      <c r="B234" s="38"/>
      <c r="C234" s="15"/>
      <c r="D234" s="15"/>
      <c r="E234" s="38"/>
      <c r="F234" s="38"/>
      <c r="G234" s="38"/>
      <c r="H234" s="38"/>
      <c r="I234" s="108"/>
    </row>
    <row r="235">
      <c r="A235" s="38"/>
      <c r="B235" s="38"/>
      <c r="C235" s="15"/>
      <c r="D235" s="15"/>
      <c r="E235" s="38"/>
      <c r="F235" s="38"/>
      <c r="G235" s="38"/>
      <c r="H235" s="38"/>
      <c r="I235" s="108"/>
    </row>
    <row r="236">
      <c r="A236" s="38"/>
      <c r="B236" s="38"/>
      <c r="C236" s="15"/>
      <c r="D236" s="15"/>
      <c r="E236" s="38"/>
      <c r="F236" s="38"/>
      <c r="G236" s="38"/>
      <c r="H236" s="38"/>
      <c r="I236" s="108"/>
    </row>
    <row r="237">
      <c r="A237" s="38"/>
      <c r="B237" s="38"/>
      <c r="C237" s="15"/>
      <c r="D237" s="15"/>
      <c r="E237" s="38"/>
      <c r="F237" s="38"/>
      <c r="G237" s="38"/>
      <c r="H237" s="38"/>
      <c r="I237" s="108"/>
    </row>
    <row r="238">
      <c r="A238" s="38"/>
      <c r="B238" s="38"/>
      <c r="C238" s="15"/>
      <c r="D238" s="15"/>
      <c r="E238" s="38"/>
      <c r="F238" s="38"/>
      <c r="G238" s="38"/>
      <c r="H238" s="38"/>
      <c r="I238" s="108"/>
    </row>
    <row r="239">
      <c r="A239" s="38"/>
      <c r="B239" s="38"/>
      <c r="C239" s="15"/>
      <c r="D239" s="15"/>
      <c r="E239" s="38"/>
      <c r="F239" s="38"/>
      <c r="G239" s="38"/>
      <c r="H239" s="38"/>
      <c r="I239" s="108"/>
    </row>
    <row r="240">
      <c r="A240" s="38"/>
      <c r="B240" s="38"/>
      <c r="C240" s="15"/>
      <c r="D240" s="15"/>
      <c r="E240" s="38"/>
      <c r="F240" s="38"/>
      <c r="G240" s="38"/>
      <c r="H240" s="38"/>
      <c r="I240" s="108"/>
    </row>
    <row r="241">
      <c r="A241" s="38"/>
      <c r="B241" s="38"/>
      <c r="C241" s="15"/>
      <c r="D241" s="15"/>
      <c r="E241" s="38"/>
      <c r="F241" s="38"/>
      <c r="G241" s="38"/>
      <c r="H241" s="38"/>
      <c r="I241" s="108"/>
    </row>
    <row r="242">
      <c r="A242" s="38"/>
      <c r="B242" s="38"/>
      <c r="C242" s="15"/>
      <c r="D242" s="15"/>
      <c r="E242" s="38"/>
      <c r="F242" s="38"/>
      <c r="G242" s="38"/>
      <c r="H242" s="38"/>
      <c r="I242" s="108"/>
    </row>
    <row r="243">
      <c r="A243" s="38"/>
      <c r="B243" s="38"/>
      <c r="C243" s="15"/>
      <c r="D243" s="15"/>
      <c r="E243" s="38"/>
      <c r="F243" s="38"/>
      <c r="G243" s="38"/>
      <c r="H243" s="38"/>
      <c r="I243" s="108"/>
    </row>
    <row r="244">
      <c r="A244" s="38"/>
      <c r="B244" s="38"/>
      <c r="C244" s="15"/>
      <c r="D244" s="15"/>
      <c r="E244" s="38"/>
      <c r="F244" s="38"/>
      <c r="G244" s="38"/>
      <c r="H244" s="38"/>
      <c r="I244" s="108"/>
    </row>
    <row r="245">
      <c r="A245" s="38"/>
      <c r="B245" s="38"/>
      <c r="C245" s="15"/>
      <c r="D245" s="15"/>
      <c r="E245" s="38"/>
      <c r="F245" s="38"/>
      <c r="G245" s="38"/>
      <c r="H245" s="38"/>
      <c r="I245" s="108"/>
    </row>
    <row r="246">
      <c r="A246" s="38"/>
      <c r="B246" s="38"/>
      <c r="C246" s="15"/>
      <c r="D246" s="15"/>
      <c r="E246" s="38"/>
      <c r="F246" s="38"/>
      <c r="G246" s="38"/>
      <c r="H246" s="38"/>
      <c r="I246" s="108"/>
    </row>
    <row r="247">
      <c r="A247" s="38"/>
      <c r="B247" s="38"/>
      <c r="C247" s="15"/>
      <c r="D247" s="15"/>
      <c r="E247" s="38"/>
      <c r="F247" s="38"/>
      <c r="G247" s="38"/>
      <c r="H247" s="38"/>
      <c r="I247" s="108"/>
    </row>
    <row r="248">
      <c r="A248" s="38"/>
      <c r="B248" s="38"/>
      <c r="C248" s="15"/>
      <c r="D248" s="15"/>
      <c r="E248" s="38"/>
      <c r="F248" s="38"/>
      <c r="G248" s="38"/>
      <c r="H248" s="38"/>
      <c r="I248" s="108"/>
    </row>
    <row r="249">
      <c r="A249" s="38"/>
      <c r="B249" s="38"/>
      <c r="C249" s="15"/>
      <c r="D249" s="15"/>
      <c r="E249" s="38"/>
      <c r="F249" s="38"/>
      <c r="G249" s="38"/>
      <c r="H249" s="38"/>
      <c r="I249" s="108"/>
    </row>
    <row r="250">
      <c r="A250" s="38"/>
      <c r="B250" s="38"/>
      <c r="C250" s="15"/>
      <c r="D250" s="15"/>
      <c r="E250" s="38"/>
      <c r="F250" s="38"/>
      <c r="G250" s="38"/>
      <c r="H250" s="38"/>
      <c r="I250" s="108"/>
    </row>
    <row r="251">
      <c r="A251" s="38"/>
      <c r="B251" s="38"/>
      <c r="C251" s="15"/>
      <c r="D251" s="15"/>
      <c r="E251" s="38"/>
      <c r="F251" s="38"/>
      <c r="G251" s="38"/>
      <c r="H251" s="38"/>
      <c r="I251" s="108"/>
    </row>
    <row r="252">
      <c r="A252" s="38"/>
      <c r="B252" s="38"/>
      <c r="C252" s="15"/>
      <c r="D252" s="15"/>
      <c r="E252" s="38"/>
      <c r="F252" s="38"/>
      <c r="G252" s="38"/>
      <c r="H252" s="38"/>
      <c r="I252" s="108"/>
    </row>
    <row r="253">
      <c r="A253" s="38"/>
      <c r="B253" s="38"/>
      <c r="C253" s="15"/>
      <c r="D253" s="15"/>
      <c r="E253" s="38"/>
      <c r="F253" s="38"/>
      <c r="G253" s="38"/>
      <c r="H253" s="38"/>
      <c r="I253" s="108"/>
    </row>
    <row r="254">
      <c r="A254" s="38"/>
      <c r="B254" s="38"/>
      <c r="C254" s="15"/>
      <c r="D254" s="15"/>
      <c r="E254" s="38"/>
      <c r="F254" s="38"/>
      <c r="G254" s="38"/>
      <c r="H254" s="38"/>
      <c r="I254" s="108"/>
    </row>
    <row r="255">
      <c r="A255" s="38"/>
      <c r="B255" s="38"/>
      <c r="C255" s="15"/>
      <c r="D255" s="15"/>
      <c r="E255" s="38"/>
      <c r="F255" s="38"/>
      <c r="G255" s="38"/>
      <c r="H255" s="38"/>
      <c r="I255" s="108"/>
    </row>
    <row r="256">
      <c r="A256" s="38"/>
      <c r="B256" s="38"/>
      <c r="C256" s="15"/>
      <c r="D256" s="15"/>
      <c r="E256" s="38"/>
      <c r="F256" s="38"/>
      <c r="G256" s="38"/>
      <c r="H256" s="38"/>
      <c r="I256" s="108"/>
    </row>
    <row r="257">
      <c r="A257" s="38"/>
      <c r="B257" s="38"/>
      <c r="C257" s="15"/>
      <c r="D257" s="15"/>
      <c r="E257" s="38"/>
      <c r="F257" s="38"/>
      <c r="G257" s="38"/>
      <c r="H257" s="38"/>
      <c r="I257" s="108"/>
    </row>
    <row r="258">
      <c r="A258" s="38"/>
      <c r="B258" s="38"/>
      <c r="C258" s="15"/>
      <c r="D258" s="15"/>
      <c r="E258" s="38"/>
      <c r="F258" s="38"/>
      <c r="G258" s="38"/>
      <c r="H258" s="38"/>
      <c r="I258" s="108"/>
    </row>
    <row r="259">
      <c r="A259" s="38"/>
      <c r="B259" s="38"/>
      <c r="C259" s="15"/>
      <c r="D259" s="15"/>
      <c r="E259" s="38"/>
      <c r="F259" s="38"/>
      <c r="G259" s="38"/>
      <c r="H259" s="38"/>
      <c r="I259" s="108"/>
    </row>
    <row r="260">
      <c r="A260" s="38"/>
      <c r="B260" s="38"/>
      <c r="C260" s="15"/>
      <c r="D260" s="15"/>
      <c r="E260" s="38"/>
      <c r="F260" s="38"/>
      <c r="G260" s="38"/>
      <c r="H260" s="38"/>
      <c r="I260" s="108"/>
    </row>
    <row r="261">
      <c r="A261" s="38"/>
      <c r="B261" s="38"/>
      <c r="C261" s="15"/>
      <c r="D261" s="15"/>
      <c r="E261" s="38"/>
      <c r="F261" s="38"/>
      <c r="G261" s="38"/>
      <c r="H261" s="38"/>
      <c r="I261" s="108"/>
    </row>
    <row r="262">
      <c r="A262" s="38"/>
      <c r="B262" s="38"/>
      <c r="C262" s="15"/>
      <c r="D262" s="15"/>
      <c r="E262" s="38"/>
      <c r="F262" s="38"/>
      <c r="G262" s="38"/>
      <c r="H262" s="38"/>
      <c r="I262" s="108"/>
    </row>
    <row r="263">
      <c r="A263" s="38"/>
      <c r="B263" s="38"/>
      <c r="C263" s="15"/>
      <c r="D263" s="15"/>
      <c r="E263" s="38"/>
      <c r="F263" s="38"/>
      <c r="G263" s="38"/>
      <c r="H263" s="38"/>
      <c r="I263" s="108"/>
    </row>
    <row r="264">
      <c r="A264" s="38"/>
      <c r="B264" s="38"/>
      <c r="C264" s="15"/>
      <c r="D264" s="15"/>
      <c r="E264" s="38"/>
      <c r="F264" s="38"/>
      <c r="G264" s="38"/>
      <c r="H264" s="38"/>
      <c r="I264" s="108"/>
    </row>
    <row r="265">
      <c r="A265" s="38"/>
      <c r="B265" s="38"/>
      <c r="C265" s="15"/>
      <c r="D265" s="15"/>
      <c r="E265" s="38"/>
      <c r="F265" s="38"/>
      <c r="G265" s="38"/>
      <c r="H265" s="38"/>
      <c r="I265" s="108"/>
    </row>
    <row r="266">
      <c r="A266" s="38"/>
      <c r="B266" s="38"/>
      <c r="C266" s="15"/>
      <c r="D266" s="15"/>
      <c r="E266" s="38"/>
      <c r="F266" s="38"/>
      <c r="G266" s="38"/>
      <c r="H266" s="38"/>
      <c r="I266" s="108"/>
    </row>
    <row r="267">
      <c r="A267" s="38"/>
      <c r="B267" s="38"/>
      <c r="C267" s="15"/>
      <c r="D267" s="15"/>
      <c r="E267" s="38"/>
      <c r="F267" s="38"/>
      <c r="G267" s="38"/>
      <c r="H267" s="38"/>
      <c r="I267" s="108"/>
    </row>
    <row r="268">
      <c r="A268" s="38"/>
      <c r="B268" s="38"/>
      <c r="C268" s="15"/>
      <c r="D268" s="15"/>
      <c r="E268" s="38"/>
      <c r="F268" s="38"/>
      <c r="G268" s="38"/>
      <c r="H268" s="38"/>
      <c r="I268" s="108"/>
    </row>
    <row r="269">
      <c r="A269" s="38"/>
      <c r="B269" s="38"/>
      <c r="C269" s="15"/>
      <c r="D269" s="15"/>
      <c r="E269" s="38"/>
      <c r="F269" s="38"/>
      <c r="G269" s="38"/>
      <c r="H269" s="38"/>
      <c r="I269" s="108"/>
    </row>
    <row r="270">
      <c r="A270" s="38"/>
      <c r="B270" s="38"/>
      <c r="C270" s="15"/>
      <c r="D270" s="15"/>
      <c r="E270" s="38"/>
      <c r="F270" s="38"/>
      <c r="G270" s="38"/>
      <c r="H270" s="38"/>
      <c r="I270" s="108"/>
    </row>
    <row r="271">
      <c r="A271" s="38"/>
      <c r="B271" s="38"/>
      <c r="C271" s="15"/>
      <c r="D271" s="15"/>
      <c r="E271" s="38"/>
      <c r="F271" s="38"/>
      <c r="G271" s="38"/>
      <c r="H271" s="38"/>
      <c r="I271" s="108"/>
    </row>
    <row r="272">
      <c r="A272" s="38"/>
      <c r="B272" s="38"/>
      <c r="C272" s="15"/>
      <c r="D272" s="15"/>
      <c r="E272" s="38"/>
      <c r="F272" s="38"/>
      <c r="G272" s="38"/>
      <c r="H272" s="38"/>
      <c r="I272" s="108"/>
    </row>
    <row r="273">
      <c r="A273" s="38"/>
      <c r="B273" s="38"/>
      <c r="C273" s="15"/>
      <c r="D273" s="15"/>
      <c r="E273" s="38"/>
      <c r="F273" s="38"/>
      <c r="G273" s="38"/>
      <c r="H273" s="38"/>
      <c r="I273" s="108"/>
    </row>
    <row r="274">
      <c r="A274" s="38"/>
      <c r="B274" s="38"/>
      <c r="C274" s="15"/>
      <c r="D274" s="15"/>
      <c r="E274" s="38"/>
      <c r="F274" s="38"/>
      <c r="G274" s="38"/>
      <c r="H274" s="38"/>
      <c r="I274" s="108"/>
    </row>
    <row r="275">
      <c r="A275" s="38"/>
      <c r="B275" s="38"/>
      <c r="C275" s="15"/>
      <c r="D275" s="15"/>
      <c r="E275" s="38"/>
      <c r="F275" s="38"/>
      <c r="G275" s="38"/>
      <c r="H275" s="38"/>
      <c r="I275" s="108"/>
    </row>
    <row r="276">
      <c r="A276" s="38"/>
      <c r="B276" s="38"/>
      <c r="C276" s="15"/>
      <c r="D276" s="15"/>
      <c r="E276" s="38"/>
      <c r="F276" s="38"/>
      <c r="G276" s="38"/>
      <c r="H276" s="38"/>
      <c r="I276" s="108"/>
    </row>
    <row r="277">
      <c r="A277" s="38"/>
      <c r="B277" s="38"/>
      <c r="C277" s="15"/>
      <c r="D277" s="15"/>
      <c r="E277" s="38"/>
      <c r="F277" s="38"/>
      <c r="G277" s="38"/>
      <c r="H277" s="38"/>
      <c r="I277" s="108"/>
    </row>
    <row r="278">
      <c r="A278" s="38"/>
      <c r="B278" s="38"/>
      <c r="C278" s="15"/>
      <c r="D278" s="15"/>
      <c r="E278" s="38"/>
      <c r="F278" s="38"/>
      <c r="G278" s="38"/>
      <c r="H278" s="38"/>
      <c r="I278" s="108"/>
    </row>
    <row r="279">
      <c r="A279" s="38"/>
      <c r="B279" s="38"/>
      <c r="C279" s="15"/>
      <c r="D279" s="15"/>
      <c r="E279" s="38"/>
      <c r="F279" s="38"/>
      <c r="G279" s="38"/>
      <c r="H279" s="38"/>
      <c r="I279" s="108"/>
    </row>
    <row r="280">
      <c r="A280" s="38"/>
      <c r="B280" s="38"/>
      <c r="C280" s="15"/>
      <c r="D280" s="15"/>
      <c r="E280" s="38"/>
      <c r="F280" s="38"/>
      <c r="G280" s="38"/>
      <c r="H280" s="38"/>
      <c r="I280" s="108"/>
    </row>
    <row r="281">
      <c r="A281" s="38"/>
      <c r="B281" s="38"/>
      <c r="C281" s="15"/>
      <c r="D281" s="15"/>
      <c r="E281" s="38"/>
      <c r="F281" s="38"/>
      <c r="G281" s="38"/>
      <c r="H281" s="38"/>
      <c r="I281" s="108"/>
    </row>
    <row r="282">
      <c r="A282" s="38"/>
      <c r="B282" s="38"/>
      <c r="C282" s="15"/>
      <c r="D282" s="15"/>
      <c r="E282" s="38"/>
      <c r="F282" s="38"/>
      <c r="G282" s="38"/>
      <c r="H282" s="38"/>
      <c r="I282" s="108"/>
    </row>
    <row r="283">
      <c r="A283" s="38"/>
      <c r="B283" s="38"/>
      <c r="C283" s="15"/>
      <c r="D283" s="15"/>
      <c r="E283" s="38"/>
      <c r="F283" s="38"/>
      <c r="G283" s="38"/>
      <c r="H283" s="38"/>
      <c r="I283" s="108"/>
    </row>
    <row r="284">
      <c r="A284" s="38"/>
      <c r="B284" s="38"/>
      <c r="C284" s="15"/>
      <c r="D284" s="15"/>
      <c r="E284" s="38"/>
      <c r="F284" s="38"/>
      <c r="G284" s="38"/>
      <c r="H284" s="38"/>
      <c r="I284" s="108"/>
    </row>
    <row r="285">
      <c r="A285" s="38"/>
      <c r="B285" s="38"/>
      <c r="C285" s="15"/>
      <c r="D285" s="15"/>
      <c r="E285" s="38"/>
      <c r="F285" s="38"/>
      <c r="G285" s="38"/>
      <c r="H285" s="38"/>
      <c r="I285" s="108"/>
    </row>
    <row r="286">
      <c r="A286" s="38"/>
      <c r="B286" s="38"/>
      <c r="C286" s="15"/>
      <c r="D286" s="15"/>
      <c r="E286" s="38"/>
      <c r="F286" s="38"/>
      <c r="G286" s="38"/>
      <c r="H286" s="38"/>
      <c r="I286" s="108"/>
    </row>
    <row r="287">
      <c r="A287" s="38"/>
      <c r="B287" s="38"/>
      <c r="C287" s="15"/>
      <c r="D287" s="15"/>
      <c r="E287" s="38"/>
      <c r="F287" s="38"/>
      <c r="G287" s="38"/>
      <c r="H287" s="38"/>
      <c r="I287" s="108"/>
    </row>
    <row r="288">
      <c r="A288" s="38"/>
      <c r="B288" s="38"/>
      <c r="C288" s="15"/>
      <c r="D288" s="15"/>
      <c r="E288" s="38"/>
      <c r="F288" s="38"/>
      <c r="G288" s="38"/>
      <c r="H288" s="38"/>
      <c r="I288" s="108"/>
    </row>
    <row r="289">
      <c r="A289" s="38"/>
      <c r="B289" s="38"/>
      <c r="C289" s="15"/>
      <c r="D289" s="15"/>
      <c r="E289" s="38"/>
      <c r="F289" s="38"/>
      <c r="G289" s="38"/>
      <c r="H289" s="38"/>
      <c r="I289" s="108"/>
    </row>
    <row r="290">
      <c r="A290" s="38"/>
      <c r="B290" s="38"/>
      <c r="C290" s="15"/>
      <c r="D290" s="15"/>
      <c r="E290" s="38"/>
      <c r="F290" s="38"/>
      <c r="G290" s="38"/>
      <c r="H290" s="38"/>
      <c r="I290" s="108"/>
    </row>
    <row r="291">
      <c r="A291" s="38"/>
      <c r="B291" s="38"/>
      <c r="C291" s="15"/>
      <c r="D291" s="15"/>
      <c r="E291" s="38"/>
      <c r="F291" s="38"/>
      <c r="G291" s="38"/>
      <c r="H291" s="38"/>
      <c r="I291" s="108"/>
    </row>
    <row r="292">
      <c r="A292" s="38"/>
      <c r="B292" s="38"/>
      <c r="C292" s="15"/>
      <c r="D292" s="15"/>
      <c r="E292" s="38"/>
      <c r="F292" s="38"/>
      <c r="G292" s="38"/>
      <c r="H292" s="38"/>
      <c r="I292" s="108"/>
    </row>
    <row r="293">
      <c r="A293" s="38"/>
      <c r="B293" s="38"/>
      <c r="C293" s="15"/>
      <c r="D293" s="15"/>
      <c r="E293" s="38"/>
      <c r="F293" s="38"/>
      <c r="G293" s="38"/>
      <c r="H293" s="38"/>
      <c r="I293" s="108"/>
    </row>
    <row r="294">
      <c r="A294" s="38"/>
      <c r="B294" s="38"/>
      <c r="C294" s="15"/>
      <c r="D294" s="15"/>
      <c r="E294" s="38"/>
      <c r="F294" s="38"/>
      <c r="G294" s="38"/>
      <c r="H294" s="38"/>
      <c r="I294" s="108"/>
    </row>
    <row r="295">
      <c r="A295" s="38"/>
      <c r="B295" s="38"/>
      <c r="C295" s="15"/>
      <c r="D295" s="15"/>
      <c r="E295" s="38"/>
      <c r="F295" s="38"/>
      <c r="G295" s="38"/>
      <c r="H295" s="38"/>
      <c r="I295" s="108"/>
    </row>
    <row r="296">
      <c r="A296" s="38"/>
      <c r="B296" s="38"/>
      <c r="C296" s="15"/>
      <c r="D296" s="15"/>
      <c r="E296" s="38"/>
      <c r="F296" s="38"/>
      <c r="G296" s="38"/>
      <c r="H296" s="38"/>
      <c r="I296" s="108"/>
    </row>
    <row r="297">
      <c r="A297" s="38"/>
      <c r="B297" s="38"/>
      <c r="C297" s="15"/>
      <c r="D297" s="15"/>
      <c r="E297" s="38"/>
      <c r="F297" s="38"/>
      <c r="G297" s="38"/>
      <c r="H297" s="38"/>
      <c r="I297" s="108"/>
    </row>
    <row r="298">
      <c r="A298" s="38"/>
      <c r="B298" s="38"/>
      <c r="C298" s="15"/>
      <c r="D298" s="15"/>
      <c r="E298" s="38"/>
      <c r="F298" s="38"/>
      <c r="G298" s="38"/>
      <c r="H298" s="38"/>
      <c r="I298" s="108"/>
    </row>
    <row r="299">
      <c r="A299" s="38"/>
      <c r="B299" s="38"/>
      <c r="C299" s="15"/>
      <c r="D299" s="15"/>
      <c r="E299" s="38"/>
      <c r="F299" s="38"/>
      <c r="G299" s="38"/>
      <c r="H299" s="38"/>
      <c r="I299" s="108"/>
    </row>
    <row r="300">
      <c r="A300" s="38"/>
      <c r="B300" s="38"/>
      <c r="C300" s="15"/>
      <c r="D300" s="15"/>
      <c r="E300" s="38"/>
      <c r="F300" s="38"/>
      <c r="G300" s="38"/>
      <c r="H300" s="38"/>
      <c r="I300" s="108"/>
    </row>
    <row r="301">
      <c r="A301" s="38"/>
      <c r="B301" s="38"/>
      <c r="C301" s="15"/>
      <c r="D301" s="15"/>
      <c r="E301" s="38"/>
      <c r="F301" s="38"/>
      <c r="G301" s="38"/>
      <c r="H301" s="38"/>
      <c r="I301" s="108"/>
    </row>
    <row r="302">
      <c r="A302" s="38"/>
      <c r="B302" s="38"/>
      <c r="C302" s="15"/>
      <c r="D302" s="15"/>
      <c r="E302" s="38"/>
      <c r="F302" s="38"/>
      <c r="G302" s="38"/>
      <c r="H302" s="38"/>
      <c r="I302" s="108"/>
    </row>
    <row r="303">
      <c r="A303" s="38"/>
      <c r="B303" s="38"/>
      <c r="C303" s="15"/>
      <c r="D303" s="15"/>
      <c r="E303" s="38"/>
      <c r="F303" s="38"/>
      <c r="G303" s="38"/>
      <c r="H303" s="38"/>
      <c r="I303" s="108"/>
    </row>
    <row r="304">
      <c r="A304" s="38"/>
      <c r="B304" s="38"/>
      <c r="C304" s="15"/>
      <c r="D304" s="15"/>
      <c r="E304" s="38"/>
      <c r="F304" s="38"/>
      <c r="G304" s="38"/>
      <c r="H304" s="38"/>
      <c r="I304" s="108"/>
    </row>
    <row r="305">
      <c r="A305" s="38"/>
      <c r="B305" s="38"/>
      <c r="C305" s="15"/>
      <c r="D305" s="15"/>
      <c r="E305" s="38"/>
      <c r="F305" s="38"/>
      <c r="G305" s="38"/>
      <c r="H305" s="38"/>
      <c r="I305" s="108"/>
    </row>
    <row r="306">
      <c r="A306" s="38"/>
      <c r="B306" s="38"/>
      <c r="C306" s="15"/>
      <c r="D306" s="15"/>
      <c r="E306" s="38"/>
      <c r="F306" s="38"/>
      <c r="G306" s="38"/>
      <c r="H306" s="38"/>
      <c r="I306" s="108"/>
    </row>
    <row r="307">
      <c r="A307" s="38"/>
      <c r="B307" s="38"/>
      <c r="C307" s="15"/>
      <c r="D307" s="15"/>
      <c r="E307" s="38"/>
      <c r="F307" s="38"/>
      <c r="G307" s="38"/>
      <c r="H307" s="38"/>
      <c r="I307" s="108"/>
    </row>
    <row r="308">
      <c r="A308" s="38"/>
      <c r="B308" s="38"/>
      <c r="C308" s="15"/>
      <c r="D308" s="15"/>
      <c r="E308" s="38"/>
      <c r="F308" s="38"/>
      <c r="G308" s="38"/>
      <c r="H308" s="38"/>
      <c r="I308" s="108"/>
    </row>
    <row r="309">
      <c r="A309" s="38"/>
      <c r="B309" s="38"/>
      <c r="C309" s="15"/>
      <c r="D309" s="15"/>
      <c r="E309" s="38"/>
      <c r="F309" s="38"/>
      <c r="G309" s="38"/>
      <c r="H309" s="38"/>
      <c r="I309" s="108"/>
    </row>
    <row r="310">
      <c r="A310" s="38"/>
      <c r="B310" s="38"/>
      <c r="C310" s="15"/>
      <c r="D310" s="15"/>
      <c r="E310" s="38"/>
      <c r="F310" s="38"/>
      <c r="G310" s="38"/>
      <c r="H310" s="38"/>
      <c r="I310" s="108"/>
    </row>
    <row r="311">
      <c r="A311" s="38"/>
      <c r="B311" s="38"/>
      <c r="C311" s="15"/>
      <c r="D311" s="15"/>
      <c r="E311" s="38"/>
      <c r="F311" s="38"/>
      <c r="G311" s="38"/>
      <c r="H311" s="38"/>
      <c r="I311" s="108"/>
    </row>
    <row r="312">
      <c r="A312" s="38"/>
      <c r="B312" s="38"/>
      <c r="C312" s="15"/>
      <c r="D312" s="15"/>
      <c r="E312" s="38"/>
      <c r="F312" s="38"/>
      <c r="G312" s="38"/>
      <c r="H312" s="38"/>
      <c r="I312" s="108"/>
    </row>
    <row r="313">
      <c r="A313" s="38"/>
      <c r="B313" s="38"/>
      <c r="C313" s="15"/>
      <c r="D313" s="15"/>
      <c r="E313" s="38"/>
      <c r="F313" s="38"/>
      <c r="G313" s="38"/>
      <c r="H313" s="38"/>
      <c r="I313" s="108"/>
    </row>
    <row r="314">
      <c r="A314" s="38"/>
      <c r="B314" s="38"/>
      <c r="C314" s="15"/>
      <c r="D314" s="15"/>
      <c r="E314" s="38"/>
      <c r="F314" s="38"/>
      <c r="G314" s="38"/>
      <c r="H314" s="38"/>
      <c r="I314" s="108"/>
    </row>
    <row r="315">
      <c r="A315" s="38"/>
      <c r="B315" s="38"/>
      <c r="C315" s="15"/>
      <c r="D315" s="15"/>
      <c r="E315" s="38"/>
      <c r="F315" s="38"/>
      <c r="G315" s="38"/>
      <c r="H315" s="38"/>
      <c r="I315" s="108"/>
    </row>
    <row r="316">
      <c r="A316" s="38"/>
      <c r="B316" s="38"/>
      <c r="C316" s="15"/>
      <c r="D316" s="15"/>
      <c r="E316" s="38"/>
      <c r="F316" s="38"/>
      <c r="G316" s="38"/>
      <c r="H316" s="38"/>
      <c r="I316" s="108"/>
    </row>
    <row r="317">
      <c r="A317" s="38"/>
      <c r="B317" s="38"/>
      <c r="C317" s="15"/>
      <c r="D317" s="15"/>
      <c r="E317" s="38"/>
      <c r="F317" s="38"/>
      <c r="G317" s="38"/>
      <c r="H317" s="38"/>
      <c r="I317" s="108"/>
    </row>
    <row r="318">
      <c r="A318" s="38"/>
      <c r="B318" s="38"/>
      <c r="C318" s="15"/>
      <c r="D318" s="15"/>
      <c r="E318" s="38"/>
      <c r="F318" s="38"/>
      <c r="G318" s="38"/>
      <c r="H318" s="38"/>
      <c r="I318" s="108"/>
    </row>
    <row r="319">
      <c r="A319" s="38"/>
      <c r="B319" s="38"/>
      <c r="C319" s="15"/>
      <c r="D319" s="15"/>
      <c r="E319" s="38"/>
      <c r="F319" s="38"/>
      <c r="G319" s="38"/>
      <c r="H319" s="38"/>
      <c r="I319" s="108"/>
    </row>
    <row r="320">
      <c r="A320" s="38"/>
      <c r="B320" s="38"/>
      <c r="C320" s="15"/>
      <c r="D320" s="15"/>
      <c r="E320" s="38"/>
      <c r="F320" s="38"/>
      <c r="G320" s="38"/>
      <c r="H320" s="38"/>
      <c r="I320" s="108"/>
    </row>
    <row r="321">
      <c r="A321" s="38"/>
      <c r="B321" s="38"/>
      <c r="C321" s="15"/>
      <c r="D321" s="15"/>
      <c r="E321" s="38"/>
      <c r="F321" s="38"/>
      <c r="G321" s="38"/>
      <c r="H321" s="38"/>
      <c r="I321" s="108"/>
    </row>
    <row r="322">
      <c r="A322" s="38"/>
      <c r="B322" s="38"/>
      <c r="C322" s="15"/>
      <c r="D322" s="15"/>
      <c r="E322" s="38"/>
      <c r="F322" s="38"/>
      <c r="G322" s="38"/>
      <c r="H322" s="38"/>
      <c r="I322" s="108"/>
    </row>
    <row r="323">
      <c r="A323" s="38"/>
      <c r="B323" s="38"/>
      <c r="C323" s="15"/>
      <c r="D323" s="15"/>
      <c r="E323" s="38"/>
      <c r="F323" s="38"/>
      <c r="G323" s="38"/>
      <c r="H323" s="38"/>
      <c r="I323" s="108"/>
    </row>
    <row r="324">
      <c r="A324" s="38"/>
      <c r="B324" s="38"/>
      <c r="C324" s="15"/>
      <c r="D324" s="15"/>
      <c r="E324" s="38"/>
      <c r="F324" s="38"/>
      <c r="G324" s="38"/>
      <c r="H324" s="38"/>
      <c r="I324" s="108"/>
    </row>
    <row r="325">
      <c r="A325" s="38"/>
      <c r="B325" s="38"/>
      <c r="C325" s="15"/>
      <c r="D325" s="15"/>
      <c r="E325" s="38"/>
      <c r="F325" s="38"/>
      <c r="G325" s="38"/>
      <c r="H325" s="38"/>
      <c r="I325" s="108"/>
    </row>
    <row r="326">
      <c r="A326" s="38"/>
      <c r="B326" s="38"/>
      <c r="C326" s="15"/>
      <c r="D326" s="15"/>
      <c r="E326" s="38"/>
      <c r="F326" s="38"/>
      <c r="G326" s="38"/>
      <c r="H326" s="38"/>
      <c r="I326" s="108"/>
    </row>
    <row r="327">
      <c r="A327" s="38"/>
      <c r="B327" s="38"/>
      <c r="C327" s="15"/>
      <c r="D327" s="15"/>
      <c r="E327" s="38"/>
      <c r="F327" s="38"/>
      <c r="G327" s="38"/>
      <c r="H327" s="38"/>
      <c r="I327" s="108"/>
    </row>
    <row r="328">
      <c r="A328" s="38"/>
      <c r="B328" s="38"/>
      <c r="C328" s="15"/>
      <c r="D328" s="15"/>
      <c r="E328" s="38"/>
      <c r="F328" s="38"/>
      <c r="G328" s="38"/>
      <c r="H328" s="38"/>
      <c r="I328" s="108"/>
    </row>
    <row r="329">
      <c r="A329" s="38"/>
      <c r="B329" s="38"/>
      <c r="C329" s="15"/>
      <c r="D329" s="15"/>
      <c r="E329" s="38"/>
      <c r="F329" s="38"/>
      <c r="G329" s="38"/>
      <c r="H329" s="38"/>
      <c r="I329" s="108"/>
    </row>
    <row r="330">
      <c r="A330" s="38"/>
      <c r="B330" s="38"/>
      <c r="C330" s="15"/>
      <c r="D330" s="15"/>
      <c r="E330" s="38"/>
      <c r="F330" s="38"/>
      <c r="G330" s="38"/>
      <c r="H330" s="38"/>
      <c r="I330" s="108"/>
    </row>
    <row r="331">
      <c r="A331" s="38"/>
      <c r="B331" s="38"/>
      <c r="C331" s="15"/>
      <c r="D331" s="15"/>
      <c r="E331" s="38"/>
      <c r="F331" s="38"/>
      <c r="G331" s="38"/>
      <c r="H331" s="38"/>
      <c r="I331" s="108"/>
    </row>
    <row r="332">
      <c r="A332" s="38"/>
      <c r="B332" s="38"/>
      <c r="C332" s="15"/>
      <c r="D332" s="15"/>
      <c r="E332" s="38"/>
      <c r="F332" s="38"/>
      <c r="G332" s="38"/>
      <c r="H332" s="38"/>
      <c r="I332" s="108"/>
    </row>
    <row r="333">
      <c r="A333" s="38"/>
      <c r="B333" s="38"/>
      <c r="C333" s="15"/>
      <c r="D333" s="15"/>
      <c r="E333" s="38"/>
      <c r="F333" s="38"/>
      <c r="G333" s="38"/>
      <c r="H333" s="38"/>
      <c r="I333" s="108"/>
    </row>
    <row r="334">
      <c r="A334" s="38"/>
      <c r="B334" s="38"/>
      <c r="C334" s="15"/>
      <c r="D334" s="15"/>
      <c r="E334" s="38"/>
      <c r="F334" s="38"/>
      <c r="G334" s="38"/>
      <c r="H334" s="38"/>
      <c r="I334" s="108"/>
    </row>
    <row r="335">
      <c r="A335" s="38"/>
      <c r="B335" s="38"/>
      <c r="C335" s="15"/>
      <c r="D335" s="15"/>
      <c r="E335" s="38"/>
      <c r="F335" s="38"/>
      <c r="G335" s="38"/>
      <c r="H335" s="38"/>
      <c r="I335" s="108"/>
    </row>
    <row r="336">
      <c r="A336" s="38"/>
      <c r="B336" s="38"/>
      <c r="C336" s="15"/>
      <c r="D336" s="15"/>
      <c r="E336" s="38"/>
      <c r="F336" s="38"/>
      <c r="G336" s="38"/>
      <c r="H336" s="38"/>
      <c r="I336" s="108"/>
    </row>
    <row r="337">
      <c r="A337" s="38"/>
      <c r="B337" s="38"/>
      <c r="C337" s="15"/>
      <c r="D337" s="15"/>
      <c r="E337" s="38"/>
      <c r="F337" s="38"/>
      <c r="G337" s="38"/>
      <c r="H337" s="38"/>
      <c r="I337" s="108"/>
    </row>
    <row r="338">
      <c r="A338" s="38"/>
      <c r="B338" s="38"/>
      <c r="C338" s="15"/>
      <c r="D338" s="15"/>
      <c r="E338" s="38"/>
      <c r="F338" s="38"/>
      <c r="G338" s="38"/>
      <c r="H338" s="38"/>
      <c r="I338" s="108"/>
    </row>
    <row r="339">
      <c r="A339" s="38"/>
      <c r="B339" s="38"/>
      <c r="C339" s="15"/>
      <c r="D339" s="15"/>
      <c r="E339" s="38"/>
      <c r="F339" s="38"/>
      <c r="G339" s="38"/>
      <c r="H339" s="38"/>
      <c r="I339" s="108"/>
    </row>
    <row r="340">
      <c r="A340" s="38"/>
      <c r="B340" s="38"/>
      <c r="C340" s="15"/>
      <c r="D340" s="15"/>
      <c r="E340" s="38"/>
      <c r="F340" s="38"/>
      <c r="G340" s="38"/>
      <c r="H340" s="38"/>
      <c r="I340" s="108"/>
    </row>
    <row r="341">
      <c r="A341" s="38"/>
      <c r="B341" s="38"/>
      <c r="C341" s="15"/>
      <c r="D341" s="15"/>
      <c r="E341" s="38"/>
      <c r="F341" s="38"/>
      <c r="G341" s="38"/>
      <c r="H341" s="38"/>
      <c r="I341" s="108"/>
    </row>
    <row r="342">
      <c r="A342" s="38"/>
      <c r="B342" s="38"/>
      <c r="C342" s="15"/>
      <c r="D342" s="15"/>
      <c r="E342" s="38"/>
      <c r="F342" s="38"/>
      <c r="G342" s="38"/>
      <c r="H342" s="38"/>
      <c r="I342" s="108"/>
    </row>
    <row r="343">
      <c r="A343" s="38"/>
      <c r="B343" s="38"/>
      <c r="C343" s="15"/>
      <c r="D343" s="15"/>
      <c r="E343" s="38"/>
      <c r="F343" s="38"/>
      <c r="G343" s="38"/>
      <c r="H343" s="38"/>
      <c r="I343" s="108"/>
    </row>
    <row r="344">
      <c r="A344" s="38"/>
      <c r="B344" s="38"/>
      <c r="C344" s="15"/>
      <c r="D344" s="15"/>
      <c r="E344" s="38"/>
      <c r="F344" s="38"/>
      <c r="G344" s="38"/>
      <c r="H344" s="38"/>
      <c r="I344" s="108"/>
    </row>
    <row r="345">
      <c r="A345" s="38"/>
      <c r="B345" s="38"/>
      <c r="C345" s="15"/>
      <c r="D345" s="15"/>
      <c r="E345" s="38"/>
      <c r="F345" s="38"/>
      <c r="G345" s="38"/>
      <c r="H345" s="38"/>
      <c r="I345" s="108"/>
    </row>
    <row r="346">
      <c r="A346" s="38"/>
      <c r="B346" s="38"/>
      <c r="C346" s="15"/>
      <c r="D346" s="15"/>
      <c r="E346" s="38"/>
      <c r="F346" s="38"/>
      <c r="G346" s="38"/>
      <c r="H346" s="38"/>
      <c r="I346" s="108"/>
    </row>
    <row r="347">
      <c r="A347" s="38"/>
      <c r="B347" s="38"/>
      <c r="C347" s="15"/>
      <c r="D347" s="15"/>
      <c r="E347" s="38"/>
      <c r="F347" s="38"/>
      <c r="G347" s="38"/>
      <c r="H347" s="38"/>
      <c r="I347" s="108"/>
    </row>
    <row r="348">
      <c r="A348" s="38"/>
      <c r="B348" s="38"/>
      <c r="C348" s="15"/>
      <c r="D348" s="15"/>
      <c r="E348" s="38"/>
      <c r="F348" s="38"/>
      <c r="G348" s="38"/>
      <c r="H348" s="38"/>
      <c r="I348" s="108"/>
    </row>
    <row r="349">
      <c r="A349" s="38"/>
      <c r="B349" s="38"/>
      <c r="C349" s="15"/>
      <c r="D349" s="15"/>
      <c r="E349" s="38"/>
      <c r="F349" s="38"/>
      <c r="G349" s="38"/>
      <c r="H349" s="38"/>
      <c r="I349" s="108"/>
    </row>
    <row r="350">
      <c r="A350" s="38"/>
      <c r="B350" s="38"/>
      <c r="C350" s="15"/>
      <c r="D350" s="15"/>
      <c r="E350" s="38"/>
      <c r="F350" s="38"/>
      <c r="G350" s="38"/>
      <c r="H350" s="38"/>
      <c r="I350" s="108"/>
    </row>
    <row r="351">
      <c r="A351" s="38"/>
      <c r="B351" s="38"/>
      <c r="C351" s="15"/>
      <c r="D351" s="15"/>
      <c r="E351" s="38"/>
      <c r="F351" s="38"/>
      <c r="G351" s="38"/>
      <c r="H351" s="38"/>
      <c r="I351" s="108"/>
    </row>
    <row r="352">
      <c r="A352" s="38"/>
      <c r="B352" s="38"/>
      <c r="C352" s="15"/>
      <c r="D352" s="15"/>
      <c r="E352" s="38"/>
      <c r="F352" s="38"/>
      <c r="G352" s="38"/>
      <c r="H352" s="38"/>
      <c r="I352" s="108"/>
    </row>
    <row r="353">
      <c r="A353" s="38"/>
      <c r="B353" s="38"/>
      <c r="C353" s="15"/>
      <c r="D353" s="15"/>
      <c r="E353" s="38"/>
      <c r="F353" s="38"/>
      <c r="G353" s="38"/>
      <c r="H353" s="38"/>
      <c r="I353" s="108"/>
    </row>
    <row r="354">
      <c r="A354" s="38"/>
      <c r="B354" s="38"/>
      <c r="C354" s="15"/>
      <c r="D354" s="15"/>
      <c r="E354" s="38"/>
      <c r="F354" s="38"/>
      <c r="G354" s="38"/>
      <c r="H354" s="38"/>
      <c r="I354" s="108"/>
    </row>
    <row r="355">
      <c r="A355" s="38"/>
      <c r="B355" s="38"/>
      <c r="C355" s="15"/>
      <c r="D355" s="15"/>
      <c r="E355" s="38"/>
      <c r="F355" s="38"/>
      <c r="G355" s="38"/>
      <c r="H355" s="38"/>
      <c r="I355" s="108"/>
    </row>
    <row r="356">
      <c r="A356" s="38"/>
      <c r="B356" s="38"/>
      <c r="C356" s="15"/>
      <c r="D356" s="15"/>
      <c r="E356" s="38"/>
      <c r="F356" s="38"/>
      <c r="G356" s="38"/>
      <c r="H356" s="38"/>
      <c r="I356" s="108"/>
    </row>
    <row r="357">
      <c r="A357" s="38"/>
      <c r="B357" s="38"/>
      <c r="C357" s="15"/>
      <c r="D357" s="15"/>
      <c r="E357" s="38"/>
      <c r="F357" s="38"/>
      <c r="G357" s="38"/>
      <c r="H357" s="38"/>
      <c r="I357" s="108"/>
    </row>
    <row r="358">
      <c r="A358" s="38"/>
      <c r="B358" s="38"/>
      <c r="C358" s="15"/>
      <c r="D358" s="15"/>
      <c r="E358" s="38"/>
      <c r="F358" s="38"/>
      <c r="G358" s="38"/>
      <c r="H358" s="38"/>
      <c r="I358" s="108"/>
    </row>
    <row r="359">
      <c r="A359" s="38"/>
      <c r="B359" s="38"/>
      <c r="C359" s="15"/>
      <c r="D359" s="15"/>
      <c r="E359" s="38"/>
      <c r="F359" s="38"/>
      <c r="G359" s="38"/>
      <c r="H359" s="38"/>
      <c r="I359" s="108"/>
    </row>
    <row r="360">
      <c r="A360" s="38"/>
      <c r="B360" s="38"/>
      <c r="C360" s="15"/>
      <c r="D360" s="15"/>
      <c r="E360" s="38"/>
      <c r="F360" s="38"/>
      <c r="G360" s="38"/>
      <c r="H360" s="38"/>
      <c r="I360" s="108"/>
    </row>
    <row r="361">
      <c r="A361" s="38"/>
      <c r="B361" s="38"/>
      <c r="C361" s="15"/>
      <c r="D361" s="15"/>
      <c r="E361" s="38"/>
      <c r="F361" s="38"/>
      <c r="G361" s="38"/>
      <c r="H361" s="38"/>
      <c r="I361" s="108"/>
    </row>
    <row r="362">
      <c r="A362" s="38"/>
      <c r="B362" s="38"/>
      <c r="C362" s="15"/>
      <c r="D362" s="15"/>
      <c r="E362" s="38"/>
      <c r="F362" s="38"/>
      <c r="G362" s="38"/>
      <c r="H362" s="38"/>
      <c r="I362" s="108"/>
    </row>
    <row r="363">
      <c r="A363" s="38"/>
      <c r="B363" s="38"/>
      <c r="C363" s="15"/>
      <c r="D363" s="15"/>
      <c r="E363" s="38"/>
      <c r="F363" s="38"/>
      <c r="G363" s="38"/>
      <c r="H363" s="38"/>
      <c r="I363" s="108"/>
    </row>
    <row r="364">
      <c r="A364" s="38"/>
      <c r="B364" s="38"/>
      <c r="C364" s="15"/>
      <c r="D364" s="15"/>
      <c r="E364" s="38"/>
      <c r="F364" s="38"/>
      <c r="G364" s="38"/>
      <c r="H364" s="38"/>
      <c r="I364" s="108"/>
    </row>
    <row r="365">
      <c r="A365" s="38"/>
      <c r="B365" s="38"/>
      <c r="C365" s="15"/>
      <c r="D365" s="15"/>
      <c r="E365" s="38"/>
      <c r="F365" s="38"/>
      <c r="G365" s="38"/>
      <c r="H365" s="38"/>
      <c r="I365" s="108"/>
    </row>
    <row r="366">
      <c r="A366" s="38"/>
      <c r="B366" s="38"/>
      <c r="C366" s="15"/>
      <c r="D366" s="15"/>
      <c r="E366" s="38"/>
      <c r="F366" s="38"/>
      <c r="G366" s="38"/>
      <c r="H366" s="38"/>
      <c r="I366" s="108"/>
    </row>
    <row r="367">
      <c r="A367" s="38"/>
      <c r="B367" s="38"/>
      <c r="C367" s="15"/>
      <c r="D367" s="15"/>
      <c r="E367" s="38"/>
      <c r="F367" s="38"/>
      <c r="G367" s="38"/>
      <c r="H367" s="38"/>
      <c r="I367" s="108"/>
    </row>
    <row r="368">
      <c r="A368" s="38"/>
      <c r="B368" s="38"/>
      <c r="C368" s="15"/>
      <c r="D368" s="15"/>
      <c r="E368" s="38"/>
      <c r="F368" s="38"/>
      <c r="G368" s="38"/>
      <c r="H368" s="38"/>
      <c r="I368" s="108"/>
    </row>
    <row r="369">
      <c r="A369" s="38"/>
      <c r="B369" s="38"/>
      <c r="C369" s="15"/>
      <c r="D369" s="15"/>
      <c r="E369" s="38"/>
      <c r="F369" s="38"/>
      <c r="G369" s="38"/>
      <c r="H369" s="38"/>
      <c r="I369" s="108"/>
    </row>
    <row r="370">
      <c r="A370" s="38"/>
      <c r="B370" s="38"/>
      <c r="C370" s="15"/>
      <c r="D370" s="15"/>
      <c r="E370" s="38"/>
      <c r="F370" s="38"/>
      <c r="G370" s="38"/>
      <c r="H370" s="38"/>
      <c r="I370" s="108"/>
    </row>
    <row r="371">
      <c r="A371" s="38"/>
      <c r="B371" s="38"/>
      <c r="C371" s="15"/>
      <c r="D371" s="15"/>
      <c r="E371" s="38"/>
      <c r="F371" s="38"/>
      <c r="G371" s="38"/>
      <c r="H371" s="38"/>
      <c r="I371" s="108"/>
    </row>
    <row r="372">
      <c r="A372" s="38"/>
      <c r="B372" s="38"/>
      <c r="C372" s="15"/>
      <c r="D372" s="15"/>
      <c r="E372" s="38"/>
      <c r="F372" s="38"/>
      <c r="G372" s="38"/>
      <c r="H372" s="38"/>
      <c r="I372" s="108"/>
    </row>
    <row r="373">
      <c r="A373" s="38"/>
      <c r="B373" s="38"/>
      <c r="C373" s="15"/>
      <c r="D373" s="15"/>
      <c r="E373" s="38"/>
      <c r="F373" s="38"/>
      <c r="G373" s="38"/>
      <c r="H373" s="38"/>
      <c r="I373" s="108"/>
    </row>
    <row r="374">
      <c r="A374" s="38"/>
      <c r="B374" s="38"/>
      <c r="C374" s="15"/>
      <c r="D374" s="15"/>
      <c r="E374" s="38"/>
      <c r="F374" s="38"/>
      <c r="G374" s="38"/>
      <c r="H374" s="38"/>
      <c r="I374" s="108"/>
    </row>
    <row r="375">
      <c r="A375" s="38"/>
      <c r="B375" s="38"/>
      <c r="C375" s="15"/>
      <c r="D375" s="15"/>
      <c r="E375" s="38"/>
      <c r="F375" s="38"/>
      <c r="G375" s="38"/>
      <c r="H375" s="38"/>
      <c r="I375" s="108"/>
    </row>
    <row r="376">
      <c r="A376" s="38"/>
      <c r="B376" s="38"/>
      <c r="C376" s="15"/>
      <c r="D376" s="15"/>
      <c r="E376" s="38"/>
      <c r="F376" s="38"/>
      <c r="G376" s="38"/>
      <c r="H376" s="38"/>
      <c r="I376" s="108"/>
    </row>
    <row r="377">
      <c r="A377" s="38"/>
      <c r="B377" s="38"/>
      <c r="C377" s="15"/>
      <c r="D377" s="15"/>
      <c r="E377" s="38"/>
      <c r="F377" s="38"/>
      <c r="G377" s="38"/>
      <c r="H377" s="38"/>
      <c r="I377" s="108"/>
    </row>
    <row r="378">
      <c r="A378" s="38"/>
      <c r="B378" s="38"/>
      <c r="C378" s="15"/>
      <c r="D378" s="15"/>
      <c r="E378" s="38"/>
      <c r="F378" s="38"/>
      <c r="G378" s="38"/>
      <c r="H378" s="38"/>
      <c r="I378" s="108"/>
    </row>
    <row r="379">
      <c r="A379" s="38"/>
      <c r="B379" s="38"/>
      <c r="C379" s="15"/>
      <c r="D379" s="15"/>
      <c r="E379" s="38"/>
      <c r="F379" s="38"/>
      <c r="G379" s="38"/>
      <c r="H379" s="38"/>
      <c r="I379" s="108"/>
    </row>
    <row r="380">
      <c r="A380" s="38"/>
      <c r="B380" s="38"/>
      <c r="C380" s="15"/>
      <c r="D380" s="15"/>
      <c r="E380" s="38"/>
      <c r="F380" s="38"/>
      <c r="G380" s="38"/>
      <c r="H380" s="38"/>
      <c r="I380" s="108"/>
    </row>
    <row r="381">
      <c r="A381" s="38"/>
      <c r="B381" s="38"/>
      <c r="C381" s="15"/>
      <c r="D381" s="15"/>
      <c r="E381" s="38"/>
      <c r="F381" s="38"/>
      <c r="G381" s="38"/>
      <c r="H381" s="38"/>
      <c r="I381" s="108"/>
    </row>
    <row r="382">
      <c r="A382" s="38"/>
      <c r="B382" s="38"/>
      <c r="C382" s="15"/>
      <c r="D382" s="15"/>
      <c r="E382" s="38"/>
      <c r="F382" s="38"/>
      <c r="G382" s="38"/>
      <c r="H382" s="38"/>
      <c r="I382" s="108"/>
    </row>
    <row r="383">
      <c r="A383" s="38"/>
      <c r="B383" s="38"/>
      <c r="C383" s="15"/>
      <c r="D383" s="15"/>
      <c r="E383" s="38"/>
      <c r="F383" s="38"/>
      <c r="G383" s="38"/>
      <c r="H383" s="38"/>
      <c r="I383" s="108"/>
    </row>
    <row r="384">
      <c r="A384" s="38"/>
      <c r="B384" s="38"/>
      <c r="C384" s="15"/>
      <c r="D384" s="15"/>
      <c r="E384" s="38"/>
      <c r="F384" s="38"/>
      <c r="G384" s="38"/>
      <c r="H384" s="38"/>
      <c r="I384" s="108"/>
    </row>
    <row r="385">
      <c r="A385" s="38"/>
      <c r="B385" s="38"/>
      <c r="C385" s="15"/>
      <c r="D385" s="15"/>
      <c r="E385" s="38"/>
      <c r="F385" s="38"/>
      <c r="G385" s="38"/>
      <c r="H385" s="38"/>
      <c r="I385" s="108"/>
    </row>
    <row r="386">
      <c r="A386" s="38"/>
      <c r="B386" s="38"/>
      <c r="C386" s="15"/>
      <c r="D386" s="15"/>
      <c r="E386" s="38"/>
      <c r="F386" s="38"/>
      <c r="G386" s="38"/>
      <c r="H386" s="38"/>
      <c r="I386" s="108"/>
    </row>
    <row r="387">
      <c r="A387" s="38"/>
      <c r="B387" s="38"/>
      <c r="C387" s="15"/>
      <c r="D387" s="15"/>
      <c r="E387" s="38"/>
      <c r="F387" s="38"/>
      <c r="G387" s="38"/>
      <c r="H387" s="38"/>
      <c r="I387" s="108"/>
    </row>
    <row r="388">
      <c r="A388" s="38"/>
      <c r="B388" s="38"/>
      <c r="C388" s="15"/>
      <c r="D388" s="15"/>
      <c r="E388" s="38"/>
      <c r="F388" s="38"/>
      <c r="G388" s="38"/>
      <c r="H388" s="38"/>
      <c r="I388" s="108"/>
    </row>
    <row r="389">
      <c r="A389" s="38"/>
      <c r="B389" s="38"/>
      <c r="C389" s="15"/>
      <c r="D389" s="15"/>
      <c r="E389" s="38"/>
      <c r="F389" s="38"/>
      <c r="G389" s="38"/>
      <c r="H389" s="38"/>
      <c r="I389" s="108"/>
    </row>
    <row r="390">
      <c r="A390" s="38"/>
      <c r="B390" s="38"/>
      <c r="C390" s="15"/>
      <c r="D390" s="15"/>
      <c r="E390" s="38"/>
      <c r="F390" s="38"/>
      <c r="G390" s="38"/>
      <c r="H390" s="38"/>
      <c r="I390" s="108"/>
    </row>
    <row r="391">
      <c r="A391" s="38"/>
      <c r="B391" s="38"/>
      <c r="C391" s="15"/>
      <c r="D391" s="15"/>
      <c r="E391" s="38"/>
      <c r="F391" s="38"/>
      <c r="G391" s="38"/>
      <c r="H391" s="38"/>
      <c r="I391" s="108"/>
    </row>
    <row r="392">
      <c r="A392" s="38"/>
      <c r="B392" s="38"/>
      <c r="C392" s="15"/>
      <c r="D392" s="15"/>
      <c r="E392" s="38"/>
      <c r="F392" s="38"/>
      <c r="G392" s="38"/>
      <c r="H392" s="38"/>
      <c r="I392" s="108"/>
    </row>
    <row r="393">
      <c r="A393" s="38"/>
      <c r="B393" s="38"/>
      <c r="C393" s="15"/>
      <c r="D393" s="15"/>
      <c r="E393" s="38"/>
      <c r="F393" s="38"/>
      <c r="G393" s="38"/>
      <c r="H393" s="38"/>
      <c r="I393" s="108"/>
    </row>
    <row r="394">
      <c r="A394" s="38"/>
      <c r="B394" s="38"/>
      <c r="C394" s="15"/>
      <c r="D394" s="15"/>
      <c r="E394" s="38"/>
      <c r="F394" s="38"/>
      <c r="G394" s="38"/>
      <c r="H394" s="38"/>
      <c r="I394" s="108"/>
    </row>
    <row r="395">
      <c r="A395" s="38"/>
      <c r="B395" s="38"/>
      <c r="C395" s="15"/>
      <c r="D395" s="15"/>
      <c r="E395" s="38"/>
      <c r="F395" s="38"/>
      <c r="G395" s="38"/>
      <c r="H395" s="38"/>
      <c r="I395" s="108"/>
    </row>
    <row r="396">
      <c r="A396" s="38"/>
      <c r="B396" s="38"/>
      <c r="C396" s="15"/>
      <c r="D396" s="15"/>
      <c r="E396" s="38"/>
      <c r="F396" s="38"/>
      <c r="G396" s="38"/>
      <c r="H396" s="38"/>
      <c r="I396" s="108"/>
    </row>
    <row r="397">
      <c r="A397" s="38"/>
      <c r="B397" s="38"/>
      <c r="C397" s="15"/>
      <c r="D397" s="15"/>
      <c r="E397" s="38"/>
      <c r="F397" s="38"/>
      <c r="G397" s="38"/>
      <c r="H397" s="38"/>
      <c r="I397" s="108"/>
    </row>
    <row r="398">
      <c r="A398" s="38"/>
      <c r="B398" s="38"/>
      <c r="C398" s="15"/>
      <c r="D398" s="15"/>
      <c r="E398" s="38"/>
      <c r="F398" s="38"/>
      <c r="G398" s="38"/>
      <c r="H398" s="38"/>
      <c r="I398" s="108"/>
    </row>
    <row r="399">
      <c r="A399" s="38"/>
      <c r="B399" s="38"/>
      <c r="C399" s="15"/>
      <c r="D399" s="15"/>
      <c r="E399" s="38"/>
      <c r="F399" s="38"/>
      <c r="G399" s="38"/>
      <c r="H399" s="38"/>
      <c r="I399" s="108"/>
    </row>
    <row r="400">
      <c r="A400" s="38"/>
      <c r="B400" s="38"/>
      <c r="C400" s="15"/>
      <c r="D400" s="15"/>
      <c r="E400" s="38"/>
      <c r="F400" s="38"/>
      <c r="G400" s="38"/>
      <c r="H400" s="38"/>
      <c r="I400" s="108"/>
    </row>
    <row r="401">
      <c r="A401" s="38"/>
      <c r="B401" s="38"/>
      <c r="C401" s="15"/>
      <c r="D401" s="15"/>
      <c r="E401" s="38"/>
      <c r="F401" s="38"/>
      <c r="G401" s="38"/>
      <c r="H401" s="38"/>
      <c r="I401" s="108"/>
    </row>
    <row r="402">
      <c r="A402" s="38"/>
      <c r="B402" s="38"/>
      <c r="C402" s="15"/>
      <c r="D402" s="15"/>
      <c r="E402" s="38"/>
      <c r="F402" s="38"/>
      <c r="G402" s="38"/>
      <c r="H402" s="38"/>
      <c r="I402" s="108"/>
    </row>
    <row r="403">
      <c r="A403" s="38"/>
      <c r="B403" s="38"/>
      <c r="C403" s="15"/>
      <c r="D403" s="15"/>
      <c r="E403" s="38"/>
      <c r="F403" s="38"/>
      <c r="G403" s="38"/>
      <c r="H403" s="38"/>
      <c r="I403" s="108"/>
    </row>
    <row r="404">
      <c r="A404" s="38"/>
      <c r="B404" s="38"/>
      <c r="C404" s="15"/>
      <c r="D404" s="15"/>
      <c r="E404" s="38"/>
      <c r="F404" s="38"/>
      <c r="G404" s="38"/>
      <c r="H404" s="38"/>
      <c r="I404" s="108"/>
    </row>
    <row r="405">
      <c r="A405" s="38"/>
      <c r="B405" s="38"/>
      <c r="C405" s="15"/>
      <c r="D405" s="15"/>
      <c r="E405" s="38"/>
      <c r="F405" s="38"/>
      <c r="G405" s="38"/>
      <c r="H405" s="38"/>
      <c r="I405" s="108"/>
    </row>
    <row r="406">
      <c r="A406" s="38"/>
      <c r="B406" s="38"/>
      <c r="C406" s="15"/>
      <c r="D406" s="15"/>
      <c r="E406" s="38"/>
      <c r="F406" s="38"/>
      <c r="G406" s="38"/>
      <c r="H406" s="38"/>
      <c r="I406" s="108"/>
    </row>
    <row r="407">
      <c r="A407" s="38"/>
      <c r="B407" s="38"/>
      <c r="C407" s="15"/>
      <c r="D407" s="15"/>
      <c r="E407" s="38"/>
      <c r="F407" s="38"/>
      <c r="G407" s="38"/>
      <c r="H407" s="38"/>
      <c r="I407" s="108"/>
    </row>
    <row r="408">
      <c r="A408" s="38"/>
      <c r="B408" s="38"/>
      <c r="C408" s="15"/>
      <c r="D408" s="15"/>
      <c r="E408" s="38"/>
      <c r="F408" s="38"/>
      <c r="G408" s="38"/>
      <c r="H408" s="38"/>
      <c r="I408" s="108"/>
    </row>
    <row r="409">
      <c r="A409" s="38"/>
      <c r="B409" s="38"/>
      <c r="C409" s="15"/>
      <c r="D409" s="15"/>
      <c r="E409" s="38"/>
      <c r="F409" s="38"/>
      <c r="G409" s="38"/>
      <c r="H409" s="38"/>
      <c r="I409" s="108"/>
    </row>
    <row r="410">
      <c r="A410" s="38"/>
      <c r="B410" s="38"/>
      <c r="C410" s="15"/>
      <c r="D410" s="15"/>
      <c r="E410" s="38"/>
      <c r="F410" s="38"/>
      <c r="G410" s="38"/>
      <c r="H410" s="38"/>
      <c r="I410" s="108"/>
    </row>
    <row r="411">
      <c r="A411" s="38"/>
      <c r="B411" s="38"/>
      <c r="C411" s="15"/>
      <c r="D411" s="15"/>
      <c r="E411" s="38"/>
      <c r="F411" s="38"/>
      <c r="G411" s="38"/>
      <c r="H411" s="38"/>
      <c r="I411" s="108"/>
    </row>
    <row r="412">
      <c r="A412" s="38"/>
      <c r="B412" s="38"/>
      <c r="C412" s="15"/>
      <c r="D412" s="15"/>
      <c r="E412" s="38"/>
      <c r="F412" s="38"/>
      <c r="G412" s="38"/>
      <c r="H412" s="38"/>
      <c r="I412" s="108"/>
    </row>
    <row r="413">
      <c r="A413" s="38"/>
      <c r="B413" s="38"/>
      <c r="C413" s="15"/>
      <c r="D413" s="15"/>
      <c r="E413" s="38"/>
      <c r="F413" s="38"/>
      <c r="G413" s="38"/>
      <c r="H413" s="38"/>
      <c r="I413" s="108"/>
    </row>
    <row r="414">
      <c r="A414" s="38"/>
      <c r="B414" s="38"/>
      <c r="C414" s="15"/>
      <c r="D414" s="15"/>
      <c r="E414" s="38"/>
      <c r="F414" s="38"/>
      <c r="G414" s="38"/>
      <c r="H414" s="38"/>
      <c r="I414" s="108"/>
    </row>
    <row r="415">
      <c r="A415" s="38"/>
      <c r="B415" s="38"/>
      <c r="C415" s="15"/>
      <c r="D415" s="15"/>
      <c r="E415" s="38"/>
      <c r="F415" s="38"/>
      <c r="G415" s="38"/>
      <c r="H415" s="38"/>
      <c r="I415" s="108"/>
    </row>
    <row r="416">
      <c r="A416" s="38"/>
      <c r="B416" s="38"/>
      <c r="C416" s="15"/>
      <c r="D416" s="15"/>
      <c r="E416" s="38"/>
      <c r="F416" s="38"/>
      <c r="G416" s="38"/>
      <c r="H416" s="38"/>
      <c r="I416" s="108"/>
    </row>
    <row r="417">
      <c r="A417" s="38"/>
      <c r="B417" s="38"/>
      <c r="C417" s="15"/>
      <c r="D417" s="15"/>
      <c r="E417" s="38"/>
      <c r="F417" s="38"/>
      <c r="G417" s="38"/>
      <c r="H417" s="38"/>
      <c r="I417" s="108"/>
    </row>
    <row r="418">
      <c r="A418" s="38"/>
      <c r="B418" s="38"/>
      <c r="C418" s="15"/>
      <c r="D418" s="15"/>
      <c r="E418" s="38"/>
      <c r="F418" s="38"/>
      <c r="G418" s="38"/>
      <c r="H418" s="38"/>
      <c r="I418" s="108"/>
    </row>
    <row r="419">
      <c r="A419" s="38"/>
      <c r="B419" s="38"/>
      <c r="C419" s="15"/>
      <c r="D419" s="15"/>
      <c r="E419" s="38"/>
      <c r="F419" s="38"/>
      <c r="G419" s="38"/>
      <c r="H419" s="38"/>
      <c r="I419" s="108"/>
    </row>
    <row r="420">
      <c r="A420" s="38"/>
      <c r="B420" s="38"/>
      <c r="C420" s="15"/>
      <c r="D420" s="15"/>
      <c r="E420" s="38"/>
      <c r="F420" s="38"/>
      <c r="G420" s="38"/>
      <c r="H420" s="38"/>
      <c r="I420" s="108"/>
    </row>
    <row r="421">
      <c r="A421" s="38"/>
      <c r="B421" s="38"/>
      <c r="C421" s="15"/>
      <c r="D421" s="15"/>
      <c r="E421" s="38"/>
      <c r="F421" s="38"/>
      <c r="G421" s="38"/>
      <c r="H421" s="38"/>
      <c r="I421" s="108"/>
    </row>
    <row r="422">
      <c r="A422" s="38"/>
      <c r="B422" s="38"/>
      <c r="C422" s="15"/>
      <c r="D422" s="15"/>
      <c r="E422" s="38"/>
      <c r="F422" s="38"/>
      <c r="G422" s="38"/>
      <c r="H422" s="38"/>
      <c r="I422" s="108"/>
    </row>
    <row r="423">
      <c r="A423" s="38"/>
      <c r="B423" s="38"/>
      <c r="C423" s="15"/>
      <c r="D423" s="15"/>
      <c r="E423" s="38"/>
      <c r="F423" s="38"/>
      <c r="G423" s="38"/>
      <c r="H423" s="38"/>
      <c r="I423" s="108"/>
    </row>
    <row r="424">
      <c r="A424" s="38"/>
      <c r="B424" s="38"/>
      <c r="C424" s="15"/>
      <c r="D424" s="15"/>
      <c r="E424" s="38"/>
      <c r="F424" s="38"/>
      <c r="G424" s="38"/>
      <c r="H424" s="38"/>
      <c r="I424" s="108"/>
    </row>
    <row r="425">
      <c r="A425" s="38"/>
      <c r="B425" s="38"/>
      <c r="C425" s="15"/>
      <c r="D425" s="15"/>
      <c r="E425" s="38"/>
      <c r="F425" s="38"/>
      <c r="G425" s="38"/>
      <c r="H425" s="38"/>
      <c r="I425" s="108"/>
    </row>
    <row r="426">
      <c r="A426" s="38"/>
      <c r="B426" s="38"/>
      <c r="C426" s="15"/>
      <c r="D426" s="15"/>
      <c r="E426" s="38"/>
      <c r="F426" s="38"/>
      <c r="G426" s="38"/>
      <c r="H426" s="38"/>
      <c r="I426" s="108"/>
    </row>
    <row r="427">
      <c r="A427" s="38"/>
      <c r="B427" s="38"/>
      <c r="C427" s="15"/>
      <c r="D427" s="15"/>
      <c r="E427" s="38"/>
      <c r="F427" s="38"/>
      <c r="G427" s="38"/>
      <c r="H427" s="38"/>
      <c r="I427" s="108"/>
    </row>
    <row r="428">
      <c r="A428" s="38"/>
      <c r="B428" s="38"/>
      <c r="C428" s="15"/>
      <c r="D428" s="15"/>
      <c r="E428" s="38"/>
      <c r="F428" s="38"/>
      <c r="G428" s="38"/>
      <c r="H428" s="38"/>
      <c r="I428" s="108"/>
    </row>
    <row r="429">
      <c r="A429" s="38"/>
      <c r="B429" s="38"/>
      <c r="C429" s="15"/>
      <c r="D429" s="15"/>
      <c r="E429" s="38"/>
      <c r="F429" s="38"/>
      <c r="G429" s="38"/>
      <c r="H429" s="38"/>
      <c r="I429" s="108"/>
    </row>
    <row r="430">
      <c r="A430" s="38"/>
      <c r="B430" s="38"/>
      <c r="C430" s="15"/>
      <c r="D430" s="15"/>
      <c r="E430" s="38"/>
      <c r="F430" s="38"/>
      <c r="G430" s="38"/>
      <c r="H430" s="38"/>
      <c r="I430" s="108"/>
    </row>
    <row r="431">
      <c r="A431" s="38"/>
      <c r="B431" s="38"/>
      <c r="C431" s="15"/>
      <c r="D431" s="15"/>
      <c r="E431" s="38"/>
      <c r="F431" s="38"/>
      <c r="G431" s="38"/>
      <c r="H431" s="38"/>
      <c r="I431" s="108"/>
    </row>
    <row r="432">
      <c r="A432" s="38"/>
      <c r="B432" s="38"/>
      <c r="C432" s="15"/>
      <c r="D432" s="15"/>
      <c r="E432" s="38"/>
      <c r="F432" s="38"/>
      <c r="G432" s="38"/>
      <c r="H432" s="38"/>
      <c r="I432" s="108"/>
    </row>
    <row r="433">
      <c r="A433" s="38"/>
      <c r="B433" s="38"/>
      <c r="C433" s="15"/>
      <c r="D433" s="15"/>
      <c r="E433" s="38"/>
      <c r="F433" s="38"/>
      <c r="G433" s="38"/>
      <c r="H433" s="38"/>
      <c r="I433" s="108"/>
    </row>
    <row r="434">
      <c r="A434" s="38"/>
      <c r="B434" s="38"/>
      <c r="C434" s="15"/>
      <c r="D434" s="15"/>
      <c r="E434" s="38"/>
      <c r="F434" s="38"/>
      <c r="G434" s="38"/>
      <c r="H434" s="38"/>
      <c r="I434" s="108"/>
    </row>
    <row r="435">
      <c r="A435" s="38"/>
      <c r="B435" s="38"/>
      <c r="C435" s="15"/>
      <c r="D435" s="15"/>
      <c r="E435" s="38"/>
      <c r="F435" s="38"/>
      <c r="G435" s="38"/>
      <c r="H435" s="38"/>
      <c r="I435" s="108"/>
    </row>
    <row r="436">
      <c r="A436" s="38"/>
      <c r="B436" s="38"/>
      <c r="C436" s="15"/>
      <c r="D436" s="15"/>
      <c r="E436" s="38"/>
      <c r="F436" s="38"/>
      <c r="G436" s="38"/>
      <c r="H436" s="38"/>
      <c r="I436" s="108"/>
    </row>
    <row r="437">
      <c r="A437" s="38"/>
      <c r="B437" s="38"/>
      <c r="C437" s="15"/>
      <c r="D437" s="15"/>
      <c r="E437" s="38"/>
      <c r="F437" s="38"/>
      <c r="G437" s="38"/>
      <c r="H437" s="38"/>
      <c r="I437" s="108"/>
    </row>
    <row r="438">
      <c r="A438" s="38"/>
      <c r="B438" s="38"/>
      <c r="C438" s="15"/>
      <c r="D438" s="15"/>
      <c r="E438" s="38"/>
      <c r="F438" s="38"/>
      <c r="G438" s="38"/>
      <c r="H438" s="38"/>
      <c r="I438" s="108"/>
    </row>
    <row r="439">
      <c r="A439" s="38"/>
      <c r="B439" s="38"/>
      <c r="C439" s="15"/>
      <c r="D439" s="15"/>
      <c r="E439" s="38"/>
      <c r="F439" s="38"/>
      <c r="G439" s="38"/>
      <c r="H439" s="38"/>
      <c r="I439" s="108"/>
    </row>
    <row r="440">
      <c r="A440" s="38"/>
      <c r="B440" s="38"/>
      <c r="C440" s="15"/>
      <c r="D440" s="15"/>
      <c r="E440" s="38"/>
      <c r="F440" s="38"/>
      <c r="G440" s="38"/>
      <c r="H440" s="38"/>
      <c r="I440" s="108"/>
    </row>
    <row r="441">
      <c r="A441" s="38"/>
      <c r="B441" s="38"/>
      <c r="C441" s="15"/>
      <c r="D441" s="15"/>
      <c r="E441" s="38"/>
      <c r="F441" s="38"/>
      <c r="G441" s="38"/>
      <c r="H441" s="38"/>
      <c r="I441" s="108"/>
    </row>
    <row r="442">
      <c r="A442" s="38"/>
      <c r="B442" s="38"/>
      <c r="C442" s="15"/>
      <c r="D442" s="15"/>
      <c r="E442" s="38"/>
      <c r="F442" s="38"/>
      <c r="G442" s="38"/>
      <c r="H442" s="38"/>
      <c r="I442" s="108"/>
    </row>
    <row r="443">
      <c r="A443" s="38"/>
      <c r="B443" s="38"/>
      <c r="C443" s="15"/>
      <c r="D443" s="15"/>
      <c r="E443" s="38"/>
      <c r="F443" s="38"/>
      <c r="G443" s="38"/>
      <c r="H443" s="38"/>
      <c r="I443" s="108"/>
    </row>
    <row r="444">
      <c r="A444" s="38"/>
      <c r="B444" s="38"/>
      <c r="C444" s="15"/>
      <c r="D444" s="15"/>
      <c r="E444" s="38"/>
      <c r="F444" s="38"/>
      <c r="G444" s="38"/>
      <c r="H444" s="38"/>
      <c r="I444" s="108"/>
    </row>
    <row r="445">
      <c r="A445" s="38"/>
      <c r="B445" s="38"/>
      <c r="C445" s="15"/>
      <c r="D445" s="15"/>
      <c r="E445" s="38"/>
      <c r="F445" s="38"/>
      <c r="G445" s="38"/>
      <c r="H445" s="38"/>
      <c r="I445" s="108"/>
    </row>
    <row r="446">
      <c r="A446" s="38"/>
      <c r="B446" s="38"/>
      <c r="C446" s="15"/>
      <c r="D446" s="15"/>
      <c r="E446" s="38"/>
      <c r="F446" s="38"/>
      <c r="G446" s="38"/>
      <c r="H446" s="38"/>
      <c r="I446" s="108"/>
    </row>
    <row r="447">
      <c r="A447" s="38"/>
      <c r="B447" s="38"/>
      <c r="C447" s="15"/>
      <c r="D447" s="15"/>
      <c r="E447" s="38"/>
      <c r="F447" s="38"/>
      <c r="G447" s="38"/>
      <c r="H447" s="38"/>
      <c r="I447" s="108"/>
    </row>
    <row r="448">
      <c r="A448" s="38"/>
      <c r="B448" s="38"/>
      <c r="C448" s="15"/>
      <c r="D448" s="15"/>
      <c r="E448" s="38"/>
      <c r="F448" s="38"/>
      <c r="G448" s="38"/>
      <c r="H448" s="38"/>
      <c r="I448" s="108"/>
    </row>
    <row r="449">
      <c r="A449" s="38"/>
      <c r="B449" s="38"/>
      <c r="C449" s="15"/>
      <c r="D449" s="15"/>
      <c r="E449" s="38"/>
      <c r="F449" s="38"/>
      <c r="G449" s="38"/>
      <c r="H449" s="38"/>
      <c r="I449" s="108"/>
    </row>
    <row r="450">
      <c r="A450" s="38"/>
      <c r="B450" s="38"/>
      <c r="C450" s="15"/>
      <c r="D450" s="15"/>
      <c r="E450" s="38"/>
      <c r="F450" s="38"/>
      <c r="G450" s="38"/>
      <c r="H450" s="38"/>
      <c r="I450" s="108"/>
    </row>
    <row r="451">
      <c r="A451" s="38"/>
      <c r="B451" s="38"/>
      <c r="C451" s="15"/>
      <c r="D451" s="15"/>
      <c r="E451" s="38"/>
      <c r="F451" s="38"/>
      <c r="G451" s="38"/>
      <c r="H451" s="38"/>
      <c r="I451" s="108"/>
    </row>
    <row r="452">
      <c r="A452" s="38"/>
      <c r="B452" s="38"/>
      <c r="C452" s="15"/>
      <c r="D452" s="15"/>
      <c r="E452" s="38"/>
      <c r="F452" s="38"/>
      <c r="G452" s="38"/>
      <c r="H452" s="38"/>
      <c r="I452" s="108"/>
    </row>
    <row r="453">
      <c r="A453" s="38"/>
      <c r="B453" s="38"/>
      <c r="C453" s="15"/>
      <c r="D453" s="15"/>
      <c r="E453" s="38"/>
      <c r="F453" s="38"/>
      <c r="G453" s="38"/>
      <c r="H453" s="38"/>
      <c r="I453" s="108"/>
    </row>
    <row r="454">
      <c r="A454" s="38"/>
      <c r="B454" s="38"/>
      <c r="C454" s="15"/>
      <c r="D454" s="15"/>
      <c r="E454" s="38"/>
      <c r="F454" s="38"/>
      <c r="G454" s="38"/>
      <c r="H454" s="38"/>
      <c r="I454" s="108"/>
    </row>
    <row r="455">
      <c r="A455" s="38"/>
      <c r="B455" s="38"/>
      <c r="C455" s="15"/>
      <c r="D455" s="15"/>
      <c r="E455" s="38"/>
      <c r="F455" s="38"/>
      <c r="G455" s="38"/>
      <c r="H455" s="38"/>
      <c r="I455" s="108"/>
    </row>
    <row r="456">
      <c r="A456" s="38"/>
      <c r="B456" s="38"/>
      <c r="C456" s="15"/>
      <c r="D456" s="15"/>
      <c r="E456" s="38"/>
      <c r="F456" s="38"/>
      <c r="G456" s="38"/>
      <c r="H456" s="38"/>
      <c r="I456" s="108"/>
    </row>
    <row r="457">
      <c r="A457" s="38"/>
      <c r="B457" s="38"/>
      <c r="C457" s="15"/>
      <c r="D457" s="15"/>
      <c r="E457" s="38"/>
      <c r="F457" s="38"/>
      <c r="G457" s="38"/>
      <c r="H457" s="38"/>
      <c r="I457" s="108"/>
    </row>
    <row r="458">
      <c r="A458" s="38"/>
      <c r="B458" s="38"/>
      <c r="C458" s="15"/>
      <c r="D458" s="15"/>
      <c r="E458" s="38"/>
      <c r="F458" s="38"/>
      <c r="G458" s="38"/>
      <c r="H458" s="38"/>
      <c r="I458" s="108"/>
    </row>
    <row r="459">
      <c r="A459" s="38"/>
      <c r="B459" s="38"/>
      <c r="C459" s="15"/>
      <c r="D459" s="15"/>
      <c r="E459" s="38"/>
      <c r="F459" s="38"/>
      <c r="G459" s="38"/>
      <c r="H459" s="38"/>
      <c r="I459" s="108"/>
    </row>
    <row r="460">
      <c r="A460" s="38"/>
      <c r="B460" s="38"/>
      <c r="C460" s="15"/>
      <c r="D460" s="15"/>
      <c r="E460" s="38"/>
      <c r="F460" s="38"/>
      <c r="G460" s="38"/>
      <c r="H460" s="38"/>
      <c r="I460" s="108"/>
    </row>
    <row r="461">
      <c r="A461" s="38"/>
      <c r="B461" s="38"/>
      <c r="C461" s="15"/>
      <c r="D461" s="15"/>
      <c r="E461" s="38"/>
      <c r="F461" s="38"/>
      <c r="G461" s="38"/>
      <c r="H461" s="38"/>
      <c r="I461" s="108"/>
    </row>
    <row r="462">
      <c r="A462" s="38"/>
      <c r="B462" s="38"/>
      <c r="C462" s="15"/>
      <c r="D462" s="15"/>
      <c r="E462" s="38"/>
      <c r="F462" s="38"/>
      <c r="G462" s="38"/>
      <c r="H462" s="38"/>
      <c r="I462" s="108"/>
    </row>
    <row r="463">
      <c r="A463" s="38"/>
      <c r="B463" s="38"/>
      <c r="C463" s="15"/>
      <c r="D463" s="15"/>
      <c r="E463" s="38"/>
      <c r="F463" s="38"/>
      <c r="G463" s="38"/>
      <c r="H463" s="38"/>
      <c r="I463" s="108"/>
    </row>
    <row r="464">
      <c r="A464" s="38"/>
      <c r="B464" s="38"/>
      <c r="C464" s="15"/>
      <c r="D464" s="15"/>
      <c r="E464" s="38"/>
      <c r="F464" s="38"/>
      <c r="G464" s="38"/>
      <c r="H464" s="38"/>
      <c r="I464" s="108"/>
    </row>
    <row r="465">
      <c r="A465" s="38"/>
      <c r="B465" s="38"/>
      <c r="C465" s="15"/>
      <c r="D465" s="15"/>
      <c r="E465" s="38"/>
      <c r="F465" s="38"/>
      <c r="G465" s="38"/>
      <c r="H465" s="38"/>
      <c r="I465" s="108"/>
    </row>
    <row r="466">
      <c r="A466" s="38"/>
      <c r="B466" s="38"/>
      <c r="C466" s="15"/>
      <c r="D466" s="15"/>
      <c r="E466" s="38"/>
      <c r="F466" s="38"/>
      <c r="G466" s="38"/>
      <c r="H466" s="38"/>
      <c r="I466" s="108"/>
    </row>
    <row r="467">
      <c r="A467" s="38"/>
      <c r="B467" s="38"/>
      <c r="C467" s="15"/>
      <c r="D467" s="15"/>
      <c r="E467" s="38"/>
      <c r="F467" s="38"/>
      <c r="G467" s="38"/>
      <c r="H467" s="38"/>
      <c r="I467" s="108"/>
    </row>
    <row r="468">
      <c r="A468" s="38"/>
      <c r="B468" s="38"/>
      <c r="C468" s="15"/>
      <c r="D468" s="15"/>
      <c r="E468" s="38"/>
      <c r="F468" s="38"/>
      <c r="G468" s="38"/>
      <c r="H468" s="38"/>
      <c r="I468" s="108"/>
    </row>
    <row r="469">
      <c r="A469" s="38"/>
      <c r="B469" s="38"/>
      <c r="C469" s="15"/>
      <c r="D469" s="15"/>
      <c r="E469" s="38"/>
      <c r="F469" s="38"/>
      <c r="G469" s="38"/>
      <c r="H469" s="38"/>
      <c r="I469" s="108"/>
    </row>
    <row r="470">
      <c r="A470" s="38"/>
      <c r="B470" s="38"/>
      <c r="C470" s="15"/>
      <c r="D470" s="15"/>
      <c r="E470" s="38"/>
      <c r="F470" s="38"/>
      <c r="G470" s="38"/>
      <c r="H470" s="38"/>
      <c r="I470" s="108"/>
    </row>
    <row r="471">
      <c r="A471" s="38"/>
      <c r="B471" s="38"/>
      <c r="C471" s="15"/>
      <c r="D471" s="15"/>
      <c r="E471" s="38"/>
      <c r="F471" s="38"/>
      <c r="G471" s="38"/>
      <c r="H471" s="38"/>
      <c r="I471" s="108"/>
    </row>
    <row r="472">
      <c r="A472" s="38"/>
      <c r="B472" s="38"/>
      <c r="C472" s="15"/>
      <c r="D472" s="15"/>
      <c r="E472" s="38"/>
      <c r="F472" s="38"/>
      <c r="G472" s="38"/>
      <c r="H472" s="38"/>
      <c r="I472" s="108"/>
    </row>
    <row r="473">
      <c r="A473" s="38"/>
      <c r="B473" s="38"/>
      <c r="C473" s="15"/>
      <c r="D473" s="15"/>
      <c r="E473" s="38"/>
      <c r="F473" s="38"/>
      <c r="G473" s="38"/>
      <c r="H473" s="38"/>
      <c r="I473" s="108"/>
    </row>
    <row r="474">
      <c r="A474" s="38"/>
      <c r="B474" s="38"/>
      <c r="C474" s="15"/>
      <c r="D474" s="15"/>
      <c r="E474" s="38"/>
      <c r="F474" s="38"/>
      <c r="G474" s="38"/>
      <c r="H474" s="38"/>
      <c r="I474" s="108"/>
    </row>
    <row r="475">
      <c r="A475" s="38"/>
      <c r="B475" s="38"/>
      <c r="C475" s="15"/>
      <c r="D475" s="15"/>
      <c r="E475" s="38"/>
      <c r="F475" s="38"/>
      <c r="G475" s="38"/>
      <c r="H475" s="38"/>
      <c r="I475" s="108"/>
    </row>
    <row r="476">
      <c r="A476" s="38"/>
      <c r="B476" s="38"/>
      <c r="C476" s="15"/>
      <c r="D476" s="15"/>
      <c r="E476" s="38"/>
      <c r="F476" s="38"/>
      <c r="G476" s="38"/>
      <c r="H476" s="38"/>
      <c r="I476" s="108"/>
    </row>
    <row r="477">
      <c r="A477" s="38"/>
      <c r="B477" s="38"/>
      <c r="C477" s="15"/>
      <c r="D477" s="15"/>
      <c r="E477" s="38"/>
      <c r="F477" s="38"/>
      <c r="G477" s="38"/>
      <c r="H477" s="38"/>
      <c r="I477" s="108"/>
    </row>
    <row r="478">
      <c r="A478" s="38"/>
      <c r="B478" s="38"/>
      <c r="C478" s="15"/>
      <c r="D478" s="15"/>
      <c r="E478" s="38"/>
      <c r="F478" s="38"/>
      <c r="G478" s="38"/>
      <c r="H478" s="38"/>
      <c r="I478" s="108"/>
    </row>
    <row r="479">
      <c r="A479" s="38"/>
      <c r="B479" s="38"/>
      <c r="C479" s="15"/>
      <c r="D479" s="15"/>
      <c r="E479" s="38"/>
      <c r="F479" s="38"/>
      <c r="G479" s="38"/>
      <c r="H479" s="38"/>
      <c r="I479" s="108"/>
    </row>
    <row r="480">
      <c r="A480" s="38"/>
      <c r="B480" s="38"/>
      <c r="C480" s="15"/>
      <c r="D480" s="15"/>
      <c r="E480" s="38"/>
      <c r="F480" s="38"/>
      <c r="G480" s="38"/>
      <c r="H480" s="38"/>
      <c r="I480" s="108"/>
    </row>
    <row r="481">
      <c r="A481" s="38"/>
      <c r="B481" s="38"/>
      <c r="C481" s="15"/>
      <c r="D481" s="15"/>
      <c r="E481" s="38"/>
      <c r="F481" s="38"/>
      <c r="G481" s="38"/>
      <c r="H481" s="38"/>
      <c r="I481" s="108"/>
    </row>
    <row r="482">
      <c r="A482" s="38"/>
      <c r="B482" s="38"/>
      <c r="C482" s="15"/>
      <c r="D482" s="15"/>
      <c r="E482" s="38"/>
      <c r="F482" s="38"/>
      <c r="G482" s="38"/>
      <c r="H482" s="38"/>
      <c r="I482" s="108"/>
    </row>
    <row r="483">
      <c r="A483" s="38"/>
      <c r="B483" s="38"/>
      <c r="C483" s="15"/>
      <c r="D483" s="15"/>
      <c r="E483" s="38"/>
      <c r="F483" s="38"/>
      <c r="G483" s="38"/>
      <c r="H483" s="38"/>
      <c r="I483" s="108"/>
    </row>
    <row r="484">
      <c r="A484" s="38"/>
      <c r="B484" s="38"/>
      <c r="C484" s="15"/>
      <c r="D484" s="15"/>
      <c r="E484" s="38"/>
      <c r="F484" s="38"/>
      <c r="G484" s="38"/>
      <c r="H484" s="38"/>
      <c r="I484" s="108"/>
    </row>
    <row r="485">
      <c r="A485" s="38"/>
      <c r="B485" s="38"/>
      <c r="C485" s="15"/>
      <c r="D485" s="15"/>
      <c r="E485" s="38"/>
      <c r="F485" s="38"/>
      <c r="G485" s="38"/>
      <c r="H485" s="38"/>
      <c r="I485" s="108"/>
    </row>
    <row r="486">
      <c r="A486" s="38"/>
      <c r="B486" s="38"/>
      <c r="C486" s="15"/>
      <c r="D486" s="15"/>
      <c r="E486" s="38"/>
      <c r="F486" s="38"/>
      <c r="G486" s="38"/>
      <c r="H486" s="38"/>
      <c r="I486" s="108"/>
    </row>
    <row r="487">
      <c r="A487" s="38"/>
      <c r="B487" s="38"/>
      <c r="C487" s="15"/>
      <c r="D487" s="15"/>
      <c r="E487" s="38"/>
      <c r="F487" s="38"/>
      <c r="G487" s="38"/>
      <c r="H487" s="38"/>
      <c r="I487" s="108"/>
    </row>
    <row r="488">
      <c r="A488" s="38"/>
      <c r="B488" s="38"/>
      <c r="C488" s="15"/>
      <c r="D488" s="15"/>
      <c r="E488" s="38"/>
      <c r="F488" s="38"/>
      <c r="G488" s="38"/>
      <c r="H488" s="38"/>
      <c r="I488" s="108"/>
    </row>
    <row r="489">
      <c r="A489" s="38"/>
      <c r="B489" s="38"/>
      <c r="C489" s="15"/>
      <c r="D489" s="15"/>
      <c r="E489" s="38"/>
      <c r="F489" s="38"/>
      <c r="G489" s="38"/>
      <c r="H489" s="38"/>
      <c r="I489" s="108"/>
    </row>
    <row r="490">
      <c r="A490" s="38"/>
      <c r="B490" s="38"/>
      <c r="C490" s="15"/>
      <c r="D490" s="15"/>
      <c r="E490" s="38"/>
      <c r="F490" s="38"/>
      <c r="G490" s="38"/>
      <c r="H490" s="38"/>
      <c r="I490" s="108"/>
    </row>
    <row r="491">
      <c r="A491" s="38"/>
      <c r="B491" s="38"/>
      <c r="C491" s="15"/>
      <c r="D491" s="15"/>
      <c r="E491" s="38"/>
      <c r="F491" s="38"/>
      <c r="G491" s="38"/>
      <c r="H491" s="38"/>
      <c r="I491" s="108"/>
    </row>
    <row r="492">
      <c r="A492" s="38"/>
      <c r="B492" s="38"/>
      <c r="C492" s="15"/>
      <c r="D492" s="15"/>
      <c r="E492" s="38"/>
      <c r="F492" s="38"/>
      <c r="G492" s="38"/>
      <c r="H492" s="38"/>
      <c r="I492" s="108"/>
    </row>
    <row r="493">
      <c r="A493" s="38"/>
      <c r="B493" s="38"/>
      <c r="C493" s="15"/>
      <c r="D493" s="15"/>
      <c r="E493" s="38"/>
      <c r="F493" s="38"/>
      <c r="G493" s="38"/>
      <c r="H493" s="38"/>
      <c r="I493" s="108"/>
    </row>
    <row r="494">
      <c r="A494" s="38"/>
      <c r="B494" s="38"/>
      <c r="C494" s="15"/>
      <c r="D494" s="15"/>
      <c r="E494" s="38"/>
      <c r="F494" s="38"/>
      <c r="G494" s="38"/>
      <c r="H494" s="38"/>
      <c r="I494" s="108"/>
    </row>
    <row r="495">
      <c r="A495" s="38"/>
      <c r="B495" s="38"/>
      <c r="C495" s="15"/>
      <c r="D495" s="15"/>
      <c r="E495" s="38"/>
      <c r="F495" s="38"/>
      <c r="G495" s="38"/>
      <c r="H495" s="38"/>
      <c r="I495" s="108"/>
    </row>
    <row r="496">
      <c r="A496" s="38"/>
      <c r="B496" s="38"/>
      <c r="C496" s="15"/>
      <c r="D496" s="15"/>
      <c r="E496" s="38"/>
      <c r="F496" s="38"/>
      <c r="G496" s="38"/>
      <c r="H496" s="38"/>
      <c r="I496" s="108"/>
    </row>
    <row r="497">
      <c r="A497" s="38"/>
      <c r="B497" s="38"/>
      <c r="C497" s="15"/>
      <c r="D497" s="15"/>
      <c r="E497" s="38"/>
      <c r="F497" s="38"/>
      <c r="G497" s="38"/>
      <c r="H497" s="38"/>
      <c r="I497" s="108"/>
    </row>
    <row r="498">
      <c r="A498" s="38"/>
      <c r="B498" s="38"/>
      <c r="C498" s="15"/>
      <c r="D498" s="15"/>
      <c r="E498" s="38"/>
      <c r="F498" s="38"/>
      <c r="G498" s="38"/>
      <c r="H498" s="38"/>
      <c r="I498" s="108"/>
    </row>
    <row r="499">
      <c r="A499" s="38"/>
      <c r="B499" s="38"/>
      <c r="C499" s="15"/>
      <c r="D499" s="15"/>
      <c r="E499" s="38"/>
      <c r="F499" s="38"/>
      <c r="G499" s="38"/>
      <c r="H499" s="38"/>
      <c r="I499" s="108"/>
    </row>
    <row r="500">
      <c r="A500" s="38"/>
      <c r="B500" s="38"/>
      <c r="C500" s="15"/>
      <c r="D500" s="15"/>
      <c r="E500" s="38"/>
      <c r="F500" s="38"/>
      <c r="G500" s="38"/>
      <c r="H500" s="38"/>
      <c r="I500" s="108"/>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'Granite' ORDER BY Z ASC"", 1)"),"Assermenté")</f>
        <v>Assermenté</v>
      </c>
      <c r="B1" s="7" t="str">
        <f>IFERROR(__xludf.DUMMYFUNCTION("""COMPUTED_VALUE"""),"Grade")</f>
        <v>Grade</v>
      </c>
      <c r="C1" s="7" t="str">
        <f>IFERROR(__xludf.DUMMYFUNCTION("""COMPUTED_VALUE"""),"Prénom")</f>
        <v>Prénom</v>
      </c>
      <c r="D1" s="7"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IFERROR(__xludf.DUMMYFUNCTION("""COMPUTED_VALUE"""),FALSE)</f>
        <v>0</v>
      </c>
      <c r="B2" s="4" t="str">
        <f>IFERROR(__xludf.DUMMYFUNCTION("""COMPUTED_VALUE"""),"Capitaine")</f>
        <v>Capitaine</v>
      </c>
      <c r="C2" s="13" t="str">
        <f>IFERROR(__xludf.DUMMYFUNCTION("""COMPUTED_VALUE"""),"Hastelvin")</f>
        <v>Hastelvin</v>
      </c>
      <c r="D2" s="13"/>
      <c r="E2" s="4" t="str">
        <f>IFERROR(__xludf.DUMMYFUNCTION("""COMPUTED_VALUE"""),"Cap Granite")</f>
        <v>Cap Granite</v>
      </c>
      <c r="F2" s="5" t="str">
        <f>IFERROR(__xludf.DUMMYFUNCTION("""COMPUTED_VALUE"""),"Garde, Collecteur de la garde")</f>
        <v>Garde, Collecteur de la garde</v>
      </c>
      <c r="G2" s="4" t="str">
        <f>IFERROR(__xludf.DUMMYFUNCTION("""COMPUTED_VALUE"""),"Démissionnaire")</f>
        <v>Démissionnaire</v>
      </c>
      <c r="H2" s="4"/>
      <c r="I2" s="106"/>
      <c r="J2" s="38"/>
      <c r="K2" s="38"/>
      <c r="L2" s="38"/>
      <c r="M2" s="38"/>
      <c r="N2" s="38"/>
      <c r="O2" s="38"/>
      <c r="P2" s="38"/>
      <c r="Q2" s="38"/>
      <c r="R2" s="38"/>
      <c r="S2" s="38"/>
      <c r="T2" s="38"/>
      <c r="U2" s="38"/>
      <c r="V2" s="38"/>
      <c r="W2" s="38"/>
      <c r="X2" s="38"/>
      <c r="Y2" s="38"/>
      <c r="Z2" s="38"/>
    </row>
    <row r="3">
      <c r="A3" s="4" t="b">
        <f>IFERROR(__xludf.DUMMYFUNCTION("""COMPUTED_VALUE"""),FALSE)</f>
        <v>0</v>
      </c>
      <c r="B3" s="4" t="str">
        <f>IFERROR(__xludf.DUMMYFUNCTION("""COMPUTED_VALUE"""),"Garde")</f>
        <v>Garde</v>
      </c>
      <c r="C3" s="13" t="str">
        <f>IFERROR(__xludf.DUMMYFUNCTION("""COMPUTED_VALUE"""),"Malivor")</f>
        <v>Malivor</v>
      </c>
      <c r="D3" s="15" t="str">
        <f>IFERROR(__xludf.DUMMYFUNCTION("""COMPUTED_VALUE"""),"Xernes")</f>
        <v>Xernes</v>
      </c>
      <c r="E3" s="4" t="str">
        <f>IFERROR(__xludf.DUMMYFUNCTION("""COMPUTED_VALUE"""),"Cap Granite")</f>
        <v>Cap Granite</v>
      </c>
      <c r="F3" s="5" t="str">
        <f>IFERROR(__xludf.DUMMYFUNCTION("""COMPUTED_VALUE"""),"Garde")</f>
        <v>Garde</v>
      </c>
      <c r="G3" s="4" t="str">
        <f>IFERROR(__xludf.DUMMYFUNCTION("""COMPUTED_VALUE"""),"Démissionnaire")</f>
        <v>Démissionnaire</v>
      </c>
      <c r="H3" s="4"/>
      <c r="I3" s="106"/>
      <c r="J3" s="38"/>
      <c r="K3" s="38"/>
      <c r="L3" s="38"/>
      <c r="M3" s="38"/>
      <c r="N3" s="38"/>
      <c r="O3" s="38"/>
      <c r="P3" s="38"/>
      <c r="Q3" s="38"/>
      <c r="R3" s="38"/>
      <c r="S3" s="38"/>
      <c r="T3" s="38"/>
      <c r="U3" s="38"/>
      <c r="V3" s="38"/>
      <c r="W3" s="38"/>
      <c r="X3" s="38"/>
      <c r="Y3" s="38"/>
      <c r="Z3" s="38"/>
    </row>
    <row r="4">
      <c r="A4" s="4" t="b">
        <f>IFERROR(__xludf.DUMMYFUNCTION("""COMPUTED_VALUE"""),TRUE)</f>
        <v>1</v>
      </c>
      <c r="B4" s="4" t="str">
        <f>IFERROR(__xludf.DUMMYFUNCTION("""COMPUTED_VALUE"""),"Garde")</f>
        <v>Garde</v>
      </c>
      <c r="C4" s="13" t="str">
        <f>IFERROR(__xludf.DUMMYFUNCTION("""COMPUTED_VALUE"""),"Bakhir")</f>
        <v>Bakhir</v>
      </c>
      <c r="D4" s="15"/>
      <c r="E4" s="4" t="str">
        <f>IFERROR(__xludf.DUMMYFUNCTION("""COMPUTED_VALUE"""),"Cap Granite")</f>
        <v>Cap Granite</v>
      </c>
      <c r="F4" s="5" t="str">
        <f>IFERROR(__xludf.DUMMYFUNCTION("""COMPUTED_VALUE"""),"Garde")</f>
        <v>Garde</v>
      </c>
      <c r="G4" s="4" t="str">
        <f>IFERROR(__xludf.DUMMYFUNCTION("""COMPUTED_VALUE"""),"En service actif")</f>
        <v>En service actif</v>
      </c>
      <c r="H4" s="4"/>
      <c r="I4" s="106"/>
      <c r="J4" s="38"/>
      <c r="K4" s="38"/>
      <c r="L4" s="38"/>
      <c r="M4" s="38"/>
      <c r="N4" s="38"/>
      <c r="O4" s="38"/>
      <c r="P4" s="38"/>
      <c r="Q4" s="38"/>
      <c r="R4" s="38"/>
      <c r="S4" s="38"/>
      <c r="T4" s="38"/>
      <c r="U4" s="38"/>
      <c r="V4" s="38"/>
      <c r="W4" s="38"/>
      <c r="X4" s="38"/>
      <c r="Y4" s="38"/>
      <c r="Z4" s="38"/>
    </row>
    <row r="5">
      <c r="A5" s="4" t="b">
        <f>IFERROR(__xludf.DUMMYFUNCTION("""COMPUTED_VALUE"""),TRUE)</f>
        <v>1</v>
      </c>
      <c r="B5" s="4" t="str">
        <f>IFERROR(__xludf.DUMMYFUNCTION("""COMPUTED_VALUE"""),"Lieutenant-Chef")</f>
        <v>Lieutenant-Chef</v>
      </c>
      <c r="C5" s="13" t="str">
        <f>IFERROR(__xludf.DUMMYFUNCTION("""COMPUTED_VALUE"""),"Starkos")</f>
        <v>Starkos</v>
      </c>
      <c r="D5" s="13" t="str">
        <f>IFERROR(__xludf.DUMMYFUNCTION("""COMPUTED_VALUE"""),"Coeurebene")</f>
        <v>Coeurebene</v>
      </c>
      <c r="E5" s="4" t="str">
        <f>IFERROR(__xludf.DUMMYFUNCTION("""COMPUTED_VALUE"""),"Cap Granite")</f>
        <v>Cap Granite</v>
      </c>
      <c r="F5" s="5" t="str">
        <f>IFERROR(__xludf.DUMMYFUNCTION("""COMPUTED_VALUE"""),"Garde")</f>
        <v>Garde</v>
      </c>
      <c r="G5" s="4" t="str">
        <f>IFERROR(__xludf.DUMMYFUNCTION("""COMPUTED_VALUE"""),"En service actif")</f>
        <v>En service actif</v>
      </c>
      <c r="H5" s="4"/>
      <c r="I5" s="106"/>
      <c r="J5" s="38"/>
      <c r="K5" s="38"/>
      <c r="L5" s="38"/>
      <c r="M5" s="38"/>
      <c r="N5" s="38"/>
      <c r="O5" s="38"/>
      <c r="P5" s="38"/>
      <c r="Q5" s="38"/>
      <c r="R5" s="38"/>
      <c r="S5" s="38"/>
      <c r="T5" s="38"/>
      <c r="U5" s="38"/>
      <c r="V5" s="38"/>
      <c r="W5" s="38"/>
      <c r="X5" s="38"/>
      <c r="Y5" s="38"/>
      <c r="Z5" s="38"/>
    </row>
    <row r="6">
      <c r="A6" s="4" t="b">
        <f>IFERROR(__xludf.DUMMYFUNCTION("""COMPUTED_VALUE"""),FALSE)</f>
        <v>0</v>
      </c>
      <c r="B6" s="4" t="str">
        <f>IFERROR(__xludf.DUMMYFUNCTION("""COMPUTED_VALUE"""),"Garde")</f>
        <v>Garde</v>
      </c>
      <c r="C6" s="13" t="str">
        <f>IFERROR(__xludf.DUMMYFUNCTION("""COMPUTED_VALUE"""),"Drakgor")</f>
        <v>Drakgor</v>
      </c>
      <c r="D6" s="13" t="str">
        <f>IFERROR(__xludf.DUMMYFUNCTION("""COMPUTED_VALUE"""),"gro-Drakar")</f>
        <v>gro-Drakar</v>
      </c>
      <c r="E6" s="4" t="str">
        <f>IFERROR(__xludf.DUMMYFUNCTION("""COMPUTED_VALUE"""),"Cap Granite")</f>
        <v>Cap Granite</v>
      </c>
      <c r="F6" s="5" t="str">
        <f>IFERROR(__xludf.DUMMYFUNCTION("""COMPUTED_VALUE"""),"Garde")</f>
        <v>Garde</v>
      </c>
      <c r="G6" s="4" t="str">
        <f>IFERROR(__xludf.DUMMYFUNCTION("""COMPUTED_VALUE"""),"Démissionnaire")</f>
        <v>Démissionnaire</v>
      </c>
      <c r="H6" s="4"/>
      <c r="I6" s="106"/>
      <c r="J6" s="38"/>
      <c r="K6" s="38"/>
      <c r="L6" s="38"/>
      <c r="M6" s="38"/>
      <c r="N6" s="38"/>
      <c r="O6" s="38"/>
      <c r="P6" s="38"/>
      <c r="Q6" s="38"/>
      <c r="R6" s="38"/>
      <c r="S6" s="38"/>
      <c r="T6" s="38"/>
      <c r="U6" s="38"/>
      <c r="V6" s="38"/>
      <c r="W6" s="38"/>
      <c r="X6" s="38"/>
      <c r="Y6" s="38"/>
      <c r="Z6" s="38"/>
    </row>
    <row r="7">
      <c r="A7" s="4" t="b">
        <f>IFERROR(__xludf.DUMMYFUNCTION("""COMPUTED_VALUE"""),FALSE)</f>
        <v>0</v>
      </c>
      <c r="B7" s="4" t="str">
        <f>IFERROR(__xludf.DUMMYFUNCTION("""COMPUTED_VALUE"""),"Lieutenant")</f>
        <v>Lieutenant</v>
      </c>
      <c r="C7" s="13" t="str">
        <f>IFERROR(__xludf.DUMMYFUNCTION("""COMPUTED_VALUE"""),"Barnabas")</f>
        <v>Barnabas</v>
      </c>
      <c r="D7" s="13" t="str">
        <f>IFERROR(__xludf.DUMMYFUNCTION("""COMPUTED_VALUE"""),"Tharmr")</f>
        <v>Tharmr</v>
      </c>
      <c r="E7" s="4" t="str">
        <f>IFERROR(__xludf.DUMMYFUNCTION("""COMPUTED_VALUE"""),"Cap Granite")</f>
        <v>Cap Granite</v>
      </c>
      <c r="F7" s="5" t="str">
        <f>IFERROR(__xludf.DUMMYFUNCTION("""COMPUTED_VALUE"""),"Garde")</f>
        <v>Garde</v>
      </c>
      <c r="G7" s="4" t="str">
        <f>IFERROR(__xludf.DUMMYFUNCTION("""COMPUTED_VALUE"""),"En service actif")</f>
        <v>En service actif</v>
      </c>
      <c r="H7" s="38"/>
      <c r="I7" s="106"/>
      <c r="J7" s="38"/>
      <c r="K7" s="38"/>
      <c r="L7" s="38"/>
      <c r="M7" s="38"/>
      <c r="N7" s="38"/>
      <c r="O7" s="38"/>
      <c r="P7" s="38"/>
      <c r="Q7" s="38"/>
      <c r="R7" s="38"/>
      <c r="S7" s="38"/>
      <c r="T7" s="38"/>
      <c r="U7" s="38"/>
      <c r="V7" s="38"/>
      <c r="W7" s="38"/>
      <c r="X7" s="38"/>
      <c r="Y7" s="38"/>
      <c r="Z7" s="38"/>
    </row>
    <row r="8">
      <c r="A8" s="4" t="b">
        <f>IFERROR(__xludf.DUMMYFUNCTION("""COMPUTED_VALUE"""),FALSE)</f>
        <v>0</v>
      </c>
      <c r="B8" s="4" t="str">
        <f>IFERROR(__xludf.DUMMYFUNCTION("""COMPUTED_VALUE"""),"Capitaine")</f>
        <v>Capitaine</v>
      </c>
      <c r="C8" s="13" t="str">
        <f>IFERROR(__xludf.DUMMYFUNCTION("""COMPUTED_VALUE"""),"Pavis")</f>
        <v>Pavis</v>
      </c>
      <c r="D8" s="13" t="str">
        <f>IFERROR(__xludf.DUMMYFUNCTION("""COMPUTED_VALUE"""),"Gurdalval")</f>
        <v>Gurdalval</v>
      </c>
      <c r="E8" s="4" t="str">
        <f>IFERROR(__xludf.DUMMYFUNCTION("""COMPUTED_VALUE"""),"Cap Granite")</f>
        <v>Cap Granite</v>
      </c>
      <c r="F8" s="5" t="str">
        <f>IFERROR(__xludf.DUMMYFUNCTION("""COMPUTED_VALUE"""),"Garde")</f>
        <v>Garde</v>
      </c>
      <c r="G8" s="4" t="str">
        <f>IFERROR(__xludf.DUMMYFUNCTION("""COMPUTED_VALUE"""),"En service actif")</f>
        <v>En service actif</v>
      </c>
      <c r="H8" s="38"/>
      <c r="I8" s="106"/>
      <c r="J8" s="38"/>
      <c r="K8" s="38"/>
      <c r="L8" s="38"/>
      <c r="M8" s="38"/>
      <c r="N8" s="38"/>
      <c r="O8" s="38"/>
      <c r="P8" s="38"/>
      <c r="Q8" s="38"/>
      <c r="R8" s="38"/>
      <c r="S8" s="38"/>
      <c r="T8" s="38"/>
      <c r="U8" s="38"/>
      <c r="V8" s="38"/>
      <c r="W8" s="38"/>
      <c r="X8" s="38"/>
      <c r="Y8" s="38"/>
      <c r="Z8" s="38"/>
    </row>
    <row r="9">
      <c r="A9" s="4" t="b">
        <f>IFERROR(__xludf.DUMMYFUNCTION("""COMPUTED_VALUE"""),FALSE)</f>
        <v>0</v>
      </c>
      <c r="B9" s="4" t="str">
        <f>IFERROR(__xludf.DUMMYFUNCTION("""COMPUTED_VALUE"""),"Sergent-Chef")</f>
        <v>Sergent-Chef</v>
      </c>
      <c r="C9" s="13" t="str">
        <f>IFERROR(__xludf.DUMMYFUNCTION("""COMPUTED_VALUE"""),"Vranx")</f>
        <v>Vranx</v>
      </c>
      <c r="D9" s="107" t="str">
        <f>IFERROR(__xludf.DUMMYFUNCTION("""COMPUTED_VALUE"""),"Thorgar")</f>
        <v>Thorgar</v>
      </c>
      <c r="E9" s="4" t="str">
        <f>IFERROR(__xludf.DUMMYFUNCTION("""COMPUTED_VALUE"""),"Cap Granite")</f>
        <v>Cap Granite</v>
      </c>
      <c r="F9" s="5" t="str">
        <f>IFERROR(__xludf.DUMMYFUNCTION("""COMPUTED_VALUE"""),"Garde")</f>
        <v>Garde</v>
      </c>
      <c r="G9" s="4" t="str">
        <f>IFERROR(__xludf.DUMMYFUNCTION("""COMPUTED_VALUE"""),"En service actif")</f>
        <v>En service actif</v>
      </c>
      <c r="H9" s="4"/>
      <c r="I9" s="106"/>
      <c r="J9" s="38"/>
      <c r="K9" s="38"/>
      <c r="L9" s="38"/>
      <c r="M9" s="38"/>
      <c r="N9" s="38"/>
      <c r="O9" s="38"/>
      <c r="P9" s="38"/>
      <c r="Q9" s="38"/>
      <c r="R9" s="38"/>
      <c r="S9" s="38"/>
      <c r="T9" s="38"/>
      <c r="U9" s="38"/>
      <c r="V9" s="38"/>
      <c r="W9" s="38"/>
      <c r="X9" s="38"/>
      <c r="Y9" s="38"/>
      <c r="Z9" s="38"/>
    </row>
    <row r="10">
      <c r="A10" s="38" t="b">
        <f>IFERROR(__xludf.DUMMYFUNCTION("""COMPUTED_VALUE"""),FALSE)</f>
        <v>0</v>
      </c>
      <c r="B10" s="4" t="str">
        <f>IFERROR(__xludf.DUMMYFUNCTION("""COMPUTED_VALUE"""),"Garde")</f>
        <v>Garde</v>
      </c>
      <c r="C10" s="13" t="str">
        <f>IFERROR(__xludf.DUMMYFUNCTION("""COMPUTED_VALUE"""),"Sigvard")</f>
        <v>Sigvard</v>
      </c>
      <c r="D10" s="13" t="str">
        <f>IFERROR(__xludf.DUMMYFUNCTION("""COMPUTED_VALUE"""),"Coeurebene")</f>
        <v>Coeurebene</v>
      </c>
      <c r="E10" s="4" t="str">
        <f>IFERROR(__xludf.DUMMYFUNCTION("""COMPUTED_VALUE"""),"Cap Granite")</f>
        <v>Cap Granite</v>
      </c>
      <c r="F10" s="5" t="str">
        <f>IFERROR(__xludf.DUMMYFUNCTION("""COMPUTED_VALUE"""),"Garde")</f>
        <v>Garde</v>
      </c>
      <c r="G10" s="4" t="str">
        <f>IFERROR(__xludf.DUMMYFUNCTION("""COMPUTED_VALUE"""),"En service actif")</f>
        <v>En service actif</v>
      </c>
      <c r="H10" s="38"/>
      <c r="I10" s="106"/>
      <c r="J10" s="38"/>
      <c r="K10" s="38"/>
      <c r="L10" s="38"/>
      <c r="M10" s="38"/>
      <c r="N10" s="38"/>
      <c r="O10" s="38"/>
      <c r="P10" s="38"/>
      <c r="Q10" s="38"/>
      <c r="R10" s="38"/>
      <c r="S10" s="38"/>
      <c r="T10" s="38"/>
      <c r="U10" s="38"/>
      <c r="V10" s="38"/>
      <c r="W10" s="38"/>
      <c r="X10" s="38"/>
      <c r="Y10" s="38"/>
      <c r="Z10" s="38"/>
    </row>
    <row r="11">
      <c r="A11" s="38" t="b">
        <f>IFERROR(__xludf.DUMMYFUNCTION("""COMPUTED_VALUE"""),FALSE)</f>
        <v>0</v>
      </c>
      <c r="B11" s="4" t="str">
        <f>IFERROR(__xludf.DUMMYFUNCTION("""COMPUTED_VALUE"""),"Recrue")</f>
        <v>Recrue</v>
      </c>
      <c r="C11" s="13" t="str">
        <f>IFERROR(__xludf.DUMMYFUNCTION("""COMPUTED_VALUE"""),"Joki")</f>
        <v>Joki</v>
      </c>
      <c r="D11" s="15"/>
      <c r="E11" s="4" t="str">
        <f>IFERROR(__xludf.DUMMYFUNCTION("""COMPUTED_VALUE"""),"Cap Granite")</f>
        <v>Cap Granite</v>
      </c>
      <c r="F11" s="5"/>
      <c r="G11" s="4" t="str">
        <f>IFERROR(__xludf.DUMMYFUNCTION("""COMPUTED_VALUE"""),"En service actif")</f>
        <v>En service actif</v>
      </c>
      <c r="H11" s="38"/>
      <c r="I11" s="106"/>
      <c r="J11" s="38"/>
      <c r="K11" s="38"/>
      <c r="L11" s="38"/>
      <c r="M11" s="38"/>
      <c r="N11" s="38"/>
      <c r="O11" s="38"/>
      <c r="P11" s="38"/>
      <c r="Q11" s="38"/>
      <c r="R11" s="38"/>
      <c r="S11" s="38"/>
      <c r="T11" s="38"/>
      <c r="U11" s="38"/>
      <c r="V11" s="38"/>
      <c r="W11" s="38"/>
      <c r="X11" s="38"/>
      <c r="Y11" s="38"/>
      <c r="Z11" s="38"/>
    </row>
    <row r="12">
      <c r="A12" s="4"/>
      <c r="B12" s="4"/>
      <c r="C12" s="13"/>
      <c r="D12" s="15"/>
      <c r="E12" s="4"/>
      <c r="F12" s="5"/>
      <c r="G12" s="4"/>
      <c r="H12" s="4"/>
      <c r="I12" s="106"/>
    </row>
    <row r="13">
      <c r="A13" s="4"/>
      <c r="B13" s="4"/>
      <c r="C13" s="13"/>
      <c r="D13" s="15"/>
      <c r="E13" s="4"/>
      <c r="F13" s="5"/>
      <c r="G13" s="4"/>
      <c r="H13" s="4"/>
      <c r="I13" s="106"/>
    </row>
    <row r="14">
      <c r="A14" s="4"/>
      <c r="B14" s="4"/>
      <c r="C14" s="13"/>
      <c r="D14" s="13"/>
      <c r="E14" s="4"/>
      <c r="F14" s="5"/>
      <c r="G14" s="4"/>
      <c r="H14" s="38"/>
      <c r="I14" s="106"/>
    </row>
    <row r="15">
      <c r="A15" s="4"/>
      <c r="B15" s="4"/>
      <c r="C15" s="13"/>
      <c r="D15" s="13"/>
      <c r="E15" s="4"/>
      <c r="F15" s="5"/>
      <c r="G15" s="4"/>
      <c r="H15" s="38"/>
      <c r="I15" s="106"/>
    </row>
    <row r="16">
      <c r="A16" s="4"/>
      <c r="B16" s="4"/>
      <c r="C16" s="13"/>
      <c r="D16" s="13"/>
      <c r="E16" s="4"/>
      <c r="F16" s="5"/>
      <c r="G16" s="4"/>
      <c r="H16" s="38"/>
      <c r="I16" s="106"/>
    </row>
    <row r="17">
      <c r="A17" s="4"/>
      <c r="B17" s="4"/>
      <c r="C17" s="13"/>
      <c r="D17" s="13"/>
      <c r="E17" s="4"/>
      <c r="F17" s="5"/>
      <c r="G17" s="4"/>
      <c r="H17" s="38"/>
      <c r="I17" s="106"/>
    </row>
    <row r="18">
      <c r="A18" s="4"/>
      <c r="B18" s="4"/>
      <c r="C18" s="13"/>
      <c r="D18" s="15"/>
      <c r="E18" s="4"/>
      <c r="F18" s="5"/>
      <c r="G18" s="4"/>
      <c r="H18" s="38"/>
      <c r="I18" s="106"/>
    </row>
    <row r="19">
      <c r="A19" s="4"/>
      <c r="B19" s="4"/>
      <c r="C19" s="13"/>
      <c r="D19" s="15"/>
      <c r="E19" s="4"/>
      <c r="F19" s="5"/>
      <c r="G19" s="4"/>
      <c r="H19" s="38"/>
      <c r="I19" s="106"/>
    </row>
    <row r="20">
      <c r="A20" s="4"/>
      <c r="B20" s="4"/>
      <c r="C20" s="13"/>
      <c r="D20" s="15"/>
      <c r="E20" s="4"/>
      <c r="F20" s="5"/>
      <c r="G20" s="4"/>
      <c r="H20" s="38"/>
      <c r="I20" s="106"/>
    </row>
    <row r="21">
      <c r="A21" s="4"/>
      <c r="B21" s="4"/>
      <c r="C21" s="13"/>
      <c r="D21" s="13"/>
      <c r="E21" s="4"/>
      <c r="F21" s="5"/>
      <c r="G21" s="4"/>
      <c r="H21" s="4"/>
      <c r="I21" s="106"/>
    </row>
    <row r="22">
      <c r="A22" s="4"/>
      <c r="B22" s="4"/>
      <c r="C22" s="13"/>
      <c r="D22" s="13"/>
      <c r="E22" s="4"/>
      <c r="F22" s="5"/>
      <c r="G22" s="4"/>
      <c r="H22" s="4"/>
      <c r="I22" s="106"/>
    </row>
    <row r="23">
      <c r="A23" s="4"/>
      <c r="B23" s="4"/>
      <c r="C23" s="13"/>
      <c r="D23" s="13"/>
      <c r="E23" s="4"/>
      <c r="F23" s="5"/>
      <c r="G23" s="4"/>
      <c r="H23" s="4"/>
      <c r="I23" s="106"/>
    </row>
    <row r="24">
      <c r="A24" s="4"/>
      <c r="B24" s="4"/>
      <c r="C24" s="13"/>
      <c r="D24" s="15"/>
      <c r="E24" s="4"/>
      <c r="F24" s="5"/>
      <c r="G24" s="4"/>
      <c r="H24" s="4"/>
      <c r="I24" s="106"/>
    </row>
    <row r="25">
      <c r="A25" s="4"/>
      <c r="B25" s="4"/>
      <c r="C25" s="13"/>
      <c r="D25" s="13"/>
      <c r="E25" s="4"/>
      <c r="F25" s="5"/>
      <c r="G25" s="4"/>
      <c r="H25" s="38"/>
      <c r="I25" s="106"/>
    </row>
    <row r="26">
      <c r="A26" s="4"/>
      <c r="B26" s="4"/>
      <c r="C26" s="13"/>
      <c r="D26" s="15"/>
      <c r="E26" s="4"/>
      <c r="F26" s="5"/>
      <c r="G26" s="4"/>
      <c r="H26" s="38"/>
      <c r="I26" s="106"/>
    </row>
    <row r="27">
      <c r="A27" s="4"/>
      <c r="B27" s="4"/>
      <c r="C27" s="13"/>
      <c r="D27" s="15"/>
      <c r="E27" s="4"/>
      <c r="F27" s="5"/>
      <c r="G27" s="4"/>
      <c r="H27" s="38"/>
      <c r="I27" s="106"/>
    </row>
    <row r="28">
      <c r="A28" s="4"/>
      <c r="B28" s="4"/>
      <c r="C28" s="13"/>
      <c r="D28" s="13"/>
      <c r="E28" s="4"/>
      <c r="F28" s="5"/>
      <c r="G28" s="4"/>
      <c r="H28" s="38"/>
      <c r="I28" s="106"/>
    </row>
    <row r="29">
      <c r="A29" s="4"/>
      <c r="B29" s="4"/>
      <c r="C29" s="13"/>
      <c r="D29" s="13"/>
      <c r="E29" s="4"/>
      <c r="F29" s="5"/>
      <c r="G29" s="4"/>
      <c r="H29" s="38"/>
      <c r="I29" s="106"/>
    </row>
    <row r="30">
      <c r="A30" s="4"/>
      <c r="B30" s="4"/>
      <c r="C30" s="13"/>
      <c r="D30" s="15"/>
      <c r="E30" s="4"/>
      <c r="F30" s="5"/>
      <c r="G30" s="4"/>
      <c r="H30" s="38"/>
      <c r="I30" s="106"/>
    </row>
    <row r="31">
      <c r="A31" s="4"/>
      <c r="B31" s="4"/>
      <c r="C31" s="13"/>
      <c r="D31" s="15"/>
      <c r="E31" s="4"/>
      <c r="F31" s="5"/>
      <c r="G31" s="4"/>
      <c r="H31" s="38"/>
      <c r="I31" s="106"/>
    </row>
    <row r="32">
      <c r="A32" s="4"/>
      <c r="B32" s="4"/>
      <c r="C32" s="13"/>
      <c r="D32" s="13"/>
      <c r="E32" s="4"/>
      <c r="F32" s="5"/>
      <c r="G32" s="4"/>
      <c r="H32" s="38"/>
      <c r="I32" s="106"/>
    </row>
    <row r="33">
      <c r="A33" s="4"/>
      <c r="B33" s="4"/>
      <c r="C33" s="13"/>
      <c r="D33" s="13"/>
      <c r="E33" s="4"/>
      <c r="F33" s="5"/>
      <c r="G33" s="4"/>
      <c r="H33" s="38"/>
      <c r="I33" s="106"/>
    </row>
    <row r="34">
      <c r="A34" s="38"/>
      <c r="B34" s="4"/>
      <c r="C34" s="13"/>
      <c r="D34" s="15"/>
      <c r="E34" s="4"/>
      <c r="F34" s="5"/>
      <c r="G34" s="4"/>
      <c r="H34" s="38"/>
      <c r="I34" s="106"/>
    </row>
    <row r="35">
      <c r="A35" s="4"/>
      <c r="B35" s="4"/>
      <c r="C35" s="13"/>
      <c r="D35" s="15"/>
      <c r="E35" s="4"/>
      <c r="F35" s="5"/>
      <c r="G35" s="4"/>
      <c r="H35" s="38"/>
      <c r="I35" s="106"/>
    </row>
    <row r="36">
      <c r="A36" s="4"/>
      <c r="B36" s="4"/>
      <c r="C36" s="13"/>
      <c r="D36" s="13"/>
      <c r="E36" s="4"/>
      <c r="F36" s="5"/>
      <c r="G36" s="4"/>
      <c r="H36" s="38"/>
      <c r="I36" s="106"/>
    </row>
    <row r="37">
      <c r="A37" s="38"/>
      <c r="B37" s="4"/>
      <c r="C37" s="13"/>
      <c r="D37" s="13"/>
      <c r="E37" s="4"/>
      <c r="F37" s="5"/>
      <c r="G37" s="4"/>
      <c r="H37" s="38"/>
      <c r="I37" s="106"/>
    </row>
    <row r="38">
      <c r="A38" s="38"/>
      <c r="B38" s="4"/>
      <c r="C38" s="13"/>
      <c r="D38" s="13"/>
      <c r="E38" s="4"/>
      <c r="F38" s="5"/>
      <c r="G38" s="4"/>
      <c r="H38" s="38"/>
      <c r="I38" s="106"/>
    </row>
    <row r="39">
      <c r="A39" s="38"/>
      <c r="B39" s="4"/>
      <c r="C39" s="13"/>
      <c r="D39" s="15"/>
      <c r="E39" s="4"/>
      <c r="F39" s="5"/>
      <c r="G39" s="4"/>
      <c r="H39" s="38"/>
      <c r="I39" s="106"/>
    </row>
    <row r="40">
      <c r="A40" s="38"/>
      <c r="B40" s="4"/>
      <c r="C40" s="13"/>
      <c r="D40" s="15"/>
      <c r="E40" s="4"/>
      <c r="F40" s="5"/>
      <c r="G40" s="4"/>
      <c r="H40" s="4"/>
      <c r="I40" s="106"/>
    </row>
    <row r="41">
      <c r="A41" s="38"/>
      <c r="B41" s="38"/>
      <c r="C41" s="15"/>
      <c r="D41" s="15"/>
      <c r="E41" s="38"/>
      <c r="F41" s="38"/>
      <c r="G41" s="38"/>
      <c r="H41" s="38"/>
      <c r="I41" s="106"/>
    </row>
    <row r="42">
      <c r="A42" s="38"/>
      <c r="B42" s="38"/>
      <c r="C42" s="15"/>
      <c r="D42" s="15"/>
      <c r="E42" s="38"/>
      <c r="F42" s="38"/>
      <c r="G42" s="38"/>
      <c r="H42" s="38"/>
      <c r="I42" s="106"/>
    </row>
    <row r="43">
      <c r="A43" s="38"/>
      <c r="B43" s="38"/>
      <c r="C43" s="15"/>
      <c r="D43" s="15"/>
      <c r="E43" s="38"/>
      <c r="F43" s="38"/>
      <c r="G43" s="38"/>
      <c r="H43" s="38"/>
      <c r="I43" s="106"/>
    </row>
    <row r="44">
      <c r="A44" s="38"/>
      <c r="B44" s="38"/>
      <c r="C44" s="15"/>
      <c r="D44" s="15"/>
      <c r="E44" s="38"/>
      <c r="F44" s="38"/>
      <c r="G44" s="38"/>
      <c r="H44" s="38"/>
      <c r="I44" s="106"/>
    </row>
    <row r="45">
      <c r="A45" s="38"/>
      <c r="B45" s="38"/>
      <c r="C45" s="15"/>
      <c r="D45" s="15"/>
      <c r="E45" s="38"/>
      <c r="F45" s="38"/>
      <c r="G45" s="38"/>
      <c r="H45" s="38"/>
      <c r="I45" s="106"/>
    </row>
    <row r="46">
      <c r="A46" s="38"/>
      <c r="B46" s="38"/>
      <c r="C46" s="15"/>
      <c r="D46" s="15"/>
      <c r="E46" s="38"/>
      <c r="F46" s="38"/>
      <c r="G46" s="38"/>
      <c r="H46" s="38"/>
      <c r="I46" s="108"/>
    </row>
    <row r="47">
      <c r="A47" s="38"/>
      <c r="B47" s="38"/>
      <c r="C47" s="15"/>
      <c r="D47" s="15"/>
      <c r="E47" s="38"/>
      <c r="F47" s="38"/>
      <c r="G47" s="38"/>
      <c r="H47" s="38"/>
      <c r="I47" s="108"/>
    </row>
    <row r="48">
      <c r="A48" s="38"/>
      <c r="B48" s="38"/>
      <c r="C48" s="15"/>
      <c r="D48" s="15"/>
      <c r="E48" s="38"/>
      <c r="F48" s="38"/>
      <c r="G48" s="38"/>
      <c r="H48" s="38"/>
      <c r="I48" s="108"/>
    </row>
    <row r="49">
      <c r="A49" s="38"/>
      <c r="B49" s="38"/>
      <c r="C49" s="15"/>
      <c r="D49" s="15"/>
      <c r="E49" s="38"/>
      <c r="F49" s="38"/>
      <c r="G49" s="38"/>
      <c r="H49" s="38"/>
      <c r="I49" s="108"/>
    </row>
    <row r="50">
      <c r="A50" s="38"/>
      <c r="B50" s="38"/>
      <c r="C50" s="15"/>
      <c r="D50" s="15"/>
      <c r="E50" s="38"/>
      <c r="F50" s="38"/>
      <c r="G50" s="38"/>
      <c r="H50" s="38"/>
      <c r="I50" s="108"/>
    </row>
    <row r="51">
      <c r="A51" s="38"/>
      <c r="B51" s="38"/>
      <c r="C51" s="15"/>
      <c r="D51" s="15"/>
      <c r="E51" s="38"/>
      <c r="F51" s="38"/>
      <c r="G51" s="38"/>
      <c r="H51" s="38"/>
      <c r="I51" s="108"/>
    </row>
    <row r="52">
      <c r="A52" s="38"/>
      <c r="B52" s="38"/>
      <c r="C52" s="15"/>
      <c r="D52" s="15"/>
      <c r="E52" s="38"/>
      <c r="F52" s="38"/>
      <c r="G52" s="38"/>
      <c r="H52" s="38"/>
      <c r="I52" s="108"/>
    </row>
    <row r="53">
      <c r="A53" s="38"/>
      <c r="B53" s="38"/>
      <c r="C53" s="15"/>
      <c r="D53" s="15"/>
      <c r="E53" s="38"/>
      <c r="F53" s="38"/>
      <c r="G53" s="38"/>
      <c r="H53" s="38"/>
      <c r="I53" s="108"/>
    </row>
    <row r="54">
      <c r="A54" s="38"/>
      <c r="B54" s="38"/>
      <c r="C54" s="15"/>
      <c r="D54" s="15"/>
      <c r="E54" s="38"/>
      <c r="F54" s="38"/>
      <c r="G54" s="38"/>
      <c r="H54" s="38"/>
      <c r="I54" s="108"/>
    </row>
    <row r="55">
      <c r="A55" s="38"/>
      <c r="B55" s="38"/>
      <c r="C55" s="15"/>
      <c r="D55" s="15"/>
      <c r="E55" s="38"/>
      <c r="F55" s="38"/>
      <c r="G55" s="38"/>
      <c r="H55" s="38"/>
      <c r="I55" s="108"/>
    </row>
    <row r="56">
      <c r="A56" s="38"/>
      <c r="B56" s="38"/>
      <c r="C56" s="15"/>
      <c r="D56" s="15"/>
      <c r="E56" s="38"/>
      <c r="F56" s="38"/>
      <c r="G56" s="38"/>
      <c r="H56" s="38"/>
      <c r="I56" s="108"/>
    </row>
    <row r="57">
      <c r="A57" s="38"/>
      <c r="B57" s="38"/>
      <c r="C57" s="15"/>
      <c r="D57" s="15"/>
      <c r="E57" s="38"/>
      <c r="F57" s="38"/>
      <c r="G57" s="38"/>
      <c r="H57" s="38"/>
      <c r="I57" s="108"/>
    </row>
    <row r="58">
      <c r="A58" s="38"/>
      <c r="B58" s="38"/>
      <c r="C58" s="15"/>
      <c r="D58" s="15"/>
      <c r="E58" s="38"/>
      <c r="F58" s="38"/>
      <c r="G58" s="38"/>
      <c r="H58" s="38"/>
      <c r="I58" s="108"/>
    </row>
    <row r="59">
      <c r="A59" s="38"/>
      <c r="B59" s="38"/>
      <c r="C59" s="15"/>
      <c r="D59" s="15"/>
      <c r="E59" s="38"/>
      <c r="F59" s="38"/>
      <c r="G59" s="38"/>
      <c r="H59" s="38"/>
      <c r="I59" s="108"/>
    </row>
    <row r="60">
      <c r="A60" s="38"/>
      <c r="B60" s="38"/>
      <c r="C60" s="15"/>
      <c r="D60" s="15"/>
      <c r="E60" s="38"/>
      <c r="F60" s="38"/>
      <c r="G60" s="38"/>
      <c r="H60" s="38"/>
      <c r="I60" s="108"/>
    </row>
    <row r="61">
      <c r="A61" s="38"/>
      <c r="B61" s="38"/>
      <c r="C61" s="15"/>
      <c r="D61" s="15"/>
      <c r="E61" s="38"/>
      <c r="F61" s="38"/>
      <c r="G61" s="38"/>
      <c r="H61" s="38"/>
      <c r="I61" s="108"/>
    </row>
    <row r="62">
      <c r="A62" s="38"/>
      <c r="B62" s="38"/>
      <c r="C62" s="15"/>
      <c r="D62" s="15"/>
      <c r="E62" s="38"/>
      <c r="F62" s="38"/>
      <c r="G62" s="38"/>
      <c r="H62" s="38"/>
      <c r="I62" s="108"/>
    </row>
    <row r="63">
      <c r="A63" s="38"/>
      <c r="B63" s="38"/>
      <c r="C63" s="15"/>
      <c r="D63" s="15"/>
      <c r="E63" s="38"/>
      <c r="F63" s="38"/>
      <c r="G63" s="38"/>
      <c r="H63" s="38"/>
      <c r="I63" s="108"/>
    </row>
    <row r="64">
      <c r="A64" s="38"/>
      <c r="B64" s="38"/>
      <c r="C64" s="15"/>
      <c r="D64" s="15"/>
      <c r="E64" s="38"/>
      <c r="F64" s="38"/>
      <c r="G64" s="38"/>
      <c r="H64" s="38"/>
      <c r="I64" s="108"/>
    </row>
    <row r="65">
      <c r="A65" s="38"/>
      <c r="B65" s="38"/>
      <c r="C65" s="15"/>
      <c r="D65" s="15"/>
      <c r="E65" s="38"/>
      <c r="F65" s="38"/>
      <c r="G65" s="38"/>
      <c r="H65" s="38"/>
      <c r="I65" s="108"/>
    </row>
    <row r="66">
      <c r="A66" s="38"/>
      <c r="B66" s="38"/>
      <c r="C66" s="15"/>
      <c r="D66" s="15"/>
      <c r="E66" s="38"/>
      <c r="F66" s="38"/>
      <c r="G66" s="38"/>
      <c r="H66" s="38"/>
      <c r="I66" s="108"/>
    </row>
    <row r="67">
      <c r="A67" s="38"/>
      <c r="B67" s="38"/>
      <c r="C67" s="15"/>
      <c r="D67" s="15"/>
      <c r="E67" s="38"/>
      <c r="F67" s="38"/>
      <c r="G67" s="38"/>
      <c r="H67" s="38"/>
      <c r="I67" s="108"/>
    </row>
    <row r="68">
      <c r="A68" s="38"/>
      <c r="B68" s="38"/>
      <c r="C68" s="15"/>
      <c r="D68" s="15"/>
      <c r="E68" s="38"/>
      <c r="F68" s="38"/>
      <c r="G68" s="38"/>
      <c r="H68" s="38"/>
      <c r="I68" s="108"/>
    </row>
    <row r="69">
      <c r="A69" s="38"/>
      <c r="B69" s="38"/>
      <c r="C69" s="15"/>
      <c r="D69" s="15"/>
      <c r="E69" s="38"/>
      <c r="F69" s="38"/>
      <c r="G69" s="38"/>
      <c r="H69" s="38"/>
      <c r="I69" s="108"/>
    </row>
    <row r="70">
      <c r="A70" s="38"/>
      <c r="B70" s="38"/>
      <c r="C70" s="15"/>
      <c r="D70" s="15"/>
      <c r="E70" s="38"/>
      <c r="F70" s="38"/>
      <c r="G70" s="38"/>
      <c r="H70" s="38"/>
      <c r="I70" s="108"/>
    </row>
    <row r="71">
      <c r="A71" s="38"/>
      <c r="B71" s="38"/>
      <c r="C71" s="15"/>
      <c r="D71" s="15"/>
      <c r="E71" s="38"/>
      <c r="F71" s="38"/>
      <c r="G71" s="38"/>
      <c r="H71" s="38"/>
      <c r="I71" s="108"/>
    </row>
    <row r="72">
      <c r="A72" s="38"/>
      <c r="B72" s="38"/>
      <c r="C72" s="15"/>
      <c r="D72" s="15"/>
      <c r="E72" s="38"/>
      <c r="F72" s="38"/>
      <c r="G72" s="38"/>
      <c r="H72" s="38"/>
      <c r="I72" s="108"/>
    </row>
    <row r="73">
      <c r="A73" s="38"/>
      <c r="B73" s="38"/>
      <c r="C73" s="15"/>
      <c r="D73" s="15"/>
      <c r="E73" s="38"/>
      <c r="F73" s="38"/>
      <c r="G73" s="38"/>
      <c r="H73" s="38"/>
      <c r="I73" s="108"/>
    </row>
    <row r="74">
      <c r="A74" s="38"/>
      <c r="B74" s="38"/>
      <c r="C74" s="15"/>
      <c r="D74" s="15"/>
      <c r="E74" s="38"/>
      <c r="F74" s="38"/>
      <c r="G74" s="38"/>
      <c r="H74" s="38"/>
      <c r="I74" s="108"/>
    </row>
    <row r="75">
      <c r="A75" s="38"/>
      <c r="B75" s="38"/>
      <c r="C75" s="15"/>
      <c r="D75" s="15"/>
      <c r="E75" s="38"/>
      <c r="F75" s="38"/>
      <c r="G75" s="38"/>
      <c r="H75" s="38"/>
      <c r="I75" s="108"/>
    </row>
    <row r="76">
      <c r="A76" s="38"/>
      <c r="B76" s="38"/>
      <c r="C76" s="15"/>
      <c r="D76" s="15"/>
      <c r="E76" s="38"/>
      <c r="F76" s="38"/>
      <c r="G76" s="38"/>
      <c r="H76" s="38"/>
      <c r="I76" s="108"/>
    </row>
    <row r="77">
      <c r="A77" s="38"/>
      <c r="B77" s="38"/>
      <c r="C77" s="15"/>
      <c r="D77" s="15"/>
      <c r="E77" s="38"/>
      <c r="F77" s="38"/>
      <c r="G77" s="38"/>
      <c r="H77" s="38"/>
      <c r="I77" s="108"/>
    </row>
    <row r="78">
      <c r="A78" s="38"/>
      <c r="B78" s="38"/>
      <c r="C78" s="15"/>
      <c r="D78" s="15"/>
      <c r="E78" s="38"/>
      <c r="F78" s="38"/>
      <c r="G78" s="38"/>
      <c r="H78" s="38"/>
      <c r="I78" s="108"/>
    </row>
    <row r="79">
      <c r="A79" s="38"/>
      <c r="B79" s="38"/>
      <c r="C79" s="15"/>
      <c r="D79" s="15"/>
      <c r="E79" s="38"/>
      <c r="F79" s="38"/>
      <c r="G79" s="38"/>
      <c r="H79" s="38"/>
      <c r="I79" s="108"/>
    </row>
    <row r="80">
      <c r="A80" s="38"/>
      <c r="B80" s="38"/>
      <c r="C80" s="15"/>
      <c r="D80" s="15"/>
      <c r="E80" s="38"/>
      <c r="F80" s="38"/>
      <c r="G80" s="38"/>
      <c r="H80" s="38"/>
      <c r="I80" s="108"/>
    </row>
    <row r="81">
      <c r="A81" s="38"/>
      <c r="B81" s="38"/>
      <c r="C81" s="15"/>
      <c r="D81" s="15"/>
      <c r="E81" s="38"/>
      <c r="F81" s="38"/>
      <c r="G81" s="38"/>
      <c r="H81" s="38"/>
      <c r="I81" s="108"/>
    </row>
    <row r="82">
      <c r="A82" s="38"/>
      <c r="B82" s="38"/>
      <c r="C82" s="15"/>
      <c r="D82" s="15"/>
      <c r="E82" s="38"/>
      <c r="F82" s="38"/>
      <c r="G82" s="38"/>
      <c r="H82" s="38"/>
      <c r="I82" s="108"/>
    </row>
    <row r="83">
      <c r="A83" s="38"/>
      <c r="B83" s="38"/>
      <c r="C83" s="15"/>
      <c r="D83" s="15"/>
      <c r="E83" s="38"/>
      <c r="F83" s="38"/>
      <c r="G83" s="38"/>
      <c r="H83" s="38"/>
      <c r="I83" s="108"/>
    </row>
    <row r="84">
      <c r="A84" s="38"/>
      <c r="B84" s="38"/>
      <c r="C84" s="15"/>
      <c r="D84" s="15"/>
      <c r="E84" s="38"/>
      <c r="F84" s="38"/>
      <c r="G84" s="38"/>
      <c r="H84" s="38"/>
      <c r="I84" s="108"/>
    </row>
    <row r="85">
      <c r="A85" s="38"/>
      <c r="B85" s="38"/>
      <c r="C85" s="15"/>
      <c r="D85" s="15"/>
      <c r="E85" s="38"/>
      <c r="F85" s="38"/>
      <c r="G85" s="38"/>
      <c r="H85" s="38"/>
      <c r="I85" s="108"/>
    </row>
    <row r="86">
      <c r="A86" s="38"/>
      <c r="B86" s="38"/>
      <c r="C86" s="15"/>
      <c r="D86" s="15"/>
      <c r="E86" s="38"/>
      <c r="F86" s="38"/>
      <c r="G86" s="38"/>
      <c r="H86" s="38"/>
      <c r="I86" s="108"/>
    </row>
    <row r="87">
      <c r="A87" s="38"/>
      <c r="B87" s="38"/>
      <c r="C87" s="15"/>
      <c r="D87" s="15"/>
      <c r="E87" s="38"/>
      <c r="F87" s="38"/>
      <c r="G87" s="38"/>
      <c r="H87" s="38"/>
      <c r="I87" s="108"/>
    </row>
    <row r="88">
      <c r="A88" s="38"/>
      <c r="B88" s="38"/>
      <c r="C88" s="15"/>
      <c r="D88" s="15"/>
      <c r="E88" s="38"/>
      <c r="F88" s="38"/>
      <c r="G88" s="38"/>
      <c r="H88" s="38"/>
      <c r="I88" s="108"/>
    </row>
    <row r="89">
      <c r="A89" s="38"/>
      <c r="B89" s="38"/>
      <c r="C89" s="15"/>
      <c r="D89" s="15"/>
      <c r="E89" s="38"/>
      <c r="F89" s="38"/>
      <c r="G89" s="38"/>
      <c r="H89" s="38"/>
      <c r="I89" s="108"/>
    </row>
    <row r="90">
      <c r="A90" s="38"/>
      <c r="B90" s="38"/>
      <c r="C90" s="15"/>
      <c r="D90" s="15"/>
      <c r="E90" s="38"/>
      <c r="F90" s="38"/>
      <c r="G90" s="38"/>
      <c r="H90" s="38"/>
      <c r="I90" s="108"/>
    </row>
    <row r="91">
      <c r="A91" s="38"/>
      <c r="B91" s="38"/>
      <c r="C91" s="15"/>
      <c r="D91" s="15"/>
      <c r="E91" s="38"/>
      <c r="F91" s="38"/>
      <c r="G91" s="38"/>
      <c r="H91" s="38"/>
      <c r="I91" s="108"/>
    </row>
    <row r="92">
      <c r="A92" s="38"/>
      <c r="B92" s="38"/>
      <c r="C92" s="15"/>
      <c r="D92" s="15"/>
      <c r="E92" s="38"/>
      <c r="F92" s="38"/>
      <c r="G92" s="38"/>
      <c r="H92" s="38"/>
      <c r="I92" s="108"/>
    </row>
    <row r="93">
      <c r="A93" s="38"/>
      <c r="B93" s="38"/>
      <c r="C93" s="15"/>
      <c r="D93" s="15"/>
      <c r="E93" s="38"/>
      <c r="F93" s="38"/>
      <c r="G93" s="38"/>
      <c r="H93" s="38"/>
      <c r="I93" s="108"/>
    </row>
    <row r="94">
      <c r="A94" s="38"/>
      <c r="B94" s="38"/>
      <c r="C94" s="15"/>
      <c r="D94" s="15"/>
      <c r="E94" s="38"/>
      <c r="F94" s="38"/>
      <c r="G94" s="38"/>
      <c r="H94" s="38"/>
      <c r="I94" s="108"/>
    </row>
    <row r="95">
      <c r="A95" s="38"/>
      <c r="B95" s="38"/>
      <c r="C95" s="15"/>
      <c r="D95" s="15"/>
      <c r="E95" s="38"/>
      <c r="F95" s="38"/>
      <c r="G95" s="38"/>
      <c r="H95" s="38"/>
      <c r="I95" s="108"/>
    </row>
    <row r="96">
      <c r="A96" s="38"/>
      <c r="B96" s="38"/>
      <c r="C96" s="15"/>
      <c r="D96" s="15"/>
      <c r="E96" s="38"/>
      <c r="F96" s="38"/>
      <c r="G96" s="38"/>
      <c r="H96" s="38"/>
      <c r="I96" s="108"/>
    </row>
    <row r="97">
      <c r="A97" s="38"/>
      <c r="B97" s="38"/>
      <c r="C97" s="15"/>
      <c r="D97" s="15"/>
      <c r="E97" s="38"/>
      <c r="F97" s="38"/>
      <c r="G97" s="38"/>
      <c r="H97" s="38"/>
      <c r="I97" s="108"/>
    </row>
    <row r="98">
      <c r="A98" s="38"/>
      <c r="B98" s="38"/>
      <c r="C98" s="15"/>
      <c r="D98" s="15"/>
      <c r="E98" s="38"/>
      <c r="F98" s="38"/>
      <c r="G98" s="38"/>
      <c r="H98" s="38"/>
      <c r="I98" s="108"/>
    </row>
    <row r="99">
      <c r="A99" s="38"/>
      <c r="B99" s="38"/>
      <c r="C99" s="15"/>
      <c r="D99" s="15"/>
      <c r="E99" s="38"/>
      <c r="F99" s="38"/>
      <c r="G99" s="38"/>
      <c r="H99" s="38"/>
      <c r="I99" s="108"/>
    </row>
    <row r="100">
      <c r="A100" s="38"/>
      <c r="B100" s="38"/>
      <c r="C100" s="15"/>
      <c r="D100" s="15"/>
      <c r="E100" s="38"/>
      <c r="F100" s="38"/>
      <c r="G100" s="38"/>
      <c r="H100" s="38"/>
      <c r="I100" s="108"/>
    </row>
    <row r="101">
      <c r="A101" s="38"/>
      <c r="B101" s="38"/>
      <c r="C101" s="15"/>
      <c r="D101" s="15"/>
      <c r="E101" s="38"/>
      <c r="F101" s="38"/>
      <c r="G101" s="38"/>
      <c r="H101" s="38"/>
      <c r="I101" s="108"/>
    </row>
    <row r="102">
      <c r="A102" s="38"/>
      <c r="B102" s="38"/>
      <c r="C102" s="15"/>
      <c r="D102" s="15"/>
      <c r="E102" s="38"/>
      <c r="F102" s="38"/>
      <c r="G102" s="38"/>
      <c r="H102" s="38"/>
      <c r="I102" s="108"/>
    </row>
    <row r="103">
      <c r="A103" s="38"/>
      <c r="B103" s="38"/>
      <c r="C103" s="15"/>
      <c r="D103" s="15"/>
      <c r="E103" s="38"/>
      <c r="F103" s="38"/>
      <c r="G103" s="38"/>
      <c r="H103" s="38"/>
      <c r="I103" s="108"/>
    </row>
    <row r="104">
      <c r="A104" s="38"/>
      <c r="B104" s="38"/>
      <c r="C104" s="15"/>
      <c r="D104" s="15"/>
      <c r="E104" s="38"/>
      <c r="F104" s="38"/>
      <c r="G104" s="38"/>
      <c r="H104" s="38"/>
      <c r="I104" s="108"/>
    </row>
    <row r="105">
      <c r="A105" s="38"/>
      <c r="B105" s="38"/>
      <c r="C105" s="15"/>
      <c r="D105" s="15"/>
      <c r="E105" s="38"/>
      <c r="F105" s="38"/>
      <c r="G105" s="38"/>
      <c r="H105" s="38"/>
      <c r="I105" s="108"/>
    </row>
    <row r="106">
      <c r="A106" s="38"/>
      <c r="B106" s="38"/>
      <c r="C106" s="15"/>
      <c r="D106" s="15"/>
      <c r="E106" s="38"/>
      <c r="F106" s="38"/>
      <c r="G106" s="38"/>
      <c r="H106" s="38"/>
      <c r="I106" s="108"/>
    </row>
    <row r="107">
      <c r="A107" s="38"/>
      <c r="B107" s="38"/>
      <c r="C107" s="15"/>
      <c r="D107" s="15"/>
      <c r="E107" s="38"/>
      <c r="F107" s="38"/>
      <c r="G107" s="38"/>
      <c r="H107" s="38"/>
      <c r="I107" s="108"/>
    </row>
    <row r="108">
      <c r="A108" s="38"/>
      <c r="B108" s="38"/>
      <c r="C108" s="15"/>
      <c r="D108" s="15"/>
      <c r="E108" s="38"/>
      <c r="F108" s="38"/>
      <c r="G108" s="38"/>
      <c r="H108" s="38"/>
      <c r="I108" s="108"/>
    </row>
    <row r="109">
      <c r="A109" s="38"/>
      <c r="B109" s="38"/>
      <c r="C109" s="15"/>
      <c r="D109" s="15"/>
      <c r="E109" s="38"/>
      <c r="F109" s="38"/>
      <c r="G109" s="38"/>
      <c r="H109" s="38"/>
      <c r="I109" s="108"/>
    </row>
    <row r="110">
      <c r="A110" s="38"/>
      <c r="B110" s="38"/>
      <c r="C110" s="15"/>
      <c r="D110" s="15"/>
      <c r="E110" s="38"/>
      <c r="F110" s="38"/>
      <c r="G110" s="38"/>
      <c r="H110" s="38"/>
      <c r="I110" s="108"/>
    </row>
    <row r="111">
      <c r="A111" s="38"/>
      <c r="B111" s="38"/>
      <c r="C111" s="15"/>
      <c r="D111" s="15"/>
      <c r="E111" s="38"/>
      <c r="F111" s="38"/>
      <c r="G111" s="38"/>
      <c r="H111" s="38"/>
      <c r="I111" s="108"/>
    </row>
    <row r="112">
      <c r="A112" s="38"/>
      <c r="B112" s="38"/>
      <c r="C112" s="15"/>
      <c r="D112" s="15"/>
      <c r="E112" s="38"/>
      <c r="F112" s="38"/>
      <c r="G112" s="38"/>
      <c r="H112" s="38"/>
      <c r="I112" s="108"/>
    </row>
    <row r="113">
      <c r="A113" s="38"/>
      <c r="B113" s="38"/>
      <c r="C113" s="15"/>
      <c r="D113" s="15"/>
      <c r="E113" s="38"/>
      <c r="F113" s="38"/>
      <c r="G113" s="38"/>
      <c r="H113" s="38"/>
      <c r="I113" s="108"/>
    </row>
    <row r="114">
      <c r="A114" s="38"/>
      <c r="B114" s="38"/>
      <c r="C114" s="15"/>
      <c r="D114" s="15"/>
      <c r="E114" s="38"/>
      <c r="F114" s="38"/>
      <c r="G114" s="38"/>
      <c r="H114" s="38"/>
      <c r="I114" s="108"/>
    </row>
    <row r="115">
      <c r="A115" s="38"/>
      <c r="B115" s="38"/>
      <c r="C115" s="15"/>
      <c r="D115" s="15"/>
      <c r="E115" s="38"/>
      <c r="F115" s="38"/>
      <c r="G115" s="38"/>
      <c r="H115" s="38"/>
      <c r="I115" s="108"/>
    </row>
    <row r="116">
      <c r="A116" s="38"/>
      <c r="B116" s="38"/>
      <c r="C116" s="15"/>
      <c r="D116" s="15"/>
      <c r="E116" s="38"/>
      <c r="F116" s="38"/>
      <c r="G116" s="38"/>
      <c r="H116" s="38"/>
      <c r="I116" s="108"/>
    </row>
    <row r="117">
      <c r="A117" s="38"/>
      <c r="B117" s="38"/>
      <c r="C117" s="15"/>
      <c r="D117" s="15"/>
      <c r="E117" s="38"/>
      <c r="F117" s="38"/>
      <c r="G117" s="38"/>
      <c r="H117" s="38"/>
      <c r="I117" s="108"/>
    </row>
    <row r="118">
      <c r="A118" s="38"/>
      <c r="B118" s="38"/>
      <c r="C118" s="15"/>
      <c r="D118" s="15"/>
      <c r="E118" s="38"/>
      <c r="F118" s="38"/>
      <c r="G118" s="38"/>
      <c r="H118" s="38"/>
      <c r="I118" s="108"/>
    </row>
    <row r="119">
      <c r="A119" s="38"/>
      <c r="B119" s="38"/>
      <c r="C119" s="15"/>
      <c r="D119" s="15"/>
      <c r="E119" s="38"/>
      <c r="F119" s="38"/>
      <c r="G119" s="38"/>
      <c r="H119" s="38"/>
      <c r="I119" s="108"/>
    </row>
    <row r="120">
      <c r="A120" s="38"/>
      <c r="B120" s="38"/>
      <c r="C120" s="15"/>
      <c r="D120" s="15"/>
      <c r="E120" s="38"/>
      <c r="F120" s="38"/>
      <c r="G120" s="38"/>
      <c r="H120" s="38"/>
      <c r="I120" s="108"/>
    </row>
    <row r="121">
      <c r="A121" s="38"/>
      <c r="B121" s="38"/>
      <c r="C121" s="15"/>
      <c r="D121" s="15"/>
      <c r="E121" s="38"/>
      <c r="F121" s="38"/>
      <c r="G121" s="38"/>
      <c r="H121" s="38"/>
      <c r="I121" s="108"/>
    </row>
    <row r="122">
      <c r="A122" s="38"/>
      <c r="B122" s="38"/>
      <c r="C122" s="15"/>
      <c r="D122" s="15"/>
      <c r="E122" s="38"/>
      <c r="F122" s="38"/>
      <c r="G122" s="38"/>
      <c r="H122" s="38"/>
      <c r="I122" s="108"/>
    </row>
    <row r="123">
      <c r="A123" s="38"/>
      <c r="B123" s="38"/>
      <c r="C123" s="15"/>
      <c r="D123" s="15"/>
      <c r="E123" s="38"/>
      <c r="F123" s="38"/>
      <c r="G123" s="38"/>
      <c r="H123" s="38"/>
      <c r="I123" s="108"/>
    </row>
    <row r="124">
      <c r="A124" s="38"/>
      <c r="B124" s="38"/>
      <c r="C124" s="15"/>
      <c r="D124" s="15"/>
      <c r="E124" s="38"/>
      <c r="F124" s="38"/>
      <c r="G124" s="38"/>
      <c r="H124" s="38"/>
      <c r="I124" s="108"/>
    </row>
    <row r="125">
      <c r="A125" s="38"/>
      <c r="B125" s="38"/>
      <c r="C125" s="15"/>
      <c r="D125" s="15"/>
      <c r="E125" s="38"/>
      <c r="F125" s="38"/>
      <c r="G125" s="38"/>
      <c r="H125" s="38"/>
      <c r="I125" s="108"/>
    </row>
    <row r="126">
      <c r="A126" s="38"/>
      <c r="B126" s="38"/>
      <c r="C126" s="15"/>
      <c r="D126" s="15"/>
      <c r="E126" s="38"/>
      <c r="F126" s="38"/>
      <c r="G126" s="38"/>
      <c r="H126" s="38"/>
      <c r="I126" s="108"/>
    </row>
    <row r="127">
      <c r="A127" s="38"/>
      <c r="B127" s="38"/>
      <c r="C127" s="15"/>
      <c r="D127" s="15"/>
      <c r="E127" s="38"/>
      <c r="F127" s="38"/>
      <c r="G127" s="38"/>
      <c r="H127" s="38"/>
      <c r="I127" s="108"/>
    </row>
    <row r="128">
      <c r="A128" s="38"/>
      <c r="B128" s="38"/>
      <c r="C128" s="15"/>
      <c r="D128" s="15"/>
      <c r="E128" s="38"/>
      <c r="F128" s="38"/>
      <c r="G128" s="38"/>
      <c r="H128" s="38"/>
      <c r="I128" s="108"/>
    </row>
    <row r="129">
      <c r="A129" s="38"/>
      <c r="B129" s="38"/>
      <c r="C129" s="15"/>
      <c r="D129" s="15"/>
      <c r="E129" s="38"/>
      <c r="F129" s="38"/>
      <c r="G129" s="38"/>
      <c r="H129" s="38"/>
      <c r="I129" s="108"/>
    </row>
    <row r="130">
      <c r="A130" s="38"/>
      <c r="B130" s="38"/>
      <c r="C130" s="15"/>
      <c r="D130" s="15"/>
      <c r="E130" s="38"/>
      <c r="F130" s="38"/>
      <c r="G130" s="38"/>
      <c r="H130" s="38"/>
      <c r="I130" s="108"/>
    </row>
    <row r="131">
      <c r="A131" s="38"/>
      <c r="B131" s="38"/>
      <c r="C131" s="15"/>
      <c r="D131" s="15"/>
      <c r="E131" s="38"/>
      <c r="F131" s="38"/>
      <c r="G131" s="38"/>
      <c r="H131" s="38"/>
      <c r="I131" s="108"/>
    </row>
    <row r="132">
      <c r="A132" s="38"/>
      <c r="B132" s="38"/>
      <c r="C132" s="15"/>
      <c r="D132" s="15"/>
      <c r="E132" s="38"/>
      <c r="F132" s="38"/>
      <c r="G132" s="38"/>
      <c r="H132" s="38"/>
      <c r="I132" s="108"/>
    </row>
    <row r="133">
      <c r="A133" s="38"/>
      <c r="B133" s="38"/>
      <c r="C133" s="15"/>
      <c r="D133" s="15"/>
      <c r="E133" s="38"/>
      <c r="F133" s="38"/>
      <c r="G133" s="38"/>
      <c r="H133" s="38"/>
      <c r="I133" s="108"/>
    </row>
    <row r="134">
      <c r="A134" s="38"/>
      <c r="B134" s="38"/>
      <c r="C134" s="15"/>
      <c r="D134" s="15"/>
      <c r="E134" s="38"/>
      <c r="F134" s="38"/>
      <c r="G134" s="38"/>
      <c r="H134" s="38"/>
      <c r="I134" s="108"/>
    </row>
    <row r="135">
      <c r="A135" s="38"/>
      <c r="B135" s="38"/>
      <c r="C135" s="15"/>
      <c r="D135" s="15"/>
      <c r="E135" s="38"/>
      <c r="F135" s="38"/>
      <c r="G135" s="38"/>
      <c r="H135" s="38"/>
      <c r="I135" s="108"/>
    </row>
    <row r="136">
      <c r="A136" s="38"/>
      <c r="B136" s="38"/>
      <c r="C136" s="15"/>
      <c r="D136" s="15"/>
      <c r="E136" s="38"/>
      <c r="F136" s="38"/>
      <c r="G136" s="38"/>
      <c r="H136" s="38"/>
      <c r="I136" s="108"/>
    </row>
    <row r="137">
      <c r="A137" s="38"/>
      <c r="B137" s="38"/>
      <c r="C137" s="15"/>
      <c r="D137" s="15"/>
      <c r="E137" s="38"/>
      <c r="F137" s="38"/>
      <c r="G137" s="38"/>
      <c r="H137" s="38"/>
      <c r="I137" s="108"/>
    </row>
    <row r="138">
      <c r="A138" s="38"/>
      <c r="B138" s="38"/>
      <c r="C138" s="15"/>
      <c r="D138" s="15"/>
      <c r="E138" s="38"/>
      <c r="F138" s="38"/>
      <c r="G138" s="38"/>
      <c r="H138" s="38"/>
      <c r="I138" s="108"/>
    </row>
    <row r="139">
      <c r="A139" s="38"/>
      <c r="B139" s="38"/>
      <c r="C139" s="15"/>
      <c r="D139" s="15"/>
      <c r="E139" s="38"/>
      <c r="F139" s="38"/>
      <c r="G139" s="38"/>
      <c r="H139" s="38"/>
      <c r="I139" s="108"/>
    </row>
    <row r="140">
      <c r="A140" s="38"/>
      <c r="B140" s="38"/>
      <c r="C140" s="15"/>
      <c r="D140" s="15"/>
      <c r="E140" s="38"/>
      <c r="F140" s="38"/>
      <c r="G140" s="38"/>
      <c r="H140" s="38"/>
      <c r="I140" s="108"/>
    </row>
    <row r="141">
      <c r="A141" s="38"/>
      <c r="B141" s="38"/>
      <c r="C141" s="15"/>
      <c r="D141" s="15"/>
      <c r="E141" s="38"/>
      <c r="F141" s="38"/>
      <c r="G141" s="38"/>
      <c r="H141" s="38"/>
      <c r="I141" s="108"/>
    </row>
    <row r="142">
      <c r="A142" s="38"/>
      <c r="B142" s="38"/>
      <c r="C142" s="15"/>
      <c r="D142" s="15"/>
      <c r="E142" s="38"/>
      <c r="F142" s="38"/>
      <c r="G142" s="38"/>
      <c r="H142" s="38"/>
      <c r="I142" s="108"/>
    </row>
    <row r="143">
      <c r="A143" s="38"/>
      <c r="B143" s="38"/>
      <c r="C143" s="15"/>
      <c r="D143" s="15"/>
      <c r="E143" s="38"/>
      <c r="F143" s="38"/>
      <c r="G143" s="38"/>
      <c r="H143" s="38"/>
      <c r="I143" s="108"/>
    </row>
    <row r="144">
      <c r="A144" s="38"/>
      <c r="B144" s="38"/>
      <c r="C144" s="15"/>
      <c r="D144" s="15"/>
      <c r="E144" s="38"/>
      <c r="F144" s="38"/>
      <c r="G144" s="38"/>
      <c r="H144" s="38"/>
      <c r="I144" s="108"/>
    </row>
    <row r="145">
      <c r="A145" s="38"/>
      <c r="B145" s="38"/>
      <c r="C145" s="15"/>
      <c r="D145" s="15"/>
      <c r="E145" s="38"/>
      <c r="F145" s="38"/>
      <c r="G145" s="38"/>
      <c r="H145" s="38"/>
      <c r="I145" s="108"/>
    </row>
    <row r="146">
      <c r="A146" s="38"/>
      <c r="B146" s="38"/>
      <c r="C146" s="15"/>
      <c r="D146" s="15"/>
      <c r="E146" s="38"/>
      <c r="F146" s="38"/>
      <c r="G146" s="38"/>
      <c r="H146" s="38"/>
      <c r="I146" s="108"/>
    </row>
    <row r="147">
      <c r="A147" s="38"/>
      <c r="B147" s="38"/>
      <c r="C147" s="15"/>
      <c r="D147" s="15"/>
      <c r="E147" s="38"/>
      <c r="F147" s="38"/>
      <c r="G147" s="38"/>
      <c r="H147" s="38"/>
      <c r="I147" s="108"/>
    </row>
    <row r="148">
      <c r="A148" s="38"/>
      <c r="B148" s="38"/>
      <c r="C148" s="15"/>
      <c r="D148" s="15"/>
      <c r="E148" s="38"/>
      <c r="F148" s="38"/>
      <c r="G148" s="38"/>
      <c r="H148" s="38"/>
      <c r="I148" s="108"/>
    </row>
    <row r="149">
      <c r="A149" s="38"/>
      <c r="B149" s="38"/>
      <c r="C149" s="15"/>
      <c r="D149" s="15"/>
      <c r="E149" s="38"/>
      <c r="F149" s="38"/>
      <c r="G149" s="38"/>
      <c r="H149" s="38"/>
      <c r="I149" s="108"/>
    </row>
    <row r="150">
      <c r="A150" s="38"/>
      <c r="B150" s="38"/>
      <c r="C150" s="15"/>
      <c r="D150" s="15"/>
      <c r="E150" s="38"/>
      <c r="F150" s="38"/>
      <c r="G150" s="38"/>
      <c r="H150" s="38"/>
      <c r="I150" s="108"/>
    </row>
    <row r="151">
      <c r="A151" s="38"/>
      <c r="B151" s="38"/>
      <c r="C151" s="15"/>
      <c r="D151" s="15"/>
      <c r="E151" s="38"/>
      <c r="F151" s="38"/>
      <c r="G151" s="38"/>
      <c r="H151" s="38"/>
      <c r="I151" s="108"/>
    </row>
    <row r="152">
      <c r="A152" s="38"/>
      <c r="B152" s="38"/>
      <c r="C152" s="15"/>
      <c r="D152" s="15"/>
      <c r="E152" s="38"/>
      <c r="F152" s="38"/>
      <c r="G152" s="38"/>
      <c r="H152" s="38"/>
      <c r="I152" s="108"/>
    </row>
    <row r="153">
      <c r="A153" s="38"/>
      <c r="B153" s="38"/>
      <c r="C153" s="15"/>
      <c r="D153" s="15"/>
      <c r="E153" s="38"/>
      <c r="F153" s="38"/>
      <c r="G153" s="38"/>
      <c r="H153" s="38"/>
      <c r="I153" s="108"/>
    </row>
    <row r="154">
      <c r="A154" s="38"/>
      <c r="B154" s="38"/>
      <c r="C154" s="15"/>
      <c r="D154" s="15"/>
      <c r="E154" s="38"/>
      <c r="F154" s="38"/>
      <c r="G154" s="38"/>
      <c r="H154" s="38"/>
      <c r="I154" s="108"/>
    </row>
    <row r="155">
      <c r="A155" s="38"/>
      <c r="B155" s="38"/>
      <c r="C155" s="15"/>
      <c r="D155" s="15"/>
      <c r="E155" s="38"/>
      <c r="F155" s="38"/>
      <c r="G155" s="38"/>
      <c r="H155" s="38"/>
      <c r="I155" s="108"/>
    </row>
    <row r="156">
      <c r="A156" s="38"/>
      <c r="B156" s="38"/>
      <c r="C156" s="15"/>
      <c r="D156" s="15"/>
      <c r="E156" s="38"/>
      <c r="F156" s="38"/>
      <c r="G156" s="38"/>
      <c r="H156" s="38"/>
      <c r="I156" s="108"/>
    </row>
    <row r="157">
      <c r="A157" s="38"/>
      <c r="B157" s="38"/>
      <c r="C157" s="15"/>
      <c r="D157" s="15"/>
      <c r="E157" s="38"/>
      <c r="F157" s="38"/>
      <c r="G157" s="38"/>
      <c r="H157" s="38"/>
      <c r="I157" s="108"/>
    </row>
    <row r="158">
      <c r="A158" s="38"/>
      <c r="B158" s="38"/>
      <c r="C158" s="15"/>
      <c r="D158" s="15"/>
      <c r="E158" s="38"/>
      <c r="F158" s="38"/>
      <c r="G158" s="38"/>
      <c r="H158" s="38"/>
      <c r="I158" s="108"/>
    </row>
    <row r="159">
      <c r="A159" s="38"/>
      <c r="B159" s="38"/>
      <c r="C159" s="15"/>
      <c r="D159" s="15"/>
      <c r="E159" s="38"/>
      <c r="F159" s="38"/>
      <c r="G159" s="38"/>
      <c r="H159" s="38"/>
      <c r="I159" s="108"/>
    </row>
    <row r="160">
      <c r="A160" s="38"/>
      <c r="B160" s="38"/>
      <c r="C160" s="15"/>
      <c r="D160" s="15"/>
      <c r="E160" s="38"/>
      <c r="F160" s="38"/>
      <c r="G160" s="38"/>
      <c r="H160" s="38"/>
      <c r="I160" s="108"/>
    </row>
    <row r="161">
      <c r="A161" s="38"/>
      <c r="B161" s="38"/>
      <c r="C161" s="15"/>
      <c r="D161" s="15"/>
      <c r="E161" s="38"/>
      <c r="F161" s="38"/>
      <c r="G161" s="38"/>
      <c r="H161" s="38"/>
      <c r="I161" s="108"/>
    </row>
    <row r="162">
      <c r="A162" s="38"/>
      <c r="B162" s="38"/>
      <c r="C162" s="15"/>
      <c r="D162" s="15"/>
      <c r="E162" s="38"/>
      <c r="F162" s="38"/>
      <c r="G162" s="38"/>
      <c r="H162" s="38"/>
      <c r="I162" s="108"/>
    </row>
    <row r="163">
      <c r="A163" s="38"/>
      <c r="B163" s="38"/>
      <c r="C163" s="15"/>
      <c r="D163" s="15"/>
      <c r="E163" s="38"/>
      <c r="F163" s="38"/>
      <c r="G163" s="38"/>
      <c r="H163" s="38"/>
      <c r="I163" s="108"/>
    </row>
    <row r="164">
      <c r="A164" s="38"/>
      <c r="B164" s="38"/>
      <c r="C164" s="15"/>
      <c r="D164" s="15"/>
      <c r="E164" s="38"/>
      <c r="F164" s="38"/>
      <c r="G164" s="38"/>
      <c r="H164" s="38"/>
      <c r="I164" s="108"/>
    </row>
    <row r="165">
      <c r="A165" s="38"/>
      <c r="B165" s="38"/>
      <c r="C165" s="15"/>
      <c r="D165" s="15"/>
      <c r="E165" s="38"/>
      <c r="F165" s="38"/>
      <c r="G165" s="38"/>
      <c r="H165" s="38"/>
      <c r="I165" s="108"/>
    </row>
    <row r="166">
      <c r="A166" s="38"/>
      <c r="B166" s="38"/>
      <c r="C166" s="15"/>
      <c r="D166" s="15"/>
      <c r="E166" s="38"/>
      <c r="F166" s="38"/>
      <c r="G166" s="38"/>
      <c r="H166" s="38"/>
      <c r="I166" s="108"/>
    </row>
    <row r="167">
      <c r="A167" s="38"/>
      <c r="B167" s="38"/>
      <c r="C167" s="15"/>
      <c r="D167" s="15"/>
      <c r="E167" s="38"/>
      <c r="F167" s="38"/>
      <c r="G167" s="38"/>
      <c r="H167" s="38"/>
      <c r="I167" s="108"/>
    </row>
    <row r="168">
      <c r="A168" s="38"/>
      <c r="B168" s="38"/>
      <c r="C168" s="15"/>
      <c r="D168" s="15"/>
      <c r="E168" s="38"/>
      <c r="F168" s="38"/>
      <c r="G168" s="38"/>
      <c r="H168" s="38"/>
      <c r="I168" s="108"/>
    </row>
    <row r="169">
      <c r="A169" s="38"/>
      <c r="B169" s="38"/>
      <c r="C169" s="15"/>
      <c r="D169" s="15"/>
      <c r="E169" s="38"/>
      <c r="F169" s="38"/>
      <c r="G169" s="38"/>
      <c r="H169" s="38"/>
      <c r="I169" s="108"/>
    </row>
    <row r="170">
      <c r="A170" s="38"/>
      <c r="B170" s="38"/>
      <c r="C170" s="15"/>
      <c r="D170" s="15"/>
      <c r="E170" s="38"/>
      <c r="F170" s="38"/>
      <c r="G170" s="38"/>
      <c r="H170" s="38"/>
      <c r="I170" s="108"/>
    </row>
    <row r="171">
      <c r="A171" s="38"/>
      <c r="B171" s="38"/>
      <c r="C171" s="15"/>
      <c r="D171" s="15"/>
      <c r="E171" s="38"/>
      <c r="F171" s="38"/>
      <c r="G171" s="38"/>
      <c r="H171" s="38"/>
      <c r="I171" s="108"/>
    </row>
    <row r="172">
      <c r="A172" s="38"/>
      <c r="B172" s="38"/>
      <c r="C172" s="15"/>
      <c r="D172" s="15"/>
      <c r="E172" s="38"/>
      <c r="F172" s="38"/>
      <c r="G172" s="38"/>
      <c r="H172" s="38"/>
      <c r="I172" s="108"/>
    </row>
    <row r="173">
      <c r="A173" s="38"/>
      <c r="B173" s="38"/>
      <c r="C173" s="15"/>
      <c r="D173" s="15"/>
      <c r="E173" s="38"/>
      <c r="F173" s="38"/>
      <c r="G173" s="38"/>
      <c r="H173" s="38"/>
      <c r="I173" s="108"/>
    </row>
    <row r="174">
      <c r="A174" s="38"/>
      <c r="B174" s="38"/>
      <c r="C174" s="15"/>
      <c r="D174" s="15"/>
      <c r="E174" s="38"/>
      <c r="F174" s="38"/>
      <c r="G174" s="38"/>
      <c r="H174" s="38"/>
      <c r="I174" s="108"/>
    </row>
    <row r="175">
      <c r="A175" s="38"/>
      <c r="B175" s="38"/>
      <c r="C175" s="15"/>
      <c r="D175" s="15"/>
      <c r="E175" s="38"/>
      <c r="F175" s="38"/>
      <c r="G175" s="38"/>
      <c r="H175" s="38"/>
      <c r="I175" s="108"/>
    </row>
    <row r="176">
      <c r="A176" s="38"/>
      <c r="B176" s="38"/>
      <c r="C176" s="15"/>
      <c r="D176" s="15"/>
      <c r="E176" s="38"/>
      <c r="F176" s="38"/>
      <c r="G176" s="38"/>
      <c r="H176" s="38"/>
      <c r="I176" s="108"/>
    </row>
    <row r="177">
      <c r="A177" s="38"/>
      <c r="B177" s="38"/>
      <c r="C177" s="15"/>
      <c r="D177" s="15"/>
      <c r="E177" s="38"/>
      <c r="F177" s="38"/>
      <c r="G177" s="38"/>
      <c r="H177" s="38"/>
      <c r="I177" s="108"/>
    </row>
    <row r="178">
      <c r="A178" s="38"/>
      <c r="B178" s="38"/>
      <c r="C178" s="15"/>
      <c r="D178" s="15"/>
      <c r="E178" s="38"/>
      <c r="F178" s="38"/>
      <c r="G178" s="38"/>
      <c r="H178" s="38"/>
      <c r="I178" s="108"/>
    </row>
    <row r="179">
      <c r="A179" s="38"/>
      <c r="B179" s="38"/>
      <c r="C179" s="15"/>
      <c r="D179" s="15"/>
      <c r="E179" s="38"/>
      <c r="F179" s="38"/>
      <c r="G179" s="38"/>
      <c r="H179" s="38"/>
      <c r="I179" s="108"/>
    </row>
    <row r="180">
      <c r="A180" s="38"/>
      <c r="B180" s="38"/>
      <c r="C180" s="15"/>
      <c r="D180" s="15"/>
      <c r="E180" s="38"/>
      <c r="F180" s="38"/>
      <c r="G180" s="38"/>
      <c r="H180" s="38"/>
      <c r="I180" s="108"/>
    </row>
    <row r="181">
      <c r="A181" s="38"/>
      <c r="B181" s="38"/>
      <c r="C181" s="15"/>
      <c r="D181" s="15"/>
      <c r="E181" s="38"/>
      <c r="F181" s="38"/>
      <c r="G181" s="38"/>
      <c r="H181" s="38"/>
      <c r="I181" s="108"/>
    </row>
    <row r="182">
      <c r="A182" s="38"/>
      <c r="B182" s="38"/>
      <c r="C182" s="15"/>
      <c r="D182" s="15"/>
      <c r="E182" s="38"/>
      <c r="F182" s="38"/>
      <c r="G182" s="38"/>
      <c r="H182" s="38"/>
      <c r="I182" s="108"/>
    </row>
    <row r="183">
      <c r="A183" s="38"/>
      <c r="B183" s="38"/>
      <c r="C183" s="15"/>
      <c r="D183" s="15"/>
      <c r="E183" s="38"/>
      <c r="F183" s="38"/>
      <c r="G183" s="38"/>
      <c r="H183" s="38"/>
      <c r="I183" s="108"/>
    </row>
    <row r="184">
      <c r="A184" s="38"/>
      <c r="B184" s="38"/>
      <c r="C184" s="15"/>
      <c r="D184" s="15"/>
      <c r="E184" s="38"/>
      <c r="F184" s="38"/>
      <c r="G184" s="38"/>
      <c r="H184" s="38"/>
      <c r="I184" s="108"/>
    </row>
    <row r="185">
      <c r="A185" s="38"/>
      <c r="B185" s="38"/>
      <c r="C185" s="15"/>
      <c r="D185" s="15"/>
      <c r="E185" s="38"/>
      <c r="F185" s="38"/>
      <c r="G185" s="38"/>
      <c r="H185" s="38"/>
      <c r="I185" s="108"/>
    </row>
    <row r="186">
      <c r="A186" s="38"/>
      <c r="B186" s="38"/>
      <c r="C186" s="15"/>
      <c r="D186" s="15"/>
      <c r="E186" s="38"/>
      <c r="F186" s="38"/>
      <c r="G186" s="38"/>
      <c r="H186" s="38"/>
      <c r="I186" s="108"/>
    </row>
    <row r="187">
      <c r="A187" s="38"/>
      <c r="B187" s="38"/>
      <c r="C187" s="15"/>
      <c r="D187" s="15"/>
      <c r="E187" s="38"/>
      <c r="F187" s="38"/>
      <c r="G187" s="38"/>
      <c r="H187" s="38"/>
      <c r="I187" s="108"/>
    </row>
    <row r="188">
      <c r="A188" s="38"/>
      <c r="B188" s="38"/>
      <c r="C188" s="15"/>
      <c r="D188" s="15"/>
      <c r="E188" s="38"/>
      <c r="F188" s="38"/>
      <c r="G188" s="38"/>
      <c r="H188" s="38"/>
      <c r="I188" s="108"/>
    </row>
    <row r="189">
      <c r="A189" s="38"/>
      <c r="B189" s="38"/>
      <c r="C189" s="15"/>
      <c r="D189" s="15"/>
      <c r="E189" s="38"/>
      <c r="F189" s="38"/>
      <c r="G189" s="38"/>
      <c r="H189" s="38"/>
      <c r="I189" s="108"/>
    </row>
    <row r="190">
      <c r="A190" s="38"/>
      <c r="B190" s="38"/>
      <c r="C190" s="15"/>
      <c r="D190" s="15"/>
      <c r="E190" s="38"/>
      <c r="F190" s="38"/>
      <c r="G190" s="38"/>
      <c r="H190" s="38"/>
      <c r="I190" s="108"/>
    </row>
    <row r="191">
      <c r="A191" s="38"/>
      <c r="B191" s="38"/>
      <c r="C191" s="15"/>
      <c r="D191" s="15"/>
      <c r="E191" s="38"/>
      <c r="F191" s="38"/>
      <c r="G191" s="38"/>
      <c r="H191" s="38"/>
      <c r="I191" s="108"/>
    </row>
    <row r="192">
      <c r="A192" s="38"/>
      <c r="B192" s="38"/>
      <c r="C192" s="15"/>
      <c r="D192" s="15"/>
      <c r="E192" s="38"/>
      <c r="F192" s="38"/>
      <c r="G192" s="38"/>
      <c r="H192" s="38"/>
      <c r="I192" s="108"/>
    </row>
    <row r="193">
      <c r="A193" s="38"/>
      <c r="B193" s="38"/>
      <c r="C193" s="15"/>
      <c r="D193" s="15"/>
      <c r="E193" s="38"/>
      <c r="F193" s="38"/>
      <c r="G193" s="38"/>
      <c r="H193" s="38"/>
      <c r="I193" s="108"/>
    </row>
    <row r="194">
      <c r="A194" s="38"/>
      <c r="B194" s="38"/>
      <c r="C194" s="15"/>
      <c r="D194" s="15"/>
      <c r="E194" s="38"/>
      <c r="F194" s="38"/>
      <c r="G194" s="38"/>
      <c r="H194" s="38"/>
      <c r="I194" s="108"/>
    </row>
    <row r="195">
      <c r="A195" s="38"/>
      <c r="B195" s="38"/>
      <c r="C195" s="15"/>
      <c r="D195" s="15"/>
      <c r="E195" s="38"/>
      <c r="F195" s="38"/>
      <c r="G195" s="38"/>
      <c r="H195" s="38"/>
      <c r="I195" s="108"/>
    </row>
    <row r="196">
      <c r="A196" s="38"/>
      <c r="B196" s="38"/>
      <c r="C196" s="15"/>
      <c r="D196" s="15"/>
      <c r="E196" s="38"/>
      <c r="F196" s="38"/>
      <c r="G196" s="38"/>
      <c r="H196" s="38"/>
      <c r="I196" s="108"/>
    </row>
    <row r="197">
      <c r="A197" s="38"/>
      <c r="B197" s="38"/>
      <c r="C197" s="15"/>
      <c r="D197" s="15"/>
      <c r="E197" s="38"/>
      <c r="F197" s="38"/>
      <c r="G197" s="38"/>
      <c r="H197" s="38"/>
      <c r="I197" s="108"/>
    </row>
    <row r="198">
      <c r="A198" s="38"/>
      <c r="B198" s="38"/>
      <c r="C198" s="15"/>
      <c r="D198" s="15"/>
      <c r="E198" s="38"/>
      <c r="F198" s="38"/>
      <c r="G198" s="38"/>
      <c r="H198" s="38"/>
      <c r="I198" s="108"/>
    </row>
    <row r="199">
      <c r="A199" s="38"/>
      <c r="B199" s="38"/>
      <c r="C199" s="15"/>
      <c r="D199" s="15"/>
      <c r="E199" s="38"/>
      <c r="F199" s="38"/>
      <c r="G199" s="38"/>
      <c r="H199" s="38"/>
      <c r="I199" s="108"/>
    </row>
    <row r="200">
      <c r="A200" s="38"/>
      <c r="B200" s="38"/>
      <c r="C200" s="15"/>
      <c r="D200" s="15"/>
      <c r="E200" s="38"/>
      <c r="F200" s="38"/>
      <c r="G200" s="38"/>
      <c r="H200" s="38"/>
      <c r="I200" s="108"/>
    </row>
    <row r="201">
      <c r="A201" s="38"/>
      <c r="B201" s="38"/>
      <c r="C201" s="15"/>
      <c r="D201" s="15"/>
      <c r="E201" s="38"/>
      <c r="F201" s="38"/>
      <c r="G201" s="38"/>
      <c r="H201" s="38"/>
      <c r="I201" s="108"/>
    </row>
    <row r="202">
      <c r="A202" s="38"/>
      <c r="B202" s="38"/>
      <c r="C202" s="15"/>
      <c r="D202" s="15"/>
      <c r="E202" s="38"/>
      <c r="F202" s="38"/>
      <c r="G202" s="38"/>
      <c r="H202" s="38"/>
      <c r="I202" s="108"/>
    </row>
    <row r="203">
      <c r="A203" s="38"/>
      <c r="B203" s="38"/>
      <c r="C203" s="15"/>
      <c r="D203" s="15"/>
      <c r="E203" s="38"/>
      <c r="F203" s="38"/>
      <c r="G203" s="38"/>
      <c r="H203" s="38"/>
      <c r="I203" s="108"/>
    </row>
    <row r="204">
      <c r="A204" s="38"/>
      <c r="B204" s="38"/>
      <c r="C204" s="15"/>
      <c r="D204" s="15"/>
      <c r="E204" s="38"/>
      <c r="F204" s="38"/>
      <c r="G204" s="38"/>
      <c r="H204" s="38"/>
      <c r="I204" s="108"/>
    </row>
    <row r="205">
      <c r="A205" s="38"/>
      <c r="B205" s="38"/>
      <c r="C205" s="15"/>
      <c r="D205" s="15"/>
      <c r="E205" s="38"/>
      <c r="F205" s="38"/>
      <c r="G205" s="38"/>
      <c r="H205" s="38"/>
      <c r="I205" s="108"/>
    </row>
    <row r="206">
      <c r="A206" s="38"/>
      <c r="B206" s="38"/>
      <c r="C206" s="15"/>
      <c r="D206" s="15"/>
      <c r="E206" s="38"/>
      <c r="F206" s="38"/>
      <c r="G206" s="38"/>
      <c r="H206" s="38"/>
      <c r="I206" s="108"/>
    </row>
    <row r="207">
      <c r="A207" s="38"/>
      <c r="B207" s="38"/>
      <c r="C207" s="15"/>
      <c r="D207" s="15"/>
      <c r="E207" s="38"/>
      <c r="F207" s="38"/>
      <c r="G207" s="38"/>
      <c r="H207" s="38"/>
      <c r="I207" s="108"/>
    </row>
    <row r="208">
      <c r="A208" s="38"/>
      <c r="B208" s="38"/>
      <c r="C208" s="15"/>
      <c r="D208" s="15"/>
      <c r="E208" s="38"/>
      <c r="F208" s="38"/>
      <c r="G208" s="38"/>
      <c r="H208" s="38"/>
      <c r="I208" s="108"/>
    </row>
    <row r="209">
      <c r="A209" s="38"/>
      <c r="B209" s="38"/>
      <c r="C209" s="15"/>
      <c r="D209" s="15"/>
      <c r="E209" s="38"/>
      <c r="F209" s="38"/>
      <c r="G209" s="38"/>
      <c r="H209" s="38"/>
      <c r="I209" s="108"/>
    </row>
    <row r="210">
      <c r="A210" s="38"/>
      <c r="B210" s="38"/>
      <c r="C210" s="15"/>
      <c r="D210" s="15"/>
      <c r="E210" s="38"/>
      <c r="F210" s="38"/>
      <c r="G210" s="38"/>
      <c r="H210" s="38"/>
      <c r="I210" s="108"/>
    </row>
    <row r="211">
      <c r="A211" s="38"/>
      <c r="B211" s="38"/>
      <c r="C211" s="15"/>
      <c r="D211" s="15"/>
      <c r="E211" s="38"/>
      <c r="F211" s="38"/>
      <c r="G211" s="38"/>
      <c r="H211" s="38"/>
      <c r="I211" s="108"/>
    </row>
    <row r="212">
      <c r="A212" s="38"/>
      <c r="B212" s="38"/>
      <c r="C212" s="15"/>
      <c r="D212" s="15"/>
      <c r="E212" s="38"/>
      <c r="F212" s="38"/>
      <c r="G212" s="38"/>
      <c r="H212" s="38"/>
      <c r="I212" s="108"/>
    </row>
    <row r="213">
      <c r="A213" s="38"/>
      <c r="B213" s="38"/>
      <c r="C213" s="15"/>
      <c r="D213" s="15"/>
      <c r="E213" s="38"/>
      <c r="F213" s="38"/>
      <c r="G213" s="38"/>
      <c r="H213" s="38"/>
      <c r="I213" s="108"/>
    </row>
    <row r="214">
      <c r="A214" s="38"/>
      <c r="B214" s="38"/>
      <c r="C214" s="15"/>
      <c r="D214" s="15"/>
      <c r="E214" s="38"/>
      <c r="F214" s="38"/>
      <c r="G214" s="38"/>
      <c r="H214" s="38"/>
      <c r="I214" s="108"/>
    </row>
    <row r="215">
      <c r="A215" s="38"/>
      <c r="B215" s="38"/>
      <c r="C215" s="15"/>
      <c r="D215" s="15"/>
      <c r="E215" s="38"/>
      <c r="F215" s="38"/>
      <c r="G215" s="38"/>
      <c r="H215" s="38"/>
      <c r="I215" s="108"/>
    </row>
    <row r="216">
      <c r="A216" s="38"/>
      <c r="B216" s="38"/>
      <c r="C216" s="15"/>
      <c r="D216" s="15"/>
      <c r="E216" s="38"/>
      <c r="F216" s="38"/>
      <c r="G216" s="38"/>
      <c r="H216" s="38"/>
      <c r="I216" s="108"/>
    </row>
    <row r="217">
      <c r="A217" s="38"/>
      <c r="B217" s="38"/>
      <c r="C217" s="15"/>
      <c r="D217" s="15"/>
      <c r="E217" s="38"/>
      <c r="F217" s="38"/>
      <c r="G217" s="38"/>
      <c r="H217" s="38"/>
      <c r="I217" s="108"/>
    </row>
    <row r="218">
      <c r="A218" s="38"/>
      <c r="B218" s="38"/>
      <c r="C218" s="15"/>
      <c r="D218" s="15"/>
      <c r="E218" s="38"/>
      <c r="F218" s="38"/>
      <c r="G218" s="38"/>
      <c r="H218" s="38"/>
      <c r="I218" s="108"/>
    </row>
    <row r="219">
      <c r="A219" s="38"/>
      <c r="B219" s="38"/>
      <c r="C219" s="15"/>
      <c r="D219" s="15"/>
      <c r="E219" s="38"/>
      <c r="F219" s="38"/>
      <c r="G219" s="38"/>
      <c r="H219" s="38"/>
      <c r="I219" s="108"/>
    </row>
    <row r="220">
      <c r="A220" s="38"/>
      <c r="B220" s="38"/>
      <c r="C220" s="15"/>
      <c r="D220" s="15"/>
      <c r="E220" s="38"/>
      <c r="F220" s="38"/>
      <c r="G220" s="38"/>
      <c r="H220" s="38"/>
      <c r="I220" s="108"/>
    </row>
    <row r="221">
      <c r="A221" s="38"/>
      <c r="B221" s="38"/>
      <c r="C221" s="15"/>
      <c r="D221" s="15"/>
      <c r="E221" s="38"/>
      <c r="F221" s="38"/>
      <c r="G221" s="38"/>
      <c r="H221" s="38"/>
      <c r="I221" s="108"/>
    </row>
    <row r="222">
      <c r="A222" s="38"/>
      <c r="B222" s="38"/>
      <c r="C222" s="15"/>
      <c r="D222" s="15"/>
      <c r="E222" s="38"/>
      <c r="F222" s="38"/>
      <c r="G222" s="38"/>
      <c r="H222" s="38"/>
      <c r="I222" s="108"/>
    </row>
    <row r="223">
      <c r="A223" s="38"/>
      <c r="B223" s="38"/>
      <c r="C223" s="15"/>
      <c r="D223" s="15"/>
      <c r="E223" s="38"/>
      <c r="F223" s="38"/>
      <c r="G223" s="38"/>
      <c r="H223" s="38"/>
      <c r="I223" s="108"/>
    </row>
    <row r="224">
      <c r="A224" s="38"/>
      <c r="B224" s="38"/>
      <c r="C224" s="15"/>
      <c r="D224" s="15"/>
      <c r="E224" s="38"/>
      <c r="F224" s="38"/>
      <c r="G224" s="38"/>
      <c r="H224" s="38"/>
      <c r="I224" s="108"/>
    </row>
    <row r="225">
      <c r="A225" s="38"/>
      <c r="B225" s="38"/>
      <c r="C225" s="15"/>
      <c r="D225" s="15"/>
      <c r="E225" s="38"/>
      <c r="F225" s="38"/>
      <c r="G225" s="38"/>
      <c r="H225" s="38"/>
      <c r="I225" s="108"/>
    </row>
    <row r="226">
      <c r="A226" s="38"/>
      <c r="B226" s="38"/>
      <c r="C226" s="15"/>
      <c r="D226" s="15"/>
      <c r="E226" s="38"/>
      <c r="F226" s="38"/>
      <c r="G226" s="38"/>
      <c r="H226" s="38"/>
      <c r="I226" s="108"/>
    </row>
    <row r="227">
      <c r="A227" s="38"/>
      <c r="B227" s="38"/>
      <c r="C227" s="15"/>
      <c r="D227" s="15"/>
      <c r="E227" s="38"/>
      <c r="F227" s="38"/>
      <c r="G227" s="38"/>
      <c r="H227" s="38"/>
      <c r="I227" s="108"/>
    </row>
    <row r="228">
      <c r="A228" s="38"/>
      <c r="B228" s="38"/>
      <c r="C228" s="15"/>
      <c r="D228" s="15"/>
      <c r="E228" s="38"/>
      <c r="F228" s="38"/>
      <c r="G228" s="38"/>
      <c r="H228" s="38"/>
      <c r="I228" s="108"/>
    </row>
    <row r="229">
      <c r="A229" s="38"/>
      <c r="B229" s="38"/>
      <c r="C229" s="15"/>
      <c r="D229" s="15"/>
      <c r="E229" s="38"/>
      <c r="F229" s="38"/>
      <c r="G229" s="38"/>
      <c r="H229" s="38"/>
      <c r="I229" s="108"/>
    </row>
    <row r="230">
      <c r="A230" s="38"/>
      <c r="B230" s="38"/>
      <c r="C230" s="15"/>
      <c r="D230" s="15"/>
      <c r="E230" s="38"/>
      <c r="F230" s="38"/>
      <c r="G230" s="38"/>
      <c r="H230" s="38"/>
      <c r="I230" s="108"/>
    </row>
    <row r="231">
      <c r="A231" s="38"/>
      <c r="B231" s="38"/>
      <c r="C231" s="15"/>
      <c r="D231" s="15"/>
      <c r="E231" s="38"/>
      <c r="F231" s="38"/>
      <c r="G231" s="38"/>
      <c r="H231" s="38"/>
      <c r="I231" s="108"/>
    </row>
    <row r="232">
      <c r="A232" s="38"/>
      <c r="B232" s="38"/>
      <c r="C232" s="15"/>
      <c r="D232" s="15"/>
      <c r="E232" s="38"/>
      <c r="F232" s="38"/>
      <c r="G232" s="38"/>
      <c r="H232" s="38"/>
      <c r="I232" s="108"/>
    </row>
    <row r="233">
      <c r="A233" s="38"/>
      <c r="B233" s="38"/>
      <c r="C233" s="15"/>
      <c r="D233" s="15"/>
      <c r="E233" s="38"/>
      <c r="F233" s="38"/>
      <c r="G233" s="38"/>
      <c r="H233" s="38"/>
      <c r="I233" s="108"/>
    </row>
    <row r="234">
      <c r="A234" s="38"/>
      <c r="B234" s="38"/>
      <c r="C234" s="15"/>
      <c r="D234" s="15"/>
      <c r="E234" s="38"/>
      <c r="F234" s="38"/>
      <c r="G234" s="38"/>
      <c r="H234" s="38"/>
      <c r="I234" s="108"/>
    </row>
    <row r="235">
      <c r="A235" s="38"/>
      <c r="B235" s="38"/>
      <c r="C235" s="15"/>
      <c r="D235" s="15"/>
      <c r="E235" s="38"/>
      <c r="F235" s="38"/>
      <c r="G235" s="38"/>
      <c r="H235" s="38"/>
      <c r="I235" s="108"/>
    </row>
    <row r="236">
      <c r="A236" s="38"/>
      <c r="B236" s="38"/>
      <c r="C236" s="15"/>
      <c r="D236" s="15"/>
      <c r="E236" s="38"/>
      <c r="F236" s="38"/>
      <c r="G236" s="38"/>
      <c r="H236" s="38"/>
      <c r="I236" s="108"/>
    </row>
    <row r="237">
      <c r="A237" s="38"/>
      <c r="B237" s="38"/>
      <c r="C237" s="15"/>
      <c r="D237" s="15"/>
      <c r="E237" s="38"/>
      <c r="F237" s="38"/>
      <c r="G237" s="38"/>
      <c r="H237" s="38"/>
      <c r="I237" s="108"/>
    </row>
    <row r="238">
      <c r="A238" s="38"/>
      <c r="B238" s="38"/>
      <c r="C238" s="15"/>
      <c r="D238" s="15"/>
      <c r="E238" s="38"/>
      <c r="F238" s="38"/>
      <c r="G238" s="38"/>
      <c r="H238" s="38"/>
      <c r="I238" s="108"/>
    </row>
    <row r="239">
      <c r="A239" s="38"/>
      <c r="B239" s="38"/>
      <c r="C239" s="15"/>
      <c r="D239" s="15"/>
      <c r="E239" s="38"/>
      <c r="F239" s="38"/>
      <c r="G239" s="38"/>
      <c r="H239" s="38"/>
      <c r="I239" s="108"/>
    </row>
    <row r="240">
      <c r="A240" s="38"/>
      <c r="B240" s="38"/>
      <c r="C240" s="15"/>
      <c r="D240" s="15"/>
      <c r="E240" s="38"/>
      <c r="F240" s="38"/>
      <c r="G240" s="38"/>
      <c r="H240" s="38"/>
      <c r="I240" s="108"/>
    </row>
    <row r="241">
      <c r="A241" s="38"/>
      <c r="B241" s="38"/>
      <c r="C241" s="15"/>
      <c r="D241" s="15"/>
      <c r="E241" s="38"/>
      <c r="F241" s="38"/>
      <c r="G241" s="38"/>
      <c r="H241" s="38"/>
      <c r="I241" s="108"/>
    </row>
    <row r="242">
      <c r="A242" s="38"/>
      <c r="B242" s="38"/>
      <c r="C242" s="15"/>
      <c r="D242" s="15"/>
      <c r="E242" s="38"/>
      <c r="F242" s="38"/>
      <c r="G242" s="38"/>
      <c r="H242" s="38"/>
      <c r="I242" s="108"/>
    </row>
    <row r="243">
      <c r="A243" s="38"/>
      <c r="B243" s="38"/>
      <c r="C243" s="15"/>
      <c r="D243" s="15"/>
      <c r="E243" s="38"/>
      <c r="F243" s="38"/>
      <c r="G243" s="38"/>
      <c r="H243" s="38"/>
      <c r="I243" s="108"/>
    </row>
    <row r="244">
      <c r="A244" s="38"/>
      <c r="B244" s="38"/>
      <c r="C244" s="15"/>
      <c r="D244" s="15"/>
      <c r="E244" s="38"/>
      <c r="F244" s="38"/>
      <c r="G244" s="38"/>
      <c r="H244" s="38"/>
      <c r="I244" s="108"/>
    </row>
    <row r="245">
      <c r="A245" s="38"/>
      <c r="B245" s="38"/>
      <c r="C245" s="15"/>
      <c r="D245" s="15"/>
      <c r="E245" s="38"/>
      <c r="F245" s="38"/>
      <c r="G245" s="38"/>
      <c r="H245" s="38"/>
      <c r="I245" s="108"/>
    </row>
    <row r="246">
      <c r="A246" s="38"/>
      <c r="B246" s="38"/>
      <c r="C246" s="15"/>
      <c r="D246" s="15"/>
      <c r="E246" s="38"/>
      <c r="F246" s="38"/>
      <c r="G246" s="38"/>
      <c r="H246" s="38"/>
      <c r="I246" s="108"/>
    </row>
    <row r="247">
      <c r="A247" s="38"/>
      <c r="B247" s="38"/>
      <c r="C247" s="15"/>
      <c r="D247" s="15"/>
      <c r="E247" s="38"/>
      <c r="F247" s="38"/>
      <c r="G247" s="38"/>
      <c r="H247" s="38"/>
      <c r="I247" s="108"/>
    </row>
    <row r="248">
      <c r="A248" s="38"/>
      <c r="B248" s="38"/>
      <c r="C248" s="15"/>
      <c r="D248" s="15"/>
      <c r="E248" s="38"/>
      <c r="F248" s="38"/>
      <c r="G248" s="38"/>
      <c r="H248" s="38"/>
      <c r="I248" s="108"/>
    </row>
    <row r="249">
      <c r="A249" s="38"/>
      <c r="B249" s="38"/>
      <c r="C249" s="15"/>
      <c r="D249" s="15"/>
      <c r="E249" s="38"/>
      <c r="F249" s="38"/>
      <c r="G249" s="38"/>
      <c r="H249" s="38"/>
      <c r="I249" s="108"/>
    </row>
    <row r="250">
      <c r="A250" s="38"/>
      <c r="B250" s="38"/>
      <c r="C250" s="15"/>
      <c r="D250" s="15"/>
      <c r="E250" s="38"/>
      <c r="F250" s="38"/>
      <c r="G250" s="38"/>
      <c r="H250" s="38"/>
      <c r="I250" s="108"/>
    </row>
    <row r="251">
      <c r="A251" s="38"/>
      <c r="B251" s="38"/>
      <c r="C251" s="15"/>
      <c r="D251" s="15"/>
      <c r="E251" s="38"/>
      <c r="F251" s="38"/>
      <c r="G251" s="38"/>
      <c r="H251" s="38"/>
      <c r="I251" s="108"/>
    </row>
    <row r="252">
      <c r="A252" s="38"/>
      <c r="B252" s="38"/>
      <c r="C252" s="15"/>
      <c r="D252" s="15"/>
      <c r="E252" s="38"/>
      <c r="F252" s="38"/>
      <c r="G252" s="38"/>
      <c r="H252" s="38"/>
      <c r="I252" s="108"/>
    </row>
    <row r="253">
      <c r="A253" s="38"/>
      <c r="B253" s="38"/>
      <c r="C253" s="15"/>
      <c r="D253" s="15"/>
      <c r="E253" s="38"/>
      <c r="F253" s="38"/>
      <c r="G253" s="38"/>
      <c r="H253" s="38"/>
      <c r="I253" s="108"/>
    </row>
    <row r="254">
      <c r="A254" s="38"/>
      <c r="B254" s="38"/>
      <c r="C254" s="15"/>
      <c r="D254" s="15"/>
      <c r="E254" s="38"/>
      <c r="F254" s="38"/>
      <c r="G254" s="38"/>
      <c r="H254" s="38"/>
      <c r="I254" s="108"/>
    </row>
    <row r="255">
      <c r="A255" s="38"/>
      <c r="B255" s="38"/>
      <c r="C255" s="15"/>
      <c r="D255" s="15"/>
      <c r="E255" s="38"/>
      <c r="F255" s="38"/>
      <c r="G255" s="38"/>
      <c r="H255" s="38"/>
      <c r="I255" s="108"/>
    </row>
    <row r="256">
      <c r="A256" s="38"/>
      <c r="B256" s="38"/>
      <c r="C256" s="15"/>
      <c r="D256" s="15"/>
      <c r="E256" s="38"/>
      <c r="F256" s="38"/>
      <c r="G256" s="38"/>
      <c r="H256" s="38"/>
      <c r="I256" s="108"/>
    </row>
    <row r="257">
      <c r="A257" s="38"/>
      <c r="B257" s="38"/>
      <c r="C257" s="15"/>
      <c r="D257" s="15"/>
      <c r="E257" s="38"/>
      <c r="F257" s="38"/>
      <c r="G257" s="38"/>
      <c r="H257" s="38"/>
      <c r="I257" s="108"/>
    </row>
    <row r="258">
      <c r="A258" s="38"/>
      <c r="B258" s="38"/>
      <c r="C258" s="15"/>
      <c r="D258" s="15"/>
      <c r="E258" s="38"/>
      <c r="F258" s="38"/>
      <c r="G258" s="38"/>
      <c r="H258" s="38"/>
      <c r="I258" s="108"/>
    </row>
    <row r="259">
      <c r="A259" s="38"/>
      <c r="B259" s="38"/>
      <c r="C259" s="15"/>
      <c r="D259" s="15"/>
      <c r="E259" s="38"/>
      <c r="F259" s="38"/>
      <c r="G259" s="38"/>
      <c r="H259" s="38"/>
      <c r="I259" s="108"/>
    </row>
    <row r="260">
      <c r="A260" s="38"/>
      <c r="B260" s="38"/>
      <c r="C260" s="15"/>
      <c r="D260" s="15"/>
      <c r="E260" s="38"/>
      <c r="F260" s="38"/>
      <c r="G260" s="38"/>
      <c r="H260" s="38"/>
      <c r="I260" s="108"/>
    </row>
    <row r="261">
      <c r="A261" s="38"/>
      <c r="B261" s="38"/>
      <c r="C261" s="15"/>
      <c r="D261" s="15"/>
      <c r="E261" s="38"/>
      <c r="F261" s="38"/>
      <c r="G261" s="38"/>
      <c r="H261" s="38"/>
      <c r="I261" s="108"/>
    </row>
    <row r="262">
      <c r="A262" s="38"/>
      <c r="B262" s="38"/>
      <c r="C262" s="15"/>
      <c r="D262" s="15"/>
      <c r="E262" s="38"/>
      <c r="F262" s="38"/>
      <c r="G262" s="38"/>
      <c r="H262" s="38"/>
      <c r="I262" s="108"/>
    </row>
    <row r="263">
      <c r="A263" s="38"/>
      <c r="B263" s="38"/>
      <c r="C263" s="15"/>
      <c r="D263" s="15"/>
      <c r="E263" s="38"/>
      <c r="F263" s="38"/>
      <c r="G263" s="38"/>
      <c r="H263" s="38"/>
      <c r="I263" s="108"/>
    </row>
    <row r="264">
      <c r="A264" s="38"/>
      <c r="B264" s="38"/>
      <c r="C264" s="15"/>
      <c r="D264" s="15"/>
      <c r="E264" s="38"/>
      <c r="F264" s="38"/>
      <c r="G264" s="38"/>
      <c r="H264" s="38"/>
      <c r="I264" s="108"/>
    </row>
    <row r="265">
      <c r="A265" s="38"/>
      <c r="B265" s="38"/>
      <c r="C265" s="15"/>
      <c r="D265" s="15"/>
      <c r="E265" s="38"/>
      <c r="F265" s="38"/>
      <c r="G265" s="38"/>
      <c r="H265" s="38"/>
      <c r="I265" s="108"/>
    </row>
    <row r="266">
      <c r="A266" s="38"/>
      <c r="B266" s="38"/>
      <c r="C266" s="15"/>
      <c r="D266" s="15"/>
      <c r="E266" s="38"/>
      <c r="F266" s="38"/>
      <c r="G266" s="38"/>
      <c r="H266" s="38"/>
      <c r="I266" s="108"/>
    </row>
    <row r="267">
      <c r="A267" s="38"/>
      <c r="B267" s="38"/>
      <c r="C267" s="15"/>
      <c r="D267" s="15"/>
      <c r="E267" s="38"/>
      <c r="F267" s="38"/>
      <c r="G267" s="38"/>
      <c r="H267" s="38"/>
      <c r="I267" s="108"/>
    </row>
    <row r="268">
      <c r="A268" s="38"/>
      <c r="B268" s="38"/>
      <c r="C268" s="15"/>
      <c r="D268" s="15"/>
      <c r="E268" s="38"/>
      <c r="F268" s="38"/>
      <c r="G268" s="38"/>
      <c r="H268" s="38"/>
      <c r="I268" s="108"/>
    </row>
    <row r="269">
      <c r="A269" s="38"/>
      <c r="B269" s="38"/>
      <c r="C269" s="15"/>
      <c r="D269" s="15"/>
      <c r="E269" s="38"/>
      <c r="F269" s="38"/>
      <c r="G269" s="38"/>
      <c r="H269" s="38"/>
      <c r="I269" s="108"/>
    </row>
    <row r="270">
      <c r="A270" s="38"/>
      <c r="B270" s="38"/>
      <c r="C270" s="15"/>
      <c r="D270" s="15"/>
      <c r="E270" s="38"/>
      <c r="F270" s="38"/>
      <c r="G270" s="38"/>
      <c r="H270" s="38"/>
      <c r="I270" s="108"/>
    </row>
    <row r="271">
      <c r="A271" s="38"/>
      <c r="B271" s="38"/>
      <c r="C271" s="15"/>
      <c r="D271" s="15"/>
      <c r="E271" s="38"/>
      <c r="F271" s="38"/>
      <c r="G271" s="38"/>
      <c r="H271" s="38"/>
      <c r="I271" s="108"/>
    </row>
    <row r="272">
      <c r="A272" s="38"/>
      <c r="B272" s="38"/>
      <c r="C272" s="15"/>
      <c r="D272" s="15"/>
      <c r="E272" s="38"/>
      <c r="F272" s="38"/>
      <c r="G272" s="38"/>
      <c r="H272" s="38"/>
      <c r="I272" s="108"/>
    </row>
    <row r="273">
      <c r="A273" s="38"/>
      <c r="B273" s="38"/>
      <c r="C273" s="15"/>
      <c r="D273" s="15"/>
      <c r="E273" s="38"/>
      <c r="F273" s="38"/>
      <c r="G273" s="38"/>
      <c r="H273" s="38"/>
      <c r="I273" s="108"/>
    </row>
    <row r="274">
      <c r="A274" s="38"/>
      <c r="B274" s="38"/>
      <c r="C274" s="15"/>
      <c r="D274" s="15"/>
      <c r="E274" s="38"/>
      <c r="F274" s="38"/>
      <c r="G274" s="38"/>
      <c r="H274" s="38"/>
      <c r="I274" s="108"/>
    </row>
    <row r="275">
      <c r="A275" s="38"/>
      <c r="B275" s="38"/>
      <c r="C275" s="15"/>
      <c r="D275" s="15"/>
      <c r="E275" s="38"/>
      <c r="F275" s="38"/>
      <c r="G275" s="38"/>
      <c r="H275" s="38"/>
      <c r="I275" s="108"/>
    </row>
    <row r="276">
      <c r="A276" s="38"/>
      <c r="B276" s="38"/>
      <c r="C276" s="15"/>
      <c r="D276" s="15"/>
      <c r="E276" s="38"/>
      <c r="F276" s="38"/>
      <c r="G276" s="38"/>
      <c r="H276" s="38"/>
      <c r="I276" s="108"/>
    </row>
    <row r="277">
      <c r="A277" s="38"/>
      <c r="B277" s="38"/>
      <c r="C277" s="15"/>
      <c r="D277" s="15"/>
      <c r="E277" s="38"/>
      <c r="F277" s="38"/>
      <c r="G277" s="38"/>
      <c r="H277" s="38"/>
      <c r="I277" s="108"/>
    </row>
    <row r="278">
      <c r="A278" s="38"/>
      <c r="B278" s="38"/>
      <c r="C278" s="15"/>
      <c r="D278" s="15"/>
      <c r="E278" s="38"/>
      <c r="F278" s="38"/>
      <c r="G278" s="38"/>
      <c r="H278" s="38"/>
      <c r="I278" s="108"/>
    </row>
    <row r="279">
      <c r="A279" s="38"/>
      <c r="B279" s="38"/>
      <c r="C279" s="15"/>
      <c r="D279" s="15"/>
      <c r="E279" s="38"/>
      <c r="F279" s="38"/>
      <c r="G279" s="38"/>
      <c r="H279" s="38"/>
      <c r="I279" s="108"/>
    </row>
    <row r="280">
      <c r="A280" s="38"/>
      <c r="B280" s="38"/>
      <c r="C280" s="15"/>
      <c r="D280" s="15"/>
      <c r="E280" s="38"/>
      <c r="F280" s="38"/>
      <c r="G280" s="38"/>
      <c r="H280" s="38"/>
      <c r="I280" s="108"/>
    </row>
    <row r="281">
      <c r="A281" s="38"/>
      <c r="B281" s="38"/>
      <c r="C281" s="15"/>
      <c r="D281" s="15"/>
      <c r="E281" s="38"/>
      <c r="F281" s="38"/>
      <c r="G281" s="38"/>
      <c r="H281" s="38"/>
      <c r="I281" s="108"/>
    </row>
    <row r="282">
      <c r="A282" s="38"/>
      <c r="B282" s="38"/>
      <c r="C282" s="15"/>
      <c r="D282" s="15"/>
      <c r="E282" s="38"/>
      <c r="F282" s="38"/>
      <c r="G282" s="38"/>
      <c r="H282" s="38"/>
      <c r="I282" s="108"/>
    </row>
    <row r="283">
      <c r="A283" s="38"/>
      <c r="B283" s="38"/>
      <c r="C283" s="15"/>
      <c r="D283" s="15"/>
      <c r="E283" s="38"/>
      <c r="F283" s="38"/>
      <c r="G283" s="38"/>
      <c r="H283" s="38"/>
      <c r="I283" s="108"/>
    </row>
    <row r="284">
      <c r="A284" s="38"/>
      <c r="B284" s="38"/>
      <c r="C284" s="15"/>
      <c r="D284" s="15"/>
      <c r="E284" s="38"/>
      <c r="F284" s="38"/>
      <c r="G284" s="38"/>
      <c r="H284" s="38"/>
      <c r="I284" s="108"/>
    </row>
    <row r="285">
      <c r="A285" s="38"/>
      <c r="B285" s="38"/>
      <c r="C285" s="15"/>
      <c r="D285" s="15"/>
      <c r="E285" s="38"/>
      <c r="F285" s="38"/>
      <c r="G285" s="38"/>
      <c r="H285" s="38"/>
      <c r="I285" s="108"/>
    </row>
    <row r="286">
      <c r="A286" s="38"/>
      <c r="B286" s="38"/>
      <c r="C286" s="15"/>
      <c r="D286" s="15"/>
      <c r="E286" s="38"/>
      <c r="F286" s="38"/>
      <c r="G286" s="38"/>
      <c r="H286" s="38"/>
      <c r="I286" s="108"/>
    </row>
    <row r="287">
      <c r="A287" s="38"/>
      <c r="B287" s="38"/>
      <c r="C287" s="15"/>
      <c r="D287" s="15"/>
      <c r="E287" s="38"/>
      <c r="F287" s="38"/>
      <c r="G287" s="38"/>
      <c r="H287" s="38"/>
      <c r="I287" s="108"/>
    </row>
    <row r="288">
      <c r="A288" s="38"/>
      <c r="B288" s="38"/>
      <c r="C288" s="15"/>
      <c r="D288" s="15"/>
      <c r="E288" s="38"/>
      <c r="F288" s="38"/>
      <c r="G288" s="38"/>
      <c r="H288" s="38"/>
      <c r="I288" s="108"/>
    </row>
    <row r="289">
      <c r="A289" s="38"/>
      <c r="B289" s="38"/>
      <c r="C289" s="15"/>
      <c r="D289" s="15"/>
      <c r="E289" s="38"/>
      <c r="F289" s="38"/>
      <c r="G289" s="38"/>
      <c r="H289" s="38"/>
      <c r="I289" s="108"/>
    </row>
    <row r="290">
      <c r="A290" s="38"/>
      <c r="B290" s="38"/>
      <c r="C290" s="15"/>
      <c r="D290" s="15"/>
      <c r="E290" s="38"/>
      <c r="F290" s="38"/>
      <c r="G290" s="38"/>
      <c r="H290" s="38"/>
      <c r="I290" s="108"/>
    </row>
    <row r="291">
      <c r="A291" s="38"/>
      <c r="B291" s="38"/>
      <c r="C291" s="15"/>
      <c r="D291" s="15"/>
      <c r="E291" s="38"/>
      <c r="F291" s="38"/>
      <c r="G291" s="38"/>
      <c r="H291" s="38"/>
      <c r="I291" s="108"/>
    </row>
    <row r="292">
      <c r="A292" s="38"/>
      <c r="B292" s="38"/>
      <c r="C292" s="15"/>
      <c r="D292" s="15"/>
      <c r="E292" s="38"/>
      <c r="F292" s="38"/>
      <c r="G292" s="38"/>
      <c r="H292" s="38"/>
      <c r="I292" s="108"/>
    </row>
    <row r="293">
      <c r="A293" s="38"/>
      <c r="B293" s="38"/>
      <c r="C293" s="15"/>
      <c r="D293" s="15"/>
      <c r="E293" s="38"/>
      <c r="F293" s="38"/>
      <c r="G293" s="38"/>
      <c r="H293" s="38"/>
      <c r="I293" s="108"/>
    </row>
    <row r="294">
      <c r="A294" s="38"/>
      <c r="B294" s="38"/>
      <c r="C294" s="15"/>
      <c r="D294" s="15"/>
      <c r="E294" s="38"/>
      <c r="F294" s="38"/>
      <c r="G294" s="38"/>
      <c r="H294" s="38"/>
      <c r="I294" s="108"/>
    </row>
    <row r="295">
      <c r="A295" s="38"/>
      <c r="B295" s="38"/>
      <c r="C295" s="15"/>
      <c r="D295" s="15"/>
      <c r="E295" s="38"/>
      <c r="F295" s="38"/>
      <c r="G295" s="38"/>
      <c r="H295" s="38"/>
      <c r="I295" s="108"/>
    </row>
    <row r="296">
      <c r="A296" s="38"/>
      <c r="B296" s="38"/>
      <c r="C296" s="15"/>
      <c r="D296" s="15"/>
      <c r="E296" s="38"/>
      <c r="F296" s="38"/>
      <c r="G296" s="38"/>
      <c r="H296" s="38"/>
      <c r="I296" s="108"/>
    </row>
    <row r="297">
      <c r="A297" s="38"/>
      <c r="B297" s="38"/>
      <c r="C297" s="15"/>
      <c r="D297" s="15"/>
      <c r="E297" s="38"/>
      <c r="F297" s="38"/>
      <c r="G297" s="38"/>
      <c r="H297" s="38"/>
      <c r="I297" s="108"/>
    </row>
    <row r="298">
      <c r="A298" s="38"/>
      <c r="B298" s="38"/>
      <c r="C298" s="15"/>
      <c r="D298" s="15"/>
      <c r="E298" s="38"/>
      <c r="F298" s="38"/>
      <c r="G298" s="38"/>
      <c r="H298" s="38"/>
      <c r="I298" s="108"/>
    </row>
    <row r="299">
      <c r="A299" s="38"/>
      <c r="B299" s="38"/>
      <c r="C299" s="15"/>
      <c r="D299" s="15"/>
      <c r="E299" s="38"/>
      <c r="F299" s="38"/>
      <c r="G299" s="38"/>
      <c r="H299" s="38"/>
      <c r="I299" s="108"/>
    </row>
    <row r="300">
      <c r="A300" s="38"/>
      <c r="B300" s="38"/>
      <c r="C300" s="15"/>
      <c r="D300" s="15"/>
      <c r="E300" s="38"/>
      <c r="F300" s="38"/>
      <c r="G300" s="38"/>
      <c r="H300" s="38"/>
      <c r="I300" s="108"/>
    </row>
    <row r="301">
      <c r="A301" s="38"/>
      <c r="B301" s="38"/>
      <c r="C301" s="15"/>
      <c r="D301" s="15"/>
      <c r="E301" s="38"/>
      <c r="F301" s="38"/>
      <c r="G301" s="38"/>
      <c r="H301" s="38"/>
      <c r="I301" s="108"/>
    </row>
    <row r="302">
      <c r="A302" s="38"/>
      <c r="B302" s="38"/>
      <c r="C302" s="15"/>
      <c r="D302" s="15"/>
      <c r="E302" s="38"/>
      <c r="F302" s="38"/>
      <c r="G302" s="38"/>
      <c r="H302" s="38"/>
      <c r="I302" s="108"/>
    </row>
    <row r="303">
      <c r="A303" s="38"/>
      <c r="B303" s="38"/>
      <c r="C303" s="15"/>
      <c r="D303" s="15"/>
      <c r="E303" s="38"/>
      <c r="F303" s="38"/>
      <c r="G303" s="38"/>
      <c r="H303" s="38"/>
      <c r="I303" s="108"/>
    </row>
    <row r="304">
      <c r="A304" s="38"/>
      <c r="B304" s="38"/>
      <c r="C304" s="15"/>
      <c r="D304" s="15"/>
      <c r="E304" s="38"/>
      <c r="F304" s="38"/>
      <c r="G304" s="38"/>
      <c r="H304" s="38"/>
      <c r="I304" s="108"/>
    </row>
    <row r="305">
      <c r="A305" s="38"/>
      <c r="B305" s="38"/>
      <c r="C305" s="15"/>
      <c r="D305" s="15"/>
      <c r="E305" s="38"/>
      <c r="F305" s="38"/>
      <c r="G305" s="38"/>
      <c r="H305" s="38"/>
      <c r="I305" s="108"/>
    </row>
    <row r="306">
      <c r="A306" s="38"/>
      <c r="B306" s="38"/>
      <c r="C306" s="15"/>
      <c r="D306" s="15"/>
      <c r="E306" s="38"/>
      <c r="F306" s="38"/>
      <c r="G306" s="38"/>
      <c r="H306" s="38"/>
      <c r="I306" s="108"/>
    </row>
    <row r="307">
      <c r="A307" s="38"/>
      <c r="B307" s="38"/>
      <c r="C307" s="15"/>
      <c r="D307" s="15"/>
      <c r="E307" s="38"/>
      <c r="F307" s="38"/>
      <c r="G307" s="38"/>
      <c r="H307" s="38"/>
      <c r="I307" s="108"/>
    </row>
    <row r="308">
      <c r="A308" s="38"/>
      <c r="B308" s="38"/>
      <c r="C308" s="15"/>
      <c r="D308" s="15"/>
      <c r="E308" s="38"/>
      <c r="F308" s="38"/>
      <c r="G308" s="38"/>
      <c r="H308" s="38"/>
      <c r="I308" s="108"/>
    </row>
    <row r="309">
      <c r="A309" s="38"/>
      <c r="B309" s="38"/>
      <c r="C309" s="15"/>
      <c r="D309" s="15"/>
      <c r="E309" s="38"/>
      <c r="F309" s="38"/>
      <c r="G309" s="38"/>
      <c r="H309" s="38"/>
      <c r="I309" s="108"/>
    </row>
    <row r="310">
      <c r="A310" s="38"/>
      <c r="B310" s="38"/>
      <c r="C310" s="15"/>
      <c r="D310" s="15"/>
      <c r="E310" s="38"/>
      <c r="F310" s="38"/>
      <c r="G310" s="38"/>
      <c r="H310" s="38"/>
      <c r="I310" s="108"/>
    </row>
    <row r="311">
      <c r="A311" s="38"/>
      <c r="B311" s="38"/>
      <c r="C311" s="15"/>
      <c r="D311" s="15"/>
      <c r="E311" s="38"/>
      <c r="F311" s="38"/>
      <c r="G311" s="38"/>
      <c r="H311" s="38"/>
      <c r="I311" s="108"/>
    </row>
    <row r="312">
      <c r="A312" s="38"/>
      <c r="B312" s="38"/>
      <c r="C312" s="15"/>
      <c r="D312" s="15"/>
      <c r="E312" s="38"/>
      <c r="F312" s="38"/>
      <c r="G312" s="38"/>
      <c r="H312" s="38"/>
      <c r="I312" s="108"/>
    </row>
    <row r="313">
      <c r="A313" s="38"/>
      <c r="B313" s="38"/>
      <c r="C313" s="15"/>
      <c r="D313" s="15"/>
      <c r="E313" s="38"/>
      <c r="F313" s="38"/>
      <c r="G313" s="38"/>
      <c r="H313" s="38"/>
      <c r="I313" s="108"/>
    </row>
    <row r="314">
      <c r="A314" s="38"/>
      <c r="B314" s="38"/>
      <c r="C314" s="15"/>
      <c r="D314" s="15"/>
      <c r="E314" s="38"/>
      <c r="F314" s="38"/>
      <c r="G314" s="38"/>
      <c r="H314" s="38"/>
      <c r="I314" s="108"/>
    </row>
    <row r="315">
      <c r="A315" s="38"/>
      <c r="B315" s="38"/>
      <c r="C315" s="15"/>
      <c r="D315" s="15"/>
      <c r="E315" s="38"/>
      <c r="F315" s="38"/>
      <c r="G315" s="38"/>
      <c r="H315" s="38"/>
      <c r="I315" s="108"/>
    </row>
    <row r="316">
      <c r="A316" s="38"/>
      <c r="B316" s="38"/>
      <c r="C316" s="15"/>
      <c r="D316" s="15"/>
      <c r="E316" s="38"/>
      <c r="F316" s="38"/>
      <c r="G316" s="38"/>
      <c r="H316" s="38"/>
      <c r="I316" s="108"/>
    </row>
    <row r="317">
      <c r="A317" s="38"/>
      <c r="B317" s="38"/>
      <c r="C317" s="15"/>
      <c r="D317" s="15"/>
      <c r="E317" s="38"/>
      <c r="F317" s="38"/>
      <c r="G317" s="38"/>
      <c r="H317" s="38"/>
      <c r="I317" s="108"/>
    </row>
    <row r="318">
      <c r="A318" s="38"/>
      <c r="B318" s="38"/>
      <c r="C318" s="15"/>
      <c r="D318" s="15"/>
      <c r="E318" s="38"/>
      <c r="F318" s="38"/>
      <c r="G318" s="38"/>
      <c r="H318" s="38"/>
      <c r="I318" s="108"/>
    </row>
    <row r="319">
      <c r="A319" s="38"/>
      <c r="B319" s="38"/>
      <c r="C319" s="15"/>
      <c r="D319" s="15"/>
      <c r="E319" s="38"/>
      <c r="F319" s="38"/>
      <c r="G319" s="38"/>
      <c r="H319" s="38"/>
      <c r="I319" s="108"/>
    </row>
    <row r="320">
      <c r="A320" s="38"/>
      <c r="B320" s="38"/>
      <c r="C320" s="15"/>
      <c r="D320" s="15"/>
      <c r="E320" s="38"/>
      <c r="F320" s="38"/>
      <c r="G320" s="38"/>
      <c r="H320" s="38"/>
      <c r="I320" s="108"/>
    </row>
    <row r="321">
      <c r="A321" s="38"/>
      <c r="B321" s="38"/>
      <c r="C321" s="15"/>
      <c r="D321" s="15"/>
      <c r="E321" s="38"/>
      <c r="F321" s="38"/>
      <c r="G321" s="38"/>
      <c r="H321" s="38"/>
      <c r="I321" s="108"/>
    </row>
    <row r="322">
      <c r="A322" s="38"/>
      <c r="B322" s="38"/>
      <c r="C322" s="15"/>
      <c r="D322" s="15"/>
      <c r="E322" s="38"/>
      <c r="F322" s="38"/>
      <c r="G322" s="38"/>
      <c r="H322" s="38"/>
      <c r="I322" s="108"/>
    </row>
    <row r="323">
      <c r="A323" s="38"/>
      <c r="B323" s="38"/>
      <c r="C323" s="15"/>
      <c r="D323" s="15"/>
      <c r="E323" s="38"/>
      <c r="F323" s="38"/>
      <c r="G323" s="38"/>
      <c r="H323" s="38"/>
      <c r="I323" s="108"/>
    </row>
    <row r="324">
      <c r="A324" s="38"/>
      <c r="B324" s="38"/>
      <c r="C324" s="15"/>
      <c r="D324" s="15"/>
      <c r="E324" s="38"/>
      <c r="F324" s="38"/>
      <c r="G324" s="38"/>
      <c r="H324" s="38"/>
      <c r="I324" s="108"/>
    </row>
    <row r="325">
      <c r="A325" s="38"/>
      <c r="B325" s="38"/>
      <c r="C325" s="15"/>
      <c r="D325" s="15"/>
      <c r="E325" s="38"/>
      <c r="F325" s="38"/>
      <c r="G325" s="38"/>
      <c r="H325" s="38"/>
      <c r="I325" s="108"/>
    </row>
    <row r="326">
      <c r="A326" s="38"/>
      <c r="B326" s="38"/>
      <c r="C326" s="15"/>
      <c r="D326" s="15"/>
      <c r="E326" s="38"/>
      <c r="F326" s="38"/>
      <c r="G326" s="38"/>
      <c r="H326" s="38"/>
      <c r="I326" s="108"/>
    </row>
    <row r="327">
      <c r="A327" s="38"/>
      <c r="B327" s="38"/>
      <c r="C327" s="15"/>
      <c r="D327" s="15"/>
      <c r="E327" s="38"/>
      <c r="F327" s="38"/>
      <c r="G327" s="38"/>
      <c r="H327" s="38"/>
      <c r="I327" s="108"/>
    </row>
    <row r="328">
      <c r="A328" s="38"/>
      <c r="B328" s="38"/>
      <c r="C328" s="15"/>
      <c r="D328" s="15"/>
      <c r="E328" s="38"/>
      <c r="F328" s="38"/>
      <c r="G328" s="38"/>
      <c r="H328" s="38"/>
      <c r="I328" s="108"/>
    </row>
    <row r="329">
      <c r="A329" s="38"/>
      <c r="B329" s="38"/>
      <c r="C329" s="15"/>
      <c r="D329" s="15"/>
      <c r="E329" s="38"/>
      <c r="F329" s="38"/>
      <c r="G329" s="38"/>
      <c r="H329" s="38"/>
      <c r="I329" s="108"/>
    </row>
    <row r="330">
      <c r="A330" s="38"/>
      <c r="B330" s="38"/>
      <c r="C330" s="15"/>
      <c r="D330" s="15"/>
      <c r="E330" s="38"/>
      <c r="F330" s="38"/>
      <c r="G330" s="38"/>
      <c r="H330" s="38"/>
      <c r="I330" s="108"/>
    </row>
    <row r="331">
      <c r="A331" s="38"/>
      <c r="B331" s="38"/>
      <c r="C331" s="15"/>
      <c r="D331" s="15"/>
      <c r="E331" s="38"/>
      <c r="F331" s="38"/>
      <c r="G331" s="38"/>
      <c r="H331" s="38"/>
      <c r="I331" s="108"/>
    </row>
    <row r="332">
      <c r="A332" s="38"/>
      <c r="B332" s="38"/>
      <c r="C332" s="15"/>
      <c r="D332" s="15"/>
      <c r="E332" s="38"/>
      <c r="F332" s="38"/>
      <c r="G332" s="38"/>
      <c r="H332" s="38"/>
      <c r="I332" s="108"/>
    </row>
    <row r="333">
      <c r="A333" s="38"/>
      <c r="B333" s="38"/>
      <c r="C333" s="15"/>
      <c r="D333" s="15"/>
      <c r="E333" s="38"/>
      <c r="F333" s="38"/>
      <c r="G333" s="38"/>
      <c r="H333" s="38"/>
      <c r="I333" s="108"/>
    </row>
    <row r="334">
      <c r="A334" s="38"/>
      <c r="B334" s="38"/>
      <c r="C334" s="15"/>
      <c r="D334" s="15"/>
      <c r="E334" s="38"/>
      <c r="F334" s="38"/>
      <c r="G334" s="38"/>
      <c r="H334" s="38"/>
      <c r="I334" s="108"/>
    </row>
    <row r="335">
      <c r="A335" s="38"/>
      <c r="B335" s="38"/>
      <c r="C335" s="15"/>
      <c r="D335" s="15"/>
      <c r="E335" s="38"/>
      <c r="F335" s="38"/>
      <c r="G335" s="38"/>
      <c r="H335" s="38"/>
      <c r="I335" s="108"/>
    </row>
    <row r="336">
      <c r="A336" s="38"/>
      <c r="B336" s="38"/>
      <c r="C336" s="15"/>
      <c r="D336" s="15"/>
      <c r="E336" s="38"/>
      <c r="F336" s="38"/>
      <c r="G336" s="38"/>
      <c r="H336" s="38"/>
      <c r="I336" s="108"/>
    </row>
    <row r="337">
      <c r="A337" s="38"/>
      <c r="B337" s="38"/>
      <c r="C337" s="15"/>
      <c r="D337" s="15"/>
      <c r="E337" s="38"/>
      <c r="F337" s="38"/>
      <c r="G337" s="38"/>
      <c r="H337" s="38"/>
      <c r="I337" s="108"/>
    </row>
    <row r="338">
      <c r="A338" s="38"/>
      <c r="B338" s="38"/>
      <c r="C338" s="15"/>
      <c r="D338" s="15"/>
      <c r="E338" s="38"/>
      <c r="F338" s="38"/>
      <c r="G338" s="38"/>
      <c r="H338" s="38"/>
      <c r="I338" s="108"/>
    </row>
    <row r="339">
      <c r="A339" s="38"/>
      <c r="B339" s="38"/>
      <c r="C339" s="15"/>
      <c r="D339" s="15"/>
      <c r="E339" s="38"/>
      <c r="F339" s="38"/>
      <c r="G339" s="38"/>
      <c r="H339" s="38"/>
      <c r="I339" s="108"/>
    </row>
    <row r="340">
      <c r="A340" s="38"/>
      <c r="B340" s="38"/>
      <c r="C340" s="15"/>
      <c r="D340" s="15"/>
      <c r="E340" s="38"/>
      <c r="F340" s="38"/>
      <c r="G340" s="38"/>
      <c r="H340" s="38"/>
      <c r="I340" s="108"/>
    </row>
    <row r="341">
      <c r="A341" s="38"/>
      <c r="B341" s="38"/>
      <c r="C341" s="15"/>
      <c r="D341" s="15"/>
      <c r="E341" s="38"/>
      <c r="F341" s="38"/>
      <c r="G341" s="38"/>
      <c r="H341" s="38"/>
      <c r="I341" s="108"/>
    </row>
    <row r="342">
      <c r="A342" s="38"/>
      <c r="B342" s="38"/>
      <c r="C342" s="15"/>
      <c r="D342" s="15"/>
      <c r="E342" s="38"/>
      <c r="F342" s="38"/>
      <c r="G342" s="38"/>
      <c r="H342" s="38"/>
      <c r="I342" s="108"/>
    </row>
    <row r="343">
      <c r="A343" s="38"/>
      <c r="B343" s="38"/>
      <c r="C343" s="15"/>
      <c r="D343" s="15"/>
      <c r="E343" s="38"/>
      <c r="F343" s="38"/>
      <c r="G343" s="38"/>
      <c r="H343" s="38"/>
      <c r="I343" s="108"/>
    </row>
    <row r="344">
      <c r="A344" s="38"/>
      <c r="B344" s="38"/>
      <c r="C344" s="15"/>
      <c r="D344" s="15"/>
      <c r="E344" s="38"/>
      <c r="F344" s="38"/>
      <c r="G344" s="38"/>
      <c r="H344" s="38"/>
      <c r="I344" s="108"/>
    </row>
    <row r="345">
      <c r="A345" s="38"/>
      <c r="B345" s="38"/>
      <c r="C345" s="15"/>
      <c r="D345" s="15"/>
      <c r="E345" s="38"/>
      <c r="F345" s="38"/>
      <c r="G345" s="38"/>
      <c r="H345" s="38"/>
      <c r="I345" s="108"/>
    </row>
    <row r="346">
      <c r="A346" s="38"/>
      <c r="B346" s="38"/>
      <c r="C346" s="15"/>
      <c r="D346" s="15"/>
      <c r="E346" s="38"/>
      <c r="F346" s="38"/>
      <c r="G346" s="38"/>
      <c r="H346" s="38"/>
      <c r="I346" s="108"/>
    </row>
    <row r="347">
      <c r="A347" s="38"/>
      <c r="B347" s="38"/>
      <c r="C347" s="15"/>
      <c r="D347" s="15"/>
      <c r="E347" s="38"/>
      <c r="F347" s="38"/>
      <c r="G347" s="38"/>
      <c r="H347" s="38"/>
      <c r="I347" s="108"/>
    </row>
    <row r="348">
      <c r="A348" s="38"/>
      <c r="B348" s="38"/>
      <c r="C348" s="15"/>
      <c r="D348" s="15"/>
      <c r="E348" s="38"/>
      <c r="F348" s="38"/>
      <c r="G348" s="38"/>
      <c r="H348" s="38"/>
      <c r="I348" s="108"/>
    </row>
    <row r="349">
      <c r="A349" s="38"/>
      <c r="B349" s="38"/>
      <c r="C349" s="15"/>
      <c r="D349" s="15"/>
      <c r="E349" s="38"/>
      <c r="F349" s="38"/>
      <c r="G349" s="38"/>
      <c r="H349" s="38"/>
      <c r="I349" s="108"/>
    </row>
    <row r="350">
      <c r="A350" s="38"/>
      <c r="B350" s="38"/>
      <c r="C350" s="15"/>
      <c r="D350" s="15"/>
      <c r="E350" s="38"/>
      <c r="F350" s="38"/>
      <c r="G350" s="38"/>
      <c r="H350" s="38"/>
      <c r="I350" s="108"/>
    </row>
    <row r="351">
      <c r="A351" s="38"/>
      <c r="B351" s="38"/>
      <c r="C351" s="15"/>
      <c r="D351" s="15"/>
      <c r="E351" s="38"/>
      <c r="F351" s="38"/>
      <c r="G351" s="38"/>
      <c r="H351" s="38"/>
      <c r="I351" s="108"/>
    </row>
    <row r="352">
      <c r="A352" s="38"/>
      <c r="B352" s="38"/>
      <c r="C352" s="15"/>
      <c r="D352" s="15"/>
      <c r="E352" s="38"/>
      <c r="F352" s="38"/>
      <c r="G352" s="38"/>
      <c r="H352" s="38"/>
      <c r="I352" s="108"/>
    </row>
    <row r="353">
      <c r="A353" s="38"/>
      <c r="B353" s="38"/>
      <c r="C353" s="15"/>
      <c r="D353" s="15"/>
      <c r="E353" s="38"/>
      <c r="F353" s="38"/>
      <c r="G353" s="38"/>
      <c r="H353" s="38"/>
      <c r="I353" s="108"/>
    </row>
    <row r="354">
      <c r="A354" s="38"/>
      <c r="B354" s="38"/>
      <c r="C354" s="15"/>
      <c r="D354" s="15"/>
      <c r="E354" s="38"/>
      <c r="F354" s="38"/>
      <c r="G354" s="38"/>
      <c r="H354" s="38"/>
      <c r="I354" s="108"/>
    </row>
    <row r="355">
      <c r="A355" s="38"/>
      <c r="B355" s="38"/>
      <c r="C355" s="15"/>
      <c r="D355" s="15"/>
      <c r="E355" s="38"/>
      <c r="F355" s="38"/>
      <c r="G355" s="38"/>
      <c r="H355" s="38"/>
      <c r="I355" s="108"/>
    </row>
    <row r="356">
      <c r="A356" s="38"/>
      <c r="B356" s="38"/>
      <c r="C356" s="15"/>
      <c r="D356" s="15"/>
      <c r="E356" s="38"/>
      <c r="F356" s="38"/>
      <c r="G356" s="38"/>
      <c r="H356" s="38"/>
      <c r="I356" s="108"/>
    </row>
    <row r="357">
      <c r="A357" s="38"/>
      <c r="B357" s="38"/>
      <c r="C357" s="15"/>
      <c r="D357" s="15"/>
      <c r="E357" s="38"/>
      <c r="F357" s="38"/>
      <c r="G357" s="38"/>
      <c r="H357" s="38"/>
      <c r="I357" s="108"/>
    </row>
    <row r="358">
      <c r="A358" s="38"/>
      <c r="B358" s="38"/>
      <c r="C358" s="15"/>
      <c r="D358" s="15"/>
      <c r="E358" s="38"/>
      <c r="F358" s="38"/>
      <c r="G358" s="38"/>
      <c r="H358" s="38"/>
      <c r="I358" s="108"/>
    </row>
    <row r="359">
      <c r="A359" s="38"/>
      <c r="B359" s="38"/>
      <c r="C359" s="15"/>
      <c r="D359" s="15"/>
      <c r="E359" s="38"/>
      <c r="F359" s="38"/>
      <c r="G359" s="38"/>
      <c r="H359" s="38"/>
      <c r="I359" s="108"/>
    </row>
    <row r="360">
      <c r="A360" s="38"/>
      <c r="B360" s="38"/>
      <c r="C360" s="15"/>
      <c r="D360" s="15"/>
      <c r="E360" s="38"/>
      <c r="F360" s="38"/>
      <c r="G360" s="38"/>
      <c r="H360" s="38"/>
      <c r="I360" s="108"/>
    </row>
    <row r="361">
      <c r="A361" s="38"/>
      <c r="B361" s="38"/>
      <c r="C361" s="15"/>
      <c r="D361" s="15"/>
      <c r="E361" s="38"/>
      <c r="F361" s="38"/>
      <c r="G361" s="38"/>
      <c r="H361" s="38"/>
      <c r="I361" s="108"/>
    </row>
    <row r="362">
      <c r="A362" s="38"/>
      <c r="B362" s="38"/>
      <c r="C362" s="15"/>
      <c r="D362" s="15"/>
      <c r="E362" s="38"/>
      <c r="F362" s="38"/>
      <c r="G362" s="38"/>
      <c r="H362" s="38"/>
      <c r="I362" s="108"/>
    </row>
    <row r="363">
      <c r="A363" s="38"/>
      <c r="B363" s="38"/>
      <c r="C363" s="15"/>
      <c r="D363" s="15"/>
      <c r="E363" s="38"/>
      <c r="F363" s="38"/>
      <c r="G363" s="38"/>
      <c r="H363" s="38"/>
      <c r="I363" s="108"/>
    </row>
    <row r="364">
      <c r="A364" s="38"/>
      <c r="B364" s="38"/>
      <c r="C364" s="15"/>
      <c r="D364" s="15"/>
      <c r="E364" s="38"/>
      <c r="F364" s="38"/>
      <c r="G364" s="38"/>
      <c r="H364" s="38"/>
      <c r="I364" s="108"/>
    </row>
    <row r="365">
      <c r="A365" s="38"/>
      <c r="B365" s="38"/>
      <c r="C365" s="15"/>
      <c r="D365" s="15"/>
      <c r="E365" s="38"/>
      <c r="F365" s="38"/>
      <c r="G365" s="38"/>
      <c r="H365" s="38"/>
      <c r="I365" s="108"/>
    </row>
    <row r="366">
      <c r="A366" s="38"/>
      <c r="B366" s="38"/>
      <c r="C366" s="15"/>
      <c r="D366" s="15"/>
      <c r="E366" s="38"/>
      <c r="F366" s="38"/>
      <c r="G366" s="38"/>
      <c r="H366" s="38"/>
      <c r="I366" s="108"/>
    </row>
    <row r="367">
      <c r="A367" s="38"/>
      <c r="B367" s="38"/>
      <c r="C367" s="15"/>
      <c r="D367" s="15"/>
      <c r="E367" s="38"/>
      <c r="F367" s="38"/>
      <c r="G367" s="38"/>
      <c r="H367" s="38"/>
      <c r="I367" s="108"/>
    </row>
    <row r="368">
      <c r="A368" s="38"/>
      <c r="B368" s="38"/>
      <c r="C368" s="15"/>
      <c r="D368" s="15"/>
      <c r="E368" s="38"/>
      <c r="F368" s="38"/>
      <c r="G368" s="38"/>
      <c r="H368" s="38"/>
      <c r="I368" s="108"/>
    </row>
    <row r="369">
      <c r="A369" s="38"/>
      <c r="B369" s="38"/>
      <c r="C369" s="15"/>
      <c r="D369" s="15"/>
      <c r="E369" s="38"/>
      <c r="F369" s="38"/>
      <c r="G369" s="38"/>
      <c r="H369" s="38"/>
      <c r="I369" s="108"/>
    </row>
    <row r="370">
      <c r="A370" s="38"/>
      <c r="B370" s="38"/>
      <c r="C370" s="15"/>
      <c r="D370" s="15"/>
      <c r="E370" s="38"/>
      <c r="F370" s="38"/>
      <c r="G370" s="38"/>
      <c r="H370" s="38"/>
      <c r="I370" s="108"/>
    </row>
    <row r="371">
      <c r="A371" s="38"/>
      <c r="B371" s="38"/>
      <c r="C371" s="15"/>
      <c r="D371" s="15"/>
      <c r="E371" s="38"/>
      <c r="F371" s="38"/>
      <c r="G371" s="38"/>
      <c r="H371" s="38"/>
      <c r="I371" s="108"/>
    </row>
    <row r="372">
      <c r="A372" s="38"/>
      <c r="B372" s="38"/>
      <c r="C372" s="15"/>
      <c r="D372" s="15"/>
      <c r="E372" s="38"/>
      <c r="F372" s="38"/>
      <c r="G372" s="38"/>
      <c r="H372" s="38"/>
      <c r="I372" s="108"/>
    </row>
    <row r="373">
      <c r="A373" s="38"/>
      <c r="B373" s="38"/>
      <c r="C373" s="15"/>
      <c r="D373" s="15"/>
      <c r="E373" s="38"/>
      <c r="F373" s="38"/>
      <c r="G373" s="38"/>
      <c r="H373" s="38"/>
      <c r="I373" s="108"/>
    </row>
    <row r="374">
      <c r="A374" s="38"/>
      <c r="B374" s="38"/>
      <c r="C374" s="15"/>
      <c r="D374" s="15"/>
      <c r="E374" s="38"/>
      <c r="F374" s="38"/>
      <c r="G374" s="38"/>
      <c r="H374" s="38"/>
      <c r="I374" s="108"/>
    </row>
    <row r="375">
      <c r="A375" s="38"/>
      <c r="B375" s="38"/>
      <c r="C375" s="15"/>
      <c r="D375" s="15"/>
      <c r="E375" s="38"/>
      <c r="F375" s="38"/>
      <c r="G375" s="38"/>
      <c r="H375" s="38"/>
      <c r="I375" s="108"/>
    </row>
    <row r="376">
      <c r="A376" s="38"/>
      <c r="B376" s="38"/>
      <c r="C376" s="15"/>
      <c r="D376" s="15"/>
      <c r="E376" s="38"/>
      <c r="F376" s="38"/>
      <c r="G376" s="38"/>
      <c r="H376" s="38"/>
      <c r="I376" s="108"/>
    </row>
    <row r="377">
      <c r="A377" s="38"/>
      <c r="B377" s="38"/>
      <c r="C377" s="15"/>
      <c r="D377" s="15"/>
      <c r="E377" s="38"/>
      <c r="F377" s="38"/>
      <c r="G377" s="38"/>
      <c r="H377" s="38"/>
      <c r="I377" s="108"/>
    </row>
    <row r="378">
      <c r="A378" s="38"/>
      <c r="B378" s="38"/>
      <c r="C378" s="15"/>
      <c r="D378" s="15"/>
      <c r="E378" s="38"/>
      <c r="F378" s="38"/>
      <c r="G378" s="38"/>
      <c r="H378" s="38"/>
      <c r="I378" s="108"/>
    </row>
    <row r="379">
      <c r="A379" s="38"/>
      <c r="B379" s="38"/>
      <c r="C379" s="15"/>
      <c r="D379" s="15"/>
      <c r="E379" s="38"/>
      <c r="F379" s="38"/>
      <c r="G379" s="38"/>
      <c r="H379" s="38"/>
      <c r="I379" s="108"/>
    </row>
    <row r="380">
      <c r="A380" s="38"/>
      <c r="B380" s="38"/>
      <c r="C380" s="15"/>
      <c r="D380" s="15"/>
      <c r="E380" s="38"/>
      <c r="F380" s="38"/>
      <c r="G380" s="38"/>
      <c r="H380" s="38"/>
      <c r="I380" s="108"/>
    </row>
    <row r="381">
      <c r="A381" s="38"/>
      <c r="B381" s="38"/>
      <c r="C381" s="15"/>
      <c r="D381" s="15"/>
      <c r="E381" s="38"/>
      <c r="F381" s="38"/>
      <c r="G381" s="38"/>
      <c r="H381" s="38"/>
      <c r="I381" s="108"/>
    </row>
    <row r="382">
      <c r="A382" s="38"/>
      <c r="B382" s="38"/>
      <c r="C382" s="15"/>
      <c r="D382" s="15"/>
      <c r="E382" s="38"/>
      <c r="F382" s="38"/>
      <c r="G382" s="38"/>
      <c r="H382" s="38"/>
      <c r="I382" s="108"/>
    </row>
    <row r="383">
      <c r="A383" s="38"/>
      <c r="B383" s="38"/>
      <c r="C383" s="15"/>
      <c r="D383" s="15"/>
      <c r="E383" s="38"/>
      <c r="F383" s="38"/>
      <c r="G383" s="38"/>
      <c r="H383" s="38"/>
      <c r="I383" s="108"/>
    </row>
    <row r="384">
      <c r="A384" s="38"/>
      <c r="B384" s="38"/>
      <c r="C384" s="15"/>
      <c r="D384" s="15"/>
      <c r="E384" s="38"/>
      <c r="F384" s="38"/>
      <c r="G384" s="38"/>
      <c r="H384" s="38"/>
      <c r="I384" s="108"/>
    </row>
    <row r="385">
      <c r="A385" s="38"/>
      <c r="B385" s="38"/>
      <c r="C385" s="15"/>
      <c r="D385" s="15"/>
      <c r="E385" s="38"/>
      <c r="F385" s="38"/>
      <c r="G385" s="38"/>
      <c r="H385" s="38"/>
      <c r="I385" s="108"/>
    </row>
    <row r="386">
      <c r="A386" s="38"/>
      <c r="B386" s="38"/>
      <c r="C386" s="15"/>
      <c r="D386" s="15"/>
      <c r="E386" s="38"/>
      <c r="F386" s="38"/>
      <c r="G386" s="38"/>
      <c r="H386" s="38"/>
      <c r="I386" s="108"/>
    </row>
    <row r="387">
      <c r="A387" s="38"/>
      <c r="B387" s="38"/>
      <c r="C387" s="15"/>
      <c r="D387" s="15"/>
      <c r="E387" s="38"/>
      <c r="F387" s="38"/>
      <c r="G387" s="38"/>
      <c r="H387" s="38"/>
      <c r="I387" s="108"/>
    </row>
    <row r="388">
      <c r="A388" s="38"/>
      <c r="B388" s="38"/>
      <c r="C388" s="15"/>
      <c r="D388" s="15"/>
      <c r="E388" s="38"/>
      <c r="F388" s="38"/>
      <c r="G388" s="38"/>
      <c r="H388" s="38"/>
      <c r="I388" s="108"/>
    </row>
    <row r="389">
      <c r="A389" s="38"/>
      <c r="B389" s="38"/>
      <c r="C389" s="15"/>
      <c r="D389" s="15"/>
      <c r="E389" s="38"/>
      <c r="F389" s="38"/>
      <c r="G389" s="38"/>
      <c r="H389" s="38"/>
      <c r="I389" s="108"/>
    </row>
    <row r="390">
      <c r="A390" s="38"/>
      <c r="B390" s="38"/>
      <c r="C390" s="15"/>
      <c r="D390" s="15"/>
      <c r="E390" s="38"/>
      <c r="F390" s="38"/>
      <c r="G390" s="38"/>
      <c r="H390" s="38"/>
      <c r="I390" s="108"/>
    </row>
    <row r="391">
      <c r="A391" s="38"/>
      <c r="B391" s="38"/>
      <c r="C391" s="15"/>
      <c r="D391" s="15"/>
      <c r="E391" s="38"/>
      <c r="F391" s="38"/>
      <c r="G391" s="38"/>
      <c r="H391" s="38"/>
      <c r="I391" s="108"/>
    </row>
    <row r="392">
      <c r="A392" s="38"/>
      <c r="B392" s="38"/>
      <c r="C392" s="15"/>
      <c r="D392" s="15"/>
      <c r="E392" s="38"/>
      <c r="F392" s="38"/>
      <c r="G392" s="38"/>
      <c r="H392" s="38"/>
      <c r="I392" s="108"/>
    </row>
    <row r="393">
      <c r="A393" s="38"/>
      <c r="B393" s="38"/>
      <c r="C393" s="15"/>
      <c r="D393" s="15"/>
      <c r="E393" s="38"/>
      <c r="F393" s="38"/>
      <c r="G393" s="38"/>
      <c r="H393" s="38"/>
      <c r="I393" s="108"/>
    </row>
    <row r="394">
      <c r="A394" s="38"/>
      <c r="B394" s="38"/>
      <c r="C394" s="15"/>
      <c r="D394" s="15"/>
      <c r="E394" s="38"/>
      <c r="F394" s="38"/>
      <c r="G394" s="38"/>
      <c r="H394" s="38"/>
      <c r="I394" s="108"/>
    </row>
    <row r="395">
      <c r="A395" s="38"/>
      <c r="B395" s="38"/>
      <c r="C395" s="15"/>
      <c r="D395" s="15"/>
      <c r="E395" s="38"/>
      <c r="F395" s="38"/>
      <c r="G395" s="38"/>
      <c r="H395" s="38"/>
      <c r="I395" s="108"/>
    </row>
    <row r="396">
      <c r="A396" s="38"/>
      <c r="B396" s="38"/>
      <c r="C396" s="15"/>
      <c r="D396" s="15"/>
      <c r="E396" s="38"/>
      <c r="F396" s="38"/>
      <c r="G396" s="38"/>
      <c r="H396" s="38"/>
      <c r="I396" s="108"/>
    </row>
    <row r="397">
      <c r="A397" s="38"/>
      <c r="B397" s="38"/>
      <c r="C397" s="15"/>
      <c r="D397" s="15"/>
      <c r="E397" s="38"/>
      <c r="F397" s="38"/>
      <c r="G397" s="38"/>
      <c r="H397" s="38"/>
      <c r="I397" s="108"/>
    </row>
    <row r="398">
      <c r="A398" s="38"/>
      <c r="B398" s="38"/>
      <c r="C398" s="15"/>
      <c r="D398" s="15"/>
      <c r="E398" s="38"/>
      <c r="F398" s="38"/>
      <c r="G398" s="38"/>
      <c r="H398" s="38"/>
      <c r="I398" s="108"/>
    </row>
    <row r="399">
      <c r="A399" s="38"/>
      <c r="B399" s="38"/>
      <c r="C399" s="15"/>
      <c r="D399" s="15"/>
      <c r="E399" s="38"/>
      <c r="F399" s="38"/>
      <c r="G399" s="38"/>
      <c r="H399" s="38"/>
      <c r="I399" s="108"/>
    </row>
    <row r="400">
      <c r="A400" s="38"/>
      <c r="B400" s="38"/>
      <c r="C400" s="15"/>
      <c r="D400" s="15"/>
      <c r="E400" s="38"/>
      <c r="F400" s="38"/>
      <c r="G400" s="38"/>
      <c r="H400" s="38"/>
      <c r="I400" s="108"/>
    </row>
    <row r="401">
      <c r="A401" s="38"/>
      <c r="B401" s="38"/>
      <c r="C401" s="15"/>
      <c r="D401" s="15"/>
      <c r="E401" s="38"/>
      <c r="F401" s="38"/>
      <c r="G401" s="38"/>
      <c r="H401" s="38"/>
      <c r="I401" s="108"/>
    </row>
    <row r="402">
      <c r="A402" s="38"/>
      <c r="B402" s="38"/>
      <c r="C402" s="15"/>
      <c r="D402" s="15"/>
      <c r="E402" s="38"/>
      <c r="F402" s="38"/>
      <c r="G402" s="38"/>
      <c r="H402" s="38"/>
      <c r="I402" s="108"/>
    </row>
    <row r="403">
      <c r="A403" s="38"/>
      <c r="B403" s="38"/>
      <c r="C403" s="15"/>
      <c r="D403" s="15"/>
      <c r="E403" s="38"/>
      <c r="F403" s="38"/>
      <c r="G403" s="38"/>
      <c r="H403" s="38"/>
      <c r="I403" s="108"/>
    </row>
    <row r="404">
      <c r="A404" s="38"/>
      <c r="B404" s="38"/>
      <c r="C404" s="15"/>
      <c r="D404" s="15"/>
      <c r="E404" s="38"/>
      <c r="F404" s="38"/>
      <c r="G404" s="38"/>
      <c r="H404" s="38"/>
      <c r="I404" s="108"/>
    </row>
    <row r="405">
      <c r="A405" s="38"/>
      <c r="B405" s="38"/>
      <c r="C405" s="15"/>
      <c r="D405" s="15"/>
      <c r="E405" s="38"/>
      <c r="F405" s="38"/>
      <c r="G405" s="38"/>
      <c r="H405" s="38"/>
      <c r="I405" s="108"/>
    </row>
    <row r="406">
      <c r="A406" s="38"/>
      <c r="B406" s="38"/>
      <c r="C406" s="15"/>
      <c r="D406" s="15"/>
      <c r="E406" s="38"/>
      <c r="F406" s="38"/>
      <c r="G406" s="38"/>
      <c r="H406" s="38"/>
      <c r="I406" s="108"/>
    </row>
    <row r="407">
      <c r="A407" s="38"/>
      <c r="B407" s="38"/>
      <c r="C407" s="15"/>
      <c r="D407" s="15"/>
      <c r="E407" s="38"/>
      <c r="F407" s="38"/>
      <c r="G407" s="38"/>
      <c r="H407" s="38"/>
      <c r="I407" s="108"/>
    </row>
    <row r="408">
      <c r="A408" s="38"/>
      <c r="B408" s="38"/>
      <c r="C408" s="15"/>
      <c r="D408" s="15"/>
      <c r="E408" s="38"/>
      <c r="F408" s="38"/>
      <c r="G408" s="38"/>
      <c r="H408" s="38"/>
      <c r="I408" s="108"/>
    </row>
    <row r="409">
      <c r="A409" s="38"/>
      <c r="B409" s="38"/>
      <c r="C409" s="15"/>
      <c r="D409" s="15"/>
      <c r="E409" s="38"/>
      <c r="F409" s="38"/>
      <c r="G409" s="38"/>
      <c r="H409" s="38"/>
      <c r="I409" s="108"/>
    </row>
    <row r="410">
      <c r="A410" s="38"/>
      <c r="B410" s="38"/>
      <c r="C410" s="15"/>
      <c r="D410" s="15"/>
      <c r="E410" s="38"/>
      <c r="F410" s="38"/>
      <c r="G410" s="38"/>
      <c r="H410" s="38"/>
      <c r="I410" s="108"/>
    </row>
    <row r="411">
      <c r="A411" s="38"/>
      <c r="B411" s="38"/>
      <c r="C411" s="15"/>
      <c r="D411" s="15"/>
      <c r="E411" s="38"/>
      <c r="F411" s="38"/>
      <c r="G411" s="38"/>
      <c r="H411" s="38"/>
      <c r="I411" s="108"/>
    </row>
    <row r="412">
      <c r="A412" s="38"/>
      <c r="B412" s="38"/>
      <c r="C412" s="15"/>
      <c r="D412" s="15"/>
      <c r="E412" s="38"/>
      <c r="F412" s="38"/>
      <c r="G412" s="38"/>
      <c r="H412" s="38"/>
      <c r="I412" s="108"/>
    </row>
    <row r="413">
      <c r="A413" s="38"/>
      <c r="B413" s="38"/>
      <c r="C413" s="15"/>
      <c r="D413" s="15"/>
      <c r="E413" s="38"/>
      <c r="F413" s="38"/>
      <c r="G413" s="38"/>
      <c r="H413" s="38"/>
      <c r="I413" s="108"/>
    </row>
    <row r="414">
      <c r="A414" s="38"/>
      <c r="B414" s="38"/>
      <c r="C414" s="15"/>
      <c r="D414" s="15"/>
      <c r="E414" s="38"/>
      <c r="F414" s="38"/>
      <c r="G414" s="38"/>
      <c r="H414" s="38"/>
      <c r="I414" s="108"/>
    </row>
    <row r="415">
      <c r="A415" s="38"/>
      <c r="B415" s="38"/>
      <c r="C415" s="15"/>
      <c r="D415" s="15"/>
      <c r="E415" s="38"/>
      <c r="F415" s="38"/>
      <c r="G415" s="38"/>
      <c r="H415" s="38"/>
      <c r="I415" s="108"/>
    </row>
    <row r="416">
      <c r="A416" s="38"/>
      <c r="B416" s="38"/>
      <c r="C416" s="15"/>
      <c r="D416" s="15"/>
      <c r="E416" s="38"/>
      <c r="F416" s="38"/>
      <c r="G416" s="38"/>
      <c r="H416" s="38"/>
      <c r="I416" s="108"/>
    </row>
    <row r="417">
      <c r="A417" s="38"/>
      <c r="B417" s="38"/>
      <c r="C417" s="15"/>
      <c r="D417" s="15"/>
      <c r="E417" s="38"/>
      <c r="F417" s="38"/>
      <c r="G417" s="38"/>
      <c r="H417" s="38"/>
      <c r="I417" s="108"/>
    </row>
    <row r="418">
      <c r="A418" s="38"/>
      <c r="B418" s="38"/>
      <c r="C418" s="15"/>
      <c r="D418" s="15"/>
      <c r="E418" s="38"/>
      <c r="F418" s="38"/>
      <c r="G418" s="38"/>
      <c r="H418" s="38"/>
      <c r="I418" s="108"/>
    </row>
    <row r="419">
      <c r="A419" s="38"/>
      <c r="B419" s="38"/>
      <c r="C419" s="15"/>
      <c r="D419" s="15"/>
      <c r="E419" s="38"/>
      <c r="F419" s="38"/>
      <c r="G419" s="38"/>
      <c r="H419" s="38"/>
      <c r="I419" s="108"/>
    </row>
    <row r="420">
      <c r="A420" s="38"/>
      <c r="B420" s="38"/>
      <c r="C420" s="15"/>
      <c r="D420" s="15"/>
      <c r="E420" s="38"/>
      <c r="F420" s="38"/>
      <c r="G420" s="38"/>
      <c r="H420" s="38"/>
      <c r="I420" s="108"/>
    </row>
    <row r="421">
      <c r="A421" s="38"/>
      <c r="B421" s="38"/>
      <c r="C421" s="15"/>
      <c r="D421" s="15"/>
      <c r="E421" s="38"/>
      <c r="F421" s="38"/>
      <c r="G421" s="38"/>
      <c r="H421" s="38"/>
      <c r="I421" s="108"/>
    </row>
    <row r="422">
      <c r="A422" s="38"/>
      <c r="B422" s="38"/>
      <c r="C422" s="15"/>
      <c r="D422" s="15"/>
      <c r="E422" s="38"/>
      <c r="F422" s="38"/>
      <c r="G422" s="38"/>
      <c r="H422" s="38"/>
      <c r="I422" s="108"/>
    </row>
    <row r="423">
      <c r="A423" s="38"/>
      <c r="B423" s="38"/>
      <c r="C423" s="15"/>
      <c r="D423" s="15"/>
      <c r="E423" s="38"/>
      <c r="F423" s="38"/>
      <c r="G423" s="38"/>
      <c r="H423" s="38"/>
      <c r="I423" s="108"/>
    </row>
    <row r="424">
      <c r="A424" s="38"/>
      <c r="B424" s="38"/>
      <c r="C424" s="15"/>
      <c r="D424" s="15"/>
      <c r="E424" s="38"/>
      <c r="F424" s="38"/>
      <c r="G424" s="38"/>
      <c r="H424" s="38"/>
      <c r="I424" s="108"/>
    </row>
    <row r="425">
      <c r="A425" s="38"/>
      <c r="B425" s="38"/>
      <c r="C425" s="15"/>
      <c r="D425" s="15"/>
      <c r="E425" s="38"/>
      <c r="F425" s="38"/>
      <c r="G425" s="38"/>
      <c r="H425" s="38"/>
      <c r="I425" s="108"/>
    </row>
    <row r="426">
      <c r="A426" s="38"/>
      <c r="B426" s="38"/>
      <c r="C426" s="15"/>
      <c r="D426" s="15"/>
      <c r="E426" s="38"/>
      <c r="F426" s="38"/>
      <c r="G426" s="38"/>
      <c r="H426" s="38"/>
      <c r="I426" s="108"/>
    </row>
    <row r="427">
      <c r="A427" s="38"/>
      <c r="B427" s="38"/>
      <c r="C427" s="15"/>
      <c r="D427" s="15"/>
      <c r="E427" s="38"/>
      <c r="F427" s="38"/>
      <c r="G427" s="38"/>
      <c r="H427" s="38"/>
      <c r="I427" s="108"/>
    </row>
    <row r="428">
      <c r="A428" s="38"/>
      <c r="B428" s="38"/>
      <c r="C428" s="15"/>
      <c r="D428" s="15"/>
      <c r="E428" s="38"/>
      <c r="F428" s="38"/>
      <c r="G428" s="38"/>
      <c r="H428" s="38"/>
      <c r="I428" s="108"/>
    </row>
    <row r="429">
      <c r="A429" s="38"/>
      <c r="B429" s="38"/>
      <c r="C429" s="15"/>
      <c r="D429" s="15"/>
      <c r="E429" s="38"/>
      <c r="F429" s="38"/>
      <c r="G429" s="38"/>
      <c r="H429" s="38"/>
      <c r="I429" s="108"/>
    </row>
    <row r="430">
      <c r="A430" s="38"/>
      <c r="B430" s="38"/>
      <c r="C430" s="15"/>
      <c r="D430" s="15"/>
      <c r="E430" s="38"/>
      <c r="F430" s="38"/>
      <c r="G430" s="38"/>
      <c r="H430" s="38"/>
      <c r="I430" s="108"/>
    </row>
    <row r="431">
      <c r="A431" s="38"/>
      <c r="B431" s="38"/>
      <c r="C431" s="15"/>
      <c r="D431" s="15"/>
      <c r="E431" s="38"/>
      <c r="F431" s="38"/>
      <c r="G431" s="38"/>
      <c r="H431" s="38"/>
      <c r="I431" s="108"/>
    </row>
    <row r="432">
      <c r="A432" s="38"/>
      <c r="B432" s="38"/>
      <c r="C432" s="15"/>
      <c r="D432" s="15"/>
      <c r="E432" s="38"/>
      <c r="F432" s="38"/>
      <c r="G432" s="38"/>
      <c r="H432" s="38"/>
      <c r="I432" s="108"/>
    </row>
    <row r="433">
      <c r="A433" s="38"/>
      <c r="B433" s="38"/>
      <c r="C433" s="15"/>
      <c r="D433" s="15"/>
      <c r="E433" s="38"/>
      <c r="F433" s="38"/>
      <c r="G433" s="38"/>
      <c r="H433" s="38"/>
      <c r="I433" s="108"/>
    </row>
    <row r="434">
      <c r="A434" s="38"/>
      <c r="B434" s="38"/>
      <c r="C434" s="15"/>
      <c r="D434" s="15"/>
      <c r="E434" s="38"/>
      <c r="F434" s="38"/>
      <c r="G434" s="38"/>
      <c r="H434" s="38"/>
      <c r="I434" s="108"/>
    </row>
    <row r="435">
      <c r="A435" s="38"/>
      <c r="B435" s="38"/>
      <c r="C435" s="15"/>
      <c r="D435" s="15"/>
      <c r="E435" s="38"/>
      <c r="F435" s="38"/>
      <c r="G435" s="38"/>
      <c r="H435" s="38"/>
      <c r="I435" s="108"/>
    </row>
    <row r="436">
      <c r="A436" s="38"/>
      <c r="B436" s="38"/>
      <c r="C436" s="15"/>
      <c r="D436" s="15"/>
      <c r="E436" s="38"/>
      <c r="F436" s="38"/>
      <c r="G436" s="38"/>
      <c r="H436" s="38"/>
      <c r="I436" s="108"/>
    </row>
    <row r="437">
      <c r="A437" s="38"/>
      <c r="B437" s="38"/>
      <c r="C437" s="15"/>
      <c r="D437" s="15"/>
      <c r="E437" s="38"/>
      <c r="F437" s="38"/>
      <c r="G437" s="38"/>
      <c r="H437" s="38"/>
      <c r="I437" s="108"/>
    </row>
    <row r="438">
      <c r="A438" s="38"/>
      <c r="B438" s="38"/>
      <c r="C438" s="15"/>
      <c r="D438" s="15"/>
      <c r="E438" s="38"/>
      <c r="F438" s="38"/>
      <c r="G438" s="38"/>
      <c r="H438" s="38"/>
      <c r="I438" s="108"/>
    </row>
    <row r="439">
      <c r="A439" s="38"/>
      <c r="B439" s="38"/>
      <c r="C439" s="15"/>
      <c r="D439" s="15"/>
      <c r="E439" s="38"/>
      <c r="F439" s="38"/>
      <c r="G439" s="38"/>
      <c r="H439" s="38"/>
      <c r="I439" s="108"/>
    </row>
    <row r="440">
      <c r="A440" s="38"/>
      <c r="B440" s="38"/>
      <c r="C440" s="15"/>
      <c r="D440" s="15"/>
      <c r="E440" s="38"/>
      <c r="F440" s="38"/>
      <c r="G440" s="38"/>
      <c r="H440" s="38"/>
      <c r="I440" s="108"/>
    </row>
    <row r="441">
      <c r="A441" s="38"/>
      <c r="B441" s="38"/>
      <c r="C441" s="15"/>
      <c r="D441" s="15"/>
      <c r="E441" s="38"/>
      <c r="F441" s="38"/>
      <c r="G441" s="38"/>
      <c r="H441" s="38"/>
      <c r="I441" s="108"/>
    </row>
    <row r="442">
      <c r="A442" s="38"/>
      <c r="B442" s="38"/>
      <c r="C442" s="15"/>
      <c r="D442" s="15"/>
      <c r="E442" s="38"/>
      <c r="F442" s="38"/>
      <c r="G442" s="38"/>
      <c r="H442" s="38"/>
      <c r="I442" s="108"/>
    </row>
    <row r="443">
      <c r="A443" s="38"/>
      <c r="B443" s="38"/>
      <c r="C443" s="15"/>
      <c r="D443" s="15"/>
      <c r="E443" s="38"/>
      <c r="F443" s="38"/>
      <c r="G443" s="38"/>
      <c r="H443" s="38"/>
      <c r="I443" s="108"/>
    </row>
    <row r="444">
      <c r="A444" s="38"/>
      <c r="B444" s="38"/>
      <c r="C444" s="15"/>
      <c r="D444" s="15"/>
      <c r="E444" s="38"/>
      <c r="F444" s="38"/>
      <c r="G444" s="38"/>
      <c r="H444" s="38"/>
      <c r="I444" s="108"/>
    </row>
    <row r="445">
      <c r="A445" s="38"/>
      <c r="B445" s="38"/>
      <c r="C445" s="15"/>
      <c r="D445" s="15"/>
      <c r="E445" s="38"/>
      <c r="F445" s="38"/>
      <c r="G445" s="38"/>
      <c r="H445" s="38"/>
      <c r="I445" s="108"/>
    </row>
    <row r="446">
      <c r="A446" s="38"/>
      <c r="B446" s="38"/>
      <c r="C446" s="15"/>
      <c r="D446" s="15"/>
      <c r="E446" s="38"/>
      <c r="F446" s="38"/>
      <c r="G446" s="38"/>
      <c r="H446" s="38"/>
      <c r="I446" s="108"/>
    </row>
    <row r="447">
      <c r="A447" s="38"/>
      <c r="B447" s="38"/>
      <c r="C447" s="15"/>
      <c r="D447" s="15"/>
      <c r="E447" s="38"/>
      <c r="F447" s="38"/>
      <c r="G447" s="38"/>
      <c r="H447" s="38"/>
      <c r="I447" s="108"/>
    </row>
    <row r="448">
      <c r="A448" s="38"/>
      <c r="B448" s="38"/>
      <c r="C448" s="15"/>
      <c r="D448" s="15"/>
      <c r="E448" s="38"/>
      <c r="F448" s="38"/>
      <c r="G448" s="38"/>
      <c r="H448" s="38"/>
      <c r="I448" s="108"/>
    </row>
    <row r="449">
      <c r="A449" s="38"/>
      <c r="B449" s="38"/>
      <c r="C449" s="15"/>
      <c r="D449" s="15"/>
      <c r="E449" s="38"/>
      <c r="F449" s="38"/>
      <c r="G449" s="38"/>
      <c r="H449" s="38"/>
      <c r="I449" s="108"/>
    </row>
    <row r="450">
      <c r="A450" s="38"/>
      <c r="B450" s="38"/>
      <c r="C450" s="15"/>
      <c r="D450" s="15"/>
      <c r="E450" s="38"/>
      <c r="F450" s="38"/>
      <c r="G450" s="38"/>
      <c r="H450" s="38"/>
      <c r="I450" s="108"/>
    </row>
    <row r="451">
      <c r="A451" s="38"/>
      <c r="B451" s="38"/>
      <c r="C451" s="15"/>
      <c r="D451" s="15"/>
      <c r="E451" s="38"/>
      <c r="F451" s="38"/>
      <c r="G451" s="38"/>
      <c r="H451" s="38"/>
      <c r="I451" s="108"/>
    </row>
    <row r="452">
      <c r="A452" s="38"/>
      <c r="B452" s="38"/>
      <c r="C452" s="15"/>
      <c r="D452" s="15"/>
      <c r="E452" s="38"/>
      <c r="F452" s="38"/>
      <c r="G452" s="38"/>
      <c r="H452" s="38"/>
      <c r="I452" s="108"/>
    </row>
    <row r="453">
      <c r="A453" s="38"/>
      <c r="B453" s="38"/>
      <c r="C453" s="15"/>
      <c r="D453" s="15"/>
      <c r="E453" s="38"/>
      <c r="F453" s="38"/>
      <c r="G453" s="38"/>
      <c r="H453" s="38"/>
      <c r="I453" s="108"/>
    </row>
    <row r="454">
      <c r="A454" s="38"/>
      <c r="B454" s="38"/>
      <c r="C454" s="15"/>
      <c r="D454" s="15"/>
      <c r="E454" s="38"/>
      <c r="F454" s="38"/>
      <c r="G454" s="38"/>
      <c r="H454" s="38"/>
      <c r="I454" s="108"/>
    </row>
    <row r="455">
      <c r="A455" s="38"/>
      <c r="B455" s="38"/>
      <c r="C455" s="15"/>
      <c r="D455" s="15"/>
      <c r="E455" s="38"/>
      <c r="F455" s="38"/>
      <c r="G455" s="38"/>
      <c r="H455" s="38"/>
      <c r="I455" s="108"/>
    </row>
    <row r="456">
      <c r="A456" s="38"/>
      <c r="B456" s="38"/>
      <c r="C456" s="15"/>
      <c r="D456" s="15"/>
      <c r="E456" s="38"/>
      <c r="F456" s="38"/>
      <c r="G456" s="38"/>
      <c r="H456" s="38"/>
      <c r="I456" s="108"/>
    </row>
    <row r="457">
      <c r="A457" s="38"/>
      <c r="B457" s="38"/>
      <c r="C457" s="15"/>
      <c r="D457" s="15"/>
      <c r="E457" s="38"/>
      <c r="F457" s="38"/>
      <c r="G457" s="38"/>
      <c r="H457" s="38"/>
      <c r="I457" s="108"/>
    </row>
    <row r="458">
      <c r="A458" s="38"/>
      <c r="B458" s="38"/>
      <c r="C458" s="15"/>
      <c r="D458" s="15"/>
      <c r="E458" s="38"/>
      <c r="F458" s="38"/>
      <c r="G458" s="38"/>
      <c r="H458" s="38"/>
      <c r="I458" s="108"/>
    </row>
    <row r="459">
      <c r="A459" s="38"/>
      <c r="B459" s="38"/>
      <c r="C459" s="15"/>
      <c r="D459" s="15"/>
      <c r="E459" s="38"/>
      <c r="F459" s="38"/>
      <c r="G459" s="38"/>
      <c r="H459" s="38"/>
      <c r="I459" s="108"/>
    </row>
    <row r="460">
      <c r="A460" s="38"/>
      <c r="B460" s="38"/>
      <c r="C460" s="15"/>
      <c r="D460" s="15"/>
      <c r="E460" s="38"/>
      <c r="F460" s="38"/>
      <c r="G460" s="38"/>
      <c r="H460" s="38"/>
      <c r="I460" s="108"/>
    </row>
    <row r="461">
      <c r="A461" s="38"/>
      <c r="B461" s="38"/>
      <c r="C461" s="15"/>
      <c r="D461" s="15"/>
      <c r="E461" s="38"/>
      <c r="F461" s="38"/>
      <c r="G461" s="38"/>
      <c r="H461" s="38"/>
      <c r="I461" s="108"/>
    </row>
    <row r="462">
      <c r="A462" s="38"/>
      <c r="B462" s="38"/>
      <c r="C462" s="15"/>
      <c r="D462" s="15"/>
      <c r="E462" s="38"/>
      <c r="F462" s="38"/>
      <c r="G462" s="38"/>
      <c r="H462" s="38"/>
      <c r="I462" s="108"/>
    </row>
    <row r="463">
      <c r="A463" s="38"/>
      <c r="B463" s="38"/>
      <c r="C463" s="15"/>
      <c r="D463" s="15"/>
      <c r="E463" s="38"/>
      <c r="F463" s="38"/>
      <c r="G463" s="38"/>
      <c r="H463" s="38"/>
      <c r="I463" s="108"/>
    </row>
    <row r="464">
      <c r="A464" s="38"/>
      <c r="B464" s="38"/>
      <c r="C464" s="15"/>
      <c r="D464" s="15"/>
      <c r="E464" s="38"/>
      <c r="F464" s="38"/>
      <c r="G464" s="38"/>
      <c r="H464" s="38"/>
      <c r="I464" s="108"/>
    </row>
    <row r="465">
      <c r="A465" s="38"/>
      <c r="B465" s="38"/>
      <c r="C465" s="15"/>
      <c r="D465" s="15"/>
      <c r="E465" s="38"/>
      <c r="F465" s="38"/>
      <c r="G465" s="38"/>
      <c r="H465" s="38"/>
      <c r="I465" s="108"/>
    </row>
    <row r="466">
      <c r="A466" s="38"/>
      <c r="B466" s="38"/>
      <c r="C466" s="15"/>
      <c r="D466" s="15"/>
      <c r="E466" s="38"/>
      <c r="F466" s="38"/>
      <c r="G466" s="38"/>
      <c r="H466" s="38"/>
      <c r="I466" s="108"/>
    </row>
    <row r="467">
      <c r="A467" s="38"/>
      <c r="B467" s="38"/>
      <c r="C467" s="15"/>
      <c r="D467" s="15"/>
      <c r="E467" s="38"/>
      <c r="F467" s="38"/>
      <c r="G467" s="38"/>
      <c r="H467" s="38"/>
      <c r="I467" s="108"/>
    </row>
    <row r="468">
      <c r="A468" s="38"/>
      <c r="B468" s="38"/>
      <c r="C468" s="15"/>
      <c r="D468" s="15"/>
      <c r="E468" s="38"/>
      <c r="F468" s="38"/>
      <c r="G468" s="38"/>
      <c r="H468" s="38"/>
      <c r="I468" s="108"/>
    </row>
    <row r="469">
      <c r="A469" s="38"/>
      <c r="B469" s="38"/>
      <c r="C469" s="15"/>
      <c r="D469" s="15"/>
      <c r="E469" s="38"/>
      <c r="F469" s="38"/>
      <c r="G469" s="38"/>
      <c r="H469" s="38"/>
      <c r="I469" s="108"/>
    </row>
    <row r="470">
      <c r="A470" s="38"/>
      <c r="B470" s="38"/>
      <c r="C470" s="15"/>
      <c r="D470" s="15"/>
      <c r="E470" s="38"/>
      <c r="F470" s="38"/>
      <c r="G470" s="38"/>
      <c r="H470" s="38"/>
      <c r="I470" s="108"/>
    </row>
    <row r="471">
      <c r="A471" s="38"/>
      <c r="B471" s="38"/>
      <c r="C471" s="15"/>
      <c r="D471" s="15"/>
      <c r="E471" s="38"/>
      <c r="F471" s="38"/>
      <c r="G471" s="38"/>
      <c r="H471" s="38"/>
      <c r="I471" s="108"/>
    </row>
    <row r="472">
      <c r="A472" s="38"/>
      <c r="B472" s="38"/>
      <c r="C472" s="15"/>
      <c r="D472" s="15"/>
      <c r="E472" s="38"/>
      <c r="F472" s="38"/>
      <c r="G472" s="38"/>
      <c r="H472" s="38"/>
      <c r="I472" s="108"/>
    </row>
    <row r="473">
      <c r="A473" s="38"/>
      <c r="B473" s="38"/>
      <c r="C473" s="15"/>
      <c r="D473" s="15"/>
      <c r="E473" s="38"/>
      <c r="F473" s="38"/>
      <c r="G473" s="38"/>
      <c r="H473" s="38"/>
      <c r="I473" s="108"/>
    </row>
    <row r="474">
      <c r="A474" s="38"/>
      <c r="B474" s="38"/>
      <c r="C474" s="15"/>
      <c r="D474" s="15"/>
      <c r="E474" s="38"/>
      <c r="F474" s="38"/>
      <c r="G474" s="38"/>
      <c r="H474" s="38"/>
      <c r="I474" s="108"/>
    </row>
    <row r="475">
      <c r="A475" s="38"/>
      <c r="B475" s="38"/>
      <c r="C475" s="15"/>
      <c r="D475" s="15"/>
      <c r="E475" s="38"/>
      <c r="F475" s="38"/>
      <c r="G475" s="38"/>
      <c r="H475" s="38"/>
      <c r="I475" s="108"/>
    </row>
    <row r="476">
      <c r="A476" s="38"/>
      <c r="B476" s="38"/>
      <c r="C476" s="15"/>
      <c r="D476" s="15"/>
      <c r="E476" s="38"/>
      <c r="F476" s="38"/>
      <c r="G476" s="38"/>
      <c r="H476" s="38"/>
      <c r="I476" s="108"/>
    </row>
    <row r="477">
      <c r="A477" s="38"/>
      <c r="B477" s="38"/>
      <c r="C477" s="15"/>
      <c r="D477" s="15"/>
      <c r="E477" s="38"/>
      <c r="F477" s="38"/>
      <c r="G477" s="38"/>
      <c r="H477" s="38"/>
      <c r="I477" s="108"/>
    </row>
    <row r="478">
      <c r="A478" s="38"/>
      <c r="B478" s="38"/>
      <c r="C478" s="15"/>
      <c r="D478" s="15"/>
      <c r="E478" s="38"/>
      <c r="F478" s="38"/>
      <c r="G478" s="38"/>
      <c r="H478" s="38"/>
      <c r="I478" s="108"/>
    </row>
    <row r="479">
      <c r="A479" s="38"/>
      <c r="B479" s="38"/>
      <c r="C479" s="15"/>
      <c r="D479" s="15"/>
      <c r="E479" s="38"/>
      <c r="F479" s="38"/>
      <c r="G479" s="38"/>
      <c r="H479" s="38"/>
      <c r="I479" s="108"/>
    </row>
    <row r="480">
      <c r="A480" s="38"/>
      <c r="B480" s="38"/>
      <c r="C480" s="15"/>
      <c r="D480" s="15"/>
      <c r="E480" s="38"/>
      <c r="F480" s="38"/>
      <c r="G480" s="38"/>
      <c r="H480" s="38"/>
      <c r="I480" s="108"/>
    </row>
    <row r="481">
      <c r="A481" s="38"/>
      <c r="B481" s="38"/>
      <c r="C481" s="15"/>
      <c r="D481" s="15"/>
      <c r="E481" s="38"/>
      <c r="F481" s="38"/>
      <c r="G481" s="38"/>
      <c r="H481" s="38"/>
      <c r="I481" s="108"/>
    </row>
    <row r="482">
      <c r="A482" s="38"/>
      <c r="B482" s="38"/>
      <c r="C482" s="15"/>
      <c r="D482" s="15"/>
      <c r="E482" s="38"/>
      <c r="F482" s="38"/>
      <c r="G482" s="38"/>
      <c r="H482" s="38"/>
      <c r="I482" s="108"/>
    </row>
    <row r="483">
      <c r="A483" s="38"/>
      <c r="B483" s="38"/>
      <c r="C483" s="15"/>
      <c r="D483" s="15"/>
      <c r="E483" s="38"/>
      <c r="F483" s="38"/>
      <c r="G483" s="38"/>
      <c r="H483" s="38"/>
      <c r="I483" s="108"/>
    </row>
    <row r="484">
      <c r="A484" s="38"/>
      <c r="B484" s="38"/>
      <c r="C484" s="15"/>
      <c r="D484" s="15"/>
      <c r="E484" s="38"/>
      <c r="F484" s="38"/>
      <c r="G484" s="38"/>
      <c r="H484" s="38"/>
      <c r="I484" s="108"/>
    </row>
    <row r="485">
      <c r="A485" s="38"/>
      <c r="B485" s="38"/>
      <c r="C485" s="15"/>
      <c r="D485" s="15"/>
      <c r="E485" s="38"/>
      <c r="F485" s="38"/>
      <c r="G485" s="38"/>
      <c r="H485" s="38"/>
      <c r="I485" s="108"/>
    </row>
    <row r="486">
      <c r="A486" s="38"/>
      <c r="B486" s="38"/>
      <c r="C486" s="15"/>
      <c r="D486" s="15"/>
      <c r="E486" s="38"/>
      <c r="F486" s="38"/>
      <c r="G486" s="38"/>
      <c r="H486" s="38"/>
      <c r="I486" s="108"/>
    </row>
    <row r="487">
      <c r="A487" s="38"/>
      <c r="B487" s="38"/>
      <c r="C487" s="15"/>
      <c r="D487" s="15"/>
      <c r="E487" s="38"/>
      <c r="F487" s="38"/>
      <c r="G487" s="38"/>
      <c r="H487" s="38"/>
      <c r="I487" s="108"/>
    </row>
    <row r="488">
      <c r="A488" s="38"/>
      <c r="B488" s="38"/>
      <c r="C488" s="15"/>
      <c r="D488" s="15"/>
      <c r="E488" s="38"/>
      <c r="F488" s="38"/>
      <c r="G488" s="38"/>
      <c r="H488" s="38"/>
      <c r="I488" s="108"/>
    </row>
    <row r="489">
      <c r="A489" s="38"/>
      <c r="B489" s="38"/>
      <c r="C489" s="15"/>
      <c r="D489" s="15"/>
      <c r="E489" s="38"/>
      <c r="F489" s="38"/>
      <c r="G489" s="38"/>
      <c r="H489" s="38"/>
      <c r="I489" s="108"/>
    </row>
    <row r="490">
      <c r="A490" s="38"/>
      <c r="B490" s="38"/>
      <c r="C490" s="15"/>
      <c r="D490" s="15"/>
      <c r="E490" s="38"/>
      <c r="F490" s="38"/>
      <c r="G490" s="38"/>
      <c r="H490" s="38"/>
      <c r="I490" s="108"/>
    </row>
    <row r="491">
      <c r="A491" s="38"/>
      <c r="B491" s="38"/>
      <c r="C491" s="15"/>
      <c r="D491" s="15"/>
      <c r="E491" s="38"/>
      <c r="F491" s="38"/>
      <c r="G491" s="38"/>
      <c r="H491" s="38"/>
      <c r="I491" s="108"/>
    </row>
    <row r="492">
      <c r="A492" s="38"/>
      <c r="B492" s="38"/>
      <c r="C492" s="15"/>
      <c r="D492" s="15"/>
      <c r="E492" s="38"/>
      <c r="F492" s="38"/>
      <c r="G492" s="38"/>
      <c r="H492" s="38"/>
      <c r="I492" s="108"/>
    </row>
    <row r="493">
      <c r="A493" s="38"/>
      <c r="B493" s="38"/>
      <c r="C493" s="15"/>
      <c r="D493" s="15"/>
      <c r="E493" s="38"/>
      <c r="F493" s="38"/>
      <c r="G493" s="38"/>
      <c r="H493" s="38"/>
      <c r="I493" s="108"/>
    </row>
    <row r="494">
      <c r="A494" s="38"/>
      <c r="B494" s="38"/>
      <c r="C494" s="15"/>
      <c r="D494" s="15"/>
      <c r="E494" s="38"/>
      <c r="F494" s="38"/>
      <c r="G494" s="38"/>
      <c r="H494" s="38"/>
      <c r="I494" s="108"/>
    </row>
    <row r="495">
      <c r="A495" s="38"/>
      <c r="B495" s="38"/>
      <c r="C495" s="15"/>
      <c r="D495" s="15"/>
      <c r="E495" s="38"/>
      <c r="F495" s="38"/>
      <c r="G495" s="38"/>
      <c r="H495" s="38"/>
      <c r="I495" s="108"/>
    </row>
    <row r="496">
      <c r="A496" s="38"/>
      <c r="B496" s="38"/>
      <c r="C496" s="15"/>
      <c r="D496" s="15"/>
      <c r="E496" s="38"/>
      <c r="F496" s="38"/>
      <c r="G496" s="38"/>
      <c r="H496" s="38"/>
      <c r="I496" s="108"/>
    </row>
    <row r="497">
      <c r="A497" s="38"/>
      <c r="B497" s="38"/>
      <c r="C497" s="15"/>
      <c r="D497" s="15"/>
      <c r="E497" s="38"/>
      <c r="F497" s="38"/>
      <c r="G497" s="38"/>
      <c r="H497" s="38"/>
      <c r="I497" s="108"/>
    </row>
    <row r="498">
      <c r="A498" s="38"/>
      <c r="B498" s="38"/>
      <c r="C498" s="15"/>
      <c r="D498" s="15"/>
      <c r="E498" s="38"/>
      <c r="F498" s="38"/>
      <c r="G498" s="38"/>
      <c r="H498" s="38"/>
      <c r="I498" s="108"/>
    </row>
    <row r="499">
      <c r="A499" s="38"/>
      <c r="B499" s="38"/>
      <c r="C499" s="15"/>
      <c r="D499" s="15"/>
      <c r="E499" s="38"/>
      <c r="F499" s="38"/>
      <c r="G499" s="38"/>
      <c r="H499" s="38"/>
      <c r="I499" s="108"/>
    </row>
    <row r="500">
      <c r="A500" s="38"/>
      <c r="B500" s="38"/>
      <c r="C500" s="15"/>
      <c r="D500" s="15"/>
      <c r="E500" s="38"/>
      <c r="F500" s="38"/>
      <c r="G500" s="38"/>
      <c r="H500" s="38"/>
      <c r="I500" s="108"/>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7" t="str">
        <f>IFERROR(__xludf.DUMMYFUNCTION("QUERY(Effectifs!A:Z, ""SELECT * WHERE E CONTAINS 'Eclaireur' ORDER BY Z ASC"", 1)"),"Assermenté")</f>
        <v>Assermenté</v>
      </c>
      <c r="B1" s="7" t="str">
        <f>IFERROR(__xludf.DUMMYFUNCTION("""COMPUTED_VALUE"""),"Grade")</f>
        <v>Grade</v>
      </c>
      <c r="C1" s="7" t="str">
        <f>IFERROR(__xludf.DUMMYFUNCTION("""COMPUTED_VALUE"""),"Prénom")</f>
        <v>Prénom</v>
      </c>
      <c r="D1" s="7" t="str">
        <f>IFERROR(__xludf.DUMMYFUNCTION("""COMPUTED_VALUE"""),"Nom")</f>
        <v>Nom</v>
      </c>
      <c r="E1" s="7" t="str">
        <f>IFERROR(__xludf.DUMMYFUNCTION("""COMPUTED_VALUE"""),"Corps")</f>
        <v>Corps</v>
      </c>
      <c r="F1" s="7" t="str">
        <f>IFERROR(__xludf.DUMMYFUNCTION("""COMPUTED_VALUE"""),"Spécialité")</f>
        <v>Spécialité</v>
      </c>
      <c r="G1" s="7" t="str">
        <f>IFERROR(__xludf.DUMMYFUNCTION("""COMPUTED_VALUE"""),"Status")</f>
        <v>Status</v>
      </c>
      <c r="H1" s="7" t="str">
        <f>IFERROR(__xludf.DUMMYFUNCTION("""COMPUTED_VALUE"""),"Métier")</f>
        <v>Métier</v>
      </c>
      <c r="I1" s="105" t="str">
        <f>IFERROR(__xludf.DUMMYFUNCTION("""COMPUTED_VALUE"""),"")</f>
        <v/>
      </c>
      <c r="J1" s="10" t="str">
        <f>IFERROR(__xludf.DUMMYFUNCTION("""COMPUTED_VALUE"""),"")</f>
        <v/>
      </c>
      <c r="K1" s="10" t="str">
        <f>IFERROR(__xludf.DUMMYFUNCTION("""COMPUTED_VALUE"""),"")</f>
        <v/>
      </c>
      <c r="L1" s="10" t="str">
        <f>IFERROR(__xludf.DUMMYFUNCTION("""COMPUTED_VALUE"""),"")</f>
        <v/>
      </c>
      <c r="M1" s="10" t="str">
        <f>IFERROR(__xludf.DUMMYFUNCTION("""COMPUTED_VALUE"""),"")</f>
        <v/>
      </c>
      <c r="N1" s="10" t="str">
        <f>IFERROR(__xludf.DUMMYFUNCTION("""COMPUTED_VALUE"""),"")</f>
        <v/>
      </c>
      <c r="O1" s="10" t="str">
        <f>IFERROR(__xludf.DUMMYFUNCTION("""COMPUTED_VALUE"""),"")</f>
        <v/>
      </c>
      <c r="P1" s="10" t="str">
        <f>IFERROR(__xludf.DUMMYFUNCTION("""COMPUTED_VALUE"""),"")</f>
        <v/>
      </c>
      <c r="Q1" s="10" t="str">
        <f>IFERROR(__xludf.DUMMYFUNCTION("""COMPUTED_VALUE"""),"")</f>
        <v/>
      </c>
      <c r="R1" s="10" t="str">
        <f>IFERROR(__xludf.DUMMYFUNCTION("""COMPUTED_VALUE"""),"")</f>
        <v/>
      </c>
      <c r="S1" s="10" t="str">
        <f>IFERROR(__xludf.DUMMYFUNCTION("""COMPUTED_VALUE"""),"")</f>
        <v/>
      </c>
      <c r="T1" s="10" t="str">
        <f>IFERROR(__xludf.DUMMYFUNCTION("""COMPUTED_VALUE"""),"")</f>
        <v/>
      </c>
      <c r="U1" s="10" t="str">
        <f>IFERROR(__xludf.DUMMYFUNCTION("""COMPUTED_VALUE"""),"")</f>
        <v/>
      </c>
      <c r="V1" s="10" t="str">
        <f>IFERROR(__xludf.DUMMYFUNCTION("""COMPUTED_VALUE"""),"")</f>
        <v/>
      </c>
      <c r="W1" s="10" t="str">
        <f>IFERROR(__xludf.DUMMYFUNCTION("""COMPUTED_VALUE"""),"")</f>
        <v/>
      </c>
      <c r="X1" s="10" t="str">
        <f>IFERROR(__xludf.DUMMYFUNCTION("""COMPUTED_VALUE"""),"")</f>
        <v/>
      </c>
      <c r="Y1" s="10" t="str">
        <f>IFERROR(__xludf.DUMMYFUNCTION("""COMPUTED_VALUE"""),"")</f>
        <v/>
      </c>
      <c r="Z1" s="9" t="str">
        <f>IFERROR(__xludf.DUMMYFUNCTION("""COMPUTED_VALUE"""),"")</f>
        <v/>
      </c>
    </row>
    <row r="2">
      <c r="A2" s="4" t="b">
        <f>IFERROR(__xludf.DUMMYFUNCTION("""COMPUTED_VALUE"""),TRUE)</f>
        <v>1</v>
      </c>
      <c r="B2" s="4" t="str">
        <f>IFERROR(__xludf.DUMMYFUNCTION("""COMPUTED_VALUE"""),"Capitaine")</f>
        <v>Capitaine</v>
      </c>
      <c r="C2" s="13" t="str">
        <f>IFERROR(__xludf.DUMMYFUNCTION("""COMPUTED_VALUE"""),"Glaemorandir")</f>
        <v>Glaemorandir</v>
      </c>
      <c r="D2" s="13" t="str">
        <f>IFERROR(__xludf.DUMMYFUNCTION("""COMPUTED_VALUE"""),"Oeil-Perçant")</f>
        <v>Oeil-Perçant</v>
      </c>
      <c r="E2" s="4" t="str">
        <f>IFERROR(__xludf.DUMMYFUNCTION("""COMPUTED_VALUE"""),"Eclaireur")</f>
        <v>Eclaireur</v>
      </c>
      <c r="F2" s="5" t="str">
        <f>IFERROR(__xludf.DUMMYFUNCTION("""COMPUTED_VALUE"""),"Eclaireur, Garde, Collecteur de la garde")</f>
        <v>Eclaireur, Garde, Collecteur de la garde</v>
      </c>
      <c r="G2" s="4" t="str">
        <f>IFERROR(__xludf.DUMMYFUNCTION("""COMPUTED_VALUE"""),"En service actif")</f>
        <v>En service actif</v>
      </c>
      <c r="H2" s="4" t="str">
        <f>IFERROR(__xludf.DUMMYFUNCTION("""COMPUTED_VALUE"""),"Chasseur")</f>
        <v>Chasseur</v>
      </c>
      <c r="I2" s="45"/>
      <c r="J2" s="38"/>
      <c r="K2" s="38"/>
      <c r="L2" s="38"/>
      <c r="M2" s="38"/>
      <c r="N2" s="38"/>
      <c r="O2" s="38"/>
      <c r="P2" s="38"/>
      <c r="Q2" s="38"/>
      <c r="R2" s="38"/>
      <c r="S2" s="38"/>
      <c r="T2" s="38"/>
      <c r="U2" s="38"/>
      <c r="V2" s="38"/>
      <c r="W2" s="38"/>
      <c r="X2" s="38"/>
      <c r="Y2" s="38"/>
      <c r="Z2" s="38"/>
    </row>
    <row r="3">
      <c r="A3" s="4" t="b">
        <f>IFERROR(__xludf.DUMMYFUNCTION("""COMPUTED_VALUE"""),TRUE)</f>
        <v>1</v>
      </c>
      <c r="B3" s="4" t="str">
        <f>IFERROR(__xludf.DUMMYFUNCTION("""COMPUTED_VALUE"""),"Capitaine")</f>
        <v>Capitaine</v>
      </c>
      <c r="C3" s="13" t="str">
        <f>IFERROR(__xludf.DUMMYFUNCTION("""COMPUTED_VALUE"""),"Clemnir")</f>
        <v>Clemnir</v>
      </c>
      <c r="D3" s="15" t="str">
        <f>IFERROR(__xludf.DUMMYFUNCTION("""COMPUTED_VALUE"""),"Arc-Vif")</f>
        <v>Arc-Vif</v>
      </c>
      <c r="E3" s="4" t="str">
        <f>IFERROR(__xludf.DUMMYFUNCTION("""COMPUTED_VALUE"""),"Eclaireur")</f>
        <v>Eclaireur</v>
      </c>
      <c r="F3" s="5" t="str">
        <f>IFERROR(__xludf.DUMMYFUNCTION("""COMPUTED_VALUE"""),"Eclaireur")</f>
        <v>Eclaireur</v>
      </c>
      <c r="G3" s="4" t="str">
        <f>IFERROR(__xludf.DUMMYFUNCTION("""COMPUTED_VALUE"""),"Mort en service actif")</f>
        <v>Mort en service actif</v>
      </c>
      <c r="H3" s="4" t="str">
        <f>IFERROR(__xludf.DUMMYFUNCTION("""COMPUTED_VALUE"""),"Chasseur")</f>
        <v>Chasseur</v>
      </c>
      <c r="I3" s="45"/>
      <c r="J3" s="38"/>
      <c r="K3" s="38"/>
      <c r="L3" s="38"/>
      <c r="M3" s="38"/>
      <c r="N3" s="38"/>
      <c r="O3" s="38"/>
      <c r="P3" s="38"/>
      <c r="Q3" s="38"/>
      <c r="R3" s="38"/>
      <c r="S3" s="38"/>
      <c r="T3" s="38"/>
      <c r="U3" s="38"/>
      <c r="V3" s="38"/>
      <c r="W3" s="38"/>
      <c r="X3" s="38"/>
      <c r="Y3" s="38"/>
      <c r="Z3" s="38"/>
    </row>
    <row r="4">
      <c r="A4" s="4" t="b">
        <f>IFERROR(__xludf.DUMMYFUNCTION("""COMPUTED_VALUE"""),TRUE)</f>
        <v>1</v>
      </c>
      <c r="B4" s="4" t="str">
        <f>IFERROR(__xludf.DUMMYFUNCTION("""COMPUTED_VALUE"""),"Sergent-Chef")</f>
        <v>Sergent-Chef</v>
      </c>
      <c r="C4" s="13" t="str">
        <f>IFERROR(__xludf.DUMMYFUNCTION("""COMPUTED_VALUE"""),"Magnar")</f>
        <v>Magnar</v>
      </c>
      <c r="D4" s="15" t="str">
        <f>IFERROR(__xludf.DUMMYFUNCTION("""COMPUTED_VALUE"""),"Traquebrume")</f>
        <v>Traquebrume</v>
      </c>
      <c r="E4" s="4" t="str">
        <f>IFERROR(__xludf.DUMMYFUNCTION("""COMPUTED_VALUE"""),"Eclaireur")</f>
        <v>Eclaireur</v>
      </c>
      <c r="F4" s="5" t="str">
        <f>IFERROR(__xludf.DUMMYFUNCTION("""COMPUTED_VALUE"""),"Eclaireur, Garde")</f>
        <v>Eclaireur, Garde</v>
      </c>
      <c r="G4" s="4" t="str">
        <f>IFERROR(__xludf.DUMMYFUNCTION("""COMPUTED_VALUE"""),"En service actif")</f>
        <v>En service actif</v>
      </c>
      <c r="H4" s="4" t="str">
        <f>IFERROR(__xludf.DUMMYFUNCTION("""COMPUTED_VALUE"""),"Chasseur")</f>
        <v>Chasseur</v>
      </c>
      <c r="I4" s="45"/>
      <c r="J4" s="38"/>
      <c r="K4" s="38"/>
      <c r="L4" s="38"/>
      <c r="M4" s="38"/>
      <c r="N4" s="38"/>
      <c r="O4" s="38"/>
      <c r="P4" s="38"/>
      <c r="Q4" s="38"/>
      <c r="R4" s="38"/>
      <c r="S4" s="38"/>
      <c r="T4" s="38"/>
      <c r="U4" s="38"/>
      <c r="V4" s="38"/>
      <c r="W4" s="38"/>
      <c r="X4" s="38"/>
      <c r="Y4" s="38"/>
      <c r="Z4" s="38"/>
    </row>
    <row r="5">
      <c r="A5" s="4" t="b">
        <f>IFERROR(__xludf.DUMMYFUNCTION("""COMPUTED_VALUE"""),TRUE)</f>
        <v>1</v>
      </c>
      <c r="B5" s="4" t="str">
        <f>IFERROR(__xludf.DUMMYFUNCTION("""COMPUTED_VALUE"""),"Lieutenant-Chef")</f>
        <v>Lieutenant-Chef</v>
      </c>
      <c r="C5" s="13" t="str">
        <f>IFERROR(__xludf.DUMMYFUNCTION("""COMPUTED_VALUE"""),"Pethiceor")</f>
        <v>Pethiceor</v>
      </c>
      <c r="D5" s="13" t="str">
        <f>IFERROR(__xludf.DUMMYFUNCTION("""COMPUTED_VALUE"""),"Le Borgne")</f>
        <v>Le Borgne</v>
      </c>
      <c r="E5" s="4" t="str">
        <f>IFERROR(__xludf.DUMMYFUNCTION("""COMPUTED_VALUE"""),"Eclaireur")</f>
        <v>Eclaireur</v>
      </c>
      <c r="F5" s="5" t="str">
        <f>IFERROR(__xludf.DUMMYFUNCTION("""COMPUTED_VALUE"""),"Eclaireur, Garde")</f>
        <v>Eclaireur, Garde</v>
      </c>
      <c r="G5" s="4" t="str">
        <f>IFERROR(__xludf.DUMMYFUNCTION("""COMPUTED_VALUE"""),"En service actif")</f>
        <v>En service actif</v>
      </c>
      <c r="H5" s="4" t="str">
        <f>IFERROR(__xludf.DUMMYFUNCTION("""COMPUTED_VALUE"""),"Chasseur")</f>
        <v>Chasseur</v>
      </c>
      <c r="I5" s="45"/>
      <c r="J5" s="38"/>
      <c r="K5" s="38"/>
      <c r="L5" s="38"/>
      <c r="M5" s="38"/>
      <c r="N5" s="38"/>
      <c r="O5" s="38"/>
      <c r="P5" s="38"/>
      <c r="Q5" s="38"/>
      <c r="R5" s="38"/>
      <c r="S5" s="38"/>
      <c r="T5" s="38"/>
      <c r="U5" s="38"/>
      <c r="V5" s="38"/>
      <c r="W5" s="38"/>
      <c r="X5" s="38"/>
      <c r="Y5" s="38"/>
      <c r="Z5" s="38"/>
    </row>
    <row r="6">
      <c r="A6" s="4" t="b">
        <f>IFERROR(__xludf.DUMMYFUNCTION("""COMPUTED_VALUE"""),TRUE)</f>
        <v>1</v>
      </c>
      <c r="B6" s="4" t="str">
        <f>IFERROR(__xludf.DUMMYFUNCTION("""COMPUTED_VALUE"""),"Garde")</f>
        <v>Garde</v>
      </c>
      <c r="C6" s="13" t="str">
        <f>IFERROR(__xludf.DUMMYFUNCTION("""COMPUTED_VALUE"""),"Ma'arl")</f>
        <v>Ma'arl</v>
      </c>
      <c r="D6" s="13"/>
      <c r="E6" s="4" t="str">
        <f>IFERROR(__xludf.DUMMYFUNCTION("""COMPUTED_VALUE"""),"Eclaireur")</f>
        <v>Eclaireur</v>
      </c>
      <c r="F6" s="5" t="str">
        <f>IFERROR(__xludf.DUMMYFUNCTION("""COMPUTED_VALUE"""),"Eclaireur, Garde")</f>
        <v>Eclaireur, Garde</v>
      </c>
      <c r="G6" s="4" t="str">
        <f>IFERROR(__xludf.DUMMYFUNCTION("""COMPUTED_VALUE"""),"En service actif")</f>
        <v>En service actif</v>
      </c>
      <c r="H6" s="4" t="str">
        <f>IFERROR(__xludf.DUMMYFUNCTION("""COMPUTED_VALUE"""),"Mineur")</f>
        <v>Mineur</v>
      </c>
      <c r="I6" s="14"/>
      <c r="J6" s="38"/>
      <c r="K6" s="38"/>
      <c r="L6" s="38"/>
      <c r="M6" s="38"/>
      <c r="N6" s="38"/>
      <c r="O6" s="38"/>
      <c r="P6" s="38"/>
      <c r="Q6" s="38"/>
      <c r="R6" s="38"/>
      <c r="S6" s="38"/>
      <c r="T6" s="38"/>
      <c r="U6" s="38"/>
      <c r="V6" s="38"/>
      <c r="W6" s="38"/>
      <c r="X6" s="38"/>
      <c r="Y6" s="38"/>
      <c r="Z6" s="38"/>
    </row>
    <row r="7">
      <c r="A7" s="4" t="b">
        <f>IFERROR(__xludf.DUMMYFUNCTION("""COMPUTED_VALUE"""),TRUE)</f>
        <v>1</v>
      </c>
      <c r="B7" s="4" t="str">
        <f>IFERROR(__xludf.DUMMYFUNCTION("""COMPUTED_VALUE"""),"Garde")</f>
        <v>Garde</v>
      </c>
      <c r="C7" s="13" t="str">
        <f>IFERROR(__xludf.DUMMYFUNCTION("""COMPUTED_VALUE"""),"Do'Rhazir")</f>
        <v>Do'Rhazir</v>
      </c>
      <c r="D7" s="13"/>
      <c r="E7" s="4" t="str">
        <f>IFERROR(__xludf.DUMMYFUNCTION("""COMPUTED_VALUE"""),"Eclaireur")</f>
        <v>Eclaireur</v>
      </c>
      <c r="F7" s="5" t="str">
        <f>IFERROR(__xludf.DUMMYFUNCTION("""COMPUTED_VALUE"""),"Eclaireur, Garde")</f>
        <v>Eclaireur, Garde</v>
      </c>
      <c r="G7" s="4" t="str">
        <f>IFERROR(__xludf.DUMMYFUNCTION("""COMPUTED_VALUE"""),"En service actif")</f>
        <v>En service actif</v>
      </c>
      <c r="H7" s="38" t="str">
        <f>IFERROR(__xludf.DUMMYFUNCTION("""COMPUTED_VALUE"""),"Menuisier-Charbonnier")</f>
        <v>Menuisier-Charbonnier</v>
      </c>
      <c r="I7" s="45"/>
      <c r="J7" s="38"/>
      <c r="K7" s="38"/>
      <c r="L7" s="38"/>
      <c r="M7" s="38"/>
      <c r="N7" s="38"/>
      <c r="O7" s="38"/>
      <c r="P7" s="38"/>
      <c r="Q7" s="38"/>
      <c r="R7" s="38"/>
      <c r="S7" s="38"/>
      <c r="T7" s="38"/>
      <c r="U7" s="38"/>
      <c r="V7" s="38"/>
      <c r="W7" s="38"/>
      <c r="X7" s="38"/>
      <c r="Y7" s="38"/>
      <c r="Z7" s="38"/>
    </row>
    <row r="8">
      <c r="A8" s="4" t="b">
        <f>IFERROR(__xludf.DUMMYFUNCTION("""COMPUTED_VALUE"""),TRUE)</f>
        <v>1</v>
      </c>
      <c r="B8" s="4" t="str">
        <f>IFERROR(__xludf.DUMMYFUNCTION("""COMPUTED_VALUE"""),"Garde")</f>
        <v>Garde</v>
      </c>
      <c r="C8" s="13" t="str">
        <f>IFERROR(__xludf.DUMMYFUNCTION("""COMPUTED_VALUE"""),"Ri'Jhan")</f>
        <v>Ri'Jhan</v>
      </c>
      <c r="D8" s="13" t="str">
        <f>IFERROR(__xludf.DUMMYFUNCTION("""COMPUTED_VALUE"""),"MoonShadow")</f>
        <v>MoonShadow</v>
      </c>
      <c r="E8" s="4" t="str">
        <f>IFERROR(__xludf.DUMMYFUNCTION("""COMPUTED_VALUE"""),"Eclaireur")</f>
        <v>Eclaireur</v>
      </c>
      <c r="F8" s="5" t="str">
        <f>IFERROR(__xludf.DUMMYFUNCTION("""COMPUTED_VALUE"""),"Garde, Eclaireur")</f>
        <v>Garde, Eclaireur</v>
      </c>
      <c r="G8" s="4" t="str">
        <f>IFERROR(__xludf.DUMMYFUNCTION("""COMPUTED_VALUE"""),"En service actif")</f>
        <v>En service actif</v>
      </c>
      <c r="H8" s="38"/>
      <c r="I8" s="45"/>
      <c r="J8" s="38"/>
      <c r="K8" s="38"/>
      <c r="L8" s="38"/>
      <c r="M8" s="38"/>
      <c r="N8" s="38"/>
      <c r="O8" s="38"/>
      <c r="P8" s="38"/>
      <c r="Q8" s="38"/>
      <c r="R8" s="38"/>
      <c r="S8" s="38"/>
      <c r="T8" s="38"/>
      <c r="U8" s="38"/>
      <c r="V8" s="38"/>
      <c r="W8" s="38"/>
      <c r="X8" s="38"/>
      <c r="Y8" s="38"/>
      <c r="Z8" s="38"/>
    </row>
    <row r="9">
      <c r="A9" s="4" t="b">
        <f>IFERROR(__xludf.DUMMYFUNCTION("""COMPUTED_VALUE"""),TRUE)</f>
        <v>1</v>
      </c>
      <c r="B9" s="4" t="str">
        <f>IFERROR(__xludf.DUMMYFUNCTION("""COMPUTED_VALUE"""),"Garde")</f>
        <v>Garde</v>
      </c>
      <c r="C9" s="13" t="str">
        <f>IFERROR(__xludf.DUMMYFUNCTION("""COMPUTED_VALUE"""),"Jo'Vakhet")</f>
        <v>Jo'Vakhet</v>
      </c>
      <c r="D9" s="107"/>
      <c r="E9" s="4" t="str">
        <f>IFERROR(__xludf.DUMMYFUNCTION("""COMPUTED_VALUE"""),"Eclaireur")</f>
        <v>Eclaireur</v>
      </c>
      <c r="F9" s="5" t="str">
        <f>IFERROR(__xludf.DUMMYFUNCTION("""COMPUTED_VALUE"""),"Eclaireur, Garde")</f>
        <v>Eclaireur, Garde</v>
      </c>
      <c r="G9" s="4" t="str">
        <f>IFERROR(__xludf.DUMMYFUNCTION("""COMPUTED_VALUE"""),"En service actif")</f>
        <v>En service actif</v>
      </c>
      <c r="H9" s="4"/>
      <c r="I9" s="45"/>
      <c r="J9" s="38"/>
      <c r="K9" s="38"/>
      <c r="L9" s="38"/>
      <c r="M9" s="38"/>
      <c r="N9" s="38"/>
      <c r="O9" s="38"/>
      <c r="P9" s="38"/>
      <c r="Q9" s="38"/>
      <c r="R9" s="38"/>
      <c r="S9" s="38"/>
      <c r="T9" s="38"/>
      <c r="U9" s="38"/>
      <c r="V9" s="38"/>
      <c r="W9" s="38"/>
      <c r="X9" s="38"/>
      <c r="Y9" s="38"/>
      <c r="Z9" s="38"/>
    </row>
    <row r="10">
      <c r="A10" s="38" t="b">
        <f>IFERROR(__xludf.DUMMYFUNCTION("""COMPUTED_VALUE"""),FALSE)</f>
        <v>0</v>
      </c>
      <c r="B10" s="4" t="str">
        <f>IFERROR(__xludf.DUMMYFUNCTION("""COMPUTED_VALUE"""),"Cadet")</f>
        <v>Cadet</v>
      </c>
      <c r="C10" s="13" t="str">
        <f>IFERROR(__xludf.DUMMYFUNCTION("""COMPUTED_VALUE"""),"Crocozaure")</f>
        <v>Crocozaure</v>
      </c>
      <c r="D10" s="13"/>
      <c r="E10" s="4" t="str">
        <f>IFERROR(__xludf.DUMMYFUNCTION("""COMPUTED_VALUE"""),"Eclaireur")</f>
        <v>Eclaireur</v>
      </c>
      <c r="F10" s="5" t="str">
        <f>IFERROR(__xludf.DUMMYFUNCTION("""COMPUTED_VALUE"""),"Garde, Eclaireur")</f>
        <v>Garde, Eclaireur</v>
      </c>
      <c r="G10" s="4" t="str">
        <f>IFERROR(__xludf.DUMMYFUNCTION("""COMPUTED_VALUE"""),"En service actif")</f>
        <v>En service actif</v>
      </c>
      <c r="H10" s="38"/>
      <c r="I10" s="108"/>
      <c r="J10" s="38"/>
      <c r="K10" s="38"/>
      <c r="L10" s="38"/>
      <c r="M10" s="38"/>
      <c r="N10" s="38"/>
      <c r="O10" s="38"/>
      <c r="P10" s="38"/>
      <c r="Q10" s="38"/>
      <c r="R10" s="38"/>
      <c r="S10" s="38"/>
      <c r="T10" s="38"/>
      <c r="U10" s="38"/>
      <c r="V10" s="38"/>
      <c r="W10" s="38"/>
      <c r="X10" s="38"/>
      <c r="Y10" s="38"/>
      <c r="Z10" s="38"/>
    </row>
    <row r="11">
      <c r="A11" s="38"/>
      <c r="B11" s="4"/>
      <c r="C11" s="13"/>
      <c r="D11" s="15"/>
      <c r="E11" s="4"/>
      <c r="F11" s="5"/>
      <c r="G11" s="4"/>
      <c r="H11" s="38"/>
      <c r="I11" s="108"/>
    </row>
    <row r="12">
      <c r="A12" s="4"/>
      <c r="B12" s="4"/>
      <c r="C12" s="13"/>
      <c r="D12" s="15"/>
      <c r="E12" s="4"/>
      <c r="F12" s="5"/>
      <c r="G12" s="4"/>
      <c r="H12" s="4"/>
      <c r="I12" s="45"/>
    </row>
    <row r="13">
      <c r="A13" s="4"/>
      <c r="B13" s="4"/>
      <c r="C13" s="13"/>
      <c r="D13" s="15"/>
      <c r="E13" s="4"/>
      <c r="F13" s="5"/>
      <c r="G13" s="4"/>
      <c r="H13" s="4"/>
      <c r="I13" s="45"/>
    </row>
    <row r="14">
      <c r="A14" s="4"/>
      <c r="B14" s="4"/>
      <c r="C14" s="13"/>
      <c r="D14" s="13"/>
      <c r="E14" s="4"/>
      <c r="F14" s="5"/>
      <c r="G14" s="4"/>
      <c r="H14" s="38"/>
      <c r="I14" s="45"/>
    </row>
    <row r="15">
      <c r="A15" s="4"/>
      <c r="B15" s="4"/>
      <c r="C15" s="13"/>
      <c r="D15" s="13"/>
      <c r="E15" s="4"/>
      <c r="F15" s="5"/>
      <c r="G15" s="4"/>
      <c r="H15" s="38"/>
      <c r="I15" s="45"/>
    </row>
    <row r="16">
      <c r="A16" s="4"/>
      <c r="B16" s="4"/>
      <c r="C16" s="13"/>
      <c r="D16" s="13"/>
      <c r="E16" s="4"/>
      <c r="F16" s="5"/>
      <c r="G16" s="4"/>
      <c r="H16" s="38"/>
      <c r="I16" s="45"/>
    </row>
    <row r="17">
      <c r="A17" s="4"/>
      <c r="B17" s="4"/>
      <c r="C17" s="13"/>
      <c r="D17" s="13"/>
      <c r="E17" s="4"/>
      <c r="F17" s="5"/>
      <c r="G17" s="4"/>
      <c r="H17" s="38"/>
      <c r="I17" s="45"/>
    </row>
    <row r="18">
      <c r="A18" s="4"/>
      <c r="B18" s="4"/>
      <c r="C18" s="13"/>
      <c r="D18" s="15"/>
      <c r="E18" s="4"/>
      <c r="F18" s="5"/>
      <c r="G18" s="4"/>
      <c r="H18" s="38"/>
      <c r="I18" s="45"/>
    </row>
    <row r="19">
      <c r="A19" s="4"/>
      <c r="B19" s="4"/>
      <c r="C19" s="13"/>
      <c r="D19" s="15"/>
      <c r="E19" s="4"/>
      <c r="F19" s="5"/>
      <c r="G19" s="4"/>
      <c r="H19" s="38"/>
      <c r="I19" s="45"/>
    </row>
    <row r="20">
      <c r="A20" s="4"/>
      <c r="B20" s="4"/>
      <c r="C20" s="13"/>
      <c r="D20" s="15"/>
      <c r="E20" s="4"/>
      <c r="F20" s="5"/>
      <c r="G20" s="4"/>
      <c r="H20" s="38"/>
      <c r="I20" s="45"/>
    </row>
    <row r="21">
      <c r="A21" s="4"/>
      <c r="B21" s="4"/>
      <c r="C21" s="13"/>
      <c r="D21" s="13"/>
      <c r="E21" s="4"/>
      <c r="F21" s="5"/>
      <c r="G21" s="4"/>
      <c r="H21" s="4"/>
      <c r="I21" s="14"/>
    </row>
    <row r="22">
      <c r="A22" s="4"/>
      <c r="B22" s="4"/>
      <c r="C22" s="13"/>
      <c r="D22" s="13"/>
      <c r="E22" s="4"/>
      <c r="F22" s="5"/>
      <c r="G22" s="4"/>
      <c r="H22" s="4"/>
      <c r="I22" s="14"/>
    </row>
    <row r="23">
      <c r="A23" s="4"/>
      <c r="B23" s="4"/>
      <c r="C23" s="13"/>
      <c r="D23" s="13"/>
      <c r="E23" s="4"/>
      <c r="F23" s="5"/>
      <c r="G23" s="4"/>
      <c r="H23" s="4"/>
      <c r="I23" s="14"/>
    </row>
    <row r="24">
      <c r="A24" s="4"/>
      <c r="B24" s="4"/>
      <c r="C24" s="13"/>
      <c r="D24" s="15"/>
      <c r="E24" s="4"/>
      <c r="F24" s="5"/>
      <c r="G24" s="4"/>
      <c r="H24" s="38"/>
      <c r="I24" s="14"/>
    </row>
    <row r="25">
      <c r="A25" s="4"/>
      <c r="B25" s="4"/>
      <c r="C25" s="13"/>
      <c r="D25" s="13"/>
      <c r="E25" s="4"/>
      <c r="F25" s="5"/>
      <c r="G25" s="4"/>
      <c r="H25" s="38"/>
      <c r="I25" s="45"/>
    </row>
    <row r="26">
      <c r="A26" s="4"/>
      <c r="B26" s="4"/>
      <c r="C26" s="13"/>
      <c r="D26" s="15"/>
      <c r="E26" s="4"/>
      <c r="F26" s="5"/>
      <c r="G26" s="4"/>
      <c r="H26" s="38"/>
      <c r="I26" s="45"/>
    </row>
    <row r="27">
      <c r="A27" s="4"/>
      <c r="B27" s="4"/>
      <c r="C27" s="13"/>
      <c r="D27" s="15"/>
      <c r="E27" s="4"/>
      <c r="F27" s="5"/>
      <c r="G27" s="4"/>
      <c r="H27" s="38"/>
      <c r="I27" s="45"/>
    </row>
    <row r="28">
      <c r="A28" s="4"/>
      <c r="B28" s="4"/>
      <c r="C28" s="13"/>
      <c r="D28" s="13"/>
      <c r="E28" s="4"/>
      <c r="F28" s="5"/>
      <c r="G28" s="4"/>
      <c r="H28" s="38"/>
      <c r="I28" s="45"/>
    </row>
    <row r="29">
      <c r="A29" s="4"/>
      <c r="B29" s="4"/>
      <c r="C29" s="13"/>
      <c r="D29" s="13"/>
      <c r="E29" s="4"/>
      <c r="F29" s="5"/>
      <c r="G29" s="4"/>
      <c r="H29" s="38"/>
      <c r="I29" s="45"/>
    </row>
    <row r="30">
      <c r="A30" s="4"/>
      <c r="B30" s="4"/>
      <c r="C30" s="13"/>
      <c r="D30" s="15"/>
      <c r="E30" s="4"/>
      <c r="F30" s="5"/>
      <c r="G30" s="4"/>
      <c r="H30" s="38"/>
      <c r="I30" s="45"/>
    </row>
    <row r="31">
      <c r="A31" s="4"/>
      <c r="B31" s="4"/>
      <c r="C31" s="13"/>
      <c r="D31" s="15"/>
      <c r="E31" s="4"/>
      <c r="F31" s="5"/>
      <c r="G31" s="4"/>
      <c r="H31" s="38"/>
      <c r="I31" s="45"/>
    </row>
    <row r="32">
      <c r="A32" s="4"/>
      <c r="B32" s="4"/>
      <c r="C32" s="13"/>
      <c r="D32" s="13"/>
      <c r="E32" s="4"/>
      <c r="F32" s="5"/>
      <c r="G32" s="4"/>
      <c r="H32" s="38"/>
      <c r="I32" s="45"/>
    </row>
    <row r="33">
      <c r="A33" s="4"/>
      <c r="B33" s="4"/>
      <c r="C33" s="13"/>
      <c r="D33" s="13"/>
      <c r="E33" s="4"/>
      <c r="F33" s="5"/>
      <c r="G33" s="4"/>
      <c r="H33" s="38"/>
      <c r="I33" s="45"/>
    </row>
    <row r="34">
      <c r="A34" s="38"/>
      <c r="B34" s="4"/>
      <c r="C34" s="13"/>
      <c r="D34" s="15"/>
      <c r="E34" s="4"/>
      <c r="F34" s="5"/>
      <c r="G34" s="4"/>
      <c r="H34" s="38"/>
      <c r="I34" s="108"/>
    </row>
    <row r="35">
      <c r="A35" s="4"/>
      <c r="B35" s="4"/>
      <c r="C35" s="13"/>
      <c r="D35" s="15"/>
      <c r="E35" s="4"/>
      <c r="F35" s="5"/>
      <c r="G35" s="4"/>
      <c r="H35" s="38"/>
      <c r="I35" s="45"/>
    </row>
    <row r="36">
      <c r="A36" s="4"/>
      <c r="B36" s="4"/>
      <c r="C36" s="13"/>
      <c r="D36" s="13"/>
      <c r="E36" s="4"/>
      <c r="F36" s="5"/>
      <c r="G36" s="4"/>
      <c r="H36" s="38"/>
      <c r="I36" s="45"/>
    </row>
    <row r="37">
      <c r="A37" s="38"/>
      <c r="B37" s="4"/>
      <c r="C37" s="13"/>
      <c r="D37" s="13"/>
      <c r="E37" s="4"/>
      <c r="F37" s="5"/>
      <c r="G37" s="4"/>
      <c r="H37" s="38"/>
      <c r="I37" s="108"/>
    </row>
    <row r="38">
      <c r="A38" s="38"/>
      <c r="B38" s="4"/>
      <c r="C38" s="13"/>
      <c r="D38" s="13"/>
      <c r="E38" s="4"/>
      <c r="F38" s="5"/>
      <c r="G38" s="4"/>
      <c r="H38" s="38"/>
      <c r="I38" s="108"/>
    </row>
    <row r="39">
      <c r="A39" s="38"/>
      <c r="B39" s="4"/>
      <c r="C39" s="13"/>
      <c r="D39" s="15"/>
      <c r="E39" s="4"/>
      <c r="F39" s="5"/>
      <c r="G39" s="4"/>
      <c r="H39" s="38"/>
      <c r="I39" s="108"/>
    </row>
    <row r="40">
      <c r="A40" s="38"/>
      <c r="B40" s="38"/>
      <c r="C40" s="15"/>
      <c r="D40" s="15"/>
      <c r="E40" s="38"/>
      <c r="F40" s="38"/>
      <c r="G40" s="38"/>
      <c r="H40" s="38"/>
      <c r="I40" s="108"/>
    </row>
    <row r="41">
      <c r="A41" s="38"/>
      <c r="B41" s="38"/>
      <c r="C41" s="15"/>
      <c r="D41" s="15"/>
      <c r="E41" s="38"/>
      <c r="F41" s="38"/>
      <c r="G41" s="38"/>
      <c r="H41" s="38"/>
      <c r="I41" s="108"/>
    </row>
    <row r="42">
      <c r="A42" s="38"/>
      <c r="B42" s="38"/>
      <c r="C42" s="15"/>
      <c r="D42" s="15"/>
      <c r="E42" s="38"/>
      <c r="F42" s="38"/>
      <c r="G42" s="38"/>
      <c r="H42" s="38"/>
      <c r="I42" s="108"/>
    </row>
    <row r="43">
      <c r="A43" s="38"/>
      <c r="B43" s="38"/>
      <c r="C43" s="15"/>
      <c r="D43" s="15"/>
      <c r="E43" s="38"/>
      <c r="F43" s="38"/>
      <c r="G43" s="38"/>
      <c r="H43" s="38"/>
      <c r="I43" s="108"/>
    </row>
    <row r="44">
      <c r="A44" s="38"/>
      <c r="B44" s="38"/>
      <c r="C44" s="15"/>
      <c r="D44" s="15"/>
      <c r="E44" s="38"/>
      <c r="F44" s="38"/>
      <c r="G44" s="38"/>
      <c r="H44" s="38"/>
      <c r="I44" s="108"/>
    </row>
    <row r="45">
      <c r="A45" s="38"/>
      <c r="B45" s="38"/>
      <c r="C45" s="15"/>
      <c r="D45" s="15"/>
      <c r="E45" s="38"/>
      <c r="F45" s="38"/>
      <c r="G45" s="38"/>
      <c r="H45" s="38"/>
      <c r="I45" s="108"/>
    </row>
    <row r="46">
      <c r="A46" s="38"/>
      <c r="B46" s="38"/>
      <c r="C46" s="15"/>
      <c r="D46" s="15"/>
      <c r="E46" s="38"/>
      <c r="F46" s="38"/>
      <c r="G46" s="38"/>
      <c r="H46" s="38"/>
      <c r="I46" s="108"/>
    </row>
    <row r="47">
      <c r="A47" s="38"/>
      <c r="B47" s="38"/>
      <c r="C47" s="15"/>
      <c r="D47" s="15"/>
      <c r="E47" s="38"/>
      <c r="F47" s="38"/>
      <c r="G47" s="38"/>
      <c r="H47" s="38"/>
      <c r="I47" s="108"/>
    </row>
    <row r="48">
      <c r="A48" s="38"/>
      <c r="B48" s="38"/>
      <c r="C48" s="15"/>
      <c r="D48" s="15"/>
      <c r="E48" s="38"/>
      <c r="F48" s="38"/>
      <c r="G48" s="38"/>
      <c r="H48" s="38"/>
      <c r="I48" s="108"/>
    </row>
    <row r="49">
      <c r="A49" s="38"/>
      <c r="B49" s="38"/>
      <c r="C49" s="15"/>
      <c r="D49" s="15"/>
      <c r="E49" s="38"/>
      <c r="F49" s="38"/>
      <c r="G49" s="38"/>
      <c r="H49" s="38"/>
      <c r="I49" s="108"/>
    </row>
    <row r="50">
      <c r="A50" s="38"/>
      <c r="B50" s="38"/>
      <c r="C50" s="15"/>
      <c r="D50" s="15"/>
      <c r="E50" s="38"/>
      <c r="F50" s="38"/>
      <c r="G50" s="38"/>
      <c r="H50" s="38"/>
      <c r="I50" s="108"/>
    </row>
    <row r="51">
      <c r="A51" s="38"/>
      <c r="B51" s="38"/>
      <c r="C51" s="15"/>
      <c r="D51" s="15"/>
      <c r="E51" s="38"/>
      <c r="F51" s="38"/>
      <c r="G51" s="38"/>
      <c r="H51" s="38"/>
      <c r="I51" s="108"/>
    </row>
    <row r="52">
      <c r="A52" s="38"/>
      <c r="B52" s="38"/>
      <c r="C52" s="15"/>
      <c r="D52" s="15"/>
      <c r="E52" s="38"/>
      <c r="F52" s="38"/>
      <c r="G52" s="38"/>
      <c r="H52" s="38"/>
      <c r="I52" s="108"/>
    </row>
    <row r="53">
      <c r="A53" s="38"/>
      <c r="B53" s="38"/>
      <c r="C53" s="15"/>
      <c r="D53" s="15"/>
      <c r="E53" s="38"/>
      <c r="F53" s="38"/>
      <c r="G53" s="38"/>
      <c r="H53" s="38"/>
      <c r="I53" s="108"/>
    </row>
    <row r="54">
      <c r="A54" s="38"/>
      <c r="B54" s="38"/>
      <c r="C54" s="15"/>
      <c r="D54" s="15"/>
      <c r="E54" s="38"/>
      <c r="F54" s="38"/>
      <c r="G54" s="38"/>
      <c r="H54" s="38"/>
      <c r="I54" s="108"/>
    </row>
    <row r="55">
      <c r="A55" s="38"/>
      <c r="B55" s="38"/>
      <c r="C55" s="15"/>
      <c r="D55" s="15"/>
      <c r="E55" s="38"/>
      <c r="F55" s="38"/>
      <c r="G55" s="38"/>
      <c r="H55" s="38"/>
      <c r="I55" s="108"/>
    </row>
    <row r="56">
      <c r="A56" s="38"/>
      <c r="B56" s="38"/>
      <c r="C56" s="15"/>
      <c r="D56" s="15"/>
      <c r="E56" s="38"/>
      <c r="F56" s="38"/>
      <c r="G56" s="38"/>
      <c r="H56" s="38"/>
      <c r="I56" s="108"/>
    </row>
    <row r="57">
      <c r="A57" s="38"/>
      <c r="B57" s="38"/>
      <c r="C57" s="15"/>
      <c r="D57" s="15"/>
      <c r="E57" s="38"/>
      <c r="F57" s="38"/>
      <c r="G57" s="38"/>
      <c r="H57" s="38"/>
      <c r="I57" s="108"/>
    </row>
    <row r="58">
      <c r="A58" s="38"/>
      <c r="B58" s="38"/>
      <c r="C58" s="15"/>
      <c r="D58" s="15"/>
      <c r="E58" s="38"/>
      <c r="F58" s="38"/>
      <c r="G58" s="38"/>
      <c r="H58" s="38"/>
      <c r="I58" s="108"/>
    </row>
    <row r="59">
      <c r="A59" s="38"/>
      <c r="B59" s="38"/>
      <c r="C59" s="15"/>
      <c r="D59" s="15"/>
      <c r="E59" s="38"/>
      <c r="F59" s="38"/>
      <c r="G59" s="38"/>
      <c r="H59" s="38"/>
      <c r="I59" s="108"/>
    </row>
    <row r="60">
      <c r="A60" s="38"/>
      <c r="B60" s="38"/>
      <c r="C60" s="15"/>
      <c r="D60" s="15"/>
      <c r="E60" s="38"/>
      <c r="F60" s="38"/>
      <c r="G60" s="38"/>
      <c r="H60" s="38"/>
      <c r="I60" s="108"/>
    </row>
    <row r="61">
      <c r="A61" s="38"/>
      <c r="B61" s="38"/>
      <c r="C61" s="15"/>
      <c r="D61" s="15"/>
      <c r="E61" s="38"/>
      <c r="F61" s="38"/>
      <c r="G61" s="38"/>
      <c r="H61" s="38"/>
      <c r="I61" s="108"/>
    </row>
    <row r="62">
      <c r="A62" s="38"/>
      <c r="B62" s="38"/>
      <c r="C62" s="15"/>
      <c r="D62" s="15"/>
      <c r="E62" s="38"/>
      <c r="F62" s="38"/>
      <c r="G62" s="38"/>
      <c r="H62" s="38"/>
      <c r="I62" s="108"/>
    </row>
    <row r="63">
      <c r="A63" s="38"/>
      <c r="B63" s="38"/>
      <c r="C63" s="15"/>
      <c r="D63" s="15"/>
      <c r="E63" s="38"/>
      <c r="F63" s="38"/>
      <c r="G63" s="38"/>
      <c r="H63" s="38"/>
      <c r="I63" s="108"/>
    </row>
    <row r="64">
      <c r="A64" s="38"/>
      <c r="B64" s="38"/>
      <c r="C64" s="15"/>
      <c r="D64" s="15"/>
      <c r="E64" s="38"/>
      <c r="F64" s="38"/>
      <c r="G64" s="38"/>
      <c r="H64" s="38"/>
      <c r="I64" s="108"/>
    </row>
    <row r="65">
      <c r="A65" s="38"/>
      <c r="B65" s="38"/>
      <c r="C65" s="15"/>
      <c r="D65" s="15"/>
      <c r="E65" s="38"/>
      <c r="F65" s="38"/>
      <c r="G65" s="38"/>
      <c r="H65" s="38"/>
      <c r="I65" s="108"/>
    </row>
    <row r="66">
      <c r="A66" s="38"/>
      <c r="B66" s="38"/>
      <c r="C66" s="15"/>
      <c r="D66" s="15"/>
      <c r="E66" s="38"/>
      <c r="F66" s="38"/>
      <c r="G66" s="38"/>
      <c r="H66" s="38"/>
      <c r="I66" s="108"/>
    </row>
    <row r="67">
      <c r="A67" s="38"/>
      <c r="B67" s="38"/>
      <c r="C67" s="15"/>
      <c r="D67" s="15"/>
      <c r="E67" s="38"/>
      <c r="F67" s="38"/>
      <c r="G67" s="38"/>
      <c r="H67" s="38"/>
      <c r="I67" s="108"/>
    </row>
    <row r="68">
      <c r="A68" s="38"/>
      <c r="B68" s="38"/>
      <c r="C68" s="15"/>
      <c r="D68" s="15"/>
      <c r="E68" s="38"/>
      <c r="F68" s="38"/>
      <c r="G68" s="38"/>
      <c r="H68" s="38"/>
      <c r="I68" s="108"/>
    </row>
    <row r="69">
      <c r="A69" s="38"/>
      <c r="B69" s="38"/>
      <c r="C69" s="15"/>
      <c r="D69" s="15"/>
      <c r="E69" s="38"/>
      <c r="F69" s="38"/>
      <c r="G69" s="38"/>
      <c r="H69" s="38"/>
      <c r="I69" s="108"/>
    </row>
    <row r="70">
      <c r="A70" s="38"/>
      <c r="B70" s="38"/>
      <c r="C70" s="15"/>
      <c r="D70" s="15"/>
      <c r="E70" s="38"/>
      <c r="F70" s="38"/>
      <c r="G70" s="38"/>
      <c r="H70" s="38"/>
      <c r="I70" s="108"/>
    </row>
    <row r="71">
      <c r="A71" s="38"/>
      <c r="B71" s="38"/>
      <c r="C71" s="15"/>
      <c r="D71" s="15"/>
      <c r="E71" s="38"/>
      <c r="F71" s="38"/>
      <c r="G71" s="38"/>
      <c r="H71" s="38"/>
      <c r="I71" s="108"/>
    </row>
    <row r="72">
      <c r="A72" s="38"/>
      <c r="B72" s="38"/>
      <c r="C72" s="15"/>
      <c r="D72" s="15"/>
      <c r="E72" s="38"/>
      <c r="F72" s="38"/>
      <c r="G72" s="38"/>
      <c r="H72" s="38"/>
      <c r="I72" s="108"/>
    </row>
    <row r="73">
      <c r="A73" s="38"/>
      <c r="B73" s="38"/>
      <c r="C73" s="15"/>
      <c r="D73" s="15"/>
      <c r="E73" s="38"/>
      <c r="F73" s="38"/>
      <c r="G73" s="38"/>
      <c r="H73" s="38"/>
      <c r="I73" s="108"/>
    </row>
    <row r="74">
      <c r="A74" s="38"/>
      <c r="B74" s="38"/>
      <c r="C74" s="15"/>
      <c r="D74" s="15"/>
      <c r="E74" s="38"/>
      <c r="F74" s="38"/>
      <c r="G74" s="38"/>
      <c r="H74" s="38"/>
      <c r="I74" s="108"/>
    </row>
    <row r="75">
      <c r="A75" s="38"/>
      <c r="B75" s="38"/>
      <c r="C75" s="15"/>
      <c r="D75" s="15"/>
      <c r="E75" s="38"/>
      <c r="F75" s="38"/>
      <c r="G75" s="38"/>
      <c r="H75" s="38"/>
      <c r="I75" s="108"/>
    </row>
    <row r="76">
      <c r="A76" s="38"/>
      <c r="B76" s="38"/>
      <c r="C76" s="15"/>
      <c r="D76" s="15"/>
      <c r="E76" s="38"/>
      <c r="F76" s="38"/>
      <c r="G76" s="38"/>
      <c r="H76" s="38"/>
      <c r="I76" s="108"/>
    </row>
    <row r="77">
      <c r="A77" s="38"/>
      <c r="B77" s="38"/>
      <c r="C77" s="15"/>
      <c r="D77" s="15"/>
      <c r="E77" s="38"/>
      <c r="F77" s="38"/>
      <c r="G77" s="38"/>
      <c r="H77" s="38"/>
      <c r="I77" s="108"/>
    </row>
    <row r="78">
      <c r="A78" s="38"/>
      <c r="B78" s="38"/>
      <c r="C78" s="15"/>
      <c r="D78" s="15"/>
      <c r="E78" s="38"/>
      <c r="F78" s="38"/>
      <c r="G78" s="38"/>
      <c r="H78" s="38"/>
      <c r="I78" s="108"/>
    </row>
    <row r="79">
      <c r="A79" s="38"/>
      <c r="B79" s="38"/>
      <c r="C79" s="15"/>
      <c r="D79" s="15"/>
      <c r="E79" s="38"/>
      <c r="F79" s="38"/>
      <c r="G79" s="38"/>
      <c r="H79" s="38"/>
      <c r="I79" s="108"/>
    </row>
    <row r="80">
      <c r="A80" s="38"/>
      <c r="B80" s="38"/>
      <c r="C80" s="15"/>
      <c r="D80" s="15"/>
      <c r="E80" s="38"/>
      <c r="F80" s="38"/>
      <c r="G80" s="38"/>
      <c r="H80" s="38"/>
      <c r="I80" s="108"/>
    </row>
    <row r="81">
      <c r="A81" s="38"/>
      <c r="B81" s="38"/>
      <c r="C81" s="15"/>
      <c r="D81" s="15"/>
      <c r="E81" s="38"/>
      <c r="F81" s="38"/>
      <c r="G81" s="38"/>
      <c r="H81" s="38"/>
      <c r="I81" s="108"/>
    </row>
    <row r="82">
      <c r="A82" s="38"/>
      <c r="B82" s="38"/>
      <c r="C82" s="15"/>
      <c r="D82" s="15"/>
      <c r="E82" s="38"/>
      <c r="F82" s="38"/>
      <c r="G82" s="38"/>
      <c r="H82" s="38"/>
      <c r="I82" s="108"/>
    </row>
    <row r="83">
      <c r="A83" s="38"/>
      <c r="B83" s="38"/>
      <c r="C83" s="15"/>
      <c r="D83" s="15"/>
      <c r="E83" s="38"/>
      <c r="F83" s="38"/>
      <c r="G83" s="38"/>
      <c r="H83" s="38"/>
      <c r="I83" s="108"/>
    </row>
    <row r="84">
      <c r="A84" s="38"/>
      <c r="B84" s="38"/>
      <c r="C84" s="15"/>
      <c r="D84" s="15"/>
      <c r="E84" s="38"/>
      <c r="F84" s="38"/>
      <c r="G84" s="38"/>
      <c r="H84" s="38"/>
      <c r="I84" s="108"/>
    </row>
    <row r="85">
      <c r="A85" s="38"/>
      <c r="B85" s="38"/>
      <c r="C85" s="15"/>
      <c r="D85" s="15"/>
      <c r="E85" s="38"/>
      <c r="F85" s="38"/>
      <c r="G85" s="38"/>
      <c r="H85" s="38"/>
      <c r="I85" s="108"/>
    </row>
    <row r="86">
      <c r="A86" s="38"/>
      <c r="B86" s="38"/>
      <c r="C86" s="15"/>
      <c r="D86" s="15"/>
      <c r="E86" s="38"/>
      <c r="F86" s="38"/>
      <c r="G86" s="38"/>
      <c r="H86" s="38"/>
      <c r="I86" s="108"/>
    </row>
    <row r="87">
      <c r="A87" s="38"/>
      <c r="B87" s="38"/>
      <c r="C87" s="15"/>
      <c r="D87" s="15"/>
      <c r="E87" s="38"/>
      <c r="F87" s="38"/>
      <c r="G87" s="38"/>
      <c r="H87" s="38"/>
      <c r="I87" s="108"/>
    </row>
    <row r="88">
      <c r="A88" s="38"/>
      <c r="B88" s="38"/>
      <c r="C88" s="15"/>
      <c r="D88" s="15"/>
      <c r="E88" s="38"/>
      <c r="F88" s="38"/>
      <c r="G88" s="38"/>
      <c r="H88" s="38"/>
      <c r="I88" s="108"/>
    </row>
    <row r="89">
      <c r="A89" s="38"/>
      <c r="B89" s="38"/>
      <c r="C89" s="15"/>
      <c r="D89" s="15"/>
      <c r="E89" s="38"/>
      <c r="F89" s="38"/>
      <c r="G89" s="38"/>
      <c r="H89" s="38"/>
      <c r="I89" s="108"/>
    </row>
    <row r="90">
      <c r="A90" s="38"/>
      <c r="B90" s="38"/>
      <c r="C90" s="15"/>
      <c r="D90" s="15"/>
      <c r="E90" s="38"/>
      <c r="F90" s="38"/>
      <c r="G90" s="38"/>
      <c r="H90" s="38"/>
      <c r="I90" s="108"/>
    </row>
    <row r="91">
      <c r="A91" s="38"/>
      <c r="B91" s="38"/>
      <c r="C91" s="15"/>
      <c r="D91" s="15"/>
      <c r="E91" s="38"/>
      <c r="F91" s="38"/>
      <c r="G91" s="38"/>
      <c r="H91" s="38"/>
      <c r="I91" s="108"/>
    </row>
    <row r="92">
      <c r="A92" s="38"/>
      <c r="B92" s="38"/>
      <c r="C92" s="15"/>
      <c r="D92" s="15"/>
      <c r="E92" s="38"/>
      <c r="F92" s="38"/>
      <c r="G92" s="38"/>
      <c r="H92" s="38"/>
      <c r="I92" s="108"/>
    </row>
    <row r="93">
      <c r="A93" s="38"/>
      <c r="B93" s="38"/>
      <c r="C93" s="15"/>
      <c r="D93" s="15"/>
      <c r="E93" s="38"/>
      <c r="F93" s="38"/>
      <c r="G93" s="38"/>
      <c r="H93" s="38"/>
      <c r="I93" s="108"/>
    </row>
    <row r="94">
      <c r="A94" s="38"/>
      <c r="B94" s="38"/>
      <c r="C94" s="15"/>
      <c r="D94" s="15"/>
      <c r="E94" s="38"/>
      <c r="F94" s="38"/>
      <c r="G94" s="38"/>
      <c r="H94" s="38"/>
      <c r="I94" s="108"/>
    </row>
    <row r="95">
      <c r="A95" s="38"/>
      <c r="B95" s="38"/>
      <c r="C95" s="15"/>
      <c r="D95" s="15"/>
      <c r="E95" s="38"/>
      <c r="F95" s="38"/>
      <c r="G95" s="38"/>
      <c r="H95" s="38"/>
      <c r="I95" s="108"/>
    </row>
    <row r="96">
      <c r="A96" s="38"/>
      <c r="B96" s="38"/>
      <c r="C96" s="15"/>
      <c r="D96" s="15"/>
      <c r="E96" s="38"/>
      <c r="F96" s="38"/>
      <c r="G96" s="38"/>
      <c r="H96" s="38"/>
      <c r="I96" s="108"/>
    </row>
    <row r="97">
      <c r="A97" s="38"/>
      <c r="B97" s="38"/>
      <c r="C97" s="15"/>
      <c r="D97" s="15"/>
      <c r="E97" s="38"/>
      <c r="F97" s="38"/>
      <c r="G97" s="38"/>
      <c r="H97" s="38"/>
      <c r="I97" s="108"/>
    </row>
    <row r="98">
      <c r="A98" s="38"/>
      <c r="B98" s="38"/>
      <c r="C98" s="15"/>
      <c r="D98" s="15"/>
      <c r="E98" s="38"/>
      <c r="F98" s="38"/>
      <c r="G98" s="38"/>
      <c r="H98" s="38"/>
      <c r="I98" s="108"/>
    </row>
    <row r="99">
      <c r="A99" s="38"/>
      <c r="B99" s="38"/>
      <c r="C99" s="15"/>
      <c r="D99" s="15"/>
      <c r="E99" s="38"/>
      <c r="F99" s="38"/>
      <c r="G99" s="38"/>
      <c r="H99" s="38"/>
      <c r="I99" s="108"/>
    </row>
    <row r="100">
      <c r="A100" s="38"/>
      <c r="B100" s="38"/>
      <c r="C100" s="15"/>
      <c r="D100" s="15"/>
      <c r="E100" s="38"/>
      <c r="F100" s="38"/>
      <c r="G100" s="38"/>
      <c r="H100" s="38"/>
      <c r="I100" s="108"/>
    </row>
    <row r="101">
      <c r="A101" s="38"/>
      <c r="B101" s="38"/>
      <c r="C101" s="15"/>
      <c r="D101" s="15"/>
      <c r="E101" s="38"/>
      <c r="F101" s="38"/>
      <c r="G101" s="38"/>
      <c r="H101" s="38"/>
      <c r="I101" s="108"/>
    </row>
    <row r="102">
      <c r="A102" s="38"/>
      <c r="B102" s="38"/>
      <c r="C102" s="15"/>
      <c r="D102" s="15"/>
      <c r="E102" s="38"/>
      <c r="F102" s="38"/>
      <c r="G102" s="38"/>
      <c r="H102" s="38"/>
      <c r="I102" s="108"/>
    </row>
    <row r="103">
      <c r="A103" s="38"/>
      <c r="B103" s="38"/>
      <c r="C103" s="15"/>
      <c r="D103" s="15"/>
      <c r="E103" s="38"/>
      <c r="F103" s="38"/>
      <c r="G103" s="38"/>
      <c r="H103" s="38"/>
      <c r="I103" s="108"/>
    </row>
    <row r="104">
      <c r="A104" s="38"/>
      <c r="B104" s="38"/>
      <c r="C104" s="15"/>
      <c r="D104" s="15"/>
      <c r="E104" s="38"/>
      <c r="F104" s="38"/>
      <c r="G104" s="38"/>
      <c r="H104" s="38"/>
      <c r="I104" s="108"/>
    </row>
    <row r="105">
      <c r="A105" s="38"/>
      <c r="B105" s="38"/>
      <c r="C105" s="15"/>
      <c r="D105" s="15"/>
      <c r="E105" s="38"/>
      <c r="F105" s="38"/>
      <c r="G105" s="38"/>
      <c r="H105" s="38"/>
      <c r="I105" s="108"/>
    </row>
    <row r="106">
      <c r="A106" s="38"/>
      <c r="B106" s="38"/>
      <c r="C106" s="15"/>
      <c r="D106" s="15"/>
      <c r="E106" s="38"/>
      <c r="F106" s="38"/>
      <c r="G106" s="38"/>
      <c r="H106" s="38"/>
      <c r="I106" s="108"/>
    </row>
    <row r="107">
      <c r="A107" s="38"/>
      <c r="B107" s="38"/>
      <c r="C107" s="15"/>
      <c r="D107" s="15"/>
      <c r="E107" s="38"/>
      <c r="F107" s="38"/>
      <c r="G107" s="38"/>
      <c r="H107" s="38"/>
      <c r="I107" s="108"/>
    </row>
    <row r="108">
      <c r="A108" s="38"/>
      <c r="B108" s="38"/>
      <c r="C108" s="15"/>
      <c r="D108" s="15"/>
      <c r="E108" s="38"/>
      <c r="F108" s="38"/>
      <c r="G108" s="38"/>
      <c r="H108" s="38"/>
      <c r="I108" s="108"/>
    </row>
    <row r="109">
      <c r="A109" s="38"/>
      <c r="B109" s="38"/>
      <c r="C109" s="15"/>
      <c r="D109" s="15"/>
      <c r="E109" s="38"/>
      <c r="F109" s="38"/>
      <c r="G109" s="38"/>
      <c r="H109" s="38"/>
      <c r="I109" s="108"/>
    </row>
    <row r="110">
      <c r="A110" s="38"/>
      <c r="B110" s="38"/>
      <c r="C110" s="15"/>
      <c r="D110" s="15"/>
      <c r="E110" s="38"/>
      <c r="F110" s="38"/>
      <c r="G110" s="38"/>
      <c r="H110" s="38"/>
      <c r="I110" s="108"/>
    </row>
    <row r="111">
      <c r="A111" s="38"/>
      <c r="B111" s="38"/>
      <c r="C111" s="15"/>
      <c r="D111" s="15"/>
      <c r="E111" s="38"/>
      <c r="F111" s="38"/>
      <c r="G111" s="38"/>
      <c r="H111" s="38"/>
      <c r="I111" s="108"/>
    </row>
    <row r="112">
      <c r="A112" s="38"/>
      <c r="B112" s="38"/>
      <c r="C112" s="15"/>
      <c r="D112" s="15"/>
      <c r="E112" s="38"/>
      <c r="F112" s="38"/>
      <c r="G112" s="38"/>
      <c r="H112" s="38"/>
      <c r="I112" s="108"/>
    </row>
    <row r="113">
      <c r="A113" s="38"/>
      <c r="B113" s="38"/>
      <c r="C113" s="15"/>
      <c r="D113" s="15"/>
      <c r="E113" s="38"/>
      <c r="F113" s="38"/>
      <c r="G113" s="38"/>
      <c r="H113" s="38"/>
      <c r="I113" s="108"/>
    </row>
    <row r="114">
      <c r="A114" s="38"/>
      <c r="B114" s="38"/>
      <c r="C114" s="15"/>
      <c r="D114" s="15"/>
      <c r="E114" s="38"/>
      <c r="F114" s="38"/>
      <c r="G114" s="38"/>
      <c r="H114" s="38"/>
      <c r="I114" s="108"/>
    </row>
    <row r="115">
      <c r="A115" s="38"/>
      <c r="B115" s="38"/>
      <c r="C115" s="15"/>
      <c r="D115" s="15"/>
      <c r="E115" s="38"/>
      <c r="F115" s="38"/>
      <c r="G115" s="38"/>
      <c r="H115" s="38"/>
      <c r="I115" s="108"/>
    </row>
    <row r="116">
      <c r="A116" s="38"/>
      <c r="B116" s="38"/>
      <c r="C116" s="15"/>
      <c r="D116" s="15"/>
      <c r="E116" s="38"/>
      <c r="F116" s="38"/>
      <c r="G116" s="38"/>
      <c r="H116" s="38"/>
      <c r="I116" s="108"/>
    </row>
    <row r="117">
      <c r="A117" s="38"/>
      <c r="B117" s="38"/>
      <c r="C117" s="15"/>
      <c r="D117" s="15"/>
      <c r="E117" s="38"/>
      <c r="F117" s="38"/>
      <c r="G117" s="38"/>
      <c r="H117" s="38"/>
      <c r="I117" s="108"/>
    </row>
    <row r="118">
      <c r="A118" s="38"/>
      <c r="B118" s="38"/>
      <c r="C118" s="15"/>
      <c r="D118" s="15"/>
      <c r="E118" s="38"/>
      <c r="F118" s="38"/>
      <c r="G118" s="38"/>
      <c r="H118" s="38"/>
      <c r="I118" s="108"/>
    </row>
    <row r="119">
      <c r="A119" s="38"/>
      <c r="B119" s="38"/>
      <c r="C119" s="15"/>
      <c r="D119" s="15"/>
      <c r="E119" s="38"/>
      <c r="F119" s="38"/>
      <c r="G119" s="38"/>
      <c r="H119" s="38"/>
      <c r="I119" s="108"/>
    </row>
    <row r="120">
      <c r="A120" s="38"/>
      <c r="B120" s="38"/>
      <c r="C120" s="15"/>
      <c r="D120" s="15"/>
      <c r="E120" s="38"/>
      <c r="F120" s="38"/>
      <c r="G120" s="38"/>
      <c r="H120" s="38"/>
      <c r="I120" s="108"/>
    </row>
    <row r="121">
      <c r="A121" s="38"/>
      <c r="B121" s="38"/>
      <c r="C121" s="15"/>
      <c r="D121" s="15"/>
      <c r="E121" s="38"/>
      <c r="F121" s="38"/>
      <c r="G121" s="38"/>
      <c r="H121" s="38"/>
      <c r="I121" s="108"/>
    </row>
    <row r="122">
      <c r="A122" s="38"/>
      <c r="B122" s="38"/>
      <c r="C122" s="15"/>
      <c r="D122" s="15"/>
      <c r="E122" s="38"/>
      <c r="F122" s="38"/>
      <c r="G122" s="38"/>
      <c r="H122" s="38"/>
      <c r="I122" s="108"/>
    </row>
    <row r="123">
      <c r="A123" s="38"/>
      <c r="B123" s="38"/>
      <c r="C123" s="15"/>
      <c r="D123" s="15"/>
      <c r="E123" s="38"/>
      <c r="F123" s="38"/>
      <c r="G123" s="38"/>
      <c r="H123" s="38"/>
      <c r="I123" s="108"/>
    </row>
    <row r="124">
      <c r="A124" s="38"/>
      <c r="B124" s="38"/>
      <c r="C124" s="15"/>
      <c r="D124" s="15"/>
      <c r="E124" s="38"/>
      <c r="F124" s="38"/>
      <c r="G124" s="38"/>
      <c r="H124" s="38"/>
      <c r="I124" s="108"/>
    </row>
    <row r="125">
      <c r="A125" s="38"/>
      <c r="B125" s="38"/>
      <c r="C125" s="15"/>
      <c r="D125" s="15"/>
      <c r="E125" s="38"/>
      <c r="F125" s="38"/>
      <c r="G125" s="38"/>
      <c r="H125" s="38"/>
      <c r="I125" s="108"/>
    </row>
    <row r="126">
      <c r="A126" s="38"/>
      <c r="B126" s="38"/>
      <c r="C126" s="15"/>
      <c r="D126" s="15"/>
      <c r="E126" s="38"/>
      <c r="F126" s="38"/>
      <c r="G126" s="38"/>
      <c r="H126" s="38"/>
      <c r="I126" s="108"/>
    </row>
    <row r="127">
      <c r="A127" s="38"/>
      <c r="B127" s="38"/>
      <c r="C127" s="15"/>
      <c r="D127" s="15"/>
      <c r="E127" s="38"/>
      <c r="F127" s="38"/>
      <c r="G127" s="38"/>
      <c r="H127" s="38"/>
      <c r="I127" s="108"/>
    </row>
    <row r="128">
      <c r="A128" s="38"/>
      <c r="B128" s="38"/>
      <c r="C128" s="15"/>
      <c r="D128" s="15"/>
      <c r="E128" s="38"/>
      <c r="F128" s="38"/>
      <c r="G128" s="38"/>
      <c r="H128" s="38"/>
      <c r="I128" s="108"/>
    </row>
    <row r="129">
      <c r="A129" s="38"/>
      <c r="B129" s="38"/>
      <c r="C129" s="15"/>
      <c r="D129" s="15"/>
      <c r="E129" s="38"/>
      <c r="F129" s="38"/>
      <c r="G129" s="38"/>
      <c r="H129" s="38"/>
      <c r="I129" s="108"/>
    </row>
    <row r="130">
      <c r="A130" s="38"/>
      <c r="B130" s="38"/>
      <c r="C130" s="15"/>
      <c r="D130" s="15"/>
      <c r="E130" s="38"/>
      <c r="F130" s="38"/>
      <c r="G130" s="38"/>
      <c r="H130" s="38"/>
      <c r="I130" s="108"/>
    </row>
    <row r="131">
      <c r="A131" s="38"/>
      <c r="B131" s="38"/>
      <c r="C131" s="15"/>
      <c r="D131" s="15"/>
      <c r="E131" s="38"/>
      <c r="F131" s="38"/>
      <c r="G131" s="38"/>
      <c r="H131" s="38"/>
      <c r="I131" s="108"/>
    </row>
    <row r="132">
      <c r="A132" s="38"/>
      <c r="B132" s="38"/>
      <c r="C132" s="15"/>
      <c r="D132" s="15"/>
      <c r="E132" s="38"/>
      <c r="F132" s="38"/>
      <c r="G132" s="38"/>
      <c r="H132" s="38"/>
      <c r="I132" s="108"/>
    </row>
    <row r="133">
      <c r="A133" s="38"/>
      <c r="B133" s="38"/>
      <c r="C133" s="15"/>
      <c r="D133" s="15"/>
      <c r="E133" s="38"/>
      <c r="F133" s="38"/>
      <c r="G133" s="38"/>
      <c r="H133" s="38"/>
      <c r="I133" s="108"/>
    </row>
    <row r="134">
      <c r="A134" s="38"/>
      <c r="B134" s="38"/>
      <c r="C134" s="15"/>
      <c r="D134" s="15"/>
      <c r="E134" s="38"/>
      <c r="F134" s="38"/>
      <c r="G134" s="38"/>
      <c r="H134" s="38"/>
      <c r="I134" s="108"/>
    </row>
    <row r="135">
      <c r="A135" s="38"/>
      <c r="B135" s="38"/>
      <c r="C135" s="15"/>
      <c r="D135" s="15"/>
      <c r="E135" s="38"/>
      <c r="F135" s="38"/>
      <c r="G135" s="38"/>
      <c r="H135" s="38"/>
      <c r="I135" s="108"/>
    </row>
    <row r="136">
      <c r="A136" s="38"/>
      <c r="B136" s="38"/>
      <c r="C136" s="15"/>
      <c r="D136" s="15"/>
      <c r="E136" s="38"/>
      <c r="F136" s="38"/>
      <c r="G136" s="38"/>
      <c r="H136" s="38"/>
      <c r="I136" s="108"/>
    </row>
    <row r="137">
      <c r="A137" s="38"/>
      <c r="B137" s="38"/>
      <c r="C137" s="15"/>
      <c r="D137" s="15"/>
      <c r="E137" s="38"/>
      <c r="F137" s="38"/>
      <c r="G137" s="38"/>
      <c r="H137" s="38"/>
      <c r="I137" s="108"/>
    </row>
    <row r="138">
      <c r="A138" s="38"/>
      <c r="B138" s="38"/>
      <c r="C138" s="15"/>
      <c r="D138" s="15"/>
      <c r="E138" s="38"/>
      <c r="F138" s="38"/>
      <c r="G138" s="38"/>
      <c r="H138" s="38"/>
      <c r="I138" s="108"/>
    </row>
    <row r="139">
      <c r="A139" s="38"/>
      <c r="B139" s="38"/>
      <c r="C139" s="15"/>
      <c r="D139" s="15"/>
      <c r="E139" s="38"/>
      <c r="F139" s="38"/>
      <c r="G139" s="38"/>
      <c r="H139" s="38"/>
      <c r="I139" s="108"/>
    </row>
    <row r="140">
      <c r="A140" s="38"/>
      <c r="B140" s="38"/>
      <c r="C140" s="15"/>
      <c r="D140" s="15"/>
      <c r="E140" s="38"/>
      <c r="F140" s="38"/>
      <c r="G140" s="38"/>
      <c r="H140" s="38"/>
      <c r="I140" s="108"/>
    </row>
    <row r="141">
      <c r="A141" s="38"/>
      <c r="B141" s="38"/>
      <c r="C141" s="15"/>
      <c r="D141" s="15"/>
      <c r="E141" s="38"/>
      <c r="F141" s="38"/>
      <c r="G141" s="38"/>
      <c r="H141" s="38"/>
      <c r="I141" s="108"/>
    </row>
    <row r="142">
      <c r="A142" s="38"/>
      <c r="B142" s="38"/>
      <c r="C142" s="15"/>
      <c r="D142" s="15"/>
      <c r="E142" s="38"/>
      <c r="F142" s="38"/>
      <c r="G142" s="38"/>
      <c r="H142" s="38"/>
      <c r="I142" s="108"/>
    </row>
    <row r="143">
      <c r="A143" s="38"/>
      <c r="B143" s="38"/>
      <c r="C143" s="15"/>
      <c r="D143" s="15"/>
      <c r="E143" s="38"/>
      <c r="F143" s="38"/>
      <c r="G143" s="38"/>
      <c r="H143" s="38"/>
      <c r="I143" s="108"/>
    </row>
    <row r="144">
      <c r="A144" s="38"/>
      <c r="B144" s="38"/>
      <c r="C144" s="15"/>
      <c r="D144" s="15"/>
      <c r="E144" s="38"/>
      <c r="F144" s="38"/>
      <c r="G144" s="38"/>
      <c r="H144" s="38"/>
      <c r="I144" s="108"/>
    </row>
    <row r="145">
      <c r="A145" s="38"/>
      <c r="B145" s="38"/>
      <c r="C145" s="15"/>
      <c r="D145" s="15"/>
      <c r="E145" s="38"/>
      <c r="F145" s="38"/>
      <c r="G145" s="38"/>
      <c r="H145" s="38"/>
      <c r="I145" s="108"/>
    </row>
    <row r="146">
      <c r="A146" s="38"/>
      <c r="B146" s="38"/>
      <c r="C146" s="15"/>
      <c r="D146" s="15"/>
      <c r="E146" s="38"/>
      <c r="F146" s="38"/>
      <c r="G146" s="38"/>
      <c r="H146" s="38"/>
      <c r="I146" s="108"/>
    </row>
    <row r="147">
      <c r="A147" s="38"/>
      <c r="B147" s="38"/>
      <c r="C147" s="15"/>
      <c r="D147" s="15"/>
      <c r="E147" s="38"/>
      <c r="F147" s="38"/>
      <c r="G147" s="38"/>
      <c r="H147" s="38"/>
      <c r="I147" s="108"/>
    </row>
    <row r="148">
      <c r="A148" s="38"/>
      <c r="B148" s="38"/>
      <c r="C148" s="15"/>
      <c r="D148" s="15"/>
      <c r="E148" s="38"/>
      <c r="F148" s="38"/>
      <c r="G148" s="38"/>
      <c r="H148" s="38"/>
      <c r="I148" s="108"/>
    </row>
    <row r="149">
      <c r="A149" s="38"/>
      <c r="B149" s="38"/>
      <c r="C149" s="15"/>
      <c r="D149" s="15"/>
      <c r="E149" s="38"/>
      <c r="F149" s="38"/>
      <c r="G149" s="38"/>
      <c r="H149" s="38"/>
      <c r="I149" s="108"/>
    </row>
    <row r="150">
      <c r="A150" s="38"/>
      <c r="B150" s="38"/>
      <c r="C150" s="15"/>
      <c r="D150" s="15"/>
      <c r="E150" s="38"/>
      <c r="F150" s="38"/>
      <c r="G150" s="38"/>
      <c r="H150" s="38"/>
      <c r="I150" s="108"/>
    </row>
    <row r="151">
      <c r="A151" s="38"/>
      <c r="B151" s="38"/>
      <c r="C151" s="15"/>
      <c r="D151" s="15"/>
      <c r="E151" s="38"/>
      <c r="F151" s="38"/>
      <c r="G151" s="38"/>
      <c r="H151" s="38"/>
      <c r="I151" s="108"/>
    </row>
    <row r="152">
      <c r="A152" s="38"/>
      <c r="B152" s="38"/>
      <c r="C152" s="15"/>
      <c r="D152" s="15"/>
      <c r="E152" s="38"/>
      <c r="F152" s="38"/>
      <c r="G152" s="38"/>
      <c r="H152" s="38"/>
      <c r="I152" s="108"/>
    </row>
    <row r="153">
      <c r="A153" s="38"/>
      <c r="B153" s="38"/>
      <c r="C153" s="15"/>
      <c r="D153" s="15"/>
      <c r="E153" s="38"/>
      <c r="F153" s="38"/>
      <c r="G153" s="38"/>
      <c r="H153" s="38"/>
      <c r="I153" s="108"/>
    </row>
    <row r="154">
      <c r="A154" s="38"/>
      <c r="B154" s="38"/>
      <c r="C154" s="15"/>
      <c r="D154" s="15"/>
      <c r="E154" s="38"/>
      <c r="F154" s="38"/>
      <c r="G154" s="38"/>
      <c r="H154" s="38"/>
      <c r="I154" s="108"/>
    </row>
    <row r="155">
      <c r="A155" s="38"/>
      <c r="B155" s="38"/>
      <c r="C155" s="15"/>
      <c r="D155" s="15"/>
      <c r="E155" s="38"/>
      <c r="F155" s="38"/>
      <c r="G155" s="38"/>
      <c r="H155" s="38"/>
      <c r="I155" s="108"/>
    </row>
    <row r="156">
      <c r="A156" s="38"/>
      <c r="B156" s="38"/>
      <c r="C156" s="15"/>
      <c r="D156" s="15"/>
      <c r="E156" s="38"/>
      <c r="F156" s="38"/>
      <c r="G156" s="38"/>
      <c r="H156" s="38"/>
      <c r="I156" s="108"/>
    </row>
    <row r="157">
      <c r="A157" s="38"/>
      <c r="B157" s="38"/>
      <c r="C157" s="15"/>
      <c r="D157" s="15"/>
      <c r="E157" s="38"/>
      <c r="F157" s="38"/>
      <c r="G157" s="38"/>
      <c r="H157" s="38"/>
      <c r="I157" s="108"/>
    </row>
    <row r="158">
      <c r="A158" s="38"/>
      <c r="B158" s="38"/>
      <c r="C158" s="15"/>
      <c r="D158" s="15"/>
      <c r="E158" s="38"/>
      <c r="F158" s="38"/>
      <c r="G158" s="38"/>
      <c r="H158" s="38"/>
      <c r="I158" s="108"/>
    </row>
    <row r="159">
      <c r="A159" s="38"/>
      <c r="B159" s="38"/>
      <c r="C159" s="15"/>
      <c r="D159" s="15"/>
      <c r="E159" s="38"/>
      <c r="F159" s="38"/>
      <c r="G159" s="38"/>
      <c r="H159" s="38"/>
      <c r="I159" s="108"/>
    </row>
    <row r="160">
      <c r="A160" s="38"/>
      <c r="B160" s="38"/>
      <c r="C160" s="15"/>
      <c r="D160" s="15"/>
      <c r="E160" s="38"/>
      <c r="F160" s="38"/>
      <c r="G160" s="38"/>
      <c r="H160" s="38"/>
      <c r="I160" s="108"/>
    </row>
    <row r="161">
      <c r="A161" s="38"/>
      <c r="B161" s="38"/>
      <c r="C161" s="15"/>
      <c r="D161" s="15"/>
      <c r="E161" s="38"/>
      <c r="F161" s="38"/>
      <c r="G161" s="38"/>
      <c r="H161" s="38"/>
      <c r="I161" s="108"/>
    </row>
    <row r="162">
      <c r="A162" s="38"/>
      <c r="B162" s="38"/>
      <c r="C162" s="15"/>
      <c r="D162" s="15"/>
      <c r="E162" s="38"/>
      <c r="F162" s="38"/>
      <c r="G162" s="38"/>
      <c r="H162" s="38"/>
      <c r="I162" s="108"/>
    </row>
    <row r="163">
      <c r="A163" s="38"/>
      <c r="B163" s="38"/>
      <c r="C163" s="15"/>
      <c r="D163" s="15"/>
      <c r="E163" s="38"/>
      <c r="F163" s="38"/>
      <c r="G163" s="38"/>
      <c r="H163" s="38"/>
      <c r="I163" s="108"/>
    </row>
    <row r="164">
      <c r="A164" s="38"/>
      <c r="B164" s="38"/>
      <c r="C164" s="15"/>
      <c r="D164" s="15"/>
      <c r="E164" s="38"/>
      <c r="F164" s="38"/>
      <c r="G164" s="38"/>
      <c r="H164" s="38"/>
      <c r="I164" s="108"/>
    </row>
    <row r="165">
      <c r="A165" s="38"/>
      <c r="B165" s="38"/>
      <c r="C165" s="15"/>
      <c r="D165" s="15"/>
      <c r="E165" s="38"/>
      <c r="F165" s="38"/>
      <c r="G165" s="38"/>
      <c r="H165" s="38"/>
      <c r="I165" s="108"/>
    </row>
    <row r="166">
      <c r="A166" s="38"/>
      <c r="B166" s="38"/>
      <c r="C166" s="15"/>
      <c r="D166" s="15"/>
      <c r="E166" s="38"/>
      <c r="F166" s="38"/>
      <c r="G166" s="38"/>
      <c r="H166" s="38"/>
      <c r="I166" s="108"/>
    </row>
    <row r="167">
      <c r="A167" s="38"/>
      <c r="B167" s="38"/>
      <c r="C167" s="15"/>
      <c r="D167" s="15"/>
      <c r="E167" s="38"/>
      <c r="F167" s="38"/>
      <c r="G167" s="38"/>
      <c r="H167" s="38"/>
      <c r="I167" s="108"/>
    </row>
    <row r="168">
      <c r="A168" s="38"/>
      <c r="B168" s="38"/>
      <c r="C168" s="15"/>
      <c r="D168" s="15"/>
      <c r="E168" s="38"/>
      <c r="F168" s="38"/>
      <c r="G168" s="38"/>
      <c r="H168" s="38"/>
      <c r="I168" s="108"/>
    </row>
    <row r="169">
      <c r="A169" s="38"/>
      <c r="B169" s="38"/>
      <c r="C169" s="15"/>
      <c r="D169" s="15"/>
      <c r="E169" s="38"/>
      <c r="F169" s="38"/>
      <c r="G169" s="38"/>
      <c r="H169" s="38"/>
      <c r="I169" s="108"/>
    </row>
    <row r="170">
      <c r="A170" s="38"/>
      <c r="B170" s="38"/>
      <c r="C170" s="15"/>
      <c r="D170" s="15"/>
      <c r="E170" s="38"/>
      <c r="F170" s="38"/>
      <c r="G170" s="38"/>
      <c r="H170" s="38"/>
      <c r="I170" s="108"/>
    </row>
    <row r="171">
      <c r="A171" s="38"/>
      <c r="B171" s="38"/>
      <c r="C171" s="15"/>
      <c r="D171" s="15"/>
      <c r="E171" s="38"/>
      <c r="F171" s="38"/>
      <c r="G171" s="38"/>
      <c r="H171" s="38"/>
      <c r="I171" s="108"/>
    </row>
    <row r="172">
      <c r="A172" s="38"/>
      <c r="B172" s="38"/>
      <c r="C172" s="15"/>
      <c r="D172" s="15"/>
      <c r="E172" s="38"/>
      <c r="F172" s="38"/>
      <c r="G172" s="38"/>
      <c r="H172" s="38"/>
      <c r="I172" s="108"/>
    </row>
    <row r="173">
      <c r="A173" s="38"/>
      <c r="B173" s="38"/>
      <c r="C173" s="15"/>
      <c r="D173" s="15"/>
      <c r="E173" s="38"/>
      <c r="F173" s="38"/>
      <c r="G173" s="38"/>
      <c r="H173" s="38"/>
      <c r="I173" s="108"/>
    </row>
    <row r="174">
      <c r="A174" s="38"/>
      <c r="B174" s="38"/>
      <c r="C174" s="15"/>
      <c r="D174" s="15"/>
      <c r="E174" s="38"/>
      <c r="F174" s="38"/>
      <c r="G174" s="38"/>
      <c r="H174" s="38"/>
      <c r="I174" s="108"/>
    </row>
    <row r="175">
      <c r="A175" s="38"/>
      <c r="B175" s="38"/>
      <c r="C175" s="15"/>
      <c r="D175" s="15"/>
      <c r="E175" s="38"/>
      <c r="F175" s="38"/>
      <c r="G175" s="38"/>
      <c r="H175" s="38"/>
      <c r="I175" s="108"/>
    </row>
    <row r="176">
      <c r="A176" s="38"/>
      <c r="B176" s="38"/>
      <c r="C176" s="15"/>
      <c r="D176" s="15"/>
      <c r="E176" s="38"/>
      <c r="F176" s="38"/>
      <c r="G176" s="38"/>
      <c r="H176" s="38"/>
      <c r="I176" s="108"/>
    </row>
    <row r="177">
      <c r="A177" s="38"/>
      <c r="B177" s="38"/>
      <c r="C177" s="15"/>
      <c r="D177" s="15"/>
      <c r="E177" s="38"/>
      <c r="F177" s="38"/>
      <c r="G177" s="38"/>
      <c r="H177" s="38"/>
      <c r="I177" s="108"/>
    </row>
    <row r="178">
      <c r="A178" s="38"/>
      <c r="B178" s="38"/>
      <c r="C178" s="15"/>
      <c r="D178" s="15"/>
      <c r="E178" s="38"/>
      <c r="F178" s="38"/>
      <c r="G178" s="38"/>
      <c r="H178" s="38"/>
      <c r="I178" s="108"/>
    </row>
    <row r="179">
      <c r="A179" s="38"/>
      <c r="B179" s="38"/>
      <c r="C179" s="15"/>
      <c r="D179" s="15"/>
      <c r="E179" s="38"/>
      <c r="F179" s="38"/>
      <c r="G179" s="38"/>
      <c r="H179" s="38"/>
      <c r="I179" s="108"/>
    </row>
    <row r="180">
      <c r="A180" s="38"/>
      <c r="B180" s="38"/>
      <c r="C180" s="15"/>
      <c r="D180" s="15"/>
      <c r="E180" s="38"/>
      <c r="F180" s="38"/>
      <c r="G180" s="38"/>
      <c r="H180" s="38"/>
      <c r="I180" s="108"/>
    </row>
    <row r="181">
      <c r="A181" s="38"/>
      <c r="B181" s="38"/>
      <c r="C181" s="15"/>
      <c r="D181" s="15"/>
      <c r="E181" s="38"/>
      <c r="F181" s="38"/>
      <c r="G181" s="38"/>
      <c r="H181" s="38"/>
      <c r="I181" s="108"/>
    </row>
    <row r="182">
      <c r="A182" s="38"/>
      <c r="B182" s="38"/>
      <c r="C182" s="15"/>
      <c r="D182" s="15"/>
      <c r="E182" s="38"/>
      <c r="F182" s="38"/>
      <c r="G182" s="38"/>
      <c r="H182" s="38"/>
      <c r="I182" s="108"/>
    </row>
    <row r="183">
      <c r="A183" s="38"/>
      <c r="B183" s="38"/>
      <c r="C183" s="15"/>
      <c r="D183" s="15"/>
      <c r="E183" s="38"/>
      <c r="F183" s="38"/>
      <c r="G183" s="38"/>
      <c r="H183" s="38"/>
      <c r="I183" s="108"/>
    </row>
    <row r="184">
      <c r="A184" s="38"/>
      <c r="B184" s="38"/>
      <c r="C184" s="15"/>
      <c r="D184" s="15"/>
      <c r="E184" s="38"/>
      <c r="F184" s="38"/>
      <c r="G184" s="38"/>
      <c r="H184" s="38"/>
      <c r="I184" s="108"/>
    </row>
    <row r="185">
      <c r="A185" s="38"/>
      <c r="B185" s="38"/>
      <c r="C185" s="15"/>
      <c r="D185" s="15"/>
      <c r="E185" s="38"/>
      <c r="F185" s="38"/>
      <c r="G185" s="38"/>
      <c r="H185" s="38"/>
      <c r="I185" s="108"/>
    </row>
    <row r="186">
      <c r="A186" s="38"/>
      <c r="B186" s="38"/>
      <c r="C186" s="15"/>
      <c r="D186" s="15"/>
      <c r="E186" s="38"/>
      <c r="F186" s="38"/>
      <c r="G186" s="38"/>
      <c r="H186" s="38"/>
      <c r="I186" s="108"/>
    </row>
    <row r="187">
      <c r="A187" s="38"/>
      <c r="B187" s="38"/>
      <c r="C187" s="15"/>
      <c r="D187" s="15"/>
      <c r="E187" s="38"/>
      <c r="F187" s="38"/>
      <c r="G187" s="38"/>
      <c r="H187" s="38"/>
      <c r="I187" s="108"/>
    </row>
    <row r="188">
      <c r="A188" s="38"/>
      <c r="B188" s="38"/>
      <c r="C188" s="15"/>
      <c r="D188" s="15"/>
      <c r="E188" s="38"/>
      <c r="F188" s="38"/>
      <c r="G188" s="38"/>
      <c r="H188" s="38"/>
      <c r="I188" s="108"/>
    </row>
    <row r="189">
      <c r="A189" s="38"/>
      <c r="B189" s="38"/>
      <c r="C189" s="15"/>
      <c r="D189" s="15"/>
      <c r="E189" s="38"/>
      <c r="F189" s="38"/>
      <c r="G189" s="38"/>
      <c r="H189" s="38"/>
      <c r="I189" s="108"/>
    </row>
    <row r="190">
      <c r="A190" s="38"/>
      <c r="B190" s="38"/>
      <c r="C190" s="15"/>
      <c r="D190" s="15"/>
      <c r="E190" s="38"/>
      <c r="F190" s="38"/>
      <c r="G190" s="38"/>
      <c r="H190" s="38"/>
      <c r="I190" s="108"/>
    </row>
    <row r="191">
      <c r="A191" s="38"/>
      <c r="B191" s="38"/>
      <c r="C191" s="15"/>
      <c r="D191" s="15"/>
      <c r="E191" s="38"/>
      <c r="F191" s="38"/>
      <c r="G191" s="38"/>
      <c r="H191" s="38"/>
      <c r="I191" s="108"/>
    </row>
    <row r="192">
      <c r="A192" s="38"/>
      <c r="B192" s="38"/>
      <c r="C192" s="15"/>
      <c r="D192" s="15"/>
      <c r="E192" s="38"/>
      <c r="F192" s="38"/>
      <c r="G192" s="38"/>
      <c r="H192" s="38"/>
      <c r="I192" s="108"/>
    </row>
    <row r="193">
      <c r="A193" s="38"/>
      <c r="B193" s="38"/>
      <c r="C193" s="15"/>
      <c r="D193" s="15"/>
      <c r="E193" s="38"/>
      <c r="F193" s="38"/>
      <c r="G193" s="38"/>
      <c r="H193" s="38"/>
      <c r="I193" s="108"/>
    </row>
    <row r="194">
      <c r="A194" s="38"/>
      <c r="B194" s="38"/>
      <c r="C194" s="15"/>
      <c r="D194" s="15"/>
      <c r="E194" s="38"/>
      <c r="F194" s="38"/>
      <c r="G194" s="38"/>
      <c r="H194" s="38"/>
      <c r="I194" s="108"/>
    </row>
    <row r="195">
      <c r="A195" s="38"/>
      <c r="B195" s="38"/>
      <c r="C195" s="15"/>
      <c r="D195" s="15"/>
      <c r="E195" s="38"/>
      <c r="F195" s="38"/>
      <c r="G195" s="38"/>
      <c r="H195" s="38"/>
      <c r="I195" s="108"/>
    </row>
    <row r="196">
      <c r="A196" s="38"/>
      <c r="B196" s="38"/>
      <c r="C196" s="15"/>
      <c r="D196" s="15"/>
      <c r="E196" s="38"/>
      <c r="F196" s="38"/>
      <c r="G196" s="38"/>
      <c r="H196" s="38"/>
      <c r="I196" s="108"/>
    </row>
    <row r="197">
      <c r="A197" s="38"/>
      <c r="B197" s="38"/>
      <c r="C197" s="15"/>
      <c r="D197" s="15"/>
      <c r="E197" s="38"/>
      <c r="F197" s="38"/>
      <c r="G197" s="38"/>
      <c r="H197" s="38"/>
      <c r="I197" s="108"/>
    </row>
    <row r="198">
      <c r="A198" s="38"/>
      <c r="B198" s="38"/>
      <c r="C198" s="15"/>
      <c r="D198" s="15"/>
      <c r="E198" s="38"/>
      <c r="F198" s="38"/>
      <c r="G198" s="38"/>
      <c r="H198" s="38"/>
      <c r="I198" s="108"/>
    </row>
    <row r="199">
      <c r="A199" s="38"/>
      <c r="B199" s="38"/>
      <c r="C199" s="15"/>
      <c r="D199" s="15"/>
      <c r="E199" s="38"/>
      <c r="F199" s="38"/>
      <c r="G199" s="38"/>
      <c r="H199" s="38"/>
      <c r="I199" s="108"/>
    </row>
    <row r="200">
      <c r="A200" s="38"/>
      <c r="B200" s="38"/>
      <c r="C200" s="15"/>
      <c r="D200" s="15"/>
      <c r="E200" s="38"/>
      <c r="F200" s="38"/>
      <c r="G200" s="38"/>
      <c r="H200" s="38"/>
      <c r="I200" s="108"/>
    </row>
    <row r="201">
      <c r="A201" s="38"/>
      <c r="B201" s="38"/>
      <c r="C201" s="15"/>
      <c r="D201" s="15"/>
      <c r="E201" s="38"/>
      <c r="F201" s="38"/>
      <c r="G201" s="38"/>
      <c r="H201" s="38"/>
      <c r="I201" s="108"/>
    </row>
    <row r="202">
      <c r="A202" s="38"/>
      <c r="B202" s="38"/>
      <c r="C202" s="15"/>
      <c r="D202" s="15"/>
      <c r="E202" s="38"/>
      <c r="F202" s="38"/>
      <c r="G202" s="38"/>
      <c r="H202" s="38"/>
      <c r="I202" s="108"/>
    </row>
    <row r="203">
      <c r="A203" s="38"/>
      <c r="B203" s="38"/>
      <c r="C203" s="15"/>
      <c r="D203" s="15"/>
      <c r="E203" s="38"/>
      <c r="F203" s="38"/>
      <c r="G203" s="38"/>
      <c r="H203" s="38"/>
      <c r="I203" s="108"/>
    </row>
    <row r="204">
      <c r="A204" s="38"/>
      <c r="B204" s="38"/>
      <c r="C204" s="15"/>
      <c r="D204" s="15"/>
      <c r="E204" s="38"/>
      <c r="F204" s="38"/>
      <c r="G204" s="38"/>
      <c r="H204" s="38"/>
      <c r="I204" s="108"/>
    </row>
    <row r="205">
      <c r="A205" s="38"/>
      <c r="B205" s="38"/>
      <c r="C205" s="15"/>
      <c r="D205" s="15"/>
      <c r="E205" s="38"/>
      <c r="F205" s="38"/>
      <c r="G205" s="38"/>
      <c r="H205" s="38"/>
      <c r="I205" s="108"/>
    </row>
    <row r="206">
      <c r="A206" s="38"/>
      <c r="B206" s="38"/>
      <c r="C206" s="15"/>
      <c r="D206" s="15"/>
      <c r="E206" s="38"/>
      <c r="F206" s="38"/>
      <c r="G206" s="38"/>
      <c r="H206" s="38"/>
      <c r="I206" s="108"/>
    </row>
    <row r="207">
      <c r="A207" s="38"/>
      <c r="B207" s="38"/>
      <c r="C207" s="15"/>
      <c r="D207" s="15"/>
      <c r="E207" s="38"/>
      <c r="F207" s="38"/>
      <c r="G207" s="38"/>
      <c r="H207" s="38"/>
      <c r="I207" s="108"/>
    </row>
    <row r="208">
      <c r="A208" s="38"/>
      <c r="B208" s="38"/>
      <c r="C208" s="15"/>
      <c r="D208" s="15"/>
      <c r="E208" s="38"/>
      <c r="F208" s="38"/>
      <c r="G208" s="38"/>
      <c r="H208" s="38"/>
      <c r="I208" s="108"/>
    </row>
    <row r="209">
      <c r="A209" s="38"/>
      <c r="B209" s="38"/>
      <c r="C209" s="15"/>
      <c r="D209" s="15"/>
      <c r="E209" s="38"/>
      <c r="F209" s="38"/>
      <c r="G209" s="38"/>
      <c r="H209" s="38"/>
      <c r="I209" s="108"/>
    </row>
    <row r="210">
      <c r="A210" s="38"/>
      <c r="B210" s="38"/>
      <c r="C210" s="15"/>
      <c r="D210" s="15"/>
      <c r="E210" s="38"/>
      <c r="F210" s="38"/>
      <c r="G210" s="38"/>
      <c r="H210" s="38"/>
      <c r="I210" s="108"/>
    </row>
    <row r="211">
      <c r="A211" s="38"/>
      <c r="B211" s="38"/>
      <c r="C211" s="15"/>
      <c r="D211" s="15"/>
      <c r="E211" s="38"/>
      <c r="F211" s="38"/>
      <c r="G211" s="38"/>
      <c r="H211" s="38"/>
      <c r="I211" s="108"/>
    </row>
    <row r="212">
      <c r="A212" s="38"/>
      <c r="B212" s="38"/>
      <c r="C212" s="15"/>
      <c r="D212" s="15"/>
      <c r="E212" s="38"/>
      <c r="F212" s="38"/>
      <c r="G212" s="38"/>
      <c r="H212" s="38"/>
      <c r="I212" s="108"/>
    </row>
    <row r="213">
      <c r="A213" s="38"/>
      <c r="B213" s="38"/>
      <c r="C213" s="15"/>
      <c r="D213" s="15"/>
      <c r="E213" s="38"/>
      <c r="F213" s="38"/>
      <c r="G213" s="38"/>
      <c r="H213" s="38"/>
      <c r="I213" s="108"/>
    </row>
    <row r="214">
      <c r="A214" s="38"/>
      <c r="B214" s="38"/>
      <c r="C214" s="15"/>
      <c r="D214" s="15"/>
      <c r="E214" s="38"/>
      <c r="F214" s="38"/>
      <c r="G214" s="38"/>
      <c r="H214" s="38"/>
      <c r="I214" s="108"/>
    </row>
    <row r="215">
      <c r="A215" s="38"/>
      <c r="B215" s="38"/>
      <c r="C215" s="15"/>
      <c r="D215" s="15"/>
      <c r="E215" s="38"/>
      <c r="F215" s="38"/>
      <c r="G215" s="38"/>
      <c r="H215" s="38"/>
      <c r="I215" s="108"/>
    </row>
    <row r="216">
      <c r="A216" s="38"/>
      <c r="B216" s="38"/>
      <c r="C216" s="15"/>
      <c r="D216" s="15"/>
      <c r="E216" s="38"/>
      <c r="F216" s="38"/>
      <c r="G216" s="38"/>
      <c r="H216" s="38"/>
      <c r="I216" s="108"/>
    </row>
    <row r="217">
      <c r="A217" s="38"/>
      <c r="B217" s="38"/>
      <c r="C217" s="15"/>
      <c r="D217" s="15"/>
      <c r="E217" s="38"/>
      <c r="F217" s="38"/>
      <c r="G217" s="38"/>
      <c r="H217" s="38"/>
      <c r="I217" s="108"/>
    </row>
    <row r="218">
      <c r="A218" s="38"/>
      <c r="B218" s="38"/>
      <c r="C218" s="15"/>
      <c r="D218" s="15"/>
      <c r="E218" s="38"/>
      <c r="F218" s="38"/>
      <c r="G218" s="38"/>
      <c r="H218" s="38"/>
      <c r="I218" s="108"/>
    </row>
    <row r="219">
      <c r="A219" s="38"/>
      <c r="B219" s="38"/>
      <c r="C219" s="15"/>
      <c r="D219" s="15"/>
      <c r="E219" s="38"/>
      <c r="F219" s="38"/>
      <c r="G219" s="38"/>
      <c r="H219" s="38"/>
      <c r="I219" s="108"/>
    </row>
    <row r="220">
      <c r="A220" s="38"/>
      <c r="B220" s="38"/>
      <c r="C220" s="15"/>
      <c r="D220" s="15"/>
      <c r="E220" s="38"/>
      <c r="F220" s="38"/>
      <c r="G220" s="38"/>
      <c r="H220" s="38"/>
      <c r="I220" s="108"/>
    </row>
    <row r="221">
      <c r="A221" s="38"/>
      <c r="B221" s="38"/>
      <c r="C221" s="15"/>
      <c r="D221" s="15"/>
      <c r="E221" s="38"/>
      <c r="F221" s="38"/>
      <c r="G221" s="38"/>
      <c r="H221" s="38"/>
      <c r="I221" s="108"/>
    </row>
    <row r="222">
      <c r="A222" s="38"/>
      <c r="B222" s="38"/>
      <c r="C222" s="15"/>
      <c r="D222" s="15"/>
      <c r="E222" s="38"/>
      <c r="F222" s="38"/>
      <c r="G222" s="38"/>
      <c r="H222" s="38"/>
      <c r="I222" s="108"/>
    </row>
    <row r="223">
      <c r="A223" s="38"/>
      <c r="B223" s="38"/>
      <c r="C223" s="15"/>
      <c r="D223" s="15"/>
      <c r="E223" s="38"/>
      <c r="F223" s="38"/>
      <c r="G223" s="38"/>
      <c r="H223" s="38"/>
      <c r="I223" s="108"/>
    </row>
    <row r="224">
      <c r="A224" s="38"/>
      <c r="B224" s="38"/>
      <c r="C224" s="15"/>
      <c r="D224" s="15"/>
      <c r="E224" s="38"/>
      <c r="F224" s="38"/>
      <c r="G224" s="38"/>
      <c r="H224" s="38"/>
      <c r="I224" s="108"/>
    </row>
    <row r="225">
      <c r="A225" s="38"/>
      <c r="B225" s="38"/>
      <c r="C225" s="15"/>
      <c r="D225" s="15"/>
      <c r="E225" s="38"/>
      <c r="F225" s="38"/>
      <c r="G225" s="38"/>
      <c r="H225" s="38"/>
      <c r="I225" s="108"/>
    </row>
    <row r="226">
      <c r="A226" s="38"/>
      <c r="B226" s="38"/>
      <c r="C226" s="15"/>
      <c r="D226" s="15"/>
      <c r="E226" s="38"/>
      <c r="F226" s="38"/>
      <c r="G226" s="38"/>
      <c r="H226" s="38"/>
      <c r="I226" s="108"/>
    </row>
    <row r="227">
      <c r="A227" s="38"/>
      <c r="B227" s="38"/>
      <c r="C227" s="15"/>
      <c r="D227" s="15"/>
      <c r="E227" s="38"/>
      <c r="F227" s="38"/>
      <c r="G227" s="38"/>
      <c r="H227" s="38"/>
      <c r="I227" s="108"/>
    </row>
    <row r="228">
      <c r="A228" s="38"/>
      <c r="B228" s="38"/>
      <c r="C228" s="15"/>
      <c r="D228" s="15"/>
      <c r="E228" s="38"/>
      <c r="F228" s="38"/>
      <c r="G228" s="38"/>
      <c r="H228" s="38"/>
      <c r="I228" s="108"/>
    </row>
    <row r="229">
      <c r="A229" s="38"/>
      <c r="B229" s="38"/>
      <c r="C229" s="15"/>
      <c r="D229" s="15"/>
      <c r="E229" s="38"/>
      <c r="F229" s="38"/>
      <c r="G229" s="38"/>
      <c r="H229" s="38"/>
      <c r="I229" s="108"/>
    </row>
    <row r="230">
      <c r="A230" s="38"/>
      <c r="B230" s="38"/>
      <c r="C230" s="15"/>
      <c r="D230" s="15"/>
      <c r="E230" s="38"/>
      <c r="F230" s="38"/>
      <c r="G230" s="38"/>
      <c r="H230" s="38"/>
      <c r="I230" s="108"/>
    </row>
    <row r="231">
      <c r="A231" s="38"/>
      <c r="B231" s="38"/>
      <c r="C231" s="15"/>
      <c r="D231" s="15"/>
      <c r="E231" s="38"/>
      <c r="F231" s="38"/>
      <c r="G231" s="38"/>
      <c r="H231" s="38"/>
      <c r="I231" s="108"/>
    </row>
    <row r="232">
      <c r="A232" s="38"/>
      <c r="B232" s="38"/>
      <c r="C232" s="15"/>
      <c r="D232" s="15"/>
      <c r="E232" s="38"/>
      <c r="F232" s="38"/>
      <c r="G232" s="38"/>
      <c r="H232" s="38"/>
      <c r="I232" s="108"/>
    </row>
    <row r="233">
      <c r="A233" s="38"/>
      <c r="B233" s="38"/>
      <c r="C233" s="15"/>
      <c r="D233" s="15"/>
      <c r="E233" s="38"/>
      <c r="F233" s="38"/>
      <c r="G233" s="38"/>
      <c r="H233" s="38"/>
      <c r="I233" s="108"/>
    </row>
    <row r="234">
      <c r="A234" s="38"/>
      <c r="B234" s="38"/>
      <c r="C234" s="15"/>
      <c r="D234" s="15"/>
      <c r="E234" s="38"/>
      <c r="F234" s="38"/>
      <c r="G234" s="38"/>
      <c r="H234" s="38"/>
      <c r="I234" s="108"/>
    </row>
    <row r="235">
      <c r="A235" s="38"/>
      <c r="B235" s="38"/>
      <c r="C235" s="15"/>
      <c r="D235" s="15"/>
      <c r="E235" s="38"/>
      <c r="F235" s="38"/>
      <c r="G235" s="38"/>
      <c r="H235" s="38"/>
      <c r="I235" s="108"/>
    </row>
    <row r="236">
      <c r="A236" s="38"/>
      <c r="B236" s="38"/>
      <c r="C236" s="15"/>
      <c r="D236" s="15"/>
      <c r="E236" s="38"/>
      <c r="F236" s="38"/>
      <c r="G236" s="38"/>
      <c r="H236" s="38"/>
      <c r="I236" s="108"/>
    </row>
    <row r="237">
      <c r="A237" s="38"/>
      <c r="B237" s="38"/>
      <c r="C237" s="15"/>
      <c r="D237" s="15"/>
      <c r="E237" s="38"/>
      <c r="F237" s="38"/>
      <c r="G237" s="38"/>
      <c r="H237" s="38"/>
      <c r="I237" s="108"/>
    </row>
    <row r="238">
      <c r="A238" s="38"/>
      <c r="B238" s="38"/>
      <c r="C238" s="15"/>
      <c r="D238" s="15"/>
      <c r="E238" s="38"/>
      <c r="F238" s="38"/>
      <c r="G238" s="38"/>
      <c r="H238" s="38"/>
      <c r="I238" s="108"/>
    </row>
    <row r="239">
      <c r="A239" s="38"/>
      <c r="B239" s="38"/>
      <c r="C239" s="15"/>
      <c r="D239" s="15"/>
      <c r="E239" s="38"/>
      <c r="F239" s="38"/>
      <c r="G239" s="38"/>
      <c r="H239" s="38"/>
      <c r="I239" s="108"/>
    </row>
    <row r="240">
      <c r="A240" s="38"/>
      <c r="B240" s="38"/>
      <c r="C240" s="15"/>
      <c r="D240" s="15"/>
      <c r="E240" s="38"/>
      <c r="F240" s="38"/>
      <c r="G240" s="38"/>
      <c r="H240" s="38"/>
      <c r="I240" s="108"/>
    </row>
    <row r="241">
      <c r="A241" s="38"/>
      <c r="B241" s="38"/>
      <c r="C241" s="15"/>
      <c r="D241" s="15"/>
      <c r="E241" s="38"/>
      <c r="F241" s="38"/>
      <c r="G241" s="38"/>
      <c r="H241" s="38"/>
      <c r="I241" s="108"/>
    </row>
    <row r="242">
      <c r="A242" s="38"/>
      <c r="B242" s="38"/>
      <c r="C242" s="15"/>
      <c r="D242" s="15"/>
      <c r="E242" s="38"/>
      <c r="F242" s="38"/>
      <c r="G242" s="38"/>
      <c r="H242" s="38"/>
      <c r="I242" s="108"/>
    </row>
    <row r="243">
      <c r="A243" s="38"/>
      <c r="B243" s="38"/>
      <c r="C243" s="15"/>
      <c r="D243" s="15"/>
      <c r="E243" s="38"/>
      <c r="F243" s="38"/>
      <c r="G243" s="38"/>
      <c r="H243" s="38"/>
      <c r="I243" s="108"/>
    </row>
    <row r="244">
      <c r="A244" s="38"/>
      <c r="B244" s="38"/>
      <c r="C244" s="15"/>
      <c r="D244" s="15"/>
      <c r="E244" s="38"/>
      <c r="F244" s="38"/>
      <c r="G244" s="38"/>
      <c r="H244" s="38"/>
      <c r="I244" s="108"/>
    </row>
    <row r="245">
      <c r="A245" s="38"/>
      <c r="B245" s="38"/>
      <c r="C245" s="15"/>
      <c r="D245" s="15"/>
      <c r="E245" s="38"/>
      <c r="F245" s="38"/>
      <c r="G245" s="38"/>
      <c r="H245" s="38"/>
      <c r="I245" s="108"/>
    </row>
    <row r="246">
      <c r="A246" s="38"/>
      <c r="B246" s="38"/>
      <c r="C246" s="15"/>
      <c r="D246" s="15"/>
      <c r="E246" s="38"/>
      <c r="F246" s="38"/>
      <c r="G246" s="38"/>
      <c r="H246" s="38"/>
      <c r="I246" s="108"/>
    </row>
    <row r="247">
      <c r="A247" s="38"/>
      <c r="B247" s="38"/>
      <c r="C247" s="15"/>
      <c r="D247" s="15"/>
      <c r="E247" s="38"/>
      <c r="F247" s="38"/>
      <c r="G247" s="38"/>
      <c r="H247" s="38"/>
      <c r="I247" s="108"/>
    </row>
    <row r="248">
      <c r="A248" s="38"/>
      <c r="B248" s="38"/>
      <c r="C248" s="15"/>
      <c r="D248" s="15"/>
      <c r="E248" s="38"/>
      <c r="F248" s="38"/>
      <c r="G248" s="38"/>
      <c r="H248" s="38"/>
      <c r="I248" s="108"/>
    </row>
    <row r="249">
      <c r="A249" s="38"/>
      <c r="B249" s="38"/>
      <c r="C249" s="15"/>
      <c r="D249" s="15"/>
      <c r="E249" s="38"/>
      <c r="F249" s="38"/>
      <c r="G249" s="38"/>
      <c r="H249" s="38"/>
      <c r="I249" s="108"/>
    </row>
    <row r="250">
      <c r="A250" s="38"/>
      <c r="B250" s="38"/>
      <c r="C250" s="15"/>
      <c r="D250" s="15"/>
      <c r="E250" s="38"/>
      <c r="F250" s="38"/>
      <c r="G250" s="38"/>
      <c r="H250" s="38"/>
      <c r="I250" s="108"/>
    </row>
    <row r="251">
      <c r="A251" s="38"/>
      <c r="B251" s="38"/>
      <c r="C251" s="15"/>
      <c r="D251" s="15"/>
      <c r="E251" s="38"/>
      <c r="F251" s="38"/>
      <c r="G251" s="38"/>
      <c r="H251" s="38"/>
      <c r="I251" s="108"/>
    </row>
    <row r="252">
      <c r="A252" s="38"/>
      <c r="B252" s="38"/>
      <c r="C252" s="15"/>
      <c r="D252" s="15"/>
      <c r="E252" s="38"/>
      <c r="F252" s="38"/>
      <c r="G252" s="38"/>
      <c r="H252" s="38"/>
      <c r="I252" s="108"/>
    </row>
    <row r="253">
      <c r="A253" s="38"/>
      <c r="B253" s="38"/>
      <c r="C253" s="15"/>
      <c r="D253" s="15"/>
      <c r="E253" s="38"/>
      <c r="F253" s="38"/>
      <c r="G253" s="38"/>
      <c r="H253" s="38"/>
      <c r="I253" s="108"/>
    </row>
    <row r="254">
      <c r="A254" s="38"/>
      <c r="B254" s="38"/>
      <c r="C254" s="15"/>
      <c r="D254" s="15"/>
      <c r="E254" s="38"/>
      <c r="F254" s="38"/>
      <c r="G254" s="38"/>
      <c r="H254" s="38"/>
      <c r="I254" s="108"/>
    </row>
    <row r="255">
      <c r="A255" s="38"/>
      <c r="B255" s="38"/>
      <c r="C255" s="15"/>
      <c r="D255" s="15"/>
      <c r="E255" s="38"/>
      <c r="F255" s="38"/>
      <c r="G255" s="38"/>
      <c r="H255" s="38"/>
      <c r="I255" s="108"/>
    </row>
    <row r="256">
      <c r="A256" s="38"/>
      <c r="B256" s="38"/>
      <c r="C256" s="15"/>
      <c r="D256" s="15"/>
      <c r="E256" s="38"/>
      <c r="F256" s="38"/>
      <c r="G256" s="38"/>
      <c r="H256" s="38"/>
      <c r="I256" s="108"/>
    </row>
    <row r="257">
      <c r="A257" s="38"/>
      <c r="B257" s="38"/>
      <c r="C257" s="15"/>
      <c r="D257" s="15"/>
      <c r="E257" s="38"/>
      <c r="F257" s="38"/>
      <c r="G257" s="38"/>
      <c r="H257" s="38"/>
      <c r="I257" s="108"/>
    </row>
    <row r="258">
      <c r="A258" s="38"/>
      <c r="B258" s="38"/>
      <c r="C258" s="15"/>
      <c r="D258" s="15"/>
      <c r="E258" s="38"/>
      <c r="F258" s="38"/>
      <c r="G258" s="38"/>
      <c r="H258" s="38"/>
      <c r="I258" s="108"/>
    </row>
    <row r="259">
      <c r="A259" s="38"/>
      <c r="B259" s="38"/>
      <c r="C259" s="15"/>
      <c r="D259" s="15"/>
      <c r="E259" s="38"/>
      <c r="F259" s="38"/>
      <c r="G259" s="38"/>
      <c r="H259" s="38"/>
      <c r="I259" s="108"/>
    </row>
    <row r="260">
      <c r="A260" s="38"/>
      <c r="B260" s="38"/>
      <c r="C260" s="15"/>
      <c r="D260" s="15"/>
      <c r="E260" s="38"/>
      <c r="F260" s="38"/>
      <c r="G260" s="38"/>
      <c r="H260" s="38"/>
      <c r="I260" s="108"/>
    </row>
    <row r="261">
      <c r="A261" s="38"/>
      <c r="B261" s="38"/>
      <c r="C261" s="15"/>
      <c r="D261" s="15"/>
      <c r="E261" s="38"/>
      <c r="F261" s="38"/>
      <c r="G261" s="38"/>
      <c r="H261" s="38"/>
      <c r="I261" s="108"/>
    </row>
    <row r="262">
      <c r="A262" s="38"/>
      <c r="B262" s="38"/>
      <c r="C262" s="15"/>
      <c r="D262" s="15"/>
      <c r="E262" s="38"/>
      <c r="F262" s="38"/>
      <c r="G262" s="38"/>
      <c r="H262" s="38"/>
      <c r="I262" s="108"/>
    </row>
    <row r="263">
      <c r="A263" s="38"/>
      <c r="B263" s="38"/>
      <c r="C263" s="15"/>
      <c r="D263" s="15"/>
      <c r="E263" s="38"/>
      <c r="F263" s="38"/>
      <c r="G263" s="38"/>
      <c r="H263" s="38"/>
      <c r="I263" s="108"/>
    </row>
    <row r="264">
      <c r="A264" s="38"/>
      <c r="B264" s="38"/>
      <c r="C264" s="15"/>
      <c r="D264" s="15"/>
      <c r="E264" s="38"/>
      <c r="F264" s="38"/>
      <c r="G264" s="38"/>
      <c r="H264" s="38"/>
      <c r="I264" s="108"/>
    </row>
    <row r="265">
      <c r="A265" s="38"/>
      <c r="B265" s="38"/>
      <c r="C265" s="15"/>
      <c r="D265" s="15"/>
      <c r="E265" s="38"/>
      <c r="F265" s="38"/>
      <c r="G265" s="38"/>
      <c r="H265" s="38"/>
      <c r="I265" s="108"/>
    </row>
    <row r="266">
      <c r="A266" s="38"/>
      <c r="B266" s="38"/>
      <c r="C266" s="15"/>
      <c r="D266" s="15"/>
      <c r="E266" s="38"/>
      <c r="F266" s="38"/>
      <c r="G266" s="38"/>
      <c r="H266" s="38"/>
      <c r="I266" s="108"/>
    </row>
    <row r="267">
      <c r="A267" s="38"/>
      <c r="B267" s="38"/>
      <c r="C267" s="15"/>
      <c r="D267" s="15"/>
      <c r="E267" s="38"/>
      <c r="F267" s="38"/>
      <c r="G267" s="38"/>
      <c r="H267" s="38"/>
      <c r="I267" s="108"/>
    </row>
    <row r="268">
      <c r="A268" s="38"/>
      <c r="B268" s="38"/>
      <c r="C268" s="15"/>
      <c r="D268" s="15"/>
      <c r="E268" s="38"/>
      <c r="F268" s="38"/>
      <c r="G268" s="38"/>
      <c r="H268" s="38"/>
      <c r="I268" s="108"/>
    </row>
    <row r="269">
      <c r="A269" s="38"/>
      <c r="B269" s="38"/>
      <c r="C269" s="15"/>
      <c r="D269" s="15"/>
      <c r="E269" s="38"/>
      <c r="F269" s="38"/>
      <c r="G269" s="38"/>
      <c r="H269" s="38"/>
      <c r="I269" s="108"/>
    </row>
    <row r="270">
      <c r="A270" s="38"/>
      <c r="B270" s="38"/>
      <c r="C270" s="15"/>
      <c r="D270" s="15"/>
      <c r="E270" s="38"/>
      <c r="F270" s="38"/>
      <c r="G270" s="38"/>
      <c r="H270" s="38"/>
      <c r="I270" s="108"/>
    </row>
    <row r="271">
      <c r="A271" s="38"/>
      <c r="B271" s="38"/>
      <c r="C271" s="15"/>
      <c r="D271" s="15"/>
      <c r="E271" s="38"/>
      <c r="F271" s="38"/>
      <c r="G271" s="38"/>
      <c r="H271" s="38"/>
      <c r="I271" s="108"/>
    </row>
    <row r="272">
      <c r="A272" s="38"/>
      <c r="B272" s="38"/>
      <c r="C272" s="15"/>
      <c r="D272" s="15"/>
      <c r="E272" s="38"/>
      <c r="F272" s="38"/>
      <c r="G272" s="38"/>
      <c r="H272" s="38"/>
      <c r="I272" s="108"/>
    </row>
    <row r="273">
      <c r="A273" s="38"/>
      <c r="B273" s="38"/>
      <c r="C273" s="15"/>
      <c r="D273" s="15"/>
      <c r="E273" s="38"/>
      <c r="F273" s="38"/>
      <c r="G273" s="38"/>
      <c r="H273" s="38"/>
      <c r="I273" s="108"/>
    </row>
    <row r="274">
      <c r="A274" s="38"/>
      <c r="B274" s="38"/>
      <c r="C274" s="15"/>
      <c r="D274" s="15"/>
      <c r="E274" s="38"/>
      <c r="F274" s="38"/>
      <c r="G274" s="38"/>
      <c r="H274" s="38"/>
      <c r="I274" s="108"/>
    </row>
    <row r="275">
      <c r="A275" s="38"/>
      <c r="B275" s="38"/>
      <c r="C275" s="15"/>
      <c r="D275" s="15"/>
      <c r="E275" s="38"/>
      <c r="F275" s="38"/>
      <c r="G275" s="38"/>
      <c r="H275" s="38"/>
      <c r="I275" s="108"/>
    </row>
    <row r="276">
      <c r="A276" s="38"/>
      <c r="B276" s="38"/>
      <c r="C276" s="15"/>
      <c r="D276" s="15"/>
      <c r="E276" s="38"/>
      <c r="F276" s="38"/>
      <c r="G276" s="38"/>
      <c r="H276" s="38"/>
      <c r="I276" s="108"/>
    </row>
    <row r="277">
      <c r="A277" s="38"/>
      <c r="B277" s="38"/>
      <c r="C277" s="15"/>
      <c r="D277" s="15"/>
      <c r="E277" s="38"/>
      <c r="F277" s="38"/>
      <c r="G277" s="38"/>
      <c r="H277" s="38"/>
      <c r="I277" s="108"/>
    </row>
    <row r="278">
      <c r="A278" s="38"/>
      <c r="B278" s="38"/>
      <c r="C278" s="15"/>
      <c r="D278" s="15"/>
      <c r="E278" s="38"/>
      <c r="F278" s="38"/>
      <c r="G278" s="38"/>
      <c r="H278" s="38"/>
      <c r="I278" s="108"/>
    </row>
    <row r="279">
      <c r="A279" s="38"/>
      <c r="B279" s="38"/>
      <c r="C279" s="15"/>
      <c r="D279" s="15"/>
      <c r="E279" s="38"/>
      <c r="F279" s="38"/>
      <c r="G279" s="38"/>
      <c r="H279" s="38"/>
      <c r="I279" s="108"/>
    </row>
    <row r="280">
      <c r="A280" s="38"/>
      <c r="B280" s="38"/>
      <c r="C280" s="15"/>
      <c r="D280" s="15"/>
      <c r="E280" s="38"/>
      <c r="F280" s="38"/>
      <c r="G280" s="38"/>
      <c r="H280" s="38"/>
      <c r="I280" s="108"/>
    </row>
    <row r="281">
      <c r="A281" s="38"/>
      <c r="B281" s="38"/>
      <c r="C281" s="15"/>
      <c r="D281" s="15"/>
      <c r="E281" s="38"/>
      <c r="F281" s="38"/>
      <c r="G281" s="38"/>
      <c r="H281" s="38"/>
      <c r="I281" s="108"/>
    </row>
    <row r="282">
      <c r="A282" s="38"/>
      <c r="B282" s="38"/>
      <c r="C282" s="15"/>
      <c r="D282" s="15"/>
      <c r="E282" s="38"/>
      <c r="F282" s="38"/>
      <c r="G282" s="38"/>
      <c r="H282" s="38"/>
      <c r="I282" s="108"/>
    </row>
    <row r="283">
      <c r="A283" s="38"/>
      <c r="B283" s="38"/>
      <c r="C283" s="15"/>
      <c r="D283" s="15"/>
      <c r="E283" s="38"/>
      <c r="F283" s="38"/>
      <c r="G283" s="38"/>
      <c r="H283" s="38"/>
      <c r="I283" s="108"/>
    </row>
    <row r="284">
      <c r="A284" s="38"/>
      <c r="B284" s="38"/>
      <c r="C284" s="15"/>
      <c r="D284" s="15"/>
      <c r="E284" s="38"/>
      <c r="F284" s="38"/>
      <c r="G284" s="38"/>
      <c r="H284" s="38"/>
      <c r="I284" s="108"/>
    </row>
    <row r="285">
      <c r="A285" s="38"/>
      <c r="B285" s="38"/>
      <c r="C285" s="15"/>
      <c r="D285" s="15"/>
      <c r="E285" s="38"/>
      <c r="F285" s="38"/>
      <c r="G285" s="38"/>
      <c r="H285" s="38"/>
      <c r="I285" s="108"/>
    </row>
    <row r="286">
      <c r="A286" s="38"/>
      <c r="B286" s="38"/>
      <c r="C286" s="15"/>
      <c r="D286" s="15"/>
      <c r="E286" s="38"/>
      <c r="F286" s="38"/>
      <c r="G286" s="38"/>
      <c r="H286" s="38"/>
      <c r="I286" s="108"/>
    </row>
    <row r="287">
      <c r="A287" s="38"/>
      <c r="B287" s="38"/>
      <c r="C287" s="15"/>
      <c r="D287" s="15"/>
      <c r="E287" s="38"/>
      <c r="F287" s="38"/>
      <c r="G287" s="38"/>
      <c r="H287" s="38"/>
      <c r="I287" s="108"/>
    </row>
    <row r="288">
      <c r="A288" s="38"/>
      <c r="B288" s="38"/>
      <c r="C288" s="15"/>
      <c r="D288" s="15"/>
      <c r="E288" s="38"/>
      <c r="F288" s="38"/>
      <c r="G288" s="38"/>
      <c r="H288" s="38"/>
      <c r="I288" s="108"/>
    </row>
    <row r="289">
      <c r="A289" s="38"/>
      <c r="B289" s="38"/>
      <c r="C289" s="15"/>
      <c r="D289" s="15"/>
      <c r="E289" s="38"/>
      <c r="F289" s="38"/>
      <c r="G289" s="38"/>
      <c r="H289" s="38"/>
      <c r="I289" s="108"/>
    </row>
    <row r="290">
      <c r="A290" s="38"/>
      <c r="B290" s="38"/>
      <c r="C290" s="15"/>
      <c r="D290" s="15"/>
      <c r="E290" s="38"/>
      <c r="F290" s="38"/>
      <c r="G290" s="38"/>
      <c r="H290" s="38"/>
      <c r="I290" s="108"/>
    </row>
    <row r="291">
      <c r="A291" s="38"/>
      <c r="B291" s="38"/>
      <c r="C291" s="15"/>
      <c r="D291" s="15"/>
      <c r="E291" s="38"/>
      <c r="F291" s="38"/>
      <c r="G291" s="38"/>
      <c r="H291" s="38"/>
      <c r="I291" s="108"/>
    </row>
    <row r="292">
      <c r="A292" s="38"/>
      <c r="B292" s="38"/>
      <c r="C292" s="15"/>
      <c r="D292" s="15"/>
      <c r="E292" s="38"/>
      <c r="F292" s="38"/>
      <c r="G292" s="38"/>
      <c r="H292" s="38"/>
      <c r="I292" s="108"/>
    </row>
    <row r="293">
      <c r="A293" s="38"/>
      <c r="B293" s="38"/>
      <c r="C293" s="15"/>
      <c r="D293" s="15"/>
      <c r="E293" s="38"/>
      <c r="F293" s="38"/>
      <c r="G293" s="38"/>
      <c r="H293" s="38"/>
      <c r="I293" s="108"/>
    </row>
    <row r="294">
      <c r="A294" s="38"/>
      <c r="B294" s="38"/>
      <c r="C294" s="15"/>
      <c r="D294" s="15"/>
      <c r="E294" s="38"/>
      <c r="F294" s="38"/>
      <c r="G294" s="38"/>
      <c r="H294" s="38"/>
      <c r="I294" s="108"/>
    </row>
    <row r="295">
      <c r="A295" s="38"/>
      <c r="B295" s="38"/>
      <c r="C295" s="15"/>
      <c r="D295" s="15"/>
      <c r="E295" s="38"/>
      <c r="F295" s="38"/>
      <c r="G295" s="38"/>
      <c r="H295" s="38"/>
      <c r="I295" s="108"/>
    </row>
    <row r="296">
      <c r="A296" s="38"/>
      <c r="B296" s="38"/>
      <c r="C296" s="15"/>
      <c r="D296" s="15"/>
      <c r="E296" s="38"/>
      <c r="F296" s="38"/>
      <c r="G296" s="38"/>
      <c r="H296" s="38"/>
      <c r="I296" s="108"/>
    </row>
    <row r="297">
      <c r="A297" s="38"/>
      <c r="B297" s="38"/>
      <c r="C297" s="15"/>
      <c r="D297" s="15"/>
      <c r="E297" s="38"/>
      <c r="F297" s="38"/>
      <c r="G297" s="38"/>
      <c r="H297" s="38"/>
      <c r="I297" s="108"/>
    </row>
    <row r="298">
      <c r="A298" s="38"/>
      <c r="B298" s="38"/>
      <c r="C298" s="15"/>
      <c r="D298" s="15"/>
      <c r="E298" s="38"/>
      <c r="F298" s="38"/>
      <c r="G298" s="38"/>
      <c r="H298" s="38"/>
      <c r="I298" s="108"/>
    </row>
    <row r="299">
      <c r="A299" s="38"/>
      <c r="B299" s="38"/>
      <c r="C299" s="15"/>
      <c r="D299" s="15"/>
      <c r="E299" s="38"/>
      <c r="F299" s="38"/>
      <c r="G299" s="38"/>
      <c r="H299" s="38"/>
      <c r="I299" s="108"/>
    </row>
    <row r="300">
      <c r="A300" s="38"/>
      <c r="B300" s="38"/>
      <c r="C300" s="15"/>
      <c r="D300" s="15"/>
      <c r="E300" s="38"/>
      <c r="F300" s="38"/>
      <c r="G300" s="38"/>
      <c r="H300" s="38"/>
      <c r="I300" s="108"/>
    </row>
    <row r="301">
      <c r="A301" s="38"/>
      <c r="B301" s="38"/>
      <c r="C301" s="15"/>
      <c r="D301" s="15"/>
      <c r="E301" s="38"/>
      <c r="F301" s="38"/>
      <c r="G301" s="38"/>
      <c r="H301" s="38"/>
      <c r="I301" s="108"/>
    </row>
    <row r="302">
      <c r="A302" s="38"/>
      <c r="B302" s="38"/>
      <c r="C302" s="15"/>
      <c r="D302" s="15"/>
      <c r="E302" s="38"/>
      <c r="F302" s="38"/>
      <c r="G302" s="38"/>
      <c r="H302" s="38"/>
      <c r="I302" s="108"/>
    </row>
    <row r="303">
      <c r="A303" s="38"/>
      <c r="B303" s="38"/>
      <c r="C303" s="15"/>
      <c r="D303" s="15"/>
      <c r="E303" s="38"/>
      <c r="F303" s="38"/>
      <c r="G303" s="38"/>
      <c r="H303" s="38"/>
      <c r="I303" s="108"/>
    </row>
    <row r="304">
      <c r="A304" s="38"/>
      <c r="B304" s="38"/>
      <c r="C304" s="15"/>
      <c r="D304" s="15"/>
      <c r="E304" s="38"/>
      <c r="F304" s="38"/>
      <c r="G304" s="38"/>
      <c r="H304" s="38"/>
      <c r="I304" s="108"/>
    </row>
    <row r="305">
      <c r="A305" s="38"/>
      <c r="B305" s="38"/>
      <c r="C305" s="15"/>
      <c r="D305" s="15"/>
      <c r="E305" s="38"/>
      <c r="F305" s="38"/>
      <c r="G305" s="38"/>
      <c r="H305" s="38"/>
      <c r="I305" s="108"/>
    </row>
    <row r="306">
      <c r="A306" s="38"/>
      <c r="B306" s="38"/>
      <c r="C306" s="15"/>
      <c r="D306" s="15"/>
      <c r="E306" s="38"/>
      <c r="F306" s="38"/>
      <c r="G306" s="38"/>
      <c r="H306" s="38"/>
      <c r="I306" s="108"/>
    </row>
    <row r="307">
      <c r="A307" s="38"/>
      <c r="B307" s="38"/>
      <c r="C307" s="15"/>
      <c r="D307" s="15"/>
      <c r="E307" s="38"/>
      <c r="F307" s="38"/>
      <c r="G307" s="38"/>
      <c r="H307" s="38"/>
      <c r="I307" s="108"/>
    </row>
    <row r="308">
      <c r="A308" s="38"/>
      <c r="B308" s="38"/>
      <c r="C308" s="15"/>
      <c r="D308" s="15"/>
      <c r="E308" s="38"/>
      <c r="F308" s="38"/>
      <c r="G308" s="38"/>
      <c r="H308" s="38"/>
      <c r="I308" s="108"/>
    </row>
    <row r="309">
      <c r="A309" s="38"/>
      <c r="B309" s="38"/>
      <c r="C309" s="15"/>
      <c r="D309" s="15"/>
      <c r="E309" s="38"/>
      <c r="F309" s="38"/>
      <c r="G309" s="38"/>
      <c r="H309" s="38"/>
      <c r="I309" s="108"/>
    </row>
    <row r="310">
      <c r="A310" s="38"/>
      <c r="B310" s="38"/>
      <c r="C310" s="15"/>
      <c r="D310" s="15"/>
      <c r="E310" s="38"/>
      <c r="F310" s="38"/>
      <c r="G310" s="38"/>
      <c r="H310" s="38"/>
      <c r="I310" s="108"/>
    </row>
    <row r="311">
      <c r="A311" s="38"/>
      <c r="B311" s="38"/>
      <c r="C311" s="15"/>
      <c r="D311" s="15"/>
      <c r="E311" s="38"/>
      <c r="F311" s="38"/>
      <c r="G311" s="38"/>
      <c r="H311" s="38"/>
      <c r="I311" s="108"/>
    </row>
    <row r="312">
      <c r="A312" s="38"/>
      <c r="B312" s="38"/>
      <c r="C312" s="15"/>
      <c r="D312" s="15"/>
      <c r="E312" s="38"/>
      <c r="F312" s="38"/>
      <c r="G312" s="38"/>
      <c r="H312" s="38"/>
      <c r="I312" s="108"/>
    </row>
    <row r="313">
      <c r="A313" s="38"/>
      <c r="B313" s="38"/>
      <c r="C313" s="15"/>
      <c r="D313" s="15"/>
      <c r="E313" s="38"/>
      <c r="F313" s="38"/>
      <c r="G313" s="38"/>
      <c r="H313" s="38"/>
      <c r="I313" s="108"/>
    </row>
    <row r="314">
      <c r="A314" s="38"/>
      <c r="B314" s="38"/>
      <c r="C314" s="15"/>
      <c r="D314" s="15"/>
      <c r="E314" s="38"/>
      <c r="F314" s="38"/>
      <c r="G314" s="38"/>
      <c r="H314" s="38"/>
      <c r="I314" s="108"/>
    </row>
    <row r="315">
      <c r="A315" s="38"/>
      <c r="B315" s="38"/>
      <c r="C315" s="15"/>
      <c r="D315" s="15"/>
      <c r="E315" s="38"/>
      <c r="F315" s="38"/>
      <c r="G315" s="38"/>
      <c r="H315" s="38"/>
      <c r="I315" s="108"/>
    </row>
    <row r="316">
      <c r="A316" s="38"/>
      <c r="B316" s="38"/>
      <c r="C316" s="15"/>
      <c r="D316" s="15"/>
      <c r="E316" s="38"/>
      <c r="F316" s="38"/>
      <c r="G316" s="38"/>
      <c r="H316" s="38"/>
      <c r="I316" s="108"/>
    </row>
    <row r="317">
      <c r="A317" s="38"/>
      <c r="B317" s="38"/>
      <c r="C317" s="15"/>
      <c r="D317" s="15"/>
      <c r="E317" s="38"/>
      <c r="F317" s="38"/>
      <c r="G317" s="38"/>
      <c r="H317" s="38"/>
      <c r="I317" s="108"/>
    </row>
    <row r="318">
      <c r="A318" s="38"/>
      <c r="B318" s="38"/>
      <c r="C318" s="15"/>
      <c r="D318" s="15"/>
      <c r="E318" s="38"/>
      <c r="F318" s="38"/>
      <c r="G318" s="38"/>
      <c r="H318" s="38"/>
      <c r="I318" s="108"/>
    </row>
    <row r="319">
      <c r="A319" s="38"/>
      <c r="B319" s="38"/>
      <c r="C319" s="15"/>
      <c r="D319" s="15"/>
      <c r="E319" s="38"/>
      <c r="F319" s="38"/>
      <c r="G319" s="38"/>
      <c r="H319" s="38"/>
      <c r="I319" s="108"/>
    </row>
    <row r="320">
      <c r="A320" s="38"/>
      <c r="B320" s="38"/>
      <c r="C320" s="15"/>
      <c r="D320" s="15"/>
      <c r="E320" s="38"/>
      <c r="F320" s="38"/>
      <c r="G320" s="38"/>
      <c r="H320" s="38"/>
      <c r="I320" s="108"/>
    </row>
    <row r="321">
      <c r="A321" s="38"/>
      <c r="B321" s="38"/>
      <c r="C321" s="15"/>
      <c r="D321" s="15"/>
      <c r="E321" s="38"/>
      <c r="F321" s="38"/>
      <c r="G321" s="38"/>
      <c r="H321" s="38"/>
      <c r="I321" s="108"/>
    </row>
    <row r="322">
      <c r="A322" s="38"/>
      <c r="B322" s="38"/>
      <c r="C322" s="15"/>
      <c r="D322" s="15"/>
      <c r="E322" s="38"/>
      <c r="F322" s="38"/>
      <c r="G322" s="38"/>
      <c r="H322" s="38"/>
      <c r="I322" s="108"/>
    </row>
    <row r="323">
      <c r="A323" s="38"/>
      <c r="B323" s="38"/>
      <c r="C323" s="15"/>
      <c r="D323" s="15"/>
      <c r="E323" s="38"/>
      <c r="F323" s="38"/>
      <c r="G323" s="38"/>
      <c r="H323" s="38"/>
      <c r="I323" s="108"/>
    </row>
    <row r="324">
      <c r="A324" s="38"/>
      <c r="B324" s="38"/>
      <c r="C324" s="15"/>
      <c r="D324" s="15"/>
      <c r="E324" s="38"/>
      <c r="F324" s="38"/>
      <c r="G324" s="38"/>
      <c r="H324" s="38"/>
      <c r="I324" s="108"/>
    </row>
    <row r="325">
      <c r="A325" s="38"/>
      <c r="B325" s="38"/>
      <c r="C325" s="15"/>
      <c r="D325" s="15"/>
      <c r="E325" s="38"/>
      <c r="F325" s="38"/>
      <c r="G325" s="38"/>
      <c r="H325" s="38"/>
      <c r="I325" s="108"/>
    </row>
    <row r="326">
      <c r="A326" s="38"/>
      <c r="B326" s="38"/>
      <c r="C326" s="15"/>
      <c r="D326" s="15"/>
      <c r="E326" s="38"/>
      <c r="F326" s="38"/>
      <c r="G326" s="38"/>
      <c r="H326" s="38"/>
      <c r="I326" s="108"/>
    </row>
    <row r="327">
      <c r="A327" s="38"/>
      <c r="B327" s="38"/>
      <c r="C327" s="15"/>
      <c r="D327" s="15"/>
      <c r="E327" s="38"/>
      <c r="F327" s="38"/>
      <c r="G327" s="38"/>
      <c r="H327" s="38"/>
      <c r="I327" s="108"/>
    </row>
    <row r="328">
      <c r="A328" s="38"/>
      <c r="B328" s="38"/>
      <c r="C328" s="15"/>
      <c r="D328" s="15"/>
      <c r="E328" s="38"/>
      <c r="F328" s="38"/>
      <c r="G328" s="38"/>
      <c r="H328" s="38"/>
      <c r="I328" s="108"/>
    </row>
    <row r="329">
      <c r="A329" s="38"/>
      <c r="B329" s="38"/>
      <c r="C329" s="15"/>
      <c r="D329" s="15"/>
      <c r="E329" s="38"/>
      <c r="F329" s="38"/>
      <c r="G329" s="38"/>
      <c r="H329" s="38"/>
      <c r="I329" s="108"/>
    </row>
    <row r="330">
      <c r="A330" s="38"/>
      <c r="B330" s="38"/>
      <c r="C330" s="15"/>
      <c r="D330" s="15"/>
      <c r="E330" s="38"/>
      <c r="F330" s="38"/>
      <c r="G330" s="38"/>
      <c r="H330" s="38"/>
      <c r="I330" s="108"/>
    </row>
    <row r="331">
      <c r="A331" s="38"/>
      <c r="B331" s="38"/>
      <c r="C331" s="15"/>
      <c r="D331" s="15"/>
      <c r="E331" s="38"/>
      <c r="F331" s="38"/>
      <c r="G331" s="38"/>
      <c r="H331" s="38"/>
      <c r="I331" s="108"/>
    </row>
    <row r="332">
      <c r="A332" s="38"/>
      <c r="B332" s="38"/>
      <c r="C332" s="15"/>
      <c r="D332" s="15"/>
      <c r="E332" s="38"/>
      <c r="F332" s="38"/>
      <c r="G332" s="38"/>
      <c r="H332" s="38"/>
      <c r="I332" s="108"/>
    </row>
    <row r="333">
      <c r="A333" s="38"/>
      <c r="B333" s="38"/>
      <c r="C333" s="15"/>
      <c r="D333" s="15"/>
      <c r="E333" s="38"/>
      <c r="F333" s="38"/>
      <c r="G333" s="38"/>
      <c r="H333" s="38"/>
      <c r="I333" s="108"/>
    </row>
    <row r="334">
      <c r="A334" s="38"/>
      <c r="B334" s="38"/>
      <c r="C334" s="15"/>
      <c r="D334" s="15"/>
      <c r="E334" s="38"/>
      <c r="F334" s="38"/>
      <c r="G334" s="38"/>
      <c r="H334" s="38"/>
      <c r="I334" s="108"/>
    </row>
    <row r="335">
      <c r="A335" s="38"/>
      <c r="B335" s="38"/>
      <c r="C335" s="15"/>
      <c r="D335" s="15"/>
      <c r="E335" s="38"/>
      <c r="F335" s="38"/>
      <c r="G335" s="38"/>
      <c r="H335" s="38"/>
      <c r="I335" s="108"/>
    </row>
    <row r="336">
      <c r="A336" s="38"/>
      <c r="B336" s="38"/>
      <c r="C336" s="15"/>
      <c r="D336" s="15"/>
      <c r="E336" s="38"/>
      <c r="F336" s="38"/>
      <c r="G336" s="38"/>
      <c r="H336" s="38"/>
      <c r="I336" s="108"/>
    </row>
    <row r="337">
      <c r="A337" s="38"/>
      <c r="B337" s="38"/>
      <c r="C337" s="15"/>
      <c r="D337" s="15"/>
      <c r="E337" s="38"/>
      <c r="F337" s="38"/>
      <c r="G337" s="38"/>
      <c r="H337" s="38"/>
      <c r="I337" s="108"/>
    </row>
    <row r="338">
      <c r="A338" s="38"/>
      <c r="B338" s="38"/>
      <c r="C338" s="15"/>
      <c r="D338" s="15"/>
      <c r="E338" s="38"/>
      <c r="F338" s="38"/>
      <c r="G338" s="38"/>
      <c r="H338" s="38"/>
      <c r="I338" s="108"/>
    </row>
    <row r="339">
      <c r="A339" s="38"/>
      <c r="B339" s="38"/>
      <c r="C339" s="15"/>
      <c r="D339" s="15"/>
      <c r="E339" s="38"/>
      <c r="F339" s="38"/>
      <c r="G339" s="38"/>
      <c r="H339" s="38"/>
      <c r="I339" s="108"/>
    </row>
    <row r="340">
      <c r="A340" s="38"/>
      <c r="B340" s="38"/>
      <c r="C340" s="15"/>
      <c r="D340" s="15"/>
      <c r="E340" s="38"/>
      <c r="F340" s="38"/>
      <c r="G340" s="38"/>
      <c r="H340" s="38"/>
      <c r="I340" s="108"/>
    </row>
    <row r="341">
      <c r="A341" s="38"/>
      <c r="B341" s="38"/>
      <c r="C341" s="15"/>
      <c r="D341" s="15"/>
      <c r="E341" s="38"/>
      <c r="F341" s="38"/>
      <c r="G341" s="38"/>
      <c r="H341" s="38"/>
      <c r="I341" s="108"/>
    </row>
    <row r="342">
      <c r="A342" s="38"/>
      <c r="B342" s="38"/>
      <c r="C342" s="15"/>
      <c r="D342" s="15"/>
      <c r="E342" s="38"/>
      <c r="F342" s="38"/>
      <c r="G342" s="38"/>
      <c r="H342" s="38"/>
      <c r="I342" s="108"/>
    </row>
    <row r="343">
      <c r="A343" s="38"/>
      <c r="B343" s="38"/>
      <c r="C343" s="15"/>
      <c r="D343" s="15"/>
      <c r="E343" s="38"/>
      <c r="F343" s="38"/>
      <c r="G343" s="38"/>
      <c r="H343" s="38"/>
      <c r="I343" s="108"/>
    </row>
    <row r="344">
      <c r="A344" s="38"/>
      <c r="B344" s="38"/>
      <c r="C344" s="15"/>
      <c r="D344" s="15"/>
      <c r="E344" s="38"/>
      <c r="F344" s="38"/>
      <c r="G344" s="38"/>
      <c r="H344" s="38"/>
      <c r="I344" s="108"/>
    </row>
    <row r="345">
      <c r="A345" s="38"/>
      <c r="B345" s="38"/>
      <c r="C345" s="15"/>
      <c r="D345" s="15"/>
      <c r="E345" s="38"/>
      <c r="F345" s="38"/>
      <c r="G345" s="38"/>
      <c r="H345" s="38"/>
      <c r="I345" s="108"/>
    </row>
    <row r="346">
      <c r="A346" s="38"/>
      <c r="B346" s="38"/>
      <c r="C346" s="15"/>
      <c r="D346" s="15"/>
      <c r="E346" s="38"/>
      <c r="F346" s="38"/>
      <c r="G346" s="38"/>
      <c r="H346" s="38"/>
      <c r="I346" s="108"/>
    </row>
    <row r="347">
      <c r="A347" s="38"/>
      <c r="B347" s="38"/>
      <c r="C347" s="15"/>
      <c r="D347" s="15"/>
      <c r="E347" s="38"/>
      <c r="F347" s="38"/>
      <c r="G347" s="38"/>
      <c r="H347" s="38"/>
      <c r="I347" s="108"/>
    </row>
    <row r="348">
      <c r="A348" s="38"/>
      <c r="B348" s="38"/>
      <c r="C348" s="15"/>
      <c r="D348" s="15"/>
      <c r="E348" s="38"/>
      <c r="F348" s="38"/>
      <c r="G348" s="38"/>
      <c r="H348" s="38"/>
      <c r="I348" s="108"/>
    </row>
    <row r="349">
      <c r="A349" s="38"/>
      <c r="B349" s="38"/>
      <c r="C349" s="15"/>
      <c r="D349" s="15"/>
      <c r="E349" s="38"/>
      <c r="F349" s="38"/>
      <c r="G349" s="38"/>
      <c r="H349" s="38"/>
      <c r="I349" s="108"/>
    </row>
    <row r="350">
      <c r="A350" s="38"/>
      <c r="B350" s="38"/>
      <c r="C350" s="15"/>
      <c r="D350" s="15"/>
      <c r="E350" s="38"/>
      <c r="F350" s="38"/>
      <c r="G350" s="38"/>
      <c r="H350" s="38"/>
      <c r="I350" s="108"/>
    </row>
    <row r="351">
      <c r="A351" s="38"/>
      <c r="B351" s="38"/>
      <c r="C351" s="15"/>
      <c r="D351" s="15"/>
      <c r="E351" s="38"/>
      <c r="F351" s="38"/>
      <c r="G351" s="38"/>
      <c r="H351" s="38"/>
      <c r="I351" s="108"/>
    </row>
    <row r="352">
      <c r="A352" s="38"/>
      <c r="B352" s="38"/>
      <c r="C352" s="15"/>
      <c r="D352" s="15"/>
      <c r="E352" s="38"/>
      <c r="F352" s="38"/>
      <c r="G352" s="38"/>
      <c r="H352" s="38"/>
      <c r="I352" s="108"/>
    </row>
    <row r="353">
      <c r="A353" s="38"/>
      <c r="B353" s="38"/>
      <c r="C353" s="15"/>
      <c r="D353" s="15"/>
      <c r="E353" s="38"/>
      <c r="F353" s="38"/>
      <c r="G353" s="38"/>
      <c r="H353" s="38"/>
      <c r="I353" s="108"/>
    </row>
    <row r="354">
      <c r="A354" s="38"/>
      <c r="B354" s="38"/>
      <c r="C354" s="15"/>
      <c r="D354" s="15"/>
      <c r="E354" s="38"/>
      <c r="F354" s="38"/>
      <c r="G354" s="38"/>
      <c r="H354" s="38"/>
      <c r="I354" s="108"/>
    </row>
    <row r="355">
      <c r="A355" s="38"/>
      <c r="B355" s="38"/>
      <c r="C355" s="15"/>
      <c r="D355" s="15"/>
      <c r="E355" s="38"/>
      <c r="F355" s="38"/>
      <c r="G355" s="38"/>
      <c r="H355" s="38"/>
      <c r="I355" s="108"/>
    </row>
    <row r="356">
      <c r="A356" s="38"/>
      <c r="B356" s="38"/>
      <c r="C356" s="15"/>
      <c r="D356" s="15"/>
      <c r="E356" s="38"/>
      <c r="F356" s="38"/>
      <c r="G356" s="38"/>
      <c r="H356" s="38"/>
      <c r="I356" s="108"/>
    </row>
    <row r="357">
      <c r="A357" s="38"/>
      <c r="B357" s="38"/>
      <c r="C357" s="15"/>
      <c r="D357" s="15"/>
      <c r="E357" s="38"/>
      <c r="F357" s="38"/>
      <c r="G357" s="38"/>
      <c r="H357" s="38"/>
      <c r="I357" s="108"/>
    </row>
    <row r="358">
      <c r="A358" s="38"/>
      <c r="B358" s="38"/>
      <c r="C358" s="15"/>
      <c r="D358" s="15"/>
      <c r="E358" s="38"/>
      <c r="F358" s="38"/>
      <c r="G358" s="38"/>
      <c r="H358" s="38"/>
      <c r="I358" s="108"/>
    </row>
    <row r="359">
      <c r="A359" s="38"/>
      <c r="B359" s="38"/>
      <c r="C359" s="15"/>
      <c r="D359" s="15"/>
      <c r="E359" s="38"/>
      <c r="F359" s="38"/>
      <c r="G359" s="38"/>
      <c r="H359" s="38"/>
      <c r="I359" s="108"/>
    </row>
    <row r="360">
      <c r="A360" s="38"/>
      <c r="B360" s="38"/>
      <c r="C360" s="15"/>
      <c r="D360" s="15"/>
      <c r="E360" s="38"/>
      <c r="F360" s="38"/>
      <c r="G360" s="38"/>
      <c r="H360" s="38"/>
      <c r="I360" s="108"/>
    </row>
    <row r="361">
      <c r="A361" s="38"/>
      <c r="B361" s="38"/>
      <c r="C361" s="15"/>
      <c r="D361" s="15"/>
      <c r="E361" s="38"/>
      <c r="F361" s="38"/>
      <c r="G361" s="38"/>
      <c r="H361" s="38"/>
      <c r="I361" s="108"/>
    </row>
    <row r="362">
      <c r="A362" s="38"/>
      <c r="B362" s="38"/>
      <c r="C362" s="15"/>
      <c r="D362" s="15"/>
      <c r="E362" s="38"/>
      <c r="F362" s="38"/>
      <c r="G362" s="38"/>
      <c r="H362" s="38"/>
      <c r="I362" s="108"/>
    </row>
    <row r="363">
      <c r="A363" s="38"/>
      <c r="B363" s="38"/>
      <c r="C363" s="15"/>
      <c r="D363" s="15"/>
      <c r="E363" s="38"/>
      <c r="F363" s="38"/>
      <c r="G363" s="38"/>
      <c r="H363" s="38"/>
      <c r="I363" s="108"/>
    </row>
    <row r="364">
      <c r="A364" s="38"/>
      <c r="B364" s="38"/>
      <c r="C364" s="15"/>
      <c r="D364" s="15"/>
      <c r="E364" s="38"/>
      <c r="F364" s="38"/>
      <c r="G364" s="38"/>
      <c r="H364" s="38"/>
      <c r="I364" s="108"/>
    </row>
    <row r="365">
      <c r="A365" s="38"/>
      <c r="B365" s="38"/>
      <c r="C365" s="15"/>
      <c r="D365" s="15"/>
      <c r="E365" s="38"/>
      <c r="F365" s="38"/>
      <c r="G365" s="38"/>
      <c r="H365" s="38"/>
      <c r="I365" s="108"/>
    </row>
    <row r="366">
      <c r="A366" s="38"/>
      <c r="B366" s="38"/>
      <c r="C366" s="15"/>
      <c r="D366" s="15"/>
      <c r="E366" s="38"/>
      <c r="F366" s="38"/>
      <c r="G366" s="38"/>
      <c r="H366" s="38"/>
      <c r="I366" s="108"/>
    </row>
    <row r="367">
      <c r="A367" s="38"/>
      <c r="B367" s="38"/>
      <c r="C367" s="15"/>
      <c r="D367" s="15"/>
      <c r="E367" s="38"/>
      <c r="F367" s="38"/>
      <c r="G367" s="38"/>
      <c r="H367" s="38"/>
      <c r="I367" s="108"/>
    </row>
    <row r="368">
      <c r="A368" s="38"/>
      <c r="B368" s="38"/>
      <c r="C368" s="15"/>
      <c r="D368" s="15"/>
      <c r="E368" s="38"/>
      <c r="F368" s="38"/>
      <c r="G368" s="38"/>
      <c r="H368" s="38"/>
      <c r="I368" s="108"/>
    </row>
    <row r="369">
      <c r="A369" s="38"/>
      <c r="B369" s="38"/>
      <c r="C369" s="15"/>
      <c r="D369" s="15"/>
      <c r="E369" s="38"/>
      <c r="F369" s="38"/>
      <c r="G369" s="38"/>
      <c r="H369" s="38"/>
      <c r="I369" s="108"/>
    </row>
    <row r="370">
      <c r="A370" s="38"/>
      <c r="B370" s="38"/>
      <c r="C370" s="15"/>
      <c r="D370" s="15"/>
      <c r="E370" s="38"/>
      <c r="F370" s="38"/>
      <c r="G370" s="38"/>
      <c r="H370" s="38"/>
      <c r="I370" s="108"/>
    </row>
    <row r="371">
      <c r="A371" s="38"/>
      <c r="B371" s="38"/>
      <c r="C371" s="15"/>
      <c r="D371" s="15"/>
      <c r="E371" s="38"/>
      <c r="F371" s="38"/>
      <c r="G371" s="38"/>
      <c r="H371" s="38"/>
      <c r="I371" s="108"/>
    </row>
    <row r="372">
      <c r="A372" s="38"/>
      <c r="B372" s="38"/>
      <c r="C372" s="15"/>
      <c r="D372" s="15"/>
      <c r="E372" s="38"/>
      <c r="F372" s="38"/>
      <c r="G372" s="38"/>
      <c r="H372" s="38"/>
      <c r="I372" s="108"/>
    </row>
    <row r="373">
      <c r="A373" s="38"/>
      <c r="B373" s="38"/>
      <c r="C373" s="15"/>
      <c r="D373" s="15"/>
      <c r="E373" s="38"/>
      <c r="F373" s="38"/>
      <c r="G373" s="38"/>
      <c r="H373" s="38"/>
      <c r="I373" s="108"/>
    </row>
    <row r="374">
      <c r="A374" s="38"/>
      <c r="B374" s="38"/>
      <c r="C374" s="15"/>
      <c r="D374" s="15"/>
      <c r="E374" s="38"/>
      <c r="F374" s="38"/>
      <c r="G374" s="38"/>
      <c r="H374" s="38"/>
      <c r="I374" s="108"/>
    </row>
    <row r="375">
      <c r="A375" s="38"/>
      <c r="B375" s="38"/>
      <c r="C375" s="15"/>
      <c r="D375" s="15"/>
      <c r="E375" s="38"/>
      <c r="F375" s="38"/>
      <c r="G375" s="38"/>
      <c r="H375" s="38"/>
      <c r="I375" s="108"/>
    </row>
    <row r="376">
      <c r="A376" s="38"/>
      <c r="B376" s="38"/>
      <c r="C376" s="15"/>
      <c r="D376" s="15"/>
      <c r="E376" s="38"/>
      <c r="F376" s="38"/>
      <c r="G376" s="38"/>
      <c r="H376" s="38"/>
      <c r="I376" s="108"/>
    </row>
    <row r="377">
      <c r="A377" s="38"/>
      <c r="B377" s="38"/>
      <c r="C377" s="15"/>
      <c r="D377" s="15"/>
      <c r="E377" s="38"/>
      <c r="F377" s="38"/>
      <c r="G377" s="38"/>
      <c r="H377" s="38"/>
      <c r="I377" s="108"/>
    </row>
    <row r="378">
      <c r="A378" s="38"/>
      <c r="B378" s="38"/>
      <c r="C378" s="15"/>
      <c r="D378" s="15"/>
      <c r="E378" s="38"/>
      <c r="F378" s="38"/>
      <c r="G378" s="38"/>
      <c r="H378" s="38"/>
      <c r="I378" s="108"/>
    </row>
    <row r="379">
      <c r="A379" s="38"/>
      <c r="B379" s="38"/>
      <c r="C379" s="15"/>
      <c r="D379" s="15"/>
      <c r="E379" s="38"/>
      <c r="F379" s="38"/>
      <c r="G379" s="38"/>
      <c r="H379" s="38"/>
      <c r="I379" s="108"/>
    </row>
    <row r="380">
      <c r="A380" s="38"/>
      <c r="B380" s="38"/>
      <c r="C380" s="15"/>
      <c r="D380" s="15"/>
      <c r="E380" s="38"/>
      <c r="F380" s="38"/>
      <c r="G380" s="38"/>
      <c r="H380" s="38"/>
      <c r="I380" s="108"/>
    </row>
    <row r="381">
      <c r="A381" s="38"/>
      <c r="B381" s="38"/>
      <c r="C381" s="15"/>
      <c r="D381" s="15"/>
      <c r="E381" s="38"/>
      <c r="F381" s="38"/>
      <c r="G381" s="38"/>
      <c r="H381" s="38"/>
      <c r="I381" s="108"/>
    </row>
    <row r="382">
      <c r="A382" s="38"/>
      <c r="B382" s="38"/>
      <c r="C382" s="15"/>
      <c r="D382" s="15"/>
      <c r="E382" s="38"/>
      <c r="F382" s="38"/>
      <c r="G382" s="38"/>
      <c r="H382" s="38"/>
      <c r="I382" s="108"/>
    </row>
    <row r="383">
      <c r="A383" s="38"/>
      <c r="B383" s="38"/>
      <c r="C383" s="15"/>
      <c r="D383" s="15"/>
      <c r="E383" s="38"/>
      <c r="F383" s="38"/>
      <c r="G383" s="38"/>
      <c r="H383" s="38"/>
      <c r="I383" s="108"/>
    </row>
    <row r="384">
      <c r="A384" s="38"/>
      <c r="B384" s="38"/>
      <c r="C384" s="15"/>
      <c r="D384" s="15"/>
      <c r="E384" s="38"/>
      <c r="F384" s="38"/>
      <c r="G384" s="38"/>
      <c r="H384" s="38"/>
      <c r="I384" s="108"/>
    </row>
    <row r="385">
      <c r="A385" s="38"/>
      <c r="B385" s="38"/>
      <c r="C385" s="15"/>
      <c r="D385" s="15"/>
      <c r="E385" s="38"/>
      <c r="F385" s="38"/>
      <c r="G385" s="38"/>
      <c r="H385" s="38"/>
      <c r="I385" s="108"/>
    </row>
    <row r="386">
      <c r="A386" s="38"/>
      <c r="B386" s="38"/>
      <c r="C386" s="15"/>
      <c r="D386" s="15"/>
      <c r="E386" s="38"/>
      <c r="F386" s="38"/>
      <c r="G386" s="38"/>
      <c r="H386" s="38"/>
      <c r="I386" s="108"/>
    </row>
    <row r="387">
      <c r="A387" s="38"/>
      <c r="B387" s="38"/>
      <c r="C387" s="15"/>
      <c r="D387" s="15"/>
      <c r="E387" s="38"/>
      <c r="F387" s="38"/>
      <c r="G387" s="38"/>
      <c r="H387" s="38"/>
      <c r="I387" s="108"/>
    </row>
    <row r="388">
      <c r="A388" s="38"/>
      <c r="B388" s="38"/>
      <c r="C388" s="15"/>
      <c r="D388" s="15"/>
      <c r="E388" s="38"/>
      <c r="F388" s="38"/>
      <c r="G388" s="38"/>
      <c r="H388" s="38"/>
      <c r="I388" s="108"/>
    </row>
    <row r="389">
      <c r="A389" s="38"/>
      <c r="B389" s="38"/>
      <c r="C389" s="15"/>
      <c r="D389" s="15"/>
      <c r="E389" s="38"/>
      <c r="F389" s="38"/>
      <c r="G389" s="38"/>
      <c r="H389" s="38"/>
      <c r="I389" s="108"/>
    </row>
    <row r="390">
      <c r="A390" s="38"/>
      <c r="B390" s="38"/>
      <c r="C390" s="15"/>
      <c r="D390" s="15"/>
      <c r="E390" s="38"/>
      <c r="F390" s="38"/>
      <c r="G390" s="38"/>
      <c r="H390" s="38"/>
      <c r="I390" s="108"/>
    </row>
    <row r="391">
      <c r="A391" s="38"/>
      <c r="B391" s="38"/>
      <c r="C391" s="15"/>
      <c r="D391" s="15"/>
      <c r="E391" s="38"/>
      <c r="F391" s="38"/>
      <c r="G391" s="38"/>
      <c r="H391" s="38"/>
      <c r="I391" s="108"/>
    </row>
    <row r="392">
      <c r="A392" s="38"/>
      <c r="B392" s="38"/>
      <c r="C392" s="15"/>
      <c r="D392" s="15"/>
      <c r="E392" s="38"/>
      <c r="F392" s="38"/>
      <c r="G392" s="38"/>
      <c r="H392" s="38"/>
      <c r="I392" s="108"/>
    </row>
    <row r="393">
      <c r="A393" s="38"/>
      <c r="B393" s="38"/>
      <c r="C393" s="15"/>
      <c r="D393" s="15"/>
      <c r="E393" s="38"/>
      <c r="F393" s="38"/>
      <c r="G393" s="38"/>
      <c r="H393" s="38"/>
      <c r="I393" s="108"/>
    </row>
    <row r="394">
      <c r="A394" s="38"/>
      <c r="B394" s="38"/>
      <c r="C394" s="15"/>
      <c r="D394" s="15"/>
      <c r="E394" s="38"/>
      <c r="F394" s="38"/>
      <c r="G394" s="38"/>
      <c r="H394" s="38"/>
      <c r="I394" s="108"/>
    </row>
    <row r="395">
      <c r="A395" s="38"/>
      <c r="B395" s="38"/>
      <c r="C395" s="15"/>
      <c r="D395" s="15"/>
      <c r="E395" s="38"/>
      <c r="F395" s="38"/>
      <c r="G395" s="38"/>
      <c r="H395" s="38"/>
      <c r="I395" s="108"/>
    </row>
    <row r="396">
      <c r="A396" s="38"/>
      <c r="B396" s="38"/>
      <c r="C396" s="15"/>
      <c r="D396" s="15"/>
      <c r="E396" s="38"/>
      <c r="F396" s="38"/>
      <c r="G396" s="38"/>
      <c r="H396" s="38"/>
      <c r="I396" s="108"/>
    </row>
    <row r="397">
      <c r="A397" s="38"/>
      <c r="B397" s="38"/>
      <c r="C397" s="15"/>
      <c r="D397" s="15"/>
      <c r="E397" s="38"/>
      <c r="F397" s="38"/>
      <c r="G397" s="38"/>
      <c r="H397" s="38"/>
      <c r="I397" s="108"/>
    </row>
    <row r="398">
      <c r="A398" s="38"/>
      <c r="B398" s="38"/>
      <c r="C398" s="15"/>
      <c r="D398" s="15"/>
      <c r="E398" s="38"/>
      <c r="F398" s="38"/>
      <c r="G398" s="38"/>
      <c r="H398" s="38"/>
      <c r="I398" s="108"/>
    </row>
    <row r="399">
      <c r="A399" s="38"/>
      <c r="B399" s="38"/>
      <c r="C399" s="15"/>
      <c r="D399" s="15"/>
      <c r="E399" s="38"/>
      <c r="F399" s="38"/>
      <c r="G399" s="38"/>
      <c r="H399" s="38"/>
      <c r="I399" s="108"/>
    </row>
    <row r="400">
      <c r="A400" s="38"/>
      <c r="B400" s="38"/>
      <c r="C400" s="15"/>
      <c r="D400" s="15"/>
      <c r="E400" s="38"/>
      <c r="F400" s="38"/>
      <c r="G400" s="38"/>
      <c r="H400" s="38"/>
      <c r="I400" s="108"/>
    </row>
    <row r="401">
      <c r="A401" s="38"/>
      <c r="B401" s="38"/>
      <c r="C401" s="15"/>
      <c r="D401" s="15"/>
      <c r="E401" s="38"/>
      <c r="F401" s="38"/>
      <c r="G401" s="38"/>
      <c r="H401" s="38"/>
      <c r="I401" s="108"/>
    </row>
    <row r="402">
      <c r="A402" s="38"/>
      <c r="B402" s="38"/>
      <c r="C402" s="15"/>
      <c r="D402" s="15"/>
      <c r="E402" s="38"/>
      <c r="F402" s="38"/>
      <c r="G402" s="38"/>
      <c r="H402" s="38"/>
      <c r="I402" s="108"/>
    </row>
    <row r="403">
      <c r="A403" s="38"/>
      <c r="B403" s="38"/>
      <c r="C403" s="15"/>
      <c r="D403" s="15"/>
      <c r="E403" s="38"/>
      <c r="F403" s="38"/>
      <c r="G403" s="38"/>
      <c r="H403" s="38"/>
      <c r="I403" s="108"/>
    </row>
    <row r="404">
      <c r="A404" s="38"/>
      <c r="B404" s="38"/>
      <c r="C404" s="15"/>
      <c r="D404" s="15"/>
      <c r="E404" s="38"/>
      <c r="F404" s="38"/>
      <c r="G404" s="38"/>
      <c r="H404" s="38"/>
      <c r="I404" s="108"/>
    </row>
    <row r="405">
      <c r="A405" s="38"/>
      <c r="B405" s="38"/>
      <c r="C405" s="15"/>
      <c r="D405" s="15"/>
      <c r="E405" s="38"/>
      <c r="F405" s="38"/>
      <c r="G405" s="38"/>
      <c r="H405" s="38"/>
      <c r="I405" s="108"/>
    </row>
    <row r="406">
      <c r="A406" s="38"/>
      <c r="B406" s="38"/>
      <c r="C406" s="15"/>
      <c r="D406" s="15"/>
      <c r="E406" s="38"/>
      <c r="F406" s="38"/>
      <c r="G406" s="38"/>
      <c r="H406" s="38"/>
      <c r="I406" s="108"/>
    </row>
    <row r="407">
      <c r="A407" s="38"/>
      <c r="B407" s="38"/>
      <c r="C407" s="15"/>
      <c r="D407" s="15"/>
      <c r="E407" s="38"/>
      <c r="F407" s="38"/>
      <c r="G407" s="38"/>
      <c r="H407" s="38"/>
      <c r="I407" s="108"/>
    </row>
    <row r="408">
      <c r="A408" s="38"/>
      <c r="B408" s="38"/>
      <c r="C408" s="15"/>
      <c r="D408" s="15"/>
      <c r="E408" s="38"/>
      <c r="F408" s="38"/>
      <c r="G408" s="38"/>
      <c r="H408" s="38"/>
      <c r="I408" s="108"/>
    </row>
    <row r="409">
      <c r="A409" s="38"/>
      <c r="B409" s="38"/>
      <c r="C409" s="15"/>
      <c r="D409" s="15"/>
      <c r="E409" s="38"/>
      <c r="F409" s="38"/>
      <c r="G409" s="38"/>
      <c r="H409" s="38"/>
      <c r="I409" s="108"/>
    </row>
    <row r="410">
      <c r="A410" s="38"/>
      <c r="B410" s="38"/>
      <c r="C410" s="15"/>
      <c r="D410" s="15"/>
      <c r="E410" s="38"/>
      <c r="F410" s="38"/>
      <c r="G410" s="38"/>
      <c r="H410" s="38"/>
      <c r="I410" s="108"/>
    </row>
    <row r="411">
      <c r="A411" s="38"/>
      <c r="B411" s="38"/>
      <c r="C411" s="15"/>
      <c r="D411" s="15"/>
      <c r="E411" s="38"/>
      <c r="F411" s="38"/>
      <c r="G411" s="38"/>
      <c r="H411" s="38"/>
      <c r="I411" s="108"/>
    </row>
    <row r="412">
      <c r="A412" s="38"/>
      <c r="B412" s="38"/>
      <c r="C412" s="15"/>
      <c r="D412" s="15"/>
      <c r="E412" s="38"/>
      <c r="F412" s="38"/>
      <c r="G412" s="38"/>
      <c r="H412" s="38"/>
      <c r="I412" s="108"/>
    </row>
    <row r="413">
      <c r="A413" s="38"/>
      <c r="B413" s="38"/>
      <c r="C413" s="15"/>
      <c r="D413" s="15"/>
      <c r="E413" s="38"/>
      <c r="F413" s="38"/>
      <c r="G413" s="38"/>
      <c r="H413" s="38"/>
      <c r="I413" s="108"/>
    </row>
    <row r="414">
      <c r="A414" s="38"/>
      <c r="B414" s="38"/>
      <c r="C414" s="15"/>
      <c r="D414" s="15"/>
      <c r="E414" s="38"/>
      <c r="F414" s="38"/>
      <c r="G414" s="38"/>
      <c r="H414" s="38"/>
      <c r="I414" s="108"/>
    </row>
    <row r="415">
      <c r="A415" s="38"/>
      <c r="B415" s="38"/>
      <c r="C415" s="15"/>
      <c r="D415" s="15"/>
      <c r="E415" s="38"/>
      <c r="F415" s="38"/>
      <c r="G415" s="38"/>
      <c r="H415" s="38"/>
      <c r="I415" s="108"/>
    </row>
    <row r="416">
      <c r="A416" s="38"/>
      <c r="B416" s="38"/>
      <c r="C416" s="15"/>
      <c r="D416" s="15"/>
      <c r="E416" s="38"/>
      <c r="F416" s="38"/>
      <c r="G416" s="38"/>
      <c r="H416" s="38"/>
      <c r="I416" s="108"/>
    </row>
    <row r="417">
      <c r="A417" s="38"/>
      <c r="B417" s="38"/>
      <c r="C417" s="15"/>
      <c r="D417" s="15"/>
      <c r="E417" s="38"/>
      <c r="F417" s="38"/>
      <c r="G417" s="38"/>
      <c r="H417" s="38"/>
      <c r="I417" s="108"/>
    </row>
    <row r="418">
      <c r="A418" s="38"/>
      <c r="B418" s="38"/>
      <c r="C418" s="15"/>
      <c r="D418" s="15"/>
      <c r="E418" s="38"/>
      <c r="F418" s="38"/>
      <c r="G418" s="38"/>
      <c r="H418" s="38"/>
      <c r="I418" s="108"/>
    </row>
    <row r="419">
      <c r="A419" s="38"/>
      <c r="B419" s="38"/>
      <c r="C419" s="15"/>
      <c r="D419" s="15"/>
      <c r="E419" s="38"/>
      <c r="F419" s="38"/>
      <c r="G419" s="38"/>
      <c r="H419" s="38"/>
      <c r="I419" s="108"/>
    </row>
    <row r="420">
      <c r="A420" s="38"/>
      <c r="B420" s="38"/>
      <c r="C420" s="15"/>
      <c r="D420" s="15"/>
      <c r="E420" s="38"/>
      <c r="F420" s="38"/>
      <c r="G420" s="38"/>
      <c r="H420" s="38"/>
      <c r="I420" s="108"/>
    </row>
    <row r="421">
      <c r="A421" s="38"/>
      <c r="B421" s="38"/>
      <c r="C421" s="15"/>
      <c r="D421" s="15"/>
      <c r="E421" s="38"/>
      <c r="F421" s="38"/>
      <c r="G421" s="38"/>
      <c r="H421" s="38"/>
      <c r="I421" s="108"/>
    </row>
    <row r="422">
      <c r="A422" s="38"/>
      <c r="B422" s="38"/>
      <c r="C422" s="15"/>
      <c r="D422" s="15"/>
      <c r="E422" s="38"/>
      <c r="F422" s="38"/>
      <c r="G422" s="38"/>
      <c r="H422" s="38"/>
      <c r="I422" s="108"/>
    </row>
    <row r="423">
      <c r="A423" s="38"/>
      <c r="B423" s="38"/>
      <c r="C423" s="15"/>
      <c r="D423" s="15"/>
      <c r="E423" s="38"/>
      <c r="F423" s="38"/>
      <c r="G423" s="38"/>
      <c r="H423" s="38"/>
      <c r="I423" s="108"/>
    </row>
    <row r="424">
      <c r="A424" s="38"/>
      <c r="B424" s="38"/>
      <c r="C424" s="15"/>
      <c r="D424" s="15"/>
      <c r="E424" s="38"/>
      <c r="F424" s="38"/>
      <c r="G424" s="38"/>
      <c r="H424" s="38"/>
      <c r="I424" s="108"/>
    </row>
    <row r="425">
      <c r="A425" s="38"/>
      <c r="B425" s="38"/>
      <c r="C425" s="15"/>
      <c r="D425" s="15"/>
      <c r="E425" s="38"/>
      <c r="F425" s="38"/>
      <c r="G425" s="38"/>
      <c r="H425" s="38"/>
      <c r="I425" s="108"/>
    </row>
    <row r="426">
      <c r="A426" s="38"/>
      <c r="B426" s="38"/>
      <c r="C426" s="15"/>
      <c r="D426" s="15"/>
      <c r="E426" s="38"/>
      <c r="F426" s="38"/>
      <c r="G426" s="38"/>
      <c r="H426" s="38"/>
      <c r="I426" s="108"/>
    </row>
    <row r="427">
      <c r="A427" s="38"/>
      <c r="B427" s="38"/>
      <c r="C427" s="15"/>
      <c r="D427" s="15"/>
      <c r="E427" s="38"/>
      <c r="F427" s="38"/>
      <c r="G427" s="38"/>
      <c r="H427" s="38"/>
      <c r="I427" s="108"/>
    </row>
    <row r="428">
      <c r="A428" s="38"/>
      <c r="B428" s="38"/>
      <c r="C428" s="15"/>
      <c r="D428" s="15"/>
      <c r="E428" s="38"/>
      <c r="F428" s="38"/>
      <c r="G428" s="38"/>
      <c r="H428" s="38"/>
      <c r="I428" s="108"/>
    </row>
    <row r="429">
      <c r="A429" s="38"/>
      <c r="B429" s="38"/>
      <c r="C429" s="15"/>
      <c r="D429" s="15"/>
      <c r="E429" s="38"/>
      <c r="F429" s="38"/>
      <c r="G429" s="38"/>
      <c r="H429" s="38"/>
      <c r="I429" s="108"/>
    </row>
    <row r="430">
      <c r="A430" s="38"/>
      <c r="B430" s="38"/>
      <c r="C430" s="15"/>
      <c r="D430" s="15"/>
      <c r="E430" s="38"/>
      <c r="F430" s="38"/>
      <c r="G430" s="38"/>
      <c r="H430" s="38"/>
      <c r="I430" s="108"/>
    </row>
    <row r="431">
      <c r="A431" s="38"/>
      <c r="B431" s="38"/>
      <c r="C431" s="15"/>
      <c r="D431" s="15"/>
      <c r="E431" s="38"/>
      <c r="F431" s="38"/>
      <c r="G431" s="38"/>
      <c r="H431" s="38"/>
      <c r="I431" s="108"/>
    </row>
    <row r="432">
      <c r="A432" s="38"/>
      <c r="B432" s="38"/>
      <c r="C432" s="15"/>
      <c r="D432" s="15"/>
      <c r="E432" s="38"/>
      <c r="F432" s="38"/>
      <c r="G432" s="38"/>
      <c r="H432" s="38"/>
      <c r="I432" s="108"/>
    </row>
    <row r="433">
      <c r="A433" s="38"/>
      <c r="B433" s="38"/>
      <c r="C433" s="15"/>
      <c r="D433" s="15"/>
      <c r="E433" s="38"/>
      <c r="F433" s="38"/>
      <c r="G433" s="38"/>
      <c r="H433" s="38"/>
      <c r="I433" s="108"/>
    </row>
    <row r="434">
      <c r="A434" s="38"/>
      <c r="B434" s="38"/>
      <c r="C434" s="15"/>
      <c r="D434" s="15"/>
      <c r="E434" s="38"/>
      <c r="F434" s="38"/>
      <c r="G434" s="38"/>
      <c r="H434" s="38"/>
      <c r="I434" s="108"/>
    </row>
    <row r="435">
      <c r="A435" s="38"/>
      <c r="B435" s="38"/>
      <c r="C435" s="15"/>
      <c r="D435" s="15"/>
      <c r="E435" s="38"/>
      <c r="F435" s="38"/>
      <c r="G435" s="38"/>
      <c r="H435" s="38"/>
      <c r="I435" s="108"/>
    </row>
    <row r="436">
      <c r="A436" s="38"/>
      <c r="B436" s="38"/>
      <c r="C436" s="15"/>
      <c r="D436" s="15"/>
      <c r="E436" s="38"/>
      <c r="F436" s="38"/>
      <c r="G436" s="38"/>
      <c r="H436" s="38"/>
      <c r="I436" s="108"/>
    </row>
    <row r="437">
      <c r="A437" s="38"/>
      <c r="B437" s="38"/>
      <c r="C437" s="15"/>
      <c r="D437" s="15"/>
      <c r="E437" s="38"/>
      <c r="F437" s="38"/>
      <c r="G437" s="38"/>
      <c r="H437" s="38"/>
      <c r="I437" s="108"/>
    </row>
    <row r="438">
      <c r="A438" s="38"/>
      <c r="B438" s="38"/>
      <c r="C438" s="15"/>
      <c r="D438" s="15"/>
      <c r="E438" s="38"/>
      <c r="F438" s="38"/>
      <c r="G438" s="38"/>
      <c r="H438" s="38"/>
      <c r="I438" s="108"/>
    </row>
    <row r="439">
      <c r="A439" s="38"/>
      <c r="B439" s="38"/>
      <c r="C439" s="15"/>
      <c r="D439" s="15"/>
      <c r="E439" s="38"/>
      <c r="F439" s="38"/>
      <c r="G439" s="38"/>
      <c r="H439" s="38"/>
      <c r="I439" s="108"/>
    </row>
    <row r="440">
      <c r="A440" s="38"/>
      <c r="B440" s="38"/>
      <c r="C440" s="15"/>
      <c r="D440" s="15"/>
      <c r="E440" s="38"/>
      <c r="F440" s="38"/>
      <c r="G440" s="38"/>
      <c r="H440" s="38"/>
      <c r="I440" s="108"/>
    </row>
    <row r="441">
      <c r="A441" s="38"/>
      <c r="B441" s="38"/>
      <c r="C441" s="15"/>
      <c r="D441" s="15"/>
      <c r="E441" s="38"/>
      <c r="F441" s="38"/>
      <c r="G441" s="38"/>
      <c r="H441" s="38"/>
      <c r="I441" s="108"/>
    </row>
    <row r="442">
      <c r="A442" s="38"/>
      <c r="B442" s="38"/>
      <c r="C442" s="15"/>
      <c r="D442" s="15"/>
      <c r="E442" s="38"/>
      <c r="F442" s="38"/>
      <c r="G442" s="38"/>
      <c r="H442" s="38"/>
      <c r="I442" s="108"/>
    </row>
    <row r="443">
      <c r="A443" s="38"/>
      <c r="B443" s="38"/>
      <c r="C443" s="15"/>
      <c r="D443" s="15"/>
      <c r="E443" s="38"/>
      <c r="F443" s="38"/>
      <c r="G443" s="38"/>
      <c r="H443" s="38"/>
      <c r="I443" s="108"/>
    </row>
    <row r="444">
      <c r="A444" s="38"/>
      <c r="B444" s="38"/>
      <c r="C444" s="15"/>
      <c r="D444" s="15"/>
      <c r="E444" s="38"/>
      <c r="F444" s="38"/>
      <c r="G444" s="38"/>
      <c r="H444" s="38"/>
      <c r="I444" s="108"/>
    </row>
    <row r="445">
      <c r="A445" s="38"/>
      <c r="B445" s="38"/>
      <c r="C445" s="15"/>
      <c r="D445" s="15"/>
      <c r="E445" s="38"/>
      <c r="F445" s="38"/>
      <c r="G445" s="38"/>
      <c r="H445" s="38"/>
      <c r="I445" s="108"/>
    </row>
    <row r="446">
      <c r="A446" s="38"/>
      <c r="B446" s="38"/>
      <c r="C446" s="15"/>
      <c r="D446" s="15"/>
      <c r="E446" s="38"/>
      <c r="F446" s="38"/>
      <c r="G446" s="38"/>
      <c r="H446" s="38"/>
      <c r="I446" s="108"/>
    </row>
    <row r="447">
      <c r="A447" s="38"/>
      <c r="B447" s="38"/>
      <c r="C447" s="15"/>
      <c r="D447" s="15"/>
      <c r="E447" s="38"/>
      <c r="F447" s="38"/>
      <c r="G447" s="38"/>
      <c r="H447" s="38"/>
      <c r="I447" s="108"/>
    </row>
    <row r="448">
      <c r="A448" s="38"/>
      <c r="B448" s="38"/>
      <c r="C448" s="15"/>
      <c r="D448" s="15"/>
      <c r="E448" s="38"/>
      <c r="F448" s="38"/>
      <c r="G448" s="38"/>
      <c r="H448" s="38"/>
      <c r="I448" s="108"/>
    </row>
    <row r="449">
      <c r="A449" s="38"/>
      <c r="B449" s="38"/>
      <c r="C449" s="15"/>
      <c r="D449" s="15"/>
      <c r="E449" s="38"/>
      <c r="F449" s="38"/>
      <c r="G449" s="38"/>
      <c r="H449" s="38"/>
      <c r="I449" s="108"/>
    </row>
    <row r="450">
      <c r="A450" s="38"/>
      <c r="B450" s="38"/>
      <c r="C450" s="15"/>
      <c r="D450" s="15"/>
      <c r="E450" s="38"/>
      <c r="F450" s="38"/>
      <c r="G450" s="38"/>
      <c r="H450" s="38"/>
      <c r="I450" s="108"/>
    </row>
    <row r="451">
      <c r="A451" s="38"/>
      <c r="B451" s="38"/>
      <c r="C451" s="15"/>
      <c r="D451" s="15"/>
      <c r="E451" s="38"/>
      <c r="F451" s="38"/>
      <c r="G451" s="38"/>
      <c r="H451" s="38"/>
      <c r="I451" s="108"/>
    </row>
    <row r="452">
      <c r="A452" s="38"/>
      <c r="B452" s="38"/>
      <c r="C452" s="15"/>
      <c r="D452" s="15"/>
      <c r="E452" s="38"/>
      <c r="F452" s="38"/>
      <c r="G452" s="38"/>
      <c r="H452" s="38"/>
      <c r="I452" s="108"/>
    </row>
    <row r="453">
      <c r="A453" s="38"/>
      <c r="B453" s="38"/>
      <c r="C453" s="15"/>
      <c r="D453" s="15"/>
      <c r="E453" s="38"/>
      <c r="F453" s="38"/>
      <c r="G453" s="38"/>
      <c r="H453" s="38"/>
      <c r="I453" s="108"/>
    </row>
    <row r="454">
      <c r="A454" s="38"/>
      <c r="B454" s="38"/>
      <c r="C454" s="15"/>
      <c r="D454" s="15"/>
      <c r="E454" s="38"/>
      <c r="F454" s="38"/>
      <c r="G454" s="38"/>
      <c r="H454" s="38"/>
      <c r="I454" s="108"/>
    </row>
    <row r="455">
      <c r="A455" s="38"/>
      <c r="B455" s="38"/>
      <c r="C455" s="15"/>
      <c r="D455" s="15"/>
      <c r="E455" s="38"/>
      <c r="F455" s="38"/>
      <c r="G455" s="38"/>
      <c r="H455" s="38"/>
      <c r="I455" s="108"/>
    </row>
    <row r="456">
      <c r="A456" s="38"/>
      <c r="B456" s="38"/>
      <c r="C456" s="15"/>
      <c r="D456" s="15"/>
      <c r="E456" s="38"/>
      <c r="F456" s="38"/>
      <c r="G456" s="38"/>
      <c r="H456" s="38"/>
      <c r="I456" s="108"/>
    </row>
    <row r="457">
      <c r="A457" s="38"/>
      <c r="B457" s="38"/>
      <c r="C457" s="15"/>
      <c r="D457" s="15"/>
      <c r="E457" s="38"/>
      <c r="F457" s="38"/>
      <c r="G457" s="38"/>
      <c r="H457" s="38"/>
      <c r="I457" s="108"/>
    </row>
    <row r="458">
      <c r="A458" s="38"/>
      <c r="B458" s="38"/>
      <c r="C458" s="15"/>
      <c r="D458" s="15"/>
      <c r="E458" s="38"/>
      <c r="F458" s="38"/>
      <c r="G458" s="38"/>
      <c r="H458" s="38"/>
      <c r="I458" s="108"/>
    </row>
    <row r="459">
      <c r="A459" s="38"/>
      <c r="B459" s="38"/>
      <c r="C459" s="15"/>
      <c r="D459" s="15"/>
      <c r="E459" s="38"/>
      <c r="F459" s="38"/>
      <c r="G459" s="38"/>
      <c r="H459" s="38"/>
      <c r="I459" s="108"/>
    </row>
    <row r="460">
      <c r="A460" s="38"/>
      <c r="B460" s="38"/>
      <c r="C460" s="15"/>
      <c r="D460" s="15"/>
      <c r="E460" s="38"/>
      <c r="F460" s="38"/>
      <c r="G460" s="38"/>
      <c r="H460" s="38"/>
      <c r="I460" s="108"/>
    </row>
    <row r="461">
      <c r="A461" s="38"/>
      <c r="B461" s="38"/>
      <c r="C461" s="15"/>
      <c r="D461" s="15"/>
      <c r="E461" s="38"/>
      <c r="F461" s="38"/>
      <c r="G461" s="38"/>
      <c r="H461" s="38"/>
      <c r="I461" s="108"/>
    </row>
    <row r="462">
      <c r="A462" s="38"/>
      <c r="B462" s="38"/>
      <c r="C462" s="15"/>
      <c r="D462" s="15"/>
      <c r="E462" s="38"/>
      <c r="F462" s="38"/>
      <c r="G462" s="38"/>
      <c r="H462" s="38"/>
      <c r="I462" s="108"/>
    </row>
    <row r="463">
      <c r="A463" s="38"/>
      <c r="B463" s="38"/>
      <c r="C463" s="15"/>
      <c r="D463" s="15"/>
      <c r="E463" s="38"/>
      <c r="F463" s="38"/>
      <c r="G463" s="38"/>
      <c r="H463" s="38"/>
      <c r="I463" s="108"/>
    </row>
    <row r="464">
      <c r="A464" s="38"/>
      <c r="B464" s="38"/>
      <c r="C464" s="15"/>
      <c r="D464" s="15"/>
      <c r="E464" s="38"/>
      <c r="F464" s="38"/>
      <c r="G464" s="38"/>
      <c r="H464" s="38"/>
      <c r="I464" s="108"/>
    </row>
    <row r="465">
      <c r="A465" s="38"/>
      <c r="B465" s="38"/>
      <c r="C465" s="15"/>
      <c r="D465" s="15"/>
      <c r="E465" s="38"/>
      <c r="F465" s="38"/>
      <c r="G465" s="38"/>
      <c r="H465" s="38"/>
      <c r="I465" s="108"/>
    </row>
    <row r="466">
      <c r="A466" s="38"/>
      <c r="B466" s="38"/>
      <c r="C466" s="15"/>
      <c r="D466" s="15"/>
      <c r="E466" s="38"/>
      <c r="F466" s="38"/>
      <c r="G466" s="38"/>
      <c r="H466" s="38"/>
      <c r="I466" s="108"/>
    </row>
    <row r="467">
      <c r="A467" s="38"/>
      <c r="B467" s="38"/>
      <c r="C467" s="15"/>
      <c r="D467" s="15"/>
      <c r="E467" s="38"/>
      <c r="F467" s="38"/>
      <c r="G467" s="38"/>
      <c r="H467" s="38"/>
      <c r="I467" s="108"/>
    </row>
    <row r="468">
      <c r="A468" s="38"/>
      <c r="B468" s="38"/>
      <c r="C468" s="15"/>
      <c r="D468" s="15"/>
      <c r="E468" s="38"/>
      <c r="F468" s="38"/>
      <c r="G468" s="38"/>
      <c r="H468" s="38"/>
      <c r="I468" s="108"/>
    </row>
    <row r="469">
      <c r="A469" s="38"/>
      <c r="B469" s="38"/>
      <c r="C469" s="15"/>
      <c r="D469" s="15"/>
      <c r="E469" s="38"/>
      <c r="F469" s="38"/>
      <c r="G469" s="38"/>
      <c r="H469" s="38"/>
      <c r="I469" s="108"/>
    </row>
    <row r="470">
      <c r="A470" s="38"/>
      <c r="B470" s="38"/>
      <c r="C470" s="15"/>
      <c r="D470" s="15"/>
      <c r="E470" s="38"/>
      <c r="F470" s="38"/>
      <c r="G470" s="38"/>
      <c r="H470" s="38"/>
      <c r="I470" s="108"/>
    </row>
    <row r="471">
      <c r="A471" s="38"/>
      <c r="B471" s="38"/>
      <c r="C471" s="15"/>
      <c r="D471" s="15"/>
      <c r="E471" s="38"/>
      <c r="F471" s="38"/>
      <c r="G471" s="38"/>
      <c r="H471" s="38"/>
      <c r="I471" s="108"/>
    </row>
    <row r="472">
      <c r="A472" s="38"/>
      <c r="B472" s="38"/>
      <c r="C472" s="15"/>
      <c r="D472" s="15"/>
      <c r="E472" s="38"/>
      <c r="F472" s="38"/>
      <c r="G472" s="38"/>
      <c r="H472" s="38"/>
      <c r="I472" s="108"/>
    </row>
    <row r="473">
      <c r="A473" s="38"/>
      <c r="B473" s="38"/>
      <c r="C473" s="15"/>
      <c r="D473" s="15"/>
      <c r="E473" s="38"/>
      <c r="F473" s="38"/>
      <c r="G473" s="38"/>
      <c r="H473" s="38"/>
      <c r="I473" s="108"/>
    </row>
    <row r="474">
      <c r="A474" s="38"/>
      <c r="B474" s="38"/>
      <c r="C474" s="15"/>
      <c r="D474" s="15"/>
      <c r="E474" s="38"/>
      <c r="F474" s="38"/>
      <c r="G474" s="38"/>
      <c r="H474" s="38"/>
      <c r="I474" s="108"/>
    </row>
    <row r="475">
      <c r="A475" s="38"/>
      <c r="B475" s="38"/>
      <c r="C475" s="15"/>
      <c r="D475" s="15"/>
      <c r="E475" s="38"/>
      <c r="F475" s="38"/>
      <c r="G475" s="38"/>
      <c r="H475" s="38"/>
      <c r="I475" s="108"/>
    </row>
    <row r="476">
      <c r="A476" s="38"/>
      <c r="B476" s="38"/>
      <c r="C476" s="15"/>
      <c r="D476" s="15"/>
      <c r="E476" s="38"/>
      <c r="F476" s="38"/>
      <c r="G476" s="38"/>
      <c r="H476" s="38"/>
      <c r="I476" s="108"/>
    </row>
    <row r="477">
      <c r="A477" s="38"/>
      <c r="B477" s="38"/>
      <c r="C477" s="15"/>
      <c r="D477" s="15"/>
      <c r="E477" s="38"/>
      <c r="F477" s="38"/>
      <c r="G477" s="38"/>
      <c r="H477" s="38"/>
      <c r="I477" s="108"/>
    </row>
    <row r="478">
      <c r="A478" s="38"/>
      <c r="B478" s="38"/>
      <c r="C478" s="15"/>
      <c r="D478" s="15"/>
      <c r="E478" s="38"/>
      <c r="F478" s="38"/>
      <c r="G478" s="38"/>
      <c r="H478" s="38"/>
      <c r="I478" s="108"/>
    </row>
    <row r="479">
      <c r="A479" s="38"/>
      <c r="B479" s="38"/>
      <c r="C479" s="15"/>
      <c r="D479" s="15"/>
      <c r="E479" s="38"/>
      <c r="F479" s="38"/>
      <c r="G479" s="38"/>
      <c r="H479" s="38"/>
      <c r="I479" s="108"/>
    </row>
    <row r="480">
      <c r="A480" s="38"/>
      <c r="B480" s="38"/>
      <c r="C480" s="15"/>
      <c r="D480" s="15"/>
      <c r="E480" s="38"/>
      <c r="F480" s="38"/>
      <c r="G480" s="38"/>
      <c r="H480" s="38"/>
      <c r="I480" s="108"/>
    </row>
    <row r="481">
      <c r="A481" s="38"/>
      <c r="B481" s="38"/>
      <c r="C481" s="15"/>
      <c r="D481" s="15"/>
      <c r="E481" s="38"/>
      <c r="F481" s="38"/>
      <c r="G481" s="38"/>
      <c r="H481" s="38"/>
      <c r="I481" s="108"/>
    </row>
    <row r="482">
      <c r="A482" s="38"/>
      <c r="B482" s="38"/>
      <c r="C482" s="15"/>
      <c r="D482" s="15"/>
      <c r="E482" s="38"/>
      <c r="F482" s="38"/>
      <c r="G482" s="38"/>
      <c r="H482" s="38"/>
      <c r="I482" s="108"/>
    </row>
    <row r="483">
      <c r="A483" s="38"/>
      <c r="B483" s="38"/>
      <c r="C483" s="15"/>
      <c r="D483" s="15"/>
      <c r="E483" s="38"/>
      <c r="F483" s="38"/>
      <c r="G483" s="38"/>
      <c r="H483" s="38"/>
      <c r="I483" s="108"/>
    </row>
    <row r="484">
      <c r="A484" s="38"/>
      <c r="B484" s="38"/>
      <c r="C484" s="15"/>
      <c r="D484" s="15"/>
      <c r="E484" s="38"/>
      <c r="F484" s="38"/>
      <c r="G484" s="38"/>
      <c r="H484" s="38"/>
      <c r="I484" s="108"/>
    </row>
    <row r="485">
      <c r="A485" s="38"/>
      <c r="B485" s="38"/>
      <c r="C485" s="15"/>
      <c r="D485" s="15"/>
      <c r="E485" s="38"/>
      <c r="F485" s="38"/>
      <c r="G485" s="38"/>
      <c r="H485" s="38"/>
      <c r="I485" s="108"/>
    </row>
    <row r="486">
      <c r="A486" s="38"/>
      <c r="B486" s="38"/>
      <c r="C486" s="15"/>
      <c r="D486" s="15"/>
      <c r="E486" s="38"/>
      <c r="F486" s="38"/>
      <c r="G486" s="38"/>
      <c r="H486" s="38"/>
      <c r="I486" s="108"/>
    </row>
    <row r="487">
      <c r="A487" s="38"/>
      <c r="B487" s="38"/>
      <c r="C487" s="15"/>
      <c r="D487" s="15"/>
      <c r="E487" s="38"/>
      <c r="F487" s="38"/>
      <c r="G487" s="38"/>
      <c r="H487" s="38"/>
      <c r="I487" s="108"/>
    </row>
    <row r="488">
      <c r="A488" s="38"/>
      <c r="B488" s="38"/>
      <c r="C488" s="15"/>
      <c r="D488" s="15"/>
      <c r="E488" s="38"/>
      <c r="F488" s="38"/>
      <c r="G488" s="38"/>
      <c r="H488" s="38"/>
      <c r="I488" s="108"/>
    </row>
    <row r="489">
      <c r="A489" s="38"/>
      <c r="B489" s="38"/>
      <c r="C489" s="15"/>
      <c r="D489" s="15"/>
      <c r="E489" s="38"/>
      <c r="F489" s="38"/>
      <c r="G489" s="38"/>
      <c r="H489" s="38"/>
      <c r="I489" s="108"/>
    </row>
    <row r="490">
      <c r="A490" s="38"/>
      <c r="B490" s="38"/>
      <c r="C490" s="15"/>
      <c r="D490" s="15"/>
      <c r="E490" s="38"/>
      <c r="F490" s="38"/>
      <c r="G490" s="38"/>
      <c r="H490" s="38"/>
      <c r="I490" s="108"/>
    </row>
    <row r="491">
      <c r="A491" s="38"/>
      <c r="B491" s="38"/>
      <c r="C491" s="15"/>
      <c r="D491" s="15"/>
      <c r="E491" s="38"/>
      <c r="F491" s="38"/>
      <c r="G491" s="38"/>
      <c r="H491" s="38"/>
      <c r="I491" s="108"/>
    </row>
    <row r="492">
      <c r="A492" s="38"/>
      <c r="B492" s="38"/>
      <c r="C492" s="15"/>
      <c r="D492" s="15"/>
      <c r="E492" s="38"/>
      <c r="F492" s="38"/>
      <c r="G492" s="38"/>
      <c r="H492" s="38"/>
      <c r="I492" s="108"/>
    </row>
    <row r="493">
      <c r="A493" s="38"/>
      <c r="B493" s="38"/>
      <c r="C493" s="15"/>
      <c r="D493" s="15"/>
      <c r="E493" s="38"/>
      <c r="F493" s="38"/>
      <c r="G493" s="38"/>
      <c r="H493" s="38"/>
      <c r="I493" s="108"/>
    </row>
    <row r="494">
      <c r="A494" s="38"/>
      <c r="B494" s="38"/>
      <c r="C494" s="15"/>
      <c r="D494" s="15"/>
      <c r="E494" s="38"/>
      <c r="F494" s="38"/>
      <c r="G494" s="38"/>
      <c r="H494" s="38"/>
      <c r="I494" s="108"/>
    </row>
    <row r="495">
      <c r="A495" s="38"/>
      <c r="B495" s="38"/>
      <c r="C495" s="15"/>
      <c r="D495" s="15"/>
      <c r="E495" s="38"/>
      <c r="F495" s="38"/>
      <c r="G495" s="38"/>
      <c r="H495" s="38"/>
      <c r="I495" s="108"/>
    </row>
    <row r="496">
      <c r="A496" s="38"/>
      <c r="B496" s="38"/>
      <c r="C496" s="15"/>
      <c r="D496" s="15"/>
      <c r="E496" s="38"/>
      <c r="F496" s="38"/>
      <c r="G496" s="38"/>
      <c r="H496" s="38"/>
      <c r="I496" s="108"/>
    </row>
    <row r="497">
      <c r="A497" s="38"/>
      <c r="B497" s="38"/>
      <c r="C497" s="15"/>
      <c r="D497" s="15"/>
      <c r="E497" s="38"/>
      <c r="F497" s="38"/>
      <c r="G497" s="38"/>
      <c r="H497" s="38"/>
      <c r="I497" s="108"/>
    </row>
    <row r="498">
      <c r="A498" s="38"/>
      <c r="B498" s="38"/>
      <c r="C498" s="15"/>
      <c r="D498" s="15"/>
      <c r="E498" s="38"/>
      <c r="F498" s="38"/>
      <c r="G498" s="38"/>
      <c r="H498" s="38"/>
      <c r="I498" s="108"/>
    </row>
    <row r="499">
      <c r="A499" s="38"/>
      <c r="B499" s="38"/>
      <c r="C499" s="15"/>
      <c r="D499" s="15"/>
      <c r="E499" s="38"/>
      <c r="F499" s="38"/>
      <c r="G499" s="38"/>
      <c r="H499" s="38"/>
      <c r="I499" s="108"/>
    </row>
    <row r="500">
      <c r="A500" s="38"/>
      <c r="B500" s="38"/>
      <c r="C500" s="15"/>
      <c r="D500" s="15"/>
      <c r="E500" s="38"/>
      <c r="F500" s="38"/>
      <c r="G500" s="38"/>
      <c r="H500" s="38"/>
      <c r="I500" s="108"/>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3" max="3" width="28.63"/>
    <col customWidth="1" min="5" max="5" width="43.5"/>
    <col customWidth="1" min="7" max="7" width="48.63"/>
    <col customWidth="1" min="9" max="9" width="31.38"/>
    <col customWidth="1" min="11" max="11" width="28.75"/>
    <col customWidth="1" min="13" max="13" width="27.5"/>
    <col customWidth="1" min="15" max="15" width="31.0"/>
  </cols>
  <sheetData>
    <row r="1">
      <c r="A1" s="4" t="s">
        <v>20573</v>
      </c>
      <c r="E1" s="4" t="s">
        <v>297</v>
      </c>
      <c r="G1" s="4" t="s">
        <v>292</v>
      </c>
      <c r="I1" s="4" t="s">
        <v>299</v>
      </c>
      <c r="K1" s="4" t="s">
        <v>302</v>
      </c>
      <c r="M1" s="4" t="s">
        <v>20574</v>
      </c>
      <c r="O1" s="38" t="str">
        <f>IFERROR(__xludf.DUMMYFUNCTION("SORT(FILTER(Effectifs!C2:C1000&amp;"" ""&amp;Effectifs!D2:D1000,Effectifs!C2:C1000&lt;&gt;"""",Effectifs!G2:G1000=""En service actif""))"),"Aldric Cendre-coeur")</f>
        <v>Aldric Cendre-coeur</v>
      </c>
    </row>
    <row r="2">
      <c r="A2" s="110" t="s">
        <v>25</v>
      </c>
      <c r="C2" s="38">
        <f t="array" ref="C2:C1000">IF(A2:A1000="",,MATCH(A2:A1000,'Données'!A$2:A1000,0))</f>
        <v>1</v>
      </c>
      <c r="E2" s="4" t="s">
        <v>601</v>
      </c>
      <c r="G2" s="4" t="s">
        <v>422</v>
      </c>
      <c r="I2" s="4" t="s">
        <v>455</v>
      </c>
      <c r="K2" s="4" t="s">
        <v>736</v>
      </c>
      <c r="M2" s="4" t="s">
        <v>2544</v>
      </c>
      <c r="O2" s="38" t="str">
        <f>IFERROR(__xludf.DUMMYFUNCTION("""COMPUTED_VALUE"""),"Amartas Après-rouge")</f>
        <v>Amartas Après-rouge</v>
      </c>
    </row>
    <row r="3">
      <c r="A3" s="110" t="s">
        <v>28</v>
      </c>
      <c r="C3" s="38">
        <v>2.0</v>
      </c>
      <c r="E3" s="4" t="s">
        <v>55</v>
      </c>
      <c r="G3" s="4" t="s">
        <v>550</v>
      </c>
      <c r="I3" s="4" t="s">
        <v>531</v>
      </c>
      <c r="K3" s="4" t="s">
        <v>557</v>
      </c>
      <c r="M3" s="4" t="s">
        <v>2548</v>
      </c>
      <c r="O3" s="38" t="str">
        <f>IFERROR(__xludf.DUMMYFUNCTION("""COMPUTED_VALUE"""),"Astrid Lame-Fine")</f>
        <v>Astrid Lame-Fine</v>
      </c>
    </row>
    <row r="4">
      <c r="A4" s="111" t="s">
        <v>30</v>
      </c>
      <c r="C4" s="38">
        <v>3.0</v>
      </c>
      <c r="E4" s="4" t="s">
        <v>574</v>
      </c>
      <c r="G4" s="4" t="s">
        <v>622</v>
      </c>
      <c r="I4" s="4" t="s">
        <v>649</v>
      </c>
      <c r="K4" s="4" t="s">
        <v>20575</v>
      </c>
      <c r="M4" s="4" t="s">
        <v>2551</v>
      </c>
      <c r="O4" s="38" t="str">
        <f>IFERROR(__xludf.DUMMYFUNCTION("""COMPUTED_VALUE"""),"Astrild ")</f>
        <v>Astrild </v>
      </c>
    </row>
    <row r="5">
      <c r="A5" s="112" t="s">
        <v>35</v>
      </c>
      <c r="C5" s="38">
        <v>4.0</v>
      </c>
      <c r="E5" s="4" t="s">
        <v>20576</v>
      </c>
      <c r="G5" s="4" t="s">
        <v>671</v>
      </c>
      <c r="I5" s="4" t="s">
        <v>627</v>
      </c>
      <c r="K5" s="4" t="s">
        <v>20577</v>
      </c>
      <c r="O5" s="38" t="str">
        <f>IFERROR(__xludf.DUMMYFUNCTION("""COMPUTED_VALUE"""),"Asvaldur ")</f>
        <v>Asvaldur </v>
      </c>
    </row>
    <row r="6">
      <c r="A6" s="113" t="s">
        <v>37</v>
      </c>
      <c r="C6" s="38">
        <v>5.0</v>
      </c>
      <c r="E6" s="4" t="s">
        <v>20578</v>
      </c>
      <c r="G6" s="4" t="s">
        <v>1959</v>
      </c>
      <c r="I6" s="4" t="s">
        <v>678</v>
      </c>
      <c r="K6" s="4" t="s">
        <v>1009</v>
      </c>
      <c r="O6" s="38" t="str">
        <f>IFERROR(__xludf.DUMMYFUNCTION("""COMPUTED_VALUE"""),"Athlan ")</f>
        <v>Athlan </v>
      </c>
    </row>
    <row r="7">
      <c r="A7" s="114" t="s">
        <v>42</v>
      </c>
      <c r="C7" s="38">
        <v>6.0</v>
      </c>
      <c r="E7" s="4" t="s">
        <v>20579</v>
      </c>
      <c r="G7" s="4" t="s">
        <v>501</v>
      </c>
      <c r="I7" s="4" t="s">
        <v>698</v>
      </c>
      <c r="K7" s="4" t="s">
        <v>20580</v>
      </c>
      <c r="O7" s="38" t="str">
        <f>IFERROR(__xludf.DUMMYFUNCTION("""COMPUTED_VALUE"""),"Bakhir ")</f>
        <v>Bakhir </v>
      </c>
    </row>
    <row r="8">
      <c r="A8" s="115" t="s">
        <v>43</v>
      </c>
      <c r="C8" s="38">
        <v>7.0</v>
      </c>
      <c r="E8" s="4" t="s">
        <v>20581</v>
      </c>
      <c r="G8" s="4" t="s">
        <v>574</v>
      </c>
      <c r="K8" s="4" t="s">
        <v>1315</v>
      </c>
      <c r="O8" s="38" t="str">
        <f>IFERROR(__xludf.DUMMYFUNCTION("""COMPUTED_VALUE"""),"Balmyra ")</f>
        <v>Balmyra </v>
      </c>
    </row>
    <row r="9">
      <c r="A9" s="116" t="s">
        <v>47</v>
      </c>
      <c r="C9" s="38">
        <v>8.0</v>
      </c>
      <c r="G9" s="4" t="s">
        <v>1225</v>
      </c>
      <c r="O9" s="38" t="str">
        <f>IFERROR(__xludf.DUMMYFUNCTION("""COMPUTED_VALUE"""),"Barnabas Tharmr")</f>
        <v>Barnabas Tharmr</v>
      </c>
    </row>
    <row r="10">
      <c r="A10" s="117" t="s">
        <v>49</v>
      </c>
      <c r="C10" s="38">
        <v>9.0</v>
      </c>
      <c r="O10" s="38" t="str">
        <f>IFERROR(__xludf.DUMMYFUNCTION("""COMPUTED_VALUE"""),"Björn Horudin")</f>
        <v>Björn Horudin</v>
      </c>
    </row>
    <row r="11">
      <c r="A11" s="118" t="s">
        <v>52</v>
      </c>
      <c r="C11" s="38">
        <v>10.0</v>
      </c>
      <c r="O11" s="38" t="str">
        <f>IFERROR(__xludf.DUMMYFUNCTION("""COMPUTED_VALUE"""),"Bjorn Kornseen")</f>
        <v>Bjorn Kornseen</v>
      </c>
    </row>
    <row r="12">
      <c r="A12" s="119" t="s">
        <v>55</v>
      </c>
      <c r="C12" s="38">
        <v>11.0</v>
      </c>
      <c r="O12" s="38" t="str">
        <f>IFERROR(__xludf.DUMMYFUNCTION("""COMPUTED_VALUE"""),"Chasse-poulet ")</f>
        <v>Chasse-poulet </v>
      </c>
    </row>
    <row r="13">
      <c r="A13" s="120" t="s">
        <v>58</v>
      </c>
      <c r="C13" s="38">
        <v>12.0</v>
      </c>
      <c r="O13" s="38" t="str">
        <f>IFERROR(__xludf.DUMMYFUNCTION("""COMPUTED_VALUE"""),"Claudus ")</f>
        <v>Claudus </v>
      </c>
    </row>
    <row r="14">
      <c r="A14" s="121" t="s">
        <v>61</v>
      </c>
      <c r="C14" s="38">
        <v>13.0</v>
      </c>
      <c r="O14" s="38" t="str">
        <f>IFERROR(__xludf.DUMMYFUNCTION("""COMPUTED_VALUE"""),"Crocozaure ")</f>
        <v>Crocozaure </v>
      </c>
    </row>
    <row r="15">
      <c r="C15" s="38"/>
      <c r="O15" s="38" t="str">
        <f>IFERROR(__xludf.DUMMYFUNCTION("""COMPUTED_VALUE"""),"Daric ")</f>
        <v>Daric </v>
      </c>
    </row>
    <row r="16">
      <c r="C16" s="38"/>
      <c r="O16" s="38" t="str">
        <f>IFERROR(__xludf.DUMMYFUNCTION("""COMPUTED_VALUE"""),"Darius Valtor")</f>
        <v>Darius Valtor</v>
      </c>
      <c r="R16" s="4" t="s">
        <v>20582</v>
      </c>
    </row>
    <row r="17">
      <c r="C17" s="38"/>
      <c r="O17" s="38" t="str">
        <f>IFERROR(__xludf.DUMMYFUNCTION("""COMPUTED_VALUE"""),"Do'Rhazir ")</f>
        <v>Do'Rhazir </v>
      </c>
    </row>
    <row r="18">
      <c r="C18" s="38"/>
      <c r="O18" s="38" t="str">
        <f>IFERROR(__xludf.DUMMYFUNCTION("""COMPUTED_VALUE"""),"Drakane ")</f>
        <v>Drakane </v>
      </c>
    </row>
    <row r="19">
      <c r="C19" s="38"/>
      <c r="O19" s="38" t="str">
        <f>IFERROR(__xludf.DUMMYFUNCTION("""COMPUTED_VALUE"""),"Erwan ")</f>
        <v>Erwan </v>
      </c>
    </row>
    <row r="20">
      <c r="C20" s="38"/>
      <c r="O20" s="38" t="str">
        <f>IFERROR(__xludf.DUMMYFUNCTION("""COMPUTED_VALUE"""),"Faynir ")</f>
        <v>Faynir </v>
      </c>
    </row>
    <row r="21">
      <c r="C21" s="38"/>
      <c r="O21" s="38" t="str">
        <f>IFERROR(__xludf.DUMMYFUNCTION("""COMPUTED_VALUE"""),"Filoki ")</f>
        <v>Filoki </v>
      </c>
    </row>
    <row r="22">
      <c r="C22" s="38"/>
      <c r="O22" s="38" t="str">
        <f>IFERROR(__xludf.DUMMYFUNCTION("""COMPUTED_VALUE"""),"Glaemorandir Oeil-Perçant")</f>
        <v>Glaemorandir Oeil-Perçant</v>
      </c>
    </row>
    <row r="23">
      <c r="C23" s="38"/>
      <c r="O23" s="38" t="str">
        <f>IFERROR(__xludf.DUMMYFUNCTION("""COMPUTED_VALUE"""),"Gorbash Tête-de-Pierre")</f>
        <v>Gorbash Tête-de-Pierre</v>
      </c>
    </row>
    <row r="24">
      <c r="C24" s="38"/>
      <c r="O24" s="38" t="str">
        <f>IFERROR(__xludf.DUMMYFUNCTION("""COMPUTED_VALUE"""),"Gronk Grognon")</f>
        <v>Gronk Grognon</v>
      </c>
    </row>
    <row r="25">
      <c r="C25" s="38"/>
      <c r="O25" s="38" t="str">
        <f>IFERROR(__xludf.DUMMYFUNCTION("""COMPUTED_VALUE"""),"Harald le hardi ")</f>
        <v>Harald le hardi </v>
      </c>
    </row>
    <row r="26">
      <c r="C26" s="38"/>
      <c r="O26" s="38" t="str">
        <f>IFERROR(__xludf.DUMMYFUNCTION("""COMPUTED_VALUE"""),"Henry Bonacier")</f>
        <v>Henry Bonacier</v>
      </c>
    </row>
    <row r="27">
      <c r="C27" s="38"/>
      <c r="O27" s="38" t="str">
        <f>IFERROR(__xludf.DUMMYFUNCTION("""COMPUTED_VALUE"""),"Hrolf Fine-Lame")</f>
        <v>Hrolf Fine-Lame</v>
      </c>
    </row>
    <row r="28">
      <c r="C28" s="38"/>
      <c r="O28" s="38" t="str">
        <f>IFERROR(__xludf.DUMMYFUNCTION("""COMPUTED_VALUE"""),"Ilflynn ")</f>
        <v>Ilflynn </v>
      </c>
    </row>
    <row r="29">
      <c r="C29" s="38"/>
      <c r="O29" s="38" t="str">
        <f>IFERROR(__xludf.DUMMYFUNCTION("""COMPUTED_VALUE"""),"Jo'Vakhet ")</f>
        <v>Jo'Vakhet </v>
      </c>
    </row>
    <row r="30">
      <c r="C30" s="38"/>
      <c r="O30" s="38" t="str">
        <f>IFERROR(__xludf.DUMMYFUNCTION("""COMPUTED_VALUE"""),"Joki ")</f>
        <v>Joki </v>
      </c>
    </row>
    <row r="31">
      <c r="C31" s="38"/>
      <c r="O31" s="38" t="str">
        <f>IFERROR(__xludf.DUMMYFUNCTION("""COMPUTED_VALUE"""),"Ka Yak")</f>
        <v>Ka Yak</v>
      </c>
    </row>
    <row r="32">
      <c r="C32" s="38"/>
      <c r="O32" s="38" t="str">
        <f>IFERROR(__xludf.DUMMYFUNCTION("""COMPUTED_VALUE"""),"Kendall Delamare")</f>
        <v>Kendall Delamare</v>
      </c>
    </row>
    <row r="33">
      <c r="C33" s="38"/>
      <c r="O33" s="38" t="str">
        <f>IFERROR(__xludf.DUMMYFUNCTION("""COMPUTED_VALUE"""),"Krakan  Valyn")</f>
        <v>Krakan  Valyn</v>
      </c>
    </row>
    <row r="34">
      <c r="C34" s="38"/>
      <c r="O34" s="38" t="str">
        <f>IFERROR(__xludf.DUMMYFUNCTION("""COMPUTED_VALUE"""),"Kronk Grognon")</f>
        <v>Kronk Grognon</v>
      </c>
    </row>
    <row r="35">
      <c r="C35" s="38"/>
      <c r="O35" s="38" t="str">
        <f>IFERROR(__xludf.DUMMYFUNCTION("""COMPUTED_VALUE"""),"Laguerta Fende-Sillon")</f>
        <v>Laguerta Fende-Sillon</v>
      </c>
    </row>
    <row r="36">
      <c r="C36" s="38"/>
      <c r="O36" s="38" t="str">
        <f>IFERROR(__xludf.DUMMYFUNCTION("""COMPUTED_VALUE"""),"Laureen Toison-de-Sang")</f>
        <v>Laureen Toison-de-Sang</v>
      </c>
    </row>
    <row r="37">
      <c r="C37" s="38"/>
      <c r="O37" s="38" t="str">
        <f>IFERROR(__xludf.DUMMYFUNCTION("""COMPUTED_VALUE"""),"Lazabard Jemelred")</f>
        <v>Lazabard Jemelred</v>
      </c>
    </row>
    <row r="38">
      <c r="C38" s="38"/>
      <c r="O38" s="38" t="str">
        <f>IFERROR(__xludf.DUMMYFUNCTION("""COMPUTED_VALUE"""),"Lokh Tar")</f>
        <v>Lokh Tar</v>
      </c>
    </row>
    <row r="39">
      <c r="C39" s="38"/>
      <c r="O39" s="38" t="str">
        <f>IFERROR(__xludf.DUMMYFUNCTION("""COMPUTED_VALUE"""),"Lous Bois")</f>
        <v>Lous Bois</v>
      </c>
    </row>
    <row r="40">
      <c r="C40" s="38"/>
      <c r="O40" s="38" t="str">
        <f>IFERROR(__xludf.DUMMYFUNCTION("""COMPUTED_VALUE"""),"Lucius Ravenshield")</f>
        <v>Lucius Ravenshield</v>
      </c>
    </row>
    <row r="41">
      <c r="C41" s="38"/>
      <c r="O41" s="38" t="str">
        <f>IFERROR(__xludf.DUMMYFUNCTION("""COMPUTED_VALUE"""),"Lyrielle Audrin")</f>
        <v>Lyrielle Audrin</v>
      </c>
    </row>
    <row r="42">
      <c r="C42" s="38"/>
      <c r="O42" s="38" t="str">
        <f>IFERROR(__xludf.DUMMYFUNCTION("""COMPUTED_VALUE"""),"Ma'arl ")</f>
        <v>Ma'arl </v>
      </c>
    </row>
    <row r="43">
      <c r="C43" s="38"/>
      <c r="O43" s="38" t="str">
        <f>IFERROR(__xludf.DUMMYFUNCTION("""COMPUTED_VALUE"""),"Magnar Traquebrume")</f>
        <v>Magnar Traquebrume</v>
      </c>
    </row>
    <row r="44">
      <c r="C44" s="38"/>
      <c r="O44" s="38" t="str">
        <f>IFERROR(__xludf.DUMMYFUNCTION("""COMPUTED_VALUE"""),"Maludrar ")</f>
        <v>Maludrar </v>
      </c>
    </row>
    <row r="45">
      <c r="C45" s="38"/>
      <c r="O45" s="38" t="str">
        <f>IFERROR(__xludf.DUMMYFUNCTION("""COMPUTED_VALUE"""),"Marius Renatus")</f>
        <v>Marius Renatus</v>
      </c>
    </row>
    <row r="46">
      <c r="C46" s="38"/>
      <c r="O46" s="38" t="str">
        <f>IFERROR(__xludf.DUMMYFUNCTION("""COMPUTED_VALUE"""),"Naevor Feuille-Sombre")</f>
        <v>Naevor Feuille-Sombre</v>
      </c>
    </row>
    <row r="47">
      <c r="C47" s="38"/>
      <c r="O47" s="38" t="str">
        <f>IFERROR(__xludf.DUMMYFUNCTION("""COMPUTED_VALUE"""),"Numerus Clausus")</f>
        <v>Numerus Clausus</v>
      </c>
    </row>
    <row r="48">
      <c r="C48" s="38"/>
      <c r="O48" s="38" t="str">
        <f>IFERROR(__xludf.DUMMYFUNCTION("""COMPUTED_VALUE"""),"Nymor ")</f>
        <v>Nymor </v>
      </c>
    </row>
    <row r="49">
      <c r="C49" s="38"/>
      <c r="O49" s="38" t="str">
        <f>IFERROR(__xludf.DUMMYFUNCTION("""COMPUTED_VALUE"""),"Pavis Gurdalval")</f>
        <v>Pavis Gurdalval</v>
      </c>
    </row>
    <row r="50">
      <c r="C50" s="38"/>
      <c r="O50" s="38" t="str">
        <f>IFERROR(__xludf.DUMMYFUNCTION("""COMPUTED_VALUE"""),"Pethiceor Le Borgne")</f>
        <v>Pethiceor Le Borgne</v>
      </c>
    </row>
    <row r="51">
      <c r="C51" s="38"/>
      <c r="O51" s="38" t="str">
        <f>IFERROR(__xludf.DUMMYFUNCTION("""COMPUTED_VALUE"""),"Ra'zir Poing-de-fer")</f>
        <v>Ra'zir Poing-de-fer</v>
      </c>
    </row>
    <row r="52">
      <c r="C52" s="38"/>
      <c r="O52" s="38" t="str">
        <f>IFERROR(__xludf.DUMMYFUNCTION("""COMPUTED_VALUE"""),"Ri'Jhan MoonShadow")</f>
        <v>Ri'Jhan MoonShadow</v>
      </c>
    </row>
    <row r="53">
      <c r="C53" s="38"/>
      <c r="O53" s="38" t="str">
        <f>IFERROR(__xludf.DUMMYFUNCTION("""COMPUTED_VALUE"""),"Ronin ")</f>
        <v>Ronin </v>
      </c>
    </row>
    <row r="54">
      <c r="C54" s="38"/>
      <c r="O54" s="38" t="str">
        <f>IFERROR(__xludf.DUMMYFUNCTION("""COMPUTED_VALUE"""),"Rorik Marche-Hiver")</f>
        <v>Rorik Marche-Hiver</v>
      </c>
    </row>
    <row r="55">
      <c r="C55" s="38"/>
      <c r="O55" s="38" t="str">
        <f>IFERROR(__xludf.DUMMYFUNCTION("""COMPUTED_VALUE"""),"Rusco ")</f>
        <v>Rusco </v>
      </c>
    </row>
    <row r="56">
      <c r="C56" s="38"/>
      <c r="O56" s="38" t="str">
        <f>IFERROR(__xludf.DUMMYFUNCTION("""COMPUTED_VALUE"""),"S'Khar ")</f>
        <v>S'Khar </v>
      </c>
    </row>
    <row r="57">
      <c r="C57" s="38"/>
      <c r="O57" s="38" t="str">
        <f>IFERROR(__xludf.DUMMYFUNCTION("""COMPUTED_VALUE"""),"Selene ")</f>
        <v>Selene </v>
      </c>
    </row>
    <row r="58">
      <c r="C58" s="38"/>
      <c r="O58" s="38" t="str">
        <f>IFERROR(__xludf.DUMMYFUNCTION("""COMPUTED_VALUE"""),"Si'Yara dite Fou")</f>
        <v>Si'Yara dite Fou</v>
      </c>
    </row>
    <row r="59">
      <c r="C59" s="38"/>
      <c r="O59" s="38" t="str">
        <f>IFERROR(__xludf.DUMMYFUNCTION("""COMPUTED_VALUE"""),"Sigvard Coeurebene")</f>
        <v>Sigvard Coeurebene</v>
      </c>
    </row>
    <row r="60">
      <c r="C60" s="38"/>
      <c r="O60" s="38" t="str">
        <f>IFERROR(__xludf.DUMMYFUNCTION("""COMPUTED_VALUE"""),"Silvius Varro")</f>
        <v>Silvius Varro</v>
      </c>
    </row>
    <row r="61">
      <c r="C61" s="38"/>
      <c r="O61" s="38" t="str">
        <f>IFERROR(__xludf.DUMMYFUNCTION("""COMPUTED_VALUE"""),"Starkos Coeurebene")</f>
        <v>Starkos Coeurebene</v>
      </c>
    </row>
    <row r="62">
      <c r="C62" s="38"/>
      <c r="O62" s="38" t="str">
        <f>IFERROR(__xludf.DUMMYFUNCTION("""COMPUTED_VALUE"""),"Theodrek Heid")</f>
        <v>Theodrek Heid</v>
      </c>
    </row>
    <row r="63">
      <c r="C63" s="38"/>
      <c r="O63" s="38" t="str">
        <f>IFERROR(__xludf.DUMMYFUNCTION("""COMPUTED_VALUE"""),"Thorulf ")</f>
        <v>Thorulf </v>
      </c>
    </row>
    <row r="64">
      <c r="C64" s="38"/>
      <c r="O64" s="38" t="str">
        <f>IFERROR(__xludf.DUMMYFUNCTION("""COMPUTED_VALUE"""),"Thov Lémartes")</f>
        <v>Thov Lémartes</v>
      </c>
    </row>
    <row r="65">
      <c r="C65" s="38"/>
      <c r="O65" s="38" t="str">
        <f>IFERROR(__xludf.DUMMYFUNCTION("""COMPUTED_VALUE"""),"Ulfar ")</f>
        <v>Ulfar </v>
      </c>
    </row>
    <row r="66">
      <c r="C66" s="38"/>
      <c r="O66" s="38" t="str">
        <f>IFERROR(__xludf.DUMMYFUNCTION("""COMPUTED_VALUE"""),"Ulfgar L'oiseau de nuit")</f>
        <v>Ulfgar L'oiseau de nuit</v>
      </c>
    </row>
    <row r="67">
      <c r="C67" s="38"/>
      <c r="O67" s="38" t="str">
        <f>IFERROR(__xludf.DUMMYFUNCTION("""COMPUTED_VALUE"""),"Vaegon ")</f>
        <v>Vaegon </v>
      </c>
    </row>
    <row r="68">
      <c r="C68" s="38"/>
      <c r="O68" s="38" t="str">
        <f>IFERROR(__xludf.DUMMYFUNCTION("""COMPUTED_VALUE"""),"Vahne ")</f>
        <v>Vahne </v>
      </c>
    </row>
    <row r="69">
      <c r="C69" s="38"/>
      <c r="O69" s="38" t="str">
        <f>IFERROR(__xludf.DUMMYFUNCTION("""COMPUTED_VALUE"""),"Varaa Uzgar")</f>
        <v>Varaa Uzgar</v>
      </c>
    </row>
    <row r="70">
      <c r="C70" s="38"/>
      <c r="O70" s="38" t="str">
        <f>IFERROR(__xludf.DUMMYFUNCTION("""COMPUTED_VALUE"""),"Varkiath ")</f>
        <v>Varkiath </v>
      </c>
    </row>
    <row r="71">
      <c r="C71" s="38"/>
      <c r="O71" s="38" t="str">
        <f>IFERROR(__xludf.DUMMYFUNCTION("""COMPUTED_VALUE"""),"Vranx Thorgar")</f>
        <v>Vranx Thorgar</v>
      </c>
    </row>
    <row r="72">
      <c r="C72" s="38"/>
      <c r="O72" s="38" t="str">
        <f>IFERROR(__xludf.DUMMYFUNCTION("""COMPUTED_VALUE"""),"Wulfgar Durrock")</f>
        <v>Wulfgar Durrock</v>
      </c>
    </row>
    <row r="73">
      <c r="C73" s="38"/>
      <c r="O73" s="38" t="str">
        <f>IFERROR(__xludf.DUMMYFUNCTION("""COMPUTED_VALUE"""),"Zeid Le Brise-Lames")</f>
        <v>Zeid Le Brise-Lames</v>
      </c>
    </row>
    <row r="74">
      <c r="C74" s="38"/>
    </row>
    <row r="75">
      <c r="C75" s="38"/>
    </row>
    <row r="76">
      <c r="C76" s="38"/>
    </row>
    <row r="77">
      <c r="C77" s="38"/>
    </row>
    <row r="78">
      <c r="C78" s="38"/>
    </row>
    <row r="79">
      <c r="C79" s="38"/>
    </row>
    <row r="80">
      <c r="C80" s="38"/>
    </row>
    <row r="81">
      <c r="C81" s="38"/>
    </row>
    <row r="82">
      <c r="C82" s="38"/>
    </row>
    <row r="83">
      <c r="C83" s="38"/>
    </row>
    <row r="84">
      <c r="C84" s="38"/>
    </row>
    <row r="85">
      <c r="C85" s="38"/>
    </row>
    <row r="86">
      <c r="C86" s="38"/>
    </row>
    <row r="87">
      <c r="C87" s="38"/>
    </row>
    <row r="88">
      <c r="C88" s="38"/>
    </row>
    <row r="89">
      <c r="C89" s="38"/>
    </row>
    <row r="90">
      <c r="C90" s="38"/>
    </row>
    <row r="91">
      <c r="C91" s="38"/>
    </row>
    <row r="92">
      <c r="C92" s="38"/>
    </row>
    <row r="93">
      <c r="C93" s="38"/>
    </row>
    <row r="94">
      <c r="C94" s="38"/>
    </row>
    <row r="95">
      <c r="C95" s="38"/>
    </row>
    <row r="96">
      <c r="C96" s="38"/>
    </row>
    <row r="97">
      <c r="C97" s="38"/>
    </row>
    <row r="98">
      <c r="C98" s="38"/>
    </row>
    <row r="99">
      <c r="C99" s="38"/>
    </row>
    <row r="100">
      <c r="C100" s="38"/>
    </row>
    <row r="101">
      <c r="C101" s="38"/>
    </row>
    <row r="102">
      <c r="C102" s="38"/>
    </row>
    <row r="103">
      <c r="C103" s="38"/>
    </row>
    <row r="104">
      <c r="C104" s="38"/>
    </row>
    <row r="105">
      <c r="C105" s="38"/>
    </row>
    <row r="106">
      <c r="C106" s="38"/>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row r="991">
      <c r="C991" s="38"/>
    </row>
    <row r="992">
      <c r="C992" s="38"/>
    </row>
    <row r="993">
      <c r="C993" s="38"/>
    </row>
    <row r="994">
      <c r="C994" s="38"/>
    </row>
    <row r="995">
      <c r="C995" s="38"/>
    </row>
    <row r="996">
      <c r="C996" s="38"/>
    </row>
    <row r="997">
      <c r="C997" s="38"/>
    </row>
    <row r="998">
      <c r="C998" s="38"/>
    </row>
    <row r="999">
      <c r="C999" s="38"/>
    </row>
    <row r="1000">
      <c r="C1000" s="3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11.38"/>
    <col customWidth="1" min="3" max="3" width="31.38"/>
    <col customWidth="1" min="4" max="4" width="18.88"/>
    <col customWidth="1" min="5" max="5" width="12.63"/>
    <col customWidth="1" min="6" max="6" width="17.63"/>
    <col customWidth="1" min="7" max="7" width="13.88"/>
    <col customWidth="1" min="8" max="8" width="43.88"/>
    <col customWidth="1" min="9" max="9" width="62.63"/>
    <col customWidth="1" min="10" max="10" width="37.63"/>
    <col customWidth="1" min="12" max="12" width="43.88"/>
    <col customWidth="1" min="13" max="13" width="12.63"/>
    <col customWidth="1" min="14" max="14" width="43.88"/>
    <col customWidth="1" min="15" max="15" width="15.13"/>
    <col customWidth="1" min="16" max="16" width="31.38"/>
    <col customWidth="1" min="18" max="18" width="40.13"/>
    <col customWidth="1" min="19" max="19" width="20.13"/>
    <col customWidth="1" min="20" max="20" width="25.13"/>
    <col customWidth="1" min="21" max="21" width="30.13"/>
  </cols>
  <sheetData>
    <row r="1">
      <c r="A1" s="122" t="s">
        <v>286</v>
      </c>
      <c r="B1" s="123" t="s">
        <v>20583</v>
      </c>
      <c r="C1" s="124" t="s">
        <v>20584</v>
      </c>
      <c r="D1" s="125" t="s">
        <v>20585</v>
      </c>
      <c r="E1" s="125" t="s">
        <v>20586</v>
      </c>
      <c r="F1" s="125" t="s">
        <v>20587</v>
      </c>
      <c r="G1" s="125" t="s">
        <v>20588</v>
      </c>
      <c r="H1" s="124" t="s">
        <v>20589</v>
      </c>
      <c r="I1" s="124" t="s">
        <v>20590</v>
      </c>
      <c r="J1" s="124" t="s">
        <v>20591</v>
      </c>
      <c r="L1" s="126" t="s">
        <v>20592</v>
      </c>
      <c r="M1" s="126" t="s">
        <v>4079</v>
      </c>
      <c r="N1" s="126" t="s">
        <v>20593</v>
      </c>
      <c r="O1" s="126" t="s">
        <v>20588</v>
      </c>
      <c r="P1" s="126"/>
      <c r="R1" s="126" t="s">
        <v>286</v>
      </c>
      <c r="S1" s="126" t="s">
        <v>20594</v>
      </c>
      <c r="T1" s="126" t="s">
        <v>20595</v>
      </c>
      <c r="U1" s="126" t="s">
        <v>20596</v>
      </c>
      <c r="V1" s="126" t="s">
        <v>20597</v>
      </c>
      <c r="W1" s="126" t="s">
        <v>20598</v>
      </c>
    </row>
    <row r="2">
      <c r="A2" s="127" t="s">
        <v>20599</v>
      </c>
      <c r="B2" s="128" t="s">
        <v>20600</v>
      </c>
      <c r="C2" s="129" t="s">
        <v>20600</v>
      </c>
      <c r="D2" s="130"/>
      <c r="E2" s="131"/>
      <c r="F2" s="132"/>
      <c r="G2" s="132"/>
      <c r="H2" s="133"/>
      <c r="I2" s="129" t="s">
        <v>20601</v>
      </c>
      <c r="J2" s="133"/>
      <c r="L2" s="4" t="s">
        <v>20602</v>
      </c>
      <c r="M2" s="4" t="s">
        <v>20603</v>
      </c>
      <c r="N2" s="4" t="s">
        <v>20602</v>
      </c>
      <c r="O2" s="4" t="s">
        <v>20603</v>
      </c>
      <c r="P2" s="4"/>
      <c r="R2" s="4" t="s">
        <v>20599</v>
      </c>
      <c r="S2" s="4" t="s">
        <v>20604</v>
      </c>
      <c r="T2" s="4" t="s">
        <v>20605</v>
      </c>
      <c r="U2" s="4" t="s">
        <v>20606</v>
      </c>
      <c r="V2" s="4" t="s">
        <v>20607</v>
      </c>
      <c r="W2" s="134" t="s">
        <v>20608</v>
      </c>
    </row>
    <row r="3">
      <c r="A3" s="127" t="s">
        <v>20599</v>
      </c>
      <c r="B3" s="128">
        <v>1.0</v>
      </c>
      <c r="C3" s="129" t="s">
        <v>20609</v>
      </c>
      <c r="D3" s="130"/>
      <c r="E3" s="131"/>
      <c r="F3" s="132"/>
      <c r="G3" s="132"/>
      <c r="H3" s="133"/>
      <c r="I3" s="129" t="s">
        <v>20610</v>
      </c>
      <c r="J3" s="133"/>
      <c r="L3" s="4" t="s">
        <v>4950</v>
      </c>
      <c r="M3" s="4" t="s">
        <v>20611</v>
      </c>
      <c r="N3" s="4" t="s">
        <v>20612</v>
      </c>
      <c r="O3" s="4" t="s">
        <v>20613</v>
      </c>
      <c r="P3" s="4"/>
      <c r="R3" s="4" t="s">
        <v>20614</v>
      </c>
      <c r="S3" s="4" t="s">
        <v>20615</v>
      </c>
      <c r="T3" s="4" t="s">
        <v>20616</v>
      </c>
      <c r="U3" s="4" t="s">
        <v>20617</v>
      </c>
      <c r="W3" s="134" t="s">
        <v>20618</v>
      </c>
    </row>
    <row r="4">
      <c r="A4" s="127" t="s">
        <v>20599</v>
      </c>
      <c r="B4" s="128">
        <v>2.0</v>
      </c>
      <c r="C4" s="129" t="s">
        <v>20619</v>
      </c>
      <c r="D4" s="130"/>
      <c r="E4" s="131"/>
      <c r="F4" s="132"/>
      <c r="G4" s="132"/>
      <c r="H4" s="133"/>
      <c r="I4" s="129" t="s">
        <v>20620</v>
      </c>
      <c r="J4" s="133"/>
      <c r="L4" s="4" t="s">
        <v>20621</v>
      </c>
      <c r="M4" s="4" t="s">
        <v>20622</v>
      </c>
      <c r="N4" s="4" t="s">
        <v>20623</v>
      </c>
      <c r="O4" s="4" t="s">
        <v>20624</v>
      </c>
      <c r="P4" s="4"/>
      <c r="R4" s="4" t="s">
        <v>20625</v>
      </c>
      <c r="S4" s="4" t="s">
        <v>20615</v>
      </c>
      <c r="T4" s="4" t="s">
        <v>20616</v>
      </c>
      <c r="U4" s="4" t="s">
        <v>20626</v>
      </c>
      <c r="W4" s="134" t="s">
        <v>20627</v>
      </c>
    </row>
    <row r="5">
      <c r="A5" s="127" t="s">
        <v>20599</v>
      </c>
      <c r="B5" s="128">
        <v>3.0</v>
      </c>
      <c r="C5" s="129" t="s">
        <v>20628</v>
      </c>
      <c r="D5" s="130" t="s">
        <v>4076</v>
      </c>
      <c r="E5" s="131"/>
      <c r="F5" s="132"/>
      <c r="G5" s="132"/>
      <c r="H5" s="133"/>
      <c r="I5" s="129" t="s">
        <v>20629</v>
      </c>
      <c r="J5" s="133"/>
      <c r="L5" s="4" t="s">
        <v>20630</v>
      </c>
      <c r="M5" s="4" t="s">
        <v>20631</v>
      </c>
      <c r="N5" s="4" t="s">
        <v>20632</v>
      </c>
      <c r="O5" s="4" t="s">
        <v>20633</v>
      </c>
      <c r="P5" s="4"/>
      <c r="R5" s="4" t="s">
        <v>20634</v>
      </c>
      <c r="S5" s="4" t="s">
        <v>20615</v>
      </c>
      <c r="T5" s="4" t="s">
        <v>20616</v>
      </c>
      <c r="U5" s="4" t="s">
        <v>20635</v>
      </c>
      <c r="W5" s="134" t="s">
        <v>20636</v>
      </c>
    </row>
    <row r="6">
      <c r="A6" s="127" t="s">
        <v>20599</v>
      </c>
      <c r="B6" s="128">
        <v>4.0</v>
      </c>
      <c r="C6" s="129" t="s">
        <v>20637</v>
      </c>
      <c r="D6" s="130"/>
      <c r="E6" s="131"/>
      <c r="F6" s="132"/>
      <c r="G6" s="132"/>
      <c r="H6" s="133"/>
      <c r="I6" s="129" t="s">
        <v>20638</v>
      </c>
      <c r="J6" s="133"/>
      <c r="L6" s="4" t="s">
        <v>20639</v>
      </c>
      <c r="M6" s="4" t="s">
        <v>20611</v>
      </c>
      <c r="N6" s="4" t="s">
        <v>20640</v>
      </c>
      <c r="O6" s="4" t="s">
        <v>20641</v>
      </c>
      <c r="P6" s="4"/>
      <c r="R6" s="4" t="s">
        <v>20642</v>
      </c>
      <c r="S6" s="4" t="s">
        <v>20643</v>
      </c>
      <c r="T6" s="4" t="s">
        <v>20616</v>
      </c>
      <c r="U6" s="4" t="s">
        <v>20644</v>
      </c>
      <c r="W6" s="134" t="s">
        <v>20645</v>
      </c>
    </row>
    <row r="7">
      <c r="A7" s="127" t="s">
        <v>20599</v>
      </c>
      <c r="B7" s="128">
        <v>5.0</v>
      </c>
      <c r="C7" s="129" t="s">
        <v>20646</v>
      </c>
      <c r="D7" s="130" t="s">
        <v>4076</v>
      </c>
      <c r="E7" s="131"/>
      <c r="F7" s="132"/>
      <c r="G7" s="132"/>
      <c r="H7" s="133"/>
      <c r="I7" s="129" t="s">
        <v>20647</v>
      </c>
      <c r="J7" s="133"/>
      <c r="L7" s="4" t="s">
        <v>20648</v>
      </c>
      <c r="M7" s="4" t="s">
        <v>20649</v>
      </c>
      <c r="N7" s="4" t="s">
        <v>20650</v>
      </c>
      <c r="O7" s="4" t="s">
        <v>20651</v>
      </c>
      <c r="P7" s="4"/>
      <c r="R7" s="4" t="s">
        <v>20652</v>
      </c>
      <c r="S7" s="4" t="s">
        <v>20643</v>
      </c>
      <c r="T7" s="4" t="s">
        <v>20616</v>
      </c>
      <c r="U7" s="4" t="s">
        <v>20653</v>
      </c>
      <c r="W7" s="134" t="s">
        <v>20654</v>
      </c>
    </row>
    <row r="8">
      <c r="A8" s="127" t="s">
        <v>20599</v>
      </c>
      <c r="B8" s="128">
        <v>6.0</v>
      </c>
      <c r="C8" s="129" t="s">
        <v>20655</v>
      </c>
      <c r="D8" s="130"/>
      <c r="E8" s="131"/>
      <c r="F8" s="132"/>
      <c r="G8" s="132"/>
      <c r="H8" s="133"/>
      <c r="I8" s="129" t="s">
        <v>20656</v>
      </c>
      <c r="J8" s="129" t="s">
        <v>20657</v>
      </c>
      <c r="L8" s="4" t="s">
        <v>20658</v>
      </c>
      <c r="M8" s="4" t="s">
        <v>20659</v>
      </c>
      <c r="N8" s="4" t="s">
        <v>20660</v>
      </c>
      <c r="O8" s="4" t="s">
        <v>20661</v>
      </c>
      <c r="P8" s="4"/>
      <c r="R8" s="4" t="s">
        <v>20662</v>
      </c>
      <c r="S8" s="4" t="s">
        <v>20663</v>
      </c>
      <c r="T8" s="4" t="s">
        <v>20616</v>
      </c>
      <c r="U8" s="4" t="s">
        <v>20664</v>
      </c>
      <c r="W8" s="134" t="s">
        <v>20665</v>
      </c>
    </row>
    <row r="9">
      <c r="A9" s="127" t="s">
        <v>20599</v>
      </c>
      <c r="B9" s="128">
        <v>7.0</v>
      </c>
      <c r="C9" s="129" t="s">
        <v>20666</v>
      </c>
      <c r="D9" s="130"/>
      <c r="E9" s="131"/>
      <c r="F9" s="132"/>
      <c r="G9" s="132"/>
      <c r="H9" s="133"/>
      <c r="I9" s="129" t="s">
        <v>20667</v>
      </c>
      <c r="J9" s="133"/>
      <c r="L9" s="4" t="s">
        <v>20612</v>
      </c>
      <c r="M9" s="4" t="s">
        <v>20668</v>
      </c>
      <c r="N9" s="4" t="s">
        <v>20669</v>
      </c>
      <c r="O9" s="4" t="s">
        <v>20670</v>
      </c>
      <c r="P9" s="4"/>
      <c r="R9" s="4" t="s">
        <v>20671</v>
      </c>
      <c r="S9" s="4" t="s">
        <v>20663</v>
      </c>
      <c r="T9" s="4" t="s">
        <v>20616</v>
      </c>
      <c r="U9" s="4" t="s">
        <v>20672</v>
      </c>
      <c r="W9" s="134" t="s">
        <v>20673</v>
      </c>
    </row>
    <row r="10">
      <c r="A10" s="127" t="s">
        <v>20599</v>
      </c>
      <c r="B10" s="128">
        <v>8.0</v>
      </c>
      <c r="C10" s="129" t="s">
        <v>20674</v>
      </c>
      <c r="D10" s="130" t="s">
        <v>4076</v>
      </c>
      <c r="E10" s="131"/>
      <c r="F10" s="132"/>
      <c r="G10" s="132"/>
      <c r="H10" s="133"/>
      <c r="I10" s="129" t="s">
        <v>20675</v>
      </c>
      <c r="J10" s="129" t="s">
        <v>20676</v>
      </c>
      <c r="L10" s="4" t="s">
        <v>20623</v>
      </c>
      <c r="M10" s="4" t="s">
        <v>20677</v>
      </c>
      <c r="N10" s="4" t="s">
        <v>20678</v>
      </c>
      <c r="O10" s="4" t="s">
        <v>20679</v>
      </c>
      <c r="P10" s="4"/>
      <c r="R10" s="4" t="s">
        <v>20680</v>
      </c>
      <c r="S10" s="4" t="s">
        <v>20663</v>
      </c>
      <c r="T10" s="4" t="s">
        <v>20616</v>
      </c>
      <c r="U10" s="4" t="s">
        <v>20681</v>
      </c>
      <c r="W10" s="134" t="s">
        <v>20682</v>
      </c>
    </row>
    <row r="11">
      <c r="A11" s="127" t="s">
        <v>20599</v>
      </c>
      <c r="B11" s="128">
        <v>9.0</v>
      </c>
      <c r="C11" s="129" t="s">
        <v>20683</v>
      </c>
      <c r="D11" s="130"/>
      <c r="E11" s="131"/>
      <c r="F11" s="132"/>
      <c r="G11" s="132"/>
      <c r="H11" s="133"/>
      <c r="I11" s="129" t="s">
        <v>20684</v>
      </c>
      <c r="J11" s="133"/>
      <c r="L11" s="4" t="s">
        <v>20632</v>
      </c>
      <c r="M11" s="4" t="s">
        <v>20685</v>
      </c>
      <c r="N11" s="4" t="s">
        <v>4434</v>
      </c>
      <c r="O11" s="4" t="s">
        <v>20686</v>
      </c>
      <c r="P11" s="4"/>
      <c r="R11" s="4" t="s">
        <v>20687</v>
      </c>
      <c r="S11" s="4" t="s">
        <v>20663</v>
      </c>
      <c r="T11" s="4" t="s">
        <v>20616</v>
      </c>
      <c r="U11" s="4" t="s">
        <v>20688</v>
      </c>
      <c r="W11" s="134" t="s">
        <v>20689</v>
      </c>
    </row>
    <row r="12">
      <c r="A12" s="127" t="s">
        <v>20599</v>
      </c>
      <c r="B12" s="128">
        <v>10.0</v>
      </c>
      <c r="C12" s="129" t="s">
        <v>20690</v>
      </c>
      <c r="D12" s="130" t="s">
        <v>4076</v>
      </c>
      <c r="E12" s="131"/>
      <c r="F12" s="132"/>
      <c r="G12" s="132"/>
      <c r="H12" s="133"/>
      <c r="I12" s="129" t="s">
        <v>20691</v>
      </c>
      <c r="J12" s="133"/>
      <c r="L12" s="4" t="s">
        <v>20640</v>
      </c>
      <c r="M12" s="4" t="s">
        <v>20692</v>
      </c>
      <c r="N12" s="4" t="s">
        <v>6865</v>
      </c>
      <c r="O12" s="4" t="s">
        <v>20693</v>
      </c>
      <c r="P12" s="4"/>
      <c r="R12" s="4" t="s">
        <v>20694</v>
      </c>
      <c r="S12" s="4" t="s">
        <v>20663</v>
      </c>
      <c r="T12" s="4" t="s">
        <v>20616</v>
      </c>
      <c r="U12" s="4" t="s">
        <v>20695</v>
      </c>
      <c r="W12" s="134" t="s">
        <v>20696</v>
      </c>
    </row>
    <row r="13">
      <c r="A13" s="127" t="s">
        <v>20599</v>
      </c>
      <c r="B13" s="128">
        <v>11.0</v>
      </c>
      <c r="C13" s="129" t="s">
        <v>20697</v>
      </c>
      <c r="D13" s="130"/>
      <c r="E13" s="131"/>
      <c r="F13" s="132"/>
      <c r="G13" s="132"/>
      <c r="H13" s="133"/>
      <c r="I13" s="129" t="s">
        <v>20698</v>
      </c>
      <c r="J13" s="133"/>
      <c r="L13" s="4" t="s">
        <v>20650</v>
      </c>
      <c r="M13" s="4" t="s">
        <v>20699</v>
      </c>
      <c r="N13" s="4" t="s">
        <v>20700</v>
      </c>
      <c r="O13" s="4" t="s">
        <v>20701</v>
      </c>
      <c r="P13" s="4"/>
      <c r="R13" s="4" t="s">
        <v>20702</v>
      </c>
      <c r="S13" s="4" t="s">
        <v>20663</v>
      </c>
      <c r="T13" s="4" t="s">
        <v>20703</v>
      </c>
      <c r="U13" s="4" t="s">
        <v>20704</v>
      </c>
      <c r="W13" s="134" t="s">
        <v>20705</v>
      </c>
    </row>
    <row r="14">
      <c r="A14" s="127" t="s">
        <v>20599</v>
      </c>
      <c r="B14" s="128">
        <v>12.0</v>
      </c>
      <c r="C14" s="129" t="s">
        <v>20706</v>
      </c>
      <c r="D14" s="130"/>
      <c r="E14" s="131"/>
      <c r="F14" s="132"/>
      <c r="G14" s="132"/>
      <c r="H14" s="133"/>
      <c r="I14" s="129" t="s">
        <v>20707</v>
      </c>
      <c r="J14" s="133"/>
      <c r="L14" s="4" t="s">
        <v>20660</v>
      </c>
      <c r="M14" s="4" t="s">
        <v>20708</v>
      </c>
      <c r="N14" s="4" t="s">
        <v>20709</v>
      </c>
      <c r="O14" s="4" t="s">
        <v>20710</v>
      </c>
      <c r="P14" s="4"/>
      <c r="R14" s="4" t="s">
        <v>20711</v>
      </c>
      <c r="S14" s="4" t="s">
        <v>20663</v>
      </c>
      <c r="T14" s="4" t="s">
        <v>20616</v>
      </c>
      <c r="U14" s="4" t="s">
        <v>20712</v>
      </c>
      <c r="W14" s="134" t="s">
        <v>20713</v>
      </c>
    </row>
    <row r="15">
      <c r="A15" s="127" t="s">
        <v>20599</v>
      </c>
      <c r="B15" s="128">
        <v>13.0</v>
      </c>
      <c r="C15" s="129" t="s">
        <v>20714</v>
      </c>
      <c r="D15" s="130" t="s">
        <v>20715</v>
      </c>
      <c r="E15" s="131"/>
      <c r="F15" s="132"/>
      <c r="G15" s="132"/>
      <c r="H15" s="129"/>
      <c r="I15" s="129" t="s">
        <v>20716</v>
      </c>
      <c r="J15" s="133"/>
      <c r="L15" s="4" t="s">
        <v>20669</v>
      </c>
      <c r="M15" s="4" t="s">
        <v>20717</v>
      </c>
      <c r="N15" s="4" t="s">
        <v>20718</v>
      </c>
      <c r="O15" s="4" t="s">
        <v>20719</v>
      </c>
      <c r="P15" s="4"/>
      <c r="R15" s="4" t="s">
        <v>20720</v>
      </c>
      <c r="S15" s="4" t="s">
        <v>20663</v>
      </c>
      <c r="T15" s="4" t="s">
        <v>20616</v>
      </c>
      <c r="U15" s="4" t="s">
        <v>20721</v>
      </c>
      <c r="W15" s="134" t="s">
        <v>20722</v>
      </c>
    </row>
    <row r="16">
      <c r="A16" s="127" t="s">
        <v>20599</v>
      </c>
      <c r="B16" s="128">
        <v>14.0</v>
      </c>
      <c r="C16" s="129" t="s">
        <v>20723</v>
      </c>
      <c r="D16" s="130" t="s">
        <v>20715</v>
      </c>
      <c r="E16" s="135"/>
      <c r="F16" s="136"/>
      <c r="G16" s="132"/>
      <c r="H16" s="129" t="s">
        <v>20724</v>
      </c>
      <c r="I16" s="129" t="s">
        <v>20725</v>
      </c>
      <c r="J16" s="133"/>
      <c r="L16" s="4" t="s">
        <v>20678</v>
      </c>
      <c r="M16" s="4" t="s">
        <v>20726</v>
      </c>
      <c r="N16" s="4" t="s">
        <v>20727</v>
      </c>
      <c r="O16" s="4" t="s">
        <v>20728</v>
      </c>
      <c r="P16" s="4"/>
      <c r="R16" s="4" t="s">
        <v>20729</v>
      </c>
      <c r="S16" s="4" t="s">
        <v>20663</v>
      </c>
      <c r="T16" s="4" t="s">
        <v>20703</v>
      </c>
      <c r="U16" s="4" t="s">
        <v>20730</v>
      </c>
      <c r="W16" s="134" t="s">
        <v>20731</v>
      </c>
    </row>
    <row r="17">
      <c r="A17" s="127" t="s">
        <v>20599</v>
      </c>
      <c r="B17" s="128">
        <v>15.0</v>
      </c>
      <c r="C17" s="129" t="s">
        <v>20732</v>
      </c>
      <c r="D17" s="130" t="s">
        <v>20733</v>
      </c>
      <c r="E17" s="135">
        <v>250.0</v>
      </c>
      <c r="F17" s="136">
        <v>1.0</v>
      </c>
      <c r="G17" s="132"/>
      <c r="H17" s="129" t="s">
        <v>20734</v>
      </c>
      <c r="I17" s="129" t="s">
        <v>20735</v>
      </c>
      <c r="J17" s="133"/>
      <c r="L17" s="4" t="s">
        <v>20736</v>
      </c>
      <c r="M17" s="4" t="s">
        <v>20737</v>
      </c>
      <c r="N17" s="4" t="s">
        <v>20738</v>
      </c>
      <c r="O17" s="4" t="s">
        <v>20739</v>
      </c>
      <c r="P17" s="4"/>
      <c r="R17" s="4" t="s">
        <v>20740</v>
      </c>
      <c r="S17" s="4" t="s">
        <v>20663</v>
      </c>
      <c r="T17" s="4" t="s">
        <v>20616</v>
      </c>
      <c r="U17" s="4" t="s">
        <v>20730</v>
      </c>
      <c r="W17" s="134" t="s">
        <v>20741</v>
      </c>
    </row>
    <row r="18">
      <c r="A18" s="127" t="s">
        <v>20599</v>
      </c>
      <c r="B18" s="128">
        <v>16.0</v>
      </c>
      <c r="C18" s="129" t="s">
        <v>20742</v>
      </c>
      <c r="D18" s="130" t="s">
        <v>20715</v>
      </c>
      <c r="E18" s="135">
        <v>500.0</v>
      </c>
      <c r="F18" s="136">
        <v>3.0</v>
      </c>
      <c r="G18" s="132"/>
      <c r="H18" s="129" t="s">
        <v>20743</v>
      </c>
      <c r="I18" s="129" t="s">
        <v>20744</v>
      </c>
      <c r="J18" s="133"/>
      <c r="L18" s="4" t="s">
        <v>20745</v>
      </c>
      <c r="M18" s="4" t="s">
        <v>20737</v>
      </c>
      <c r="N18" s="4" t="s">
        <v>4374</v>
      </c>
      <c r="O18" s="4" t="s">
        <v>20746</v>
      </c>
      <c r="P18" s="4"/>
      <c r="R18" s="4" t="s">
        <v>20747</v>
      </c>
      <c r="S18" s="4" t="s">
        <v>20663</v>
      </c>
      <c r="T18" s="4" t="s">
        <v>20703</v>
      </c>
      <c r="U18" s="4" t="s">
        <v>20730</v>
      </c>
      <c r="W18" s="134" t="s">
        <v>20748</v>
      </c>
    </row>
    <row r="19">
      <c r="A19" s="127" t="s">
        <v>20599</v>
      </c>
      <c r="B19" s="128">
        <v>17.0</v>
      </c>
      <c r="C19" s="129" t="s">
        <v>20749</v>
      </c>
      <c r="D19" s="130" t="s">
        <v>20715</v>
      </c>
      <c r="E19" s="135">
        <v>100.0</v>
      </c>
      <c r="F19" s="136">
        <v>1.0</v>
      </c>
      <c r="G19" s="132"/>
      <c r="H19" s="129" t="s">
        <v>20750</v>
      </c>
      <c r="I19" s="129" t="s">
        <v>20751</v>
      </c>
      <c r="J19" s="133"/>
      <c r="L19" s="4" t="s">
        <v>4434</v>
      </c>
      <c r="M19" s="4" t="s">
        <v>20752</v>
      </c>
      <c r="N19" s="4" t="s">
        <v>20753</v>
      </c>
      <c r="O19" s="4" t="s">
        <v>20754</v>
      </c>
      <c r="P19" s="4"/>
      <c r="R19" s="4" t="s">
        <v>20755</v>
      </c>
      <c r="S19" s="4" t="s">
        <v>20663</v>
      </c>
      <c r="T19" s="4" t="s">
        <v>20616</v>
      </c>
      <c r="U19" s="4" t="s">
        <v>20756</v>
      </c>
      <c r="W19" s="134" t="s">
        <v>20757</v>
      </c>
    </row>
    <row r="20">
      <c r="A20" s="127" t="s">
        <v>20599</v>
      </c>
      <c r="B20" s="128">
        <v>18.0</v>
      </c>
      <c r="C20" s="129" t="s">
        <v>20758</v>
      </c>
      <c r="D20" s="130" t="s">
        <v>20733</v>
      </c>
      <c r="E20" s="135">
        <v>250.0</v>
      </c>
      <c r="F20" s="136">
        <v>1.0</v>
      </c>
      <c r="G20" s="132"/>
      <c r="H20" s="129" t="s">
        <v>20734</v>
      </c>
      <c r="I20" s="129" t="s">
        <v>20759</v>
      </c>
      <c r="J20" s="133"/>
      <c r="L20" s="4" t="s">
        <v>6865</v>
      </c>
      <c r="M20" s="4" t="s">
        <v>20760</v>
      </c>
      <c r="N20" s="4" t="s">
        <v>6908</v>
      </c>
      <c r="O20" s="4" t="s">
        <v>20754</v>
      </c>
      <c r="P20" s="4"/>
      <c r="R20" s="4" t="s">
        <v>20761</v>
      </c>
      <c r="S20" s="4" t="s">
        <v>20663</v>
      </c>
      <c r="T20" s="4" t="s">
        <v>20762</v>
      </c>
      <c r="U20" s="4" t="s">
        <v>20763</v>
      </c>
      <c r="W20" s="134" t="s">
        <v>20764</v>
      </c>
    </row>
    <row r="21">
      <c r="A21" s="127" t="s">
        <v>20599</v>
      </c>
      <c r="B21" s="128">
        <v>19.0</v>
      </c>
      <c r="C21" s="129" t="s">
        <v>20765</v>
      </c>
      <c r="D21" s="130" t="s">
        <v>20733</v>
      </c>
      <c r="E21" s="131"/>
      <c r="F21" s="136">
        <v>1.0</v>
      </c>
      <c r="G21" s="132"/>
      <c r="H21" s="129" t="s">
        <v>20766</v>
      </c>
      <c r="I21" s="129" t="s">
        <v>20767</v>
      </c>
      <c r="J21" s="133"/>
      <c r="L21" s="4" t="s">
        <v>20700</v>
      </c>
      <c r="M21" s="4" t="s">
        <v>20768</v>
      </c>
      <c r="N21" s="4" t="s">
        <v>20769</v>
      </c>
      <c r="O21" s="4" t="s">
        <v>20770</v>
      </c>
      <c r="P21" s="4"/>
    </row>
    <row r="22">
      <c r="A22" s="127" t="s">
        <v>20599</v>
      </c>
      <c r="B22" s="128">
        <v>20.0</v>
      </c>
      <c r="C22" s="129" t="s">
        <v>20771</v>
      </c>
      <c r="D22" s="130" t="s">
        <v>20733</v>
      </c>
      <c r="E22" s="135"/>
      <c r="F22" s="136">
        <v>1.0</v>
      </c>
      <c r="G22" s="132"/>
      <c r="H22" s="129" t="s">
        <v>20766</v>
      </c>
      <c r="I22" s="129" t="s">
        <v>20772</v>
      </c>
      <c r="J22" s="133"/>
      <c r="L22" s="4" t="s">
        <v>20773</v>
      </c>
      <c r="M22" s="4" t="s">
        <v>20774</v>
      </c>
      <c r="N22" s="4" t="s">
        <v>20775</v>
      </c>
      <c r="O22" s="4" t="s">
        <v>20776</v>
      </c>
      <c r="P22" s="4"/>
    </row>
    <row r="23">
      <c r="A23" s="127" t="s">
        <v>20599</v>
      </c>
      <c r="B23" s="128">
        <v>21.0</v>
      </c>
      <c r="C23" s="129" t="s">
        <v>20777</v>
      </c>
      <c r="D23" s="130" t="s">
        <v>20715</v>
      </c>
      <c r="E23" s="135">
        <v>500.0</v>
      </c>
      <c r="F23" s="136">
        <v>1.0</v>
      </c>
      <c r="G23" s="132"/>
      <c r="H23" s="129" t="s">
        <v>20778</v>
      </c>
      <c r="I23" s="129" t="s">
        <v>20779</v>
      </c>
      <c r="J23" s="133"/>
      <c r="L23" s="4" t="s">
        <v>20780</v>
      </c>
      <c r="M23" s="4" t="s">
        <v>20781</v>
      </c>
      <c r="N23" s="4" t="s">
        <v>20782</v>
      </c>
      <c r="O23" s="4" t="s">
        <v>20783</v>
      </c>
      <c r="P23" s="4"/>
    </row>
    <row r="24">
      <c r="A24" s="127" t="s">
        <v>20599</v>
      </c>
      <c r="B24" s="128">
        <v>22.0</v>
      </c>
      <c r="C24" s="129" t="s">
        <v>20784</v>
      </c>
      <c r="D24" s="130" t="s">
        <v>20715</v>
      </c>
      <c r="E24" s="135">
        <v>550.0</v>
      </c>
      <c r="F24" s="136">
        <v>3.0</v>
      </c>
      <c r="G24" s="136"/>
      <c r="H24" s="129" t="s">
        <v>20785</v>
      </c>
      <c r="I24" s="129" t="s">
        <v>20786</v>
      </c>
      <c r="J24" s="129"/>
      <c r="L24" s="4" t="s">
        <v>20787</v>
      </c>
      <c r="M24" s="4" t="s">
        <v>20788</v>
      </c>
      <c r="N24" s="4" t="s">
        <v>20789</v>
      </c>
      <c r="O24" s="4" t="s">
        <v>20790</v>
      </c>
      <c r="P24" s="4"/>
    </row>
    <row r="25">
      <c r="A25" s="127" t="s">
        <v>20599</v>
      </c>
      <c r="B25" s="128">
        <v>23.0</v>
      </c>
      <c r="C25" s="129" t="s">
        <v>20791</v>
      </c>
      <c r="D25" s="130" t="s">
        <v>20792</v>
      </c>
      <c r="E25" s="135"/>
      <c r="F25" s="136"/>
      <c r="G25" s="136">
        <v>1.0</v>
      </c>
      <c r="H25" s="129" t="s">
        <v>20793</v>
      </c>
      <c r="I25" s="129" t="s">
        <v>20794</v>
      </c>
      <c r="J25" s="129" t="s">
        <v>20795</v>
      </c>
      <c r="L25" s="4" t="s">
        <v>20796</v>
      </c>
      <c r="M25" s="4" t="s">
        <v>20797</v>
      </c>
      <c r="N25" s="4" t="s">
        <v>20798</v>
      </c>
      <c r="O25" s="4" t="s">
        <v>20746</v>
      </c>
      <c r="P25" s="4"/>
    </row>
    <row r="26">
      <c r="A26" s="127" t="s">
        <v>20599</v>
      </c>
      <c r="B26" s="128">
        <v>24.0</v>
      </c>
      <c r="C26" s="129" t="s">
        <v>20799</v>
      </c>
      <c r="D26" s="130" t="s">
        <v>20792</v>
      </c>
      <c r="E26" s="135">
        <v>650.0</v>
      </c>
      <c r="F26" s="136"/>
      <c r="G26" s="136">
        <v>1.0</v>
      </c>
      <c r="H26" s="129" t="s">
        <v>20800</v>
      </c>
      <c r="I26" s="129" t="s">
        <v>20801</v>
      </c>
      <c r="J26" s="129" t="s">
        <v>20795</v>
      </c>
      <c r="L26" s="4" t="s">
        <v>20709</v>
      </c>
      <c r="M26" s="4" t="s">
        <v>20710</v>
      </c>
      <c r="N26" s="4" t="s">
        <v>20802</v>
      </c>
      <c r="O26" s="4" t="s">
        <v>20803</v>
      </c>
      <c r="P26" s="4"/>
    </row>
    <row r="27">
      <c r="A27" s="127" t="s">
        <v>20599</v>
      </c>
      <c r="B27" s="128">
        <v>25.0</v>
      </c>
      <c r="C27" s="129" t="s">
        <v>20804</v>
      </c>
      <c r="D27" s="130" t="s">
        <v>20792</v>
      </c>
      <c r="E27" s="135">
        <v>800.0</v>
      </c>
      <c r="F27" s="136"/>
      <c r="G27" s="136">
        <v>1.0</v>
      </c>
      <c r="H27" s="129" t="s">
        <v>20805</v>
      </c>
      <c r="I27" s="129" t="s">
        <v>20806</v>
      </c>
      <c r="J27" s="129" t="s">
        <v>20795</v>
      </c>
      <c r="L27" s="4" t="s">
        <v>20807</v>
      </c>
      <c r="M27" s="4" t="s">
        <v>20808</v>
      </c>
      <c r="N27" s="4" t="s">
        <v>6790</v>
      </c>
      <c r="O27" s="4" t="s">
        <v>20809</v>
      </c>
      <c r="P27" s="4"/>
    </row>
    <row r="28">
      <c r="A28" s="127" t="s">
        <v>20599</v>
      </c>
      <c r="B28" s="128">
        <v>26.0</v>
      </c>
      <c r="C28" s="129" t="s">
        <v>20810</v>
      </c>
      <c r="D28" s="130" t="s">
        <v>20792</v>
      </c>
      <c r="E28" s="135">
        <v>800.0</v>
      </c>
      <c r="F28" s="136">
        <v>5.0</v>
      </c>
      <c r="G28" s="136"/>
      <c r="H28" s="129" t="s">
        <v>20811</v>
      </c>
      <c r="I28" s="129" t="s">
        <v>20812</v>
      </c>
      <c r="J28" s="129"/>
      <c r="L28" s="4" t="s">
        <v>20813</v>
      </c>
      <c r="M28" s="4" t="s">
        <v>20814</v>
      </c>
      <c r="N28" s="4" t="s">
        <v>20815</v>
      </c>
      <c r="O28" s="4" t="s">
        <v>20816</v>
      </c>
      <c r="P28" s="4"/>
    </row>
    <row r="29">
      <c r="A29" s="127" t="s">
        <v>20599</v>
      </c>
      <c r="B29" s="128">
        <v>27.0</v>
      </c>
      <c r="C29" s="129" t="s">
        <v>20817</v>
      </c>
      <c r="D29" s="130" t="s">
        <v>20792</v>
      </c>
      <c r="E29" s="135">
        <v>1000.0</v>
      </c>
      <c r="F29" s="136"/>
      <c r="G29" s="136">
        <v>2.0</v>
      </c>
      <c r="H29" s="129" t="s">
        <v>20818</v>
      </c>
      <c r="I29" s="129" t="s">
        <v>20819</v>
      </c>
      <c r="J29" s="129" t="s">
        <v>20795</v>
      </c>
      <c r="L29" s="4" t="s">
        <v>20820</v>
      </c>
      <c r="M29" s="4" t="s">
        <v>20821</v>
      </c>
      <c r="N29" s="4" t="s">
        <v>20822</v>
      </c>
      <c r="O29" s="4" t="s">
        <v>20823</v>
      </c>
      <c r="P29" s="4"/>
    </row>
    <row r="30">
      <c r="A30" s="127" t="s">
        <v>20599</v>
      </c>
      <c r="B30" s="128">
        <v>28.0</v>
      </c>
      <c r="C30" s="129" t="s">
        <v>20824</v>
      </c>
      <c r="D30" s="130" t="s">
        <v>20792</v>
      </c>
      <c r="E30" s="135">
        <v>1200.0</v>
      </c>
      <c r="F30" s="136"/>
      <c r="G30" s="136">
        <v>3.0</v>
      </c>
      <c r="H30" s="129" t="s">
        <v>20825</v>
      </c>
      <c r="I30" s="129" t="s">
        <v>20826</v>
      </c>
      <c r="J30" s="129" t="s">
        <v>20795</v>
      </c>
      <c r="L30" s="4" t="s">
        <v>20718</v>
      </c>
      <c r="M30" s="4" t="s">
        <v>20827</v>
      </c>
      <c r="N30" s="4" t="s">
        <v>20828</v>
      </c>
      <c r="O30" s="4" t="s">
        <v>20829</v>
      </c>
      <c r="P30" s="4"/>
    </row>
    <row r="31">
      <c r="A31" s="127" t="s">
        <v>20599</v>
      </c>
      <c r="B31" s="128">
        <v>29.0</v>
      </c>
      <c r="C31" s="129" t="s">
        <v>20830</v>
      </c>
      <c r="D31" s="130" t="s">
        <v>20792</v>
      </c>
      <c r="E31" s="135">
        <v>800.0</v>
      </c>
      <c r="F31" s="136"/>
      <c r="G31" s="136">
        <v>1.0</v>
      </c>
      <c r="H31" s="129" t="s">
        <v>20831</v>
      </c>
      <c r="I31" s="129" t="s">
        <v>20832</v>
      </c>
      <c r="J31" s="129" t="s">
        <v>20795</v>
      </c>
      <c r="L31" s="4" t="s">
        <v>20727</v>
      </c>
      <c r="M31" s="4" t="s">
        <v>20833</v>
      </c>
      <c r="N31" s="4" t="s">
        <v>20834</v>
      </c>
      <c r="O31" s="4" t="s">
        <v>20835</v>
      </c>
      <c r="P31" s="4"/>
    </row>
    <row r="32">
      <c r="A32" s="127" t="s">
        <v>20599</v>
      </c>
      <c r="B32" s="128">
        <v>30.0</v>
      </c>
      <c r="C32" s="129" t="s">
        <v>20836</v>
      </c>
      <c r="D32" s="130" t="s">
        <v>20792</v>
      </c>
      <c r="E32" s="135">
        <v>1000.0</v>
      </c>
      <c r="F32" s="132"/>
      <c r="G32" s="136">
        <v>3.0</v>
      </c>
      <c r="H32" s="129" t="s">
        <v>20837</v>
      </c>
      <c r="I32" s="129" t="s">
        <v>20838</v>
      </c>
      <c r="J32" s="129" t="s">
        <v>20795</v>
      </c>
      <c r="L32" s="4" t="s">
        <v>20738</v>
      </c>
      <c r="M32" s="4" t="s">
        <v>20839</v>
      </c>
      <c r="N32" s="4"/>
      <c r="O32" s="4"/>
      <c r="P32" s="4"/>
    </row>
    <row r="33">
      <c r="A33" s="127" t="s">
        <v>20599</v>
      </c>
      <c r="B33" s="128">
        <v>31.0</v>
      </c>
      <c r="C33" s="129" t="s">
        <v>20840</v>
      </c>
      <c r="D33" s="130" t="s">
        <v>20792</v>
      </c>
      <c r="E33" s="135"/>
      <c r="F33" s="136"/>
      <c r="G33" s="132"/>
      <c r="H33" s="129" t="s">
        <v>20841</v>
      </c>
      <c r="I33" s="129" t="s">
        <v>20842</v>
      </c>
      <c r="J33" s="129"/>
      <c r="L33" s="4" t="s">
        <v>20843</v>
      </c>
      <c r="M33" s="4" t="s">
        <v>20844</v>
      </c>
      <c r="N33" s="4"/>
      <c r="O33" s="4"/>
      <c r="P33" s="4"/>
    </row>
    <row r="34">
      <c r="A34" s="127" t="s">
        <v>20599</v>
      </c>
      <c r="B34" s="128">
        <v>32.0</v>
      </c>
      <c r="C34" s="129" t="s">
        <v>20845</v>
      </c>
      <c r="D34" s="130" t="s">
        <v>20792</v>
      </c>
      <c r="E34" s="135"/>
      <c r="F34" s="136">
        <v>1.0</v>
      </c>
      <c r="G34" s="132"/>
      <c r="H34" s="129" t="s">
        <v>20846</v>
      </c>
      <c r="I34" s="129" t="s">
        <v>20847</v>
      </c>
      <c r="J34" s="129" t="s">
        <v>20848</v>
      </c>
      <c r="L34" s="4" t="s">
        <v>20849</v>
      </c>
      <c r="M34" s="4" t="s">
        <v>20844</v>
      </c>
      <c r="N34" s="4"/>
      <c r="O34" s="4"/>
      <c r="P34" s="4"/>
    </row>
    <row r="35">
      <c r="A35" s="127" t="s">
        <v>20599</v>
      </c>
      <c r="B35" s="128">
        <v>33.0</v>
      </c>
      <c r="C35" s="129" t="s">
        <v>20850</v>
      </c>
      <c r="D35" s="130" t="s">
        <v>20792</v>
      </c>
      <c r="E35" s="135"/>
      <c r="F35" s="136">
        <v>1.0</v>
      </c>
      <c r="G35" s="136"/>
      <c r="H35" s="129" t="s">
        <v>20846</v>
      </c>
      <c r="I35" s="129" t="s">
        <v>20851</v>
      </c>
      <c r="J35" s="129" t="s">
        <v>20848</v>
      </c>
      <c r="L35" s="4" t="s">
        <v>20852</v>
      </c>
      <c r="M35" s="4" t="s">
        <v>20853</v>
      </c>
      <c r="N35" s="4"/>
      <c r="O35" s="4"/>
      <c r="P35" s="4"/>
    </row>
    <row r="36">
      <c r="A36" s="127" t="s">
        <v>20599</v>
      </c>
      <c r="B36" s="128">
        <v>34.0</v>
      </c>
      <c r="C36" s="129" t="s">
        <v>20854</v>
      </c>
      <c r="D36" s="130" t="s">
        <v>20733</v>
      </c>
      <c r="E36" s="135">
        <v>50.0</v>
      </c>
      <c r="F36" s="132"/>
      <c r="G36" s="136">
        <v>0.5</v>
      </c>
      <c r="H36" s="129" t="s">
        <v>20855</v>
      </c>
      <c r="I36" s="129" t="s">
        <v>20856</v>
      </c>
      <c r="J36" s="133"/>
      <c r="L36" s="4" t="s">
        <v>20857</v>
      </c>
      <c r="M36" s="4" t="s">
        <v>20858</v>
      </c>
      <c r="N36" s="4"/>
      <c r="O36" s="4"/>
      <c r="P36" s="4"/>
    </row>
    <row r="37">
      <c r="A37" s="127" t="s">
        <v>20599</v>
      </c>
      <c r="B37" s="128">
        <v>35.0</v>
      </c>
      <c r="C37" s="129" t="s">
        <v>20859</v>
      </c>
      <c r="D37" s="130" t="s">
        <v>20715</v>
      </c>
      <c r="E37" s="135">
        <v>500.0</v>
      </c>
      <c r="F37" s="132"/>
      <c r="G37" s="136">
        <v>1.0</v>
      </c>
      <c r="H37" s="129" t="s">
        <v>20860</v>
      </c>
      <c r="I37" s="129" t="s">
        <v>20861</v>
      </c>
      <c r="J37" s="133"/>
      <c r="L37" s="4" t="s">
        <v>4770</v>
      </c>
      <c r="M37" s="4" t="s">
        <v>20862</v>
      </c>
      <c r="N37" s="4"/>
      <c r="O37" s="4"/>
      <c r="P37" s="4"/>
    </row>
    <row r="38">
      <c r="A38" s="127" t="s">
        <v>20599</v>
      </c>
      <c r="B38" s="128">
        <v>36.0</v>
      </c>
      <c r="C38" s="129" t="s">
        <v>20863</v>
      </c>
      <c r="D38" s="130" t="s">
        <v>20715</v>
      </c>
      <c r="E38" s="135">
        <v>70.0</v>
      </c>
      <c r="F38" s="136"/>
      <c r="G38" s="136">
        <v>1.0</v>
      </c>
      <c r="H38" s="129" t="s">
        <v>20864</v>
      </c>
      <c r="I38" s="129" t="s">
        <v>20865</v>
      </c>
      <c r="J38" s="129"/>
      <c r="L38" s="4" t="s">
        <v>4374</v>
      </c>
      <c r="M38" s="4" t="s">
        <v>20866</v>
      </c>
      <c r="N38" s="4"/>
      <c r="O38" s="4"/>
      <c r="P38" s="4"/>
    </row>
    <row r="39">
      <c r="A39" s="127" t="s">
        <v>20599</v>
      </c>
      <c r="B39" s="128">
        <v>37.0</v>
      </c>
      <c r="C39" s="129" t="s">
        <v>20867</v>
      </c>
      <c r="D39" s="130" t="s">
        <v>20792</v>
      </c>
      <c r="E39" s="135">
        <v>50.0</v>
      </c>
      <c r="F39" s="136">
        <v>1.0</v>
      </c>
      <c r="G39" s="132"/>
      <c r="H39" s="129" t="s">
        <v>20868</v>
      </c>
      <c r="I39" s="129" t="s">
        <v>20869</v>
      </c>
      <c r="J39" s="129" t="s">
        <v>20870</v>
      </c>
      <c r="L39" s="4" t="s">
        <v>20753</v>
      </c>
      <c r="M39" s="4" t="s">
        <v>20754</v>
      </c>
      <c r="N39" s="4"/>
      <c r="O39" s="4"/>
      <c r="P39" s="4"/>
    </row>
    <row r="40">
      <c r="A40" s="127" t="s">
        <v>20599</v>
      </c>
      <c r="B40" s="128">
        <v>38.0</v>
      </c>
      <c r="C40" s="129" t="s">
        <v>20871</v>
      </c>
      <c r="D40" s="130" t="s">
        <v>20715</v>
      </c>
      <c r="E40" s="135">
        <v>70.0</v>
      </c>
      <c r="F40" s="136">
        <v>2.0</v>
      </c>
      <c r="G40" s="132"/>
      <c r="H40" s="129" t="s">
        <v>20872</v>
      </c>
      <c r="I40" s="129" t="s">
        <v>20873</v>
      </c>
      <c r="J40" s="133"/>
      <c r="L40" s="4" t="s">
        <v>6908</v>
      </c>
      <c r="M40" s="4" t="s">
        <v>20754</v>
      </c>
      <c r="N40" s="4"/>
      <c r="O40" s="4"/>
      <c r="P40" s="4"/>
    </row>
    <row r="41">
      <c r="A41" s="127" t="s">
        <v>20599</v>
      </c>
      <c r="B41" s="128">
        <v>39.0</v>
      </c>
      <c r="C41" s="129" t="s">
        <v>20874</v>
      </c>
      <c r="D41" s="130"/>
      <c r="E41" s="131"/>
      <c r="F41" s="132"/>
      <c r="G41" s="132"/>
      <c r="H41" s="129" t="s">
        <v>20875</v>
      </c>
      <c r="I41" s="129" t="s">
        <v>20876</v>
      </c>
      <c r="J41" s="133"/>
      <c r="L41" s="4" t="s">
        <v>20769</v>
      </c>
      <c r="M41" s="4" t="s">
        <v>20877</v>
      </c>
      <c r="N41" s="4"/>
      <c r="O41" s="4"/>
      <c r="P41" s="4"/>
    </row>
    <row r="42">
      <c r="A42" s="127" t="s">
        <v>20599</v>
      </c>
      <c r="B42" s="128">
        <v>40.0</v>
      </c>
      <c r="C42" s="129" t="s">
        <v>20878</v>
      </c>
      <c r="D42" s="130"/>
      <c r="E42" s="135"/>
      <c r="F42" s="136"/>
      <c r="G42" s="132"/>
      <c r="H42" s="129" t="s">
        <v>20879</v>
      </c>
      <c r="I42" s="129" t="s">
        <v>20880</v>
      </c>
      <c r="J42" s="129"/>
      <c r="L42" s="4" t="s">
        <v>20881</v>
      </c>
      <c r="M42" s="4" t="s">
        <v>20882</v>
      </c>
      <c r="N42" s="4"/>
      <c r="O42" s="4"/>
      <c r="P42" s="4"/>
    </row>
    <row r="43">
      <c r="A43" s="127" t="s">
        <v>20599</v>
      </c>
      <c r="B43" s="128">
        <v>41.0</v>
      </c>
      <c r="C43" s="129" t="s">
        <v>20883</v>
      </c>
      <c r="D43" s="130" t="s">
        <v>20715</v>
      </c>
      <c r="E43" s="135">
        <v>100.0</v>
      </c>
      <c r="F43" s="136">
        <v>2.0</v>
      </c>
      <c r="G43" s="132"/>
      <c r="H43" s="129" t="s">
        <v>20884</v>
      </c>
      <c r="I43" s="129" t="s">
        <v>20885</v>
      </c>
      <c r="J43" s="129"/>
      <c r="L43" s="4" t="s">
        <v>20886</v>
      </c>
      <c r="M43" s="4" t="s">
        <v>20887</v>
      </c>
      <c r="N43" s="4"/>
      <c r="O43" s="4"/>
      <c r="P43" s="4"/>
    </row>
    <row r="44">
      <c r="A44" s="127" t="s">
        <v>20599</v>
      </c>
      <c r="B44" s="128">
        <v>42.0</v>
      </c>
      <c r="C44" s="129" t="s">
        <v>20888</v>
      </c>
      <c r="D44" s="130" t="s">
        <v>20715</v>
      </c>
      <c r="E44" s="135">
        <v>150.0</v>
      </c>
      <c r="F44" s="136">
        <v>2.0</v>
      </c>
      <c r="G44" s="132"/>
      <c r="H44" s="129" t="s">
        <v>20889</v>
      </c>
      <c r="I44" s="129" t="s">
        <v>20890</v>
      </c>
      <c r="J44" s="133"/>
      <c r="L44" s="4" t="s">
        <v>20775</v>
      </c>
      <c r="M44" s="4" t="s">
        <v>20776</v>
      </c>
      <c r="N44" s="4"/>
      <c r="O44" s="4"/>
      <c r="P44" s="4"/>
    </row>
    <row r="45">
      <c r="A45" s="127" t="s">
        <v>20599</v>
      </c>
      <c r="B45" s="128">
        <v>43.0</v>
      </c>
      <c r="C45" s="129" t="s">
        <v>20891</v>
      </c>
      <c r="D45" s="130"/>
      <c r="E45" s="135"/>
      <c r="F45" s="132"/>
      <c r="G45" s="132"/>
      <c r="H45" s="129" t="s">
        <v>20892</v>
      </c>
      <c r="I45" s="129" t="s">
        <v>20893</v>
      </c>
      <c r="J45" s="129"/>
      <c r="L45" s="4" t="s">
        <v>20894</v>
      </c>
      <c r="M45" s="4" t="s">
        <v>20844</v>
      </c>
      <c r="N45" s="4"/>
      <c r="O45" s="4"/>
      <c r="P45" s="4"/>
    </row>
    <row r="46">
      <c r="A46" s="127" t="s">
        <v>20599</v>
      </c>
      <c r="B46" s="128">
        <v>44.0</v>
      </c>
      <c r="C46" s="129" t="s">
        <v>20895</v>
      </c>
      <c r="D46" s="130" t="s">
        <v>4076</v>
      </c>
      <c r="E46" s="135"/>
      <c r="F46" s="132"/>
      <c r="G46" s="132"/>
      <c r="H46" s="129" t="s">
        <v>20896</v>
      </c>
      <c r="I46" s="129" t="s">
        <v>20897</v>
      </c>
      <c r="J46" s="129" t="s">
        <v>20848</v>
      </c>
      <c r="L46" s="4" t="s">
        <v>20898</v>
      </c>
      <c r="M46" s="4" t="s">
        <v>20899</v>
      </c>
      <c r="N46" s="4"/>
      <c r="O46" s="4"/>
      <c r="P46" s="4"/>
    </row>
    <row r="47">
      <c r="A47" s="127" t="s">
        <v>20599</v>
      </c>
      <c r="B47" s="128">
        <v>45.0</v>
      </c>
      <c r="C47" s="129" t="s">
        <v>20900</v>
      </c>
      <c r="D47" s="130" t="s">
        <v>20733</v>
      </c>
      <c r="E47" s="135">
        <v>200.0</v>
      </c>
      <c r="F47" s="132"/>
      <c r="G47" s="132"/>
      <c r="H47" s="129" t="s">
        <v>20901</v>
      </c>
      <c r="I47" s="129" t="s">
        <v>20902</v>
      </c>
      <c r="J47" s="129"/>
      <c r="L47" s="4" t="s">
        <v>20903</v>
      </c>
      <c r="M47" s="4" t="s">
        <v>20904</v>
      </c>
      <c r="N47" s="4"/>
      <c r="O47" s="4"/>
      <c r="P47" s="4"/>
    </row>
    <row r="48">
      <c r="A48" s="127" t="s">
        <v>20599</v>
      </c>
      <c r="B48" s="128">
        <v>46.0</v>
      </c>
      <c r="C48" s="129" t="s">
        <v>20905</v>
      </c>
      <c r="D48" s="130" t="s">
        <v>20715</v>
      </c>
      <c r="E48" s="135">
        <v>100.0</v>
      </c>
      <c r="F48" s="132"/>
      <c r="G48" s="136"/>
      <c r="H48" s="129" t="s">
        <v>20906</v>
      </c>
      <c r="I48" s="129" t="s">
        <v>20907</v>
      </c>
      <c r="J48" s="129" t="s">
        <v>20870</v>
      </c>
      <c r="L48" s="4" t="s">
        <v>20908</v>
      </c>
      <c r="M48" s="4" t="s">
        <v>20909</v>
      </c>
      <c r="N48" s="4"/>
      <c r="O48" s="4"/>
      <c r="P48" s="4"/>
    </row>
    <row r="49">
      <c r="A49" s="127" t="s">
        <v>20599</v>
      </c>
      <c r="B49" s="128">
        <v>47.0</v>
      </c>
      <c r="C49" s="129" t="s">
        <v>20910</v>
      </c>
      <c r="D49" s="130" t="s">
        <v>20792</v>
      </c>
      <c r="E49" s="135">
        <v>1000.0</v>
      </c>
      <c r="F49" s="136"/>
      <c r="G49" s="136">
        <v>3.0</v>
      </c>
      <c r="H49" s="129" t="s">
        <v>20911</v>
      </c>
      <c r="I49" s="129" t="s">
        <v>20912</v>
      </c>
      <c r="J49" s="133"/>
      <c r="L49" s="4" t="s">
        <v>20782</v>
      </c>
      <c r="M49" s="4" t="s">
        <v>20783</v>
      </c>
      <c r="N49" s="4"/>
      <c r="O49" s="4"/>
      <c r="P49" s="4"/>
    </row>
    <row r="50">
      <c r="A50" s="127" t="s">
        <v>20599</v>
      </c>
      <c r="B50" s="128">
        <v>48.0</v>
      </c>
      <c r="C50" s="129" t="s">
        <v>20913</v>
      </c>
      <c r="D50" s="130" t="s">
        <v>20792</v>
      </c>
      <c r="E50" s="135">
        <v>2000.0</v>
      </c>
      <c r="F50" s="136">
        <v>2.0</v>
      </c>
      <c r="G50" s="136">
        <v>2.0</v>
      </c>
      <c r="H50" s="129" t="s">
        <v>20914</v>
      </c>
      <c r="I50" s="129" t="s">
        <v>20915</v>
      </c>
      <c r="J50" s="133"/>
      <c r="L50" s="4" t="s">
        <v>20916</v>
      </c>
      <c r="M50" s="4" t="s">
        <v>20917</v>
      </c>
      <c r="N50" s="4"/>
      <c r="O50" s="4"/>
      <c r="P50" s="4"/>
    </row>
    <row r="51">
      <c r="A51" s="127" t="s">
        <v>20599</v>
      </c>
      <c r="B51" s="128">
        <v>49.0</v>
      </c>
      <c r="C51" s="129" t="s">
        <v>20918</v>
      </c>
      <c r="D51" s="130" t="s">
        <v>20792</v>
      </c>
      <c r="E51" s="135">
        <v>500.0</v>
      </c>
      <c r="F51" s="136">
        <v>2.0</v>
      </c>
      <c r="G51" s="136">
        <v>2.0</v>
      </c>
      <c r="H51" s="129" t="s">
        <v>20919</v>
      </c>
      <c r="I51" s="129" t="s">
        <v>20920</v>
      </c>
      <c r="J51" s="133"/>
      <c r="L51" s="4" t="s">
        <v>20789</v>
      </c>
      <c r="M51" s="4" t="s">
        <v>20790</v>
      </c>
      <c r="N51" s="4"/>
      <c r="O51" s="4"/>
      <c r="P51" s="4"/>
    </row>
    <row r="52">
      <c r="A52" s="127" t="s">
        <v>20599</v>
      </c>
      <c r="B52" s="128">
        <v>50.0</v>
      </c>
      <c r="C52" s="129" t="s">
        <v>20921</v>
      </c>
      <c r="D52" s="130" t="s">
        <v>20792</v>
      </c>
      <c r="E52" s="135">
        <v>500.0</v>
      </c>
      <c r="F52" s="136">
        <v>3.0</v>
      </c>
      <c r="G52" s="132"/>
      <c r="H52" s="129" t="s">
        <v>20922</v>
      </c>
      <c r="I52" s="129" t="s">
        <v>20923</v>
      </c>
      <c r="J52" s="133"/>
      <c r="L52" s="4" t="s">
        <v>20798</v>
      </c>
      <c r="M52" s="4" t="s">
        <v>20866</v>
      </c>
      <c r="N52" s="4"/>
      <c r="O52" s="4"/>
      <c r="P52" s="4"/>
    </row>
    <row r="53">
      <c r="A53" s="127" t="s">
        <v>20599</v>
      </c>
      <c r="B53" s="128">
        <v>51.0</v>
      </c>
      <c r="C53" s="129" t="s">
        <v>20924</v>
      </c>
      <c r="D53" s="130" t="s">
        <v>20715</v>
      </c>
      <c r="E53" s="135">
        <v>500.0</v>
      </c>
      <c r="F53" s="136">
        <v>3.0</v>
      </c>
      <c r="G53" s="132"/>
      <c r="H53" s="129" t="s">
        <v>20922</v>
      </c>
      <c r="I53" s="129" t="s">
        <v>20925</v>
      </c>
      <c r="J53" s="129"/>
      <c r="L53" s="4" t="s">
        <v>20802</v>
      </c>
      <c r="M53" s="4" t="s">
        <v>20926</v>
      </c>
      <c r="O53" s="4"/>
      <c r="P53" s="4"/>
    </row>
    <row r="54">
      <c r="A54" s="127" t="s">
        <v>20599</v>
      </c>
      <c r="B54" s="128">
        <v>52.0</v>
      </c>
      <c r="C54" s="129" t="s">
        <v>20927</v>
      </c>
      <c r="D54" s="130" t="s">
        <v>20733</v>
      </c>
      <c r="E54" s="135">
        <v>150.0</v>
      </c>
      <c r="F54" s="136">
        <v>0.5</v>
      </c>
      <c r="G54" s="132"/>
      <c r="H54" s="129" t="s">
        <v>20928</v>
      </c>
      <c r="I54" s="129" t="s">
        <v>20929</v>
      </c>
      <c r="J54" s="133"/>
      <c r="L54" s="4" t="s">
        <v>6790</v>
      </c>
      <c r="M54" s="4" t="s">
        <v>20930</v>
      </c>
      <c r="O54" s="4"/>
      <c r="P54" s="4"/>
    </row>
    <row r="55">
      <c r="A55" s="127" t="s">
        <v>20599</v>
      </c>
      <c r="B55" s="128">
        <v>53.0</v>
      </c>
      <c r="C55" s="129" t="s">
        <v>20931</v>
      </c>
      <c r="D55" s="130" t="s">
        <v>4076</v>
      </c>
      <c r="E55" s="135">
        <v>1000.0</v>
      </c>
      <c r="F55" s="136">
        <v>5.0</v>
      </c>
      <c r="G55" s="132"/>
      <c r="H55" s="129" t="s">
        <v>20932</v>
      </c>
      <c r="I55" s="129" t="s">
        <v>20933</v>
      </c>
      <c r="J55" s="133"/>
      <c r="L55" s="4" t="s">
        <v>20934</v>
      </c>
      <c r="M55" s="4" t="s">
        <v>20935</v>
      </c>
      <c r="O55" s="4"/>
      <c r="P55" s="4"/>
    </row>
    <row r="56">
      <c r="A56" s="127" t="s">
        <v>20599</v>
      </c>
      <c r="B56" s="128">
        <v>54.0</v>
      </c>
      <c r="C56" s="129" t="s">
        <v>20936</v>
      </c>
      <c r="D56" s="130" t="s">
        <v>4076</v>
      </c>
      <c r="E56" s="135">
        <v>20.0</v>
      </c>
      <c r="F56" s="132"/>
      <c r="G56" s="136"/>
      <c r="H56" s="129" t="s">
        <v>20937</v>
      </c>
      <c r="I56" s="129" t="s">
        <v>20938</v>
      </c>
      <c r="J56" s="133"/>
      <c r="L56" s="4" t="s">
        <v>20939</v>
      </c>
      <c r="M56" s="4" t="s">
        <v>20940</v>
      </c>
      <c r="N56" s="5"/>
      <c r="O56" s="4"/>
      <c r="P56" s="4"/>
    </row>
    <row r="57">
      <c r="A57" s="127" t="s">
        <v>20599</v>
      </c>
      <c r="B57" s="128">
        <v>55.0</v>
      </c>
      <c r="C57" s="129" t="s">
        <v>20941</v>
      </c>
      <c r="D57" s="130" t="s">
        <v>20733</v>
      </c>
      <c r="E57" s="135">
        <v>50.0</v>
      </c>
      <c r="F57" s="132"/>
      <c r="G57" s="136">
        <v>1.0</v>
      </c>
      <c r="H57" s="129" t="s">
        <v>20942</v>
      </c>
      <c r="I57" s="129" t="s">
        <v>20943</v>
      </c>
      <c r="J57" s="129"/>
      <c r="L57" s="4" t="s">
        <v>20944</v>
      </c>
      <c r="M57" s="4" t="s">
        <v>20945</v>
      </c>
      <c r="O57" s="4"/>
      <c r="P57" s="4"/>
    </row>
    <row r="58">
      <c r="A58" s="127" t="s">
        <v>20599</v>
      </c>
      <c r="B58" s="128">
        <v>56.0</v>
      </c>
      <c r="C58" s="129" t="s">
        <v>20946</v>
      </c>
      <c r="D58" s="130" t="s">
        <v>20733</v>
      </c>
      <c r="E58" s="131"/>
      <c r="F58" s="132"/>
      <c r="G58" s="132"/>
      <c r="H58" s="129" t="s">
        <v>20947</v>
      </c>
      <c r="I58" s="129" t="s">
        <v>20948</v>
      </c>
      <c r="J58" s="129"/>
      <c r="L58" s="4" t="s">
        <v>20815</v>
      </c>
      <c r="M58" s="4" t="s">
        <v>20816</v>
      </c>
      <c r="O58" s="4"/>
      <c r="P58" s="4"/>
    </row>
    <row r="59">
      <c r="A59" s="127" t="s">
        <v>20599</v>
      </c>
      <c r="B59" s="128">
        <v>57.0</v>
      </c>
      <c r="C59" s="129" t="s">
        <v>20949</v>
      </c>
      <c r="D59" s="130" t="s">
        <v>20733</v>
      </c>
      <c r="E59" s="135"/>
      <c r="F59" s="132"/>
      <c r="G59" s="136"/>
      <c r="H59" s="129" t="s">
        <v>20947</v>
      </c>
      <c r="I59" s="129" t="s">
        <v>20950</v>
      </c>
      <c r="J59" s="133"/>
      <c r="L59" s="4" t="s">
        <v>20822</v>
      </c>
      <c r="M59" s="4" t="s">
        <v>20823</v>
      </c>
      <c r="N59" s="5"/>
      <c r="O59" s="4"/>
      <c r="P59" s="4"/>
    </row>
    <row r="60">
      <c r="A60" s="127" t="s">
        <v>20599</v>
      </c>
      <c r="B60" s="128">
        <v>58.0</v>
      </c>
      <c r="C60" s="129" t="s">
        <v>20951</v>
      </c>
      <c r="D60" s="130" t="s">
        <v>20715</v>
      </c>
      <c r="E60" s="135">
        <v>35.0</v>
      </c>
      <c r="F60" s="136"/>
      <c r="G60" s="136">
        <v>0.3333333333333333</v>
      </c>
      <c r="H60" s="129" t="s">
        <v>20952</v>
      </c>
      <c r="I60" s="129" t="s">
        <v>20953</v>
      </c>
      <c r="J60" s="133"/>
      <c r="L60" s="4" t="s">
        <v>20954</v>
      </c>
      <c r="M60" s="4" t="s">
        <v>20955</v>
      </c>
      <c r="O60" s="4"/>
      <c r="P60" s="4"/>
    </row>
    <row r="61">
      <c r="A61" s="127" t="s">
        <v>20599</v>
      </c>
      <c r="B61" s="128">
        <v>59.0</v>
      </c>
      <c r="C61" s="129" t="s">
        <v>20956</v>
      </c>
      <c r="D61" s="130" t="s">
        <v>20733</v>
      </c>
      <c r="E61" s="135">
        <v>25.0</v>
      </c>
      <c r="F61" s="136">
        <v>1.0</v>
      </c>
      <c r="G61" s="132"/>
      <c r="H61" s="129" t="s">
        <v>20957</v>
      </c>
      <c r="I61" s="129" t="s">
        <v>20958</v>
      </c>
      <c r="J61" s="133"/>
      <c r="L61" s="4" t="s">
        <v>20959</v>
      </c>
      <c r="M61" s="4" t="s">
        <v>20960</v>
      </c>
      <c r="O61" s="4"/>
      <c r="P61" s="4"/>
    </row>
    <row r="62">
      <c r="A62" s="127" t="s">
        <v>20599</v>
      </c>
      <c r="B62" s="128">
        <v>60.0</v>
      </c>
      <c r="C62" s="129" t="s">
        <v>20961</v>
      </c>
      <c r="D62" s="130" t="s">
        <v>20715</v>
      </c>
      <c r="E62" s="135">
        <v>100.0</v>
      </c>
      <c r="F62" s="136">
        <v>2.0</v>
      </c>
      <c r="G62" s="132"/>
      <c r="H62" s="129" t="s">
        <v>20962</v>
      </c>
      <c r="I62" s="129" t="s">
        <v>20963</v>
      </c>
      <c r="J62" s="133"/>
      <c r="L62" s="4" t="s">
        <v>20964</v>
      </c>
      <c r="M62" s="4" t="s">
        <v>20965</v>
      </c>
      <c r="O62" s="4"/>
      <c r="P62" s="4"/>
    </row>
    <row r="63">
      <c r="A63" s="127" t="s">
        <v>20599</v>
      </c>
      <c r="B63" s="128">
        <v>61.0</v>
      </c>
      <c r="C63" s="129" t="s">
        <v>20966</v>
      </c>
      <c r="D63" s="130" t="s">
        <v>20733</v>
      </c>
      <c r="E63" s="135"/>
      <c r="F63" s="136"/>
      <c r="G63" s="132"/>
      <c r="H63" s="129" t="s">
        <v>20967</v>
      </c>
      <c r="I63" s="129" t="s">
        <v>20968</v>
      </c>
      <c r="J63" s="133"/>
      <c r="L63" s="4" t="s">
        <v>20828</v>
      </c>
      <c r="M63" s="4" t="s">
        <v>20969</v>
      </c>
      <c r="P63" s="4"/>
    </row>
    <row r="64">
      <c r="A64" s="127" t="s">
        <v>20599</v>
      </c>
      <c r="B64" s="128">
        <v>62.0</v>
      </c>
      <c r="C64" s="129" t="s">
        <v>20970</v>
      </c>
      <c r="D64" s="130" t="s">
        <v>20733</v>
      </c>
      <c r="E64" s="135">
        <v>500.0</v>
      </c>
      <c r="F64" s="136">
        <v>3.0</v>
      </c>
      <c r="G64" s="132"/>
      <c r="H64" s="129" t="s">
        <v>20922</v>
      </c>
      <c r="I64" s="129" t="s">
        <v>20971</v>
      </c>
      <c r="J64" s="133"/>
      <c r="L64" s="4" t="s">
        <v>20972</v>
      </c>
      <c r="M64" s="4" t="s">
        <v>20973</v>
      </c>
      <c r="P64" s="4"/>
    </row>
    <row r="65">
      <c r="A65" s="127" t="s">
        <v>20599</v>
      </c>
      <c r="B65" s="128">
        <v>63.0</v>
      </c>
      <c r="C65" s="129" t="s">
        <v>20974</v>
      </c>
      <c r="D65" s="130" t="s">
        <v>20715</v>
      </c>
      <c r="E65" s="135">
        <v>50.0</v>
      </c>
      <c r="F65" s="136">
        <v>1.0</v>
      </c>
      <c r="G65" s="132"/>
      <c r="H65" s="129" t="s">
        <v>20975</v>
      </c>
      <c r="I65" s="129" t="s">
        <v>20976</v>
      </c>
      <c r="J65" s="133"/>
      <c r="L65" s="4" t="s">
        <v>20977</v>
      </c>
      <c r="M65" s="4" t="s">
        <v>20978</v>
      </c>
      <c r="P65" s="4"/>
    </row>
    <row r="66">
      <c r="A66" s="127" t="s">
        <v>20599</v>
      </c>
      <c r="B66" s="128">
        <v>64.0</v>
      </c>
      <c r="C66" s="129" t="s">
        <v>20979</v>
      </c>
      <c r="D66" s="130" t="s">
        <v>20792</v>
      </c>
      <c r="E66" s="135">
        <v>250.0</v>
      </c>
      <c r="F66" s="136">
        <v>3.0</v>
      </c>
      <c r="G66" s="132"/>
      <c r="H66" s="129" t="s">
        <v>20980</v>
      </c>
      <c r="I66" s="129" t="s">
        <v>20981</v>
      </c>
      <c r="J66" s="133"/>
      <c r="L66" s="4" t="s">
        <v>20982</v>
      </c>
      <c r="M66" s="4" t="s">
        <v>20814</v>
      </c>
    </row>
    <row r="67">
      <c r="A67" s="127" t="s">
        <v>20599</v>
      </c>
      <c r="B67" s="128">
        <v>65.0</v>
      </c>
      <c r="C67" s="129" t="s">
        <v>20983</v>
      </c>
      <c r="D67" s="130" t="s">
        <v>20733</v>
      </c>
      <c r="E67" s="135">
        <v>100.0</v>
      </c>
      <c r="F67" s="136">
        <v>1.0</v>
      </c>
      <c r="G67" s="132"/>
      <c r="H67" s="129" t="s">
        <v>20984</v>
      </c>
      <c r="I67" s="129" t="s">
        <v>20985</v>
      </c>
      <c r="J67" s="129"/>
      <c r="L67" s="4" t="s">
        <v>20834</v>
      </c>
      <c r="M67" s="4" t="s">
        <v>20986</v>
      </c>
    </row>
    <row r="68">
      <c r="A68" s="127" t="s">
        <v>20599</v>
      </c>
      <c r="B68" s="128">
        <v>66.0</v>
      </c>
      <c r="C68" s="129" t="s">
        <v>20987</v>
      </c>
      <c r="D68" s="130"/>
      <c r="E68" s="131"/>
      <c r="F68" s="132"/>
      <c r="G68" s="132"/>
      <c r="H68" s="129" t="s">
        <v>20988</v>
      </c>
      <c r="I68" s="129" t="s">
        <v>20989</v>
      </c>
      <c r="J68" s="129"/>
      <c r="L68" s="4" t="s">
        <v>4124</v>
      </c>
      <c r="M68" s="4" t="s">
        <v>20990</v>
      </c>
    </row>
    <row r="69">
      <c r="A69" s="127" t="s">
        <v>20599</v>
      </c>
      <c r="B69" s="128">
        <v>67.0</v>
      </c>
      <c r="C69" s="129" t="s">
        <v>20991</v>
      </c>
      <c r="D69" s="130" t="s">
        <v>20792</v>
      </c>
      <c r="E69" s="131"/>
      <c r="F69" s="132"/>
      <c r="G69" s="132"/>
      <c r="H69" s="129" t="s">
        <v>20992</v>
      </c>
      <c r="I69" s="129" t="s">
        <v>20993</v>
      </c>
      <c r="J69" s="129"/>
      <c r="L69" s="4" t="s">
        <v>4139</v>
      </c>
      <c r="M69" s="4" t="s">
        <v>20994</v>
      </c>
    </row>
    <row r="70">
      <c r="A70" s="127" t="s">
        <v>20599</v>
      </c>
      <c r="B70" s="128">
        <v>68.0</v>
      </c>
      <c r="C70" s="129" t="s">
        <v>20995</v>
      </c>
      <c r="D70" s="130" t="s">
        <v>20792</v>
      </c>
      <c r="E70" s="131"/>
      <c r="F70" s="132"/>
      <c r="G70" s="132"/>
      <c r="H70" s="129" t="s">
        <v>20992</v>
      </c>
      <c r="I70" s="129" t="s">
        <v>20996</v>
      </c>
      <c r="J70" s="129"/>
      <c r="L70" s="4" t="s">
        <v>4170</v>
      </c>
      <c r="M70" s="4" t="s">
        <v>20997</v>
      </c>
    </row>
    <row r="71">
      <c r="A71" s="127" t="s">
        <v>20599</v>
      </c>
      <c r="B71" s="128">
        <v>69.0</v>
      </c>
      <c r="C71" s="129" t="s">
        <v>20998</v>
      </c>
      <c r="D71" s="130" t="s">
        <v>20792</v>
      </c>
      <c r="E71" s="135"/>
      <c r="F71" s="132"/>
      <c r="G71" s="136"/>
      <c r="H71" s="129" t="s">
        <v>20992</v>
      </c>
      <c r="I71" s="129" t="s">
        <v>20999</v>
      </c>
      <c r="J71" s="133"/>
      <c r="L71" s="4" t="s">
        <v>4109</v>
      </c>
      <c r="M71" s="4" t="s">
        <v>21000</v>
      </c>
      <c r="N71" s="5"/>
    </row>
    <row r="72">
      <c r="A72" s="127" t="s">
        <v>20599</v>
      </c>
      <c r="B72" s="128">
        <v>70.0</v>
      </c>
      <c r="C72" s="129" t="s">
        <v>21001</v>
      </c>
      <c r="D72" s="130" t="s">
        <v>20792</v>
      </c>
      <c r="E72" s="135"/>
      <c r="F72" s="132"/>
      <c r="G72" s="136"/>
      <c r="H72" s="129" t="s">
        <v>20992</v>
      </c>
      <c r="I72" s="129" t="s">
        <v>21002</v>
      </c>
      <c r="J72" s="129"/>
      <c r="L72" s="4"/>
      <c r="M72" s="4"/>
    </row>
    <row r="73">
      <c r="A73" s="127" t="s">
        <v>20599</v>
      </c>
      <c r="B73" s="128">
        <v>71.0</v>
      </c>
      <c r="C73" s="129" t="s">
        <v>21003</v>
      </c>
      <c r="D73" s="130" t="s">
        <v>20792</v>
      </c>
      <c r="E73" s="131"/>
      <c r="F73" s="132"/>
      <c r="G73" s="132"/>
      <c r="H73" s="129" t="s">
        <v>21004</v>
      </c>
      <c r="I73" s="129" t="s">
        <v>21005</v>
      </c>
      <c r="J73" s="129" t="s">
        <v>20676</v>
      </c>
      <c r="L73" s="4"/>
      <c r="M73" s="5"/>
    </row>
    <row r="74">
      <c r="A74" s="127" t="s">
        <v>20599</v>
      </c>
      <c r="B74" s="128">
        <v>72.0</v>
      </c>
      <c r="C74" s="129" t="s">
        <v>21006</v>
      </c>
      <c r="D74" s="130"/>
      <c r="E74" s="131"/>
      <c r="F74" s="132"/>
      <c r="G74" s="132"/>
      <c r="H74" s="129" t="s">
        <v>21007</v>
      </c>
      <c r="I74" s="129" t="s">
        <v>21008</v>
      </c>
      <c r="J74" s="133"/>
      <c r="L74" s="4"/>
      <c r="M74" s="5"/>
    </row>
    <row r="75">
      <c r="A75" s="127" t="s">
        <v>20599</v>
      </c>
      <c r="B75" s="128">
        <v>73.0</v>
      </c>
      <c r="C75" s="129" t="s">
        <v>21009</v>
      </c>
      <c r="D75" s="130"/>
      <c r="E75" s="131"/>
      <c r="F75" s="132"/>
      <c r="G75" s="132"/>
      <c r="H75" s="129"/>
      <c r="I75" s="129" t="s">
        <v>21010</v>
      </c>
      <c r="J75" s="129"/>
      <c r="L75" s="4"/>
      <c r="M75" s="5"/>
    </row>
    <row r="76">
      <c r="A76" s="127" t="s">
        <v>20599</v>
      </c>
      <c r="B76" s="128">
        <v>74.0</v>
      </c>
      <c r="C76" s="129" t="s">
        <v>21011</v>
      </c>
      <c r="D76" s="130" t="s">
        <v>20715</v>
      </c>
      <c r="E76" s="131"/>
      <c r="F76" s="136"/>
      <c r="G76" s="132"/>
      <c r="H76" s="129"/>
      <c r="I76" s="129" t="s">
        <v>21012</v>
      </c>
      <c r="J76" s="129" t="s">
        <v>21013</v>
      </c>
      <c r="L76" s="4"/>
      <c r="M76" s="5"/>
    </row>
    <row r="77">
      <c r="A77" s="127" t="s">
        <v>20599</v>
      </c>
      <c r="B77" s="128">
        <v>75.0</v>
      </c>
      <c r="C77" s="129" t="s">
        <v>21014</v>
      </c>
      <c r="D77" s="130" t="s">
        <v>20715</v>
      </c>
      <c r="E77" s="131"/>
      <c r="F77" s="136">
        <v>1.0</v>
      </c>
      <c r="G77" s="132"/>
      <c r="H77" s="129" t="s">
        <v>21015</v>
      </c>
      <c r="I77" s="129" t="s">
        <v>21016</v>
      </c>
      <c r="J77" s="129"/>
      <c r="L77" s="4"/>
    </row>
    <row r="78">
      <c r="A78" s="127" t="s">
        <v>20599</v>
      </c>
      <c r="B78" s="128">
        <v>76.0</v>
      </c>
      <c r="C78" s="129" t="s">
        <v>21017</v>
      </c>
      <c r="D78" s="130" t="s">
        <v>20715</v>
      </c>
      <c r="E78" s="135"/>
      <c r="F78" s="132"/>
      <c r="G78" s="136"/>
      <c r="H78" s="129" t="s">
        <v>21018</v>
      </c>
      <c r="I78" s="129" t="s">
        <v>21019</v>
      </c>
      <c r="J78" s="133"/>
      <c r="L78" s="4"/>
      <c r="M78" s="5"/>
      <c r="N78" s="5"/>
    </row>
    <row r="79">
      <c r="A79" s="127" t="s">
        <v>20599</v>
      </c>
      <c r="B79" s="128">
        <v>77.0</v>
      </c>
      <c r="C79" s="129" t="s">
        <v>21020</v>
      </c>
      <c r="D79" s="130" t="s">
        <v>20733</v>
      </c>
      <c r="E79" s="135">
        <v>50.0</v>
      </c>
      <c r="F79" s="132"/>
      <c r="G79" s="136">
        <v>1.0</v>
      </c>
      <c r="H79" s="129" t="s">
        <v>20942</v>
      </c>
      <c r="I79" s="129" t="s">
        <v>21021</v>
      </c>
      <c r="J79" s="133"/>
      <c r="L79" s="4"/>
      <c r="M79" s="5"/>
      <c r="N79" s="5"/>
    </row>
    <row r="80">
      <c r="A80" s="127" t="s">
        <v>20599</v>
      </c>
      <c r="B80" s="128">
        <v>78.0</v>
      </c>
      <c r="C80" s="129" t="s">
        <v>21022</v>
      </c>
      <c r="D80" s="130" t="s">
        <v>20792</v>
      </c>
      <c r="E80" s="135">
        <v>500.0</v>
      </c>
      <c r="F80" s="132"/>
      <c r="G80" s="136">
        <v>2.0</v>
      </c>
      <c r="H80" s="129" t="s">
        <v>21023</v>
      </c>
      <c r="I80" s="129" t="s">
        <v>21024</v>
      </c>
      <c r="J80" s="133"/>
      <c r="L80" s="4"/>
      <c r="M80" s="5"/>
      <c r="N80" s="5"/>
    </row>
    <row r="81">
      <c r="A81" s="127" t="s">
        <v>20599</v>
      </c>
      <c r="B81" s="128">
        <v>79.0</v>
      </c>
      <c r="C81" s="129" t="s">
        <v>21025</v>
      </c>
      <c r="D81" s="130" t="s">
        <v>20733</v>
      </c>
      <c r="E81" s="135">
        <v>250.0</v>
      </c>
      <c r="F81" s="136"/>
      <c r="G81" s="136">
        <v>2.0</v>
      </c>
      <c r="H81" s="129" t="s">
        <v>21026</v>
      </c>
      <c r="I81" s="129" t="s">
        <v>21027</v>
      </c>
      <c r="J81" s="133"/>
      <c r="L81" s="4"/>
      <c r="M81" s="5"/>
    </row>
    <row r="82">
      <c r="A82" s="127" t="s">
        <v>20599</v>
      </c>
      <c r="B82" s="128">
        <v>80.0</v>
      </c>
      <c r="C82" s="129" t="s">
        <v>21028</v>
      </c>
      <c r="D82" s="130" t="s">
        <v>20715</v>
      </c>
      <c r="E82" s="135"/>
      <c r="F82" s="136"/>
      <c r="G82" s="132"/>
      <c r="H82" s="129" t="s">
        <v>20992</v>
      </c>
      <c r="I82" s="129" t="s">
        <v>21029</v>
      </c>
      <c r="J82" s="133"/>
      <c r="L82" s="4"/>
      <c r="M82" s="5"/>
    </row>
    <row r="83">
      <c r="A83" s="127" t="s">
        <v>20599</v>
      </c>
      <c r="B83" s="128">
        <v>81.0</v>
      </c>
      <c r="C83" s="129" t="s">
        <v>21030</v>
      </c>
      <c r="D83" s="130" t="s">
        <v>20792</v>
      </c>
      <c r="E83" s="135">
        <v>2000.0</v>
      </c>
      <c r="F83" s="136">
        <v>4.0</v>
      </c>
      <c r="G83" s="132"/>
      <c r="H83" s="129" t="s">
        <v>21031</v>
      </c>
      <c r="I83" s="129" t="s">
        <v>21032</v>
      </c>
      <c r="J83" s="133"/>
      <c r="L83" s="4"/>
    </row>
    <row r="84">
      <c r="A84" s="127" t="s">
        <v>20599</v>
      </c>
      <c r="B84" s="128">
        <v>82.0</v>
      </c>
      <c r="C84" s="129" t="s">
        <v>21033</v>
      </c>
      <c r="D84" s="130" t="s">
        <v>20733</v>
      </c>
      <c r="E84" s="131"/>
      <c r="F84" s="132"/>
      <c r="G84" s="132"/>
      <c r="H84" s="129"/>
      <c r="I84" s="129" t="s">
        <v>21034</v>
      </c>
      <c r="J84" s="129"/>
      <c r="L84" s="4"/>
    </row>
    <row r="85">
      <c r="A85" s="127" t="s">
        <v>20599</v>
      </c>
      <c r="B85" s="128">
        <v>83.0</v>
      </c>
      <c r="C85" s="129" t="s">
        <v>21035</v>
      </c>
      <c r="D85" s="130"/>
      <c r="E85" s="131"/>
      <c r="F85" s="136"/>
      <c r="G85" s="132"/>
      <c r="H85" s="129" t="s">
        <v>21036</v>
      </c>
      <c r="I85" s="129" t="s">
        <v>21037</v>
      </c>
      <c r="J85" s="129" t="s">
        <v>21038</v>
      </c>
      <c r="L85" s="4"/>
    </row>
    <row r="86">
      <c r="A86" s="127" t="s">
        <v>20599</v>
      </c>
      <c r="B86" s="128">
        <v>84.0</v>
      </c>
      <c r="C86" s="129" t="s">
        <v>21039</v>
      </c>
      <c r="D86" s="130" t="s">
        <v>20715</v>
      </c>
      <c r="E86" s="131"/>
      <c r="F86" s="136">
        <v>0.5</v>
      </c>
      <c r="G86" s="132"/>
      <c r="H86" s="129" t="s">
        <v>21040</v>
      </c>
      <c r="I86" s="129" t="s">
        <v>21041</v>
      </c>
      <c r="J86" s="133"/>
      <c r="L86" s="4"/>
    </row>
    <row r="87">
      <c r="A87" s="127" t="s">
        <v>20599</v>
      </c>
      <c r="B87" s="128">
        <v>85.0</v>
      </c>
      <c r="C87" s="129" t="s">
        <v>21042</v>
      </c>
      <c r="D87" s="130" t="s">
        <v>20792</v>
      </c>
      <c r="E87" s="131"/>
      <c r="F87" s="132"/>
      <c r="G87" s="132"/>
      <c r="H87" s="129"/>
      <c r="I87" s="129" t="s">
        <v>21043</v>
      </c>
      <c r="J87" s="129"/>
      <c r="L87" s="4"/>
    </row>
    <row r="88">
      <c r="A88" s="127" t="s">
        <v>20599</v>
      </c>
      <c r="B88" s="128">
        <v>86.0</v>
      </c>
      <c r="C88" s="129" t="s">
        <v>21044</v>
      </c>
      <c r="D88" s="130" t="s">
        <v>20792</v>
      </c>
      <c r="E88" s="135"/>
      <c r="F88" s="136"/>
      <c r="G88" s="132"/>
      <c r="H88" s="129" t="s">
        <v>20992</v>
      </c>
      <c r="I88" s="129" t="s">
        <v>21045</v>
      </c>
      <c r="J88" s="129"/>
      <c r="L88" s="4"/>
      <c r="M88" s="5"/>
    </row>
    <row r="89">
      <c r="A89" s="127" t="s">
        <v>20599</v>
      </c>
      <c r="B89" s="128">
        <v>87.0</v>
      </c>
      <c r="C89" s="129" t="s">
        <v>21046</v>
      </c>
      <c r="D89" s="130" t="s">
        <v>20792</v>
      </c>
      <c r="E89" s="135">
        <v>500.0</v>
      </c>
      <c r="F89" s="136">
        <v>2.0</v>
      </c>
      <c r="G89" s="132"/>
      <c r="H89" s="129" t="s">
        <v>21047</v>
      </c>
      <c r="I89" s="129" t="s">
        <v>21048</v>
      </c>
      <c r="J89" s="133"/>
      <c r="L89" s="4"/>
      <c r="M89" s="5"/>
    </row>
    <row r="90">
      <c r="A90" s="127" t="s">
        <v>20599</v>
      </c>
      <c r="B90" s="128">
        <v>88.0</v>
      </c>
      <c r="C90" s="129" t="s">
        <v>21049</v>
      </c>
      <c r="D90" s="130" t="s">
        <v>20715</v>
      </c>
      <c r="E90" s="135">
        <v>500.0</v>
      </c>
      <c r="F90" s="136">
        <v>3.0</v>
      </c>
      <c r="G90" s="132"/>
      <c r="H90" s="129" t="s">
        <v>21050</v>
      </c>
      <c r="I90" s="129" t="s">
        <v>21051</v>
      </c>
      <c r="J90" s="133"/>
      <c r="L90" s="4"/>
    </row>
    <row r="91">
      <c r="A91" s="127" t="s">
        <v>20599</v>
      </c>
      <c r="B91" s="128">
        <v>89.0</v>
      </c>
      <c r="C91" s="129" t="s">
        <v>21052</v>
      </c>
      <c r="D91" s="130"/>
      <c r="E91" s="131"/>
      <c r="F91" s="132"/>
      <c r="G91" s="132"/>
      <c r="H91" s="129"/>
      <c r="I91" s="129" t="s">
        <v>21053</v>
      </c>
      <c r="J91" s="133"/>
      <c r="L91" s="4"/>
    </row>
    <row r="92">
      <c r="A92" s="127" t="s">
        <v>20599</v>
      </c>
      <c r="B92" s="128">
        <v>90.0</v>
      </c>
      <c r="C92" s="129" t="s">
        <v>21054</v>
      </c>
      <c r="D92" s="130" t="s">
        <v>20715</v>
      </c>
      <c r="E92" s="131"/>
      <c r="F92" s="132"/>
      <c r="G92" s="132"/>
      <c r="H92" s="129" t="s">
        <v>21055</v>
      </c>
      <c r="I92" s="129" t="s">
        <v>21056</v>
      </c>
      <c r="J92" s="133"/>
      <c r="L92" s="4"/>
    </row>
    <row r="93">
      <c r="A93" s="127" t="s">
        <v>20599</v>
      </c>
      <c r="B93" s="128">
        <v>91.0</v>
      </c>
      <c r="C93" s="129" t="s">
        <v>21057</v>
      </c>
      <c r="D93" s="130"/>
      <c r="E93" s="131"/>
      <c r="F93" s="132"/>
      <c r="G93" s="132"/>
      <c r="H93" s="133"/>
      <c r="I93" s="129" t="s">
        <v>21058</v>
      </c>
      <c r="J93" s="133"/>
      <c r="L93" s="4"/>
    </row>
    <row r="94">
      <c r="A94" s="127" t="s">
        <v>20599</v>
      </c>
      <c r="B94" s="128">
        <v>92.0</v>
      </c>
      <c r="C94" s="129" t="s">
        <v>21059</v>
      </c>
      <c r="D94" s="130"/>
      <c r="E94" s="131"/>
      <c r="F94" s="132"/>
      <c r="G94" s="132"/>
      <c r="H94" s="129"/>
      <c r="I94" s="129" t="s">
        <v>21060</v>
      </c>
      <c r="J94" s="129"/>
      <c r="L94" s="4"/>
    </row>
    <row r="95">
      <c r="A95" s="127" t="s">
        <v>20599</v>
      </c>
      <c r="B95" s="128">
        <v>93.0</v>
      </c>
      <c r="C95" s="129" t="s">
        <v>21061</v>
      </c>
      <c r="D95" s="130" t="s">
        <v>20792</v>
      </c>
      <c r="E95" s="131"/>
      <c r="F95" s="132"/>
      <c r="G95" s="132"/>
      <c r="H95" s="129" t="s">
        <v>21062</v>
      </c>
      <c r="I95" s="129" t="s">
        <v>21063</v>
      </c>
      <c r="J95" s="129"/>
      <c r="L95" s="4"/>
    </row>
    <row r="96">
      <c r="A96" s="127" t="s">
        <v>20599</v>
      </c>
      <c r="B96" s="128">
        <v>94.0</v>
      </c>
      <c r="C96" s="129" t="s">
        <v>21064</v>
      </c>
      <c r="D96" s="130" t="s">
        <v>20792</v>
      </c>
      <c r="E96" s="131"/>
      <c r="F96" s="132"/>
      <c r="G96" s="132"/>
      <c r="H96" s="129" t="s">
        <v>20992</v>
      </c>
      <c r="I96" s="129" t="s">
        <v>21065</v>
      </c>
      <c r="J96" s="129"/>
      <c r="L96" s="4"/>
    </row>
    <row r="97">
      <c r="A97" s="127" t="s">
        <v>20599</v>
      </c>
      <c r="B97" s="128">
        <v>95.0</v>
      </c>
      <c r="C97" s="129" t="s">
        <v>21066</v>
      </c>
      <c r="D97" s="130" t="s">
        <v>20792</v>
      </c>
      <c r="E97" s="135"/>
      <c r="F97" s="136"/>
      <c r="G97" s="132"/>
      <c r="H97" s="129" t="s">
        <v>20992</v>
      </c>
      <c r="I97" s="129" t="s">
        <v>21067</v>
      </c>
      <c r="J97" s="129"/>
      <c r="L97" s="4"/>
      <c r="M97" s="5"/>
    </row>
    <row r="98">
      <c r="A98" s="127" t="s">
        <v>20599</v>
      </c>
      <c r="B98" s="128">
        <v>97.0</v>
      </c>
      <c r="C98" s="129" t="s">
        <v>21068</v>
      </c>
      <c r="D98" s="130"/>
      <c r="E98" s="135"/>
      <c r="F98" s="136"/>
      <c r="G98" s="132"/>
      <c r="H98" s="129"/>
      <c r="I98" s="129" t="s">
        <v>21069</v>
      </c>
      <c r="J98" s="129"/>
      <c r="L98" s="4"/>
    </row>
    <row r="99">
      <c r="A99" s="127" t="s">
        <v>20599</v>
      </c>
      <c r="B99" s="128">
        <v>98.0</v>
      </c>
      <c r="C99" s="129" t="s">
        <v>21070</v>
      </c>
      <c r="D99" s="130"/>
      <c r="E99" s="131"/>
      <c r="F99" s="132"/>
      <c r="G99" s="132"/>
      <c r="H99" s="133"/>
      <c r="I99" s="129" t="s">
        <v>21071</v>
      </c>
      <c r="J99" s="133"/>
      <c r="L99" s="4"/>
    </row>
    <row r="100">
      <c r="A100" s="127" t="s">
        <v>20599</v>
      </c>
      <c r="B100" s="128">
        <v>99.0</v>
      </c>
      <c r="C100" s="129" t="s">
        <v>21072</v>
      </c>
      <c r="D100" s="130"/>
      <c r="E100" s="131"/>
      <c r="F100" s="132"/>
      <c r="G100" s="132"/>
      <c r="H100" s="133"/>
      <c r="I100" s="129" t="s">
        <v>21073</v>
      </c>
      <c r="J100" s="133"/>
      <c r="L100" s="4"/>
    </row>
    <row r="101">
      <c r="A101" s="127" t="s">
        <v>20599</v>
      </c>
      <c r="B101" s="128">
        <v>100.0</v>
      </c>
      <c r="C101" s="129" t="s">
        <v>21074</v>
      </c>
      <c r="D101" s="130"/>
      <c r="E101" s="131"/>
      <c r="F101" s="132"/>
      <c r="G101" s="132"/>
      <c r="H101" s="133"/>
      <c r="I101" s="129" t="s">
        <v>21075</v>
      </c>
      <c r="J101" s="133"/>
      <c r="L101" s="4"/>
    </row>
    <row r="102">
      <c r="A102" s="127" t="s">
        <v>20599</v>
      </c>
      <c r="B102" s="128">
        <v>101.0</v>
      </c>
      <c r="C102" s="129" t="s">
        <v>21076</v>
      </c>
      <c r="D102" s="130"/>
      <c r="E102" s="135">
        <v>50.0</v>
      </c>
      <c r="F102" s="132"/>
      <c r="G102" s="132"/>
      <c r="H102" s="129" t="s">
        <v>21077</v>
      </c>
      <c r="I102" s="129" t="s">
        <v>21078</v>
      </c>
      <c r="J102" s="129"/>
      <c r="L102" s="4"/>
      <c r="M102" s="5"/>
    </row>
    <row r="103">
      <c r="A103" s="127" t="s">
        <v>20599</v>
      </c>
      <c r="B103" s="128">
        <v>102.0</v>
      </c>
      <c r="C103" s="129" t="s">
        <v>21079</v>
      </c>
      <c r="D103" s="130"/>
      <c r="E103" s="135"/>
      <c r="F103" s="132"/>
      <c r="G103" s="132"/>
      <c r="H103" s="129"/>
      <c r="I103" s="129" t="s">
        <v>21080</v>
      </c>
      <c r="J103" s="133"/>
      <c r="L103" s="4"/>
    </row>
    <row r="104">
      <c r="A104" s="127" t="s">
        <v>20599</v>
      </c>
      <c r="B104" s="128">
        <v>103.0</v>
      </c>
      <c r="C104" s="129" t="s">
        <v>21081</v>
      </c>
      <c r="D104" s="130" t="s">
        <v>20715</v>
      </c>
      <c r="E104" s="131"/>
      <c r="F104" s="132"/>
      <c r="G104" s="132"/>
      <c r="H104" s="129" t="s">
        <v>21082</v>
      </c>
      <c r="I104" s="129" t="s">
        <v>21083</v>
      </c>
      <c r="J104" s="129" t="s">
        <v>21038</v>
      </c>
      <c r="L104" s="4"/>
    </row>
    <row r="105">
      <c r="A105" s="127" t="s">
        <v>20599</v>
      </c>
      <c r="B105" s="128">
        <v>104.0</v>
      </c>
      <c r="C105" s="129" t="s">
        <v>21084</v>
      </c>
      <c r="D105" s="130" t="s">
        <v>20733</v>
      </c>
      <c r="E105" s="135">
        <v>65.0</v>
      </c>
      <c r="F105" s="132"/>
      <c r="G105" s="132"/>
      <c r="H105" s="129" t="s">
        <v>21085</v>
      </c>
      <c r="I105" s="129" t="s">
        <v>21086</v>
      </c>
      <c r="J105" s="129"/>
      <c r="L105" s="4"/>
      <c r="M105" s="5"/>
    </row>
    <row r="106">
      <c r="A106" s="127" t="s">
        <v>20599</v>
      </c>
      <c r="B106" s="128">
        <v>105.0</v>
      </c>
      <c r="C106" s="129" t="s">
        <v>21087</v>
      </c>
      <c r="D106" s="130" t="s">
        <v>20733</v>
      </c>
      <c r="E106" s="135"/>
      <c r="F106" s="132"/>
      <c r="G106" s="132"/>
      <c r="H106" s="129" t="s">
        <v>21088</v>
      </c>
      <c r="I106" s="129" t="s">
        <v>21089</v>
      </c>
      <c r="J106" s="129" t="s">
        <v>20848</v>
      </c>
      <c r="L106" s="4"/>
    </row>
    <row r="107">
      <c r="A107" s="127" t="s">
        <v>20599</v>
      </c>
      <c r="B107" s="128">
        <v>106.0</v>
      </c>
      <c r="C107" s="129" t="s">
        <v>21090</v>
      </c>
      <c r="D107" s="130" t="s">
        <v>20715</v>
      </c>
      <c r="E107" s="135">
        <v>100.0</v>
      </c>
      <c r="F107" s="132"/>
      <c r="G107" s="136">
        <v>0.3333333333333333</v>
      </c>
      <c r="H107" s="129" t="s">
        <v>21091</v>
      </c>
      <c r="I107" s="129" t="s">
        <v>21092</v>
      </c>
      <c r="J107" s="129" t="s">
        <v>21038</v>
      </c>
      <c r="L107" s="4"/>
      <c r="M107" s="5"/>
      <c r="N107" s="5"/>
    </row>
    <row r="108">
      <c r="A108" s="127" t="s">
        <v>20599</v>
      </c>
      <c r="B108" s="128">
        <v>107.0</v>
      </c>
      <c r="C108" s="129" t="s">
        <v>21093</v>
      </c>
      <c r="D108" s="130"/>
      <c r="E108" s="135"/>
      <c r="F108" s="132"/>
      <c r="G108" s="136"/>
      <c r="H108" s="129"/>
      <c r="I108" s="129" t="s">
        <v>21094</v>
      </c>
      <c r="J108" s="129"/>
      <c r="L108" s="4"/>
    </row>
    <row r="109">
      <c r="A109" s="127" t="s">
        <v>20599</v>
      </c>
      <c r="B109" s="128">
        <v>108.0</v>
      </c>
      <c r="C109" s="129" t="s">
        <v>21095</v>
      </c>
      <c r="D109" s="130" t="s">
        <v>20733</v>
      </c>
      <c r="E109" s="135">
        <v>100.0</v>
      </c>
      <c r="F109" s="132"/>
      <c r="G109" s="132"/>
      <c r="H109" s="129" t="s">
        <v>21096</v>
      </c>
      <c r="I109" s="129" t="s">
        <v>21097</v>
      </c>
      <c r="J109" s="133"/>
      <c r="L109" s="4"/>
      <c r="M109" s="5"/>
    </row>
    <row r="110">
      <c r="A110" s="127" t="s">
        <v>20599</v>
      </c>
      <c r="B110" s="128">
        <v>109.0</v>
      </c>
      <c r="C110" s="129" t="s">
        <v>21098</v>
      </c>
      <c r="D110" s="130" t="s">
        <v>20733</v>
      </c>
      <c r="E110" s="135">
        <v>150.0</v>
      </c>
      <c r="F110" s="132"/>
      <c r="G110" s="132"/>
      <c r="H110" s="129" t="s">
        <v>21099</v>
      </c>
      <c r="I110" s="129" t="s">
        <v>21100</v>
      </c>
      <c r="J110" s="133"/>
      <c r="L110" s="4"/>
      <c r="M110" s="5"/>
    </row>
    <row r="111">
      <c r="A111" s="127" t="s">
        <v>20599</v>
      </c>
      <c r="B111" s="128">
        <v>110.0</v>
      </c>
      <c r="C111" s="129" t="s">
        <v>21101</v>
      </c>
      <c r="D111" s="130" t="s">
        <v>20733</v>
      </c>
      <c r="E111" s="135">
        <v>200.0</v>
      </c>
      <c r="F111" s="132"/>
      <c r="G111" s="132"/>
      <c r="H111" s="129" t="s">
        <v>20901</v>
      </c>
      <c r="I111" s="129" t="s">
        <v>21102</v>
      </c>
      <c r="J111" s="133"/>
      <c r="L111" s="4"/>
      <c r="M111" s="5"/>
    </row>
    <row r="112">
      <c r="A112" s="127" t="s">
        <v>20599</v>
      </c>
      <c r="B112" s="128">
        <v>111.0</v>
      </c>
      <c r="C112" s="129" t="s">
        <v>21103</v>
      </c>
      <c r="D112" s="130" t="s">
        <v>20715</v>
      </c>
      <c r="E112" s="135"/>
      <c r="F112" s="132"/>
      <c r="G112" s="132"/>
      <c r="H112" s="129" t="s">
        <v>21104</v>
      </c>
      <c r="I112" s="129" t="s">
        <v>21105</v>
      </c>
      <c r="J112" s="129" t="s">
        <v>21106</v>
      </c>
      <c r="L112" s="4"/>
    </row>
    <row r="113">
      <c r="A113" s="127" t="s">
        <v>20599</v>
      </c>
      <c r="B113" s="128">
        <v>112.0</v>
      </c>
      <c r="C113" s="129" t="s">
        <v>21107</v>
      </c>
      <c r="D113" s="130"/>
      <c r="E113" s="131"/>
      <c r="F113" s="132"/>
      <c r="G113" s="132"/>
      <c r="H113" s="129" t="s">
        <v>21108</v>
      </c>
      <c r="I113" s="129" t="s">
        <v>21109</v>
      </c>
      <c r="J113" s="129"/>
      <c r="L113" s="4"/>
    </row>
    <row r="114">
      <c r="A114" s="127" t="s">
        <v>20599</v>
      </c>
      <c r="B114" s="128">
        <v>113.0</v>
      </c>
      <c r="C114" s="129" t="s">
        <v>21110</v>
      </c>
      <c r="D114" s="130"/>
      <c r="E114" s="131"/>
      <c r="F114" s="132"/>
      <c r="G114" s="132"/>
      <c r="H114" s="129"/>
      <c r="I114" s="129" t="s">
        <v>21111</v>
      </c>
      <c r="J114" s="133"/>
      <c r="L114" s="4"/>
    </row>
    <row r="115">
      <c r="A115" s="127" t="s">
        <v>20599</v>
      </c>
      <c r="B115" s="128">
        <v>114.0</v>
      </c>
      <c r="C115" s="129" t="s">
        <v>21112</v>
      </c>
      <c r="D115" s="130" t="s">
        <v>20733</v>
      </c>
      <c r="E115" s="135">
        <v>15.0</v>
      </c>
      <c r="F115" s="132"/>
      <c r="G115" s="132"/>
      <c r="H115" s="129" t="s">
        <v>21113</v>
      </c>
      <c r="I115" s="129" t="s">
        <v>21114</v>
      </c>
      <c r="J115" s="133"/>
      <c r="L115" s="4"/>
      <c r="M115" s="5"/>
    </row>
    <row r="116">
      <c r="A116" s="127" t="s">
        <v>20599</v>
      </c>
      <c r="B116" s="128">
        <v>115.0</v>
      </c>
      <c r="C116" s="129" t="s">
        <v>21115</v>
      </c>
      <c r="D116" s="130" t="s">
        <v>20733</v>
      </c>
      <c r="E116" s="135">
        <v>15.0</v>
      </c>
      <c r="F116" s="132"/>
      <c r="G116" s="132"/>
      <c r="H116" s="129" t="s">
        <v>21116</v>
      </c>
      <c r="I116" s="129" t="s">
        <v>21117</v>
      </c>
      <c r="J116" s="133"/>
      <c r="L116" s="4"/>
      <c r="M116" s="5"/>
    </row>
    <row r="117">
      <c r="A117" s="127" t="s">
        <v>20599</v>
      </c>
      <c r="B117" s="128">
        <v>116.0</v>
      </c>
      <c r="C117" s="129" t="s">
        <v>21118</v>
      </c>
      <c r="D117" s="130" t="s">
        <v>20733</v>
      </c>
      <c r="E117" s="135">
        <v>55.0</v>
      </c>
      <c r="F117" s="132"/>
      <c r="G117" s="132"/>
      <c r="H117" s="129" t="s">
        <v>21119</v>
      </c>
      <c r="I117" s="129" t="s">
        <v>21120</v>
      </c>
      <c r="J117" s="133"/>
      <c r="L117" s="4"/>
      <c r="M117" s="5"/>
    </row>
    <row r="118">
      <c r="A118" s="127" t="s">
        <v>20599</v>
      </c>
      <c r="B118" s="128">
        <v>117.0</v>
      </c>
      <c r="C118" s="129" t="s">
        <v>21121</v>
      </c>
      <c r="D118" s="130" t="s">
        <v>20733</v>
      </c>
      <c r="E118" s="135">
        <v>40.0</v>
      </c>
      <c r="F118" s="132"/>
      <c r="G118" s="132"/>
      <c r="H118" s="129" t="s">
        <v>21122</v>
      </c>
      <c r="I118" s="129" t="s">
        <v>21123</v>
      </c>
      <c r="J118" s="133"/>
      <c r="L118" s="4"/>
      <c r="M118" s="5"/>
    </row>
    <row r="119">
      <c r="A119" s="127" t="s">
        <v>20599</v>
      </c>
      <c r="B119" s="128">
        <v>118.0</v>
      </c>
      <c r="C119" s="129" t="s">
        <v>21124</v>
      </c>
      <c r="D119" s="130"/>
      <c r="E119" s="135"/>
      <c r="F119" s="132"/>
      <c r="G119" s="132"/>
      <c r="H119" s="129"/>
      <c r="I119" s="129" t="s">
        <v>21125</v>
      </c>
      <c r="J119" s="133"/>
      <c r="L119" s="4"/>
    </row>
    <row r="120">
      <c r="A120" s="127" t="s">
        <v>20599</v>
      </c>
      <c r="B120" s="128">
        <v>119.0</v>
      </c>
      <c r="C120" s="129" t="s">
        <v>21126</v>
      </c>
      <c r="D120" s="130"/>
      <c r="E120" s="131"/>
      <c r="F120" s="132"/>
      <c r="G120" s="132"/>
      <c r="H120" s="133"/>
      <c r="I120" s="129" t="s">
        <v>21127</v>
      </c>
      <c r="J120" s="133"/>
      <c r="L120" s="4"/>
    </row>
    <row r="121">
      <c r="A121" s="127" t="s">
        <v>20599</v>
      </c>
      <c r="B121" s="128">
        <v>120.0</v>
      </c>
      <c r="C121" s="129" t="s">
        <v>21128</v>
      </c>
      <c r="D121" s="130"/>
      <c r="E121" s="131"/>
      <c r="F121" s="132"/>
      <c r="G121" s="132"/>
      <c r="H121" s="133"/>
      <c r="I121" s="129" t="s">
        <v>21129</v>
      </c>
      <c r="J121" s="133"/>
      <c r="L121" s="4"/>
    </row>
    <row r="122">
      <c r="A122" s="127" t="s">
        <v>20599</v>
      </c>
      <c r="B122" s="128">
        <v>121.0</v>
      </c>
      <c r="C122" s="129" t="s">
        <v>21130</v>
      </c>
      <c r="D122" s="130"/>
      <c r="E122" s="131"/>
      <c r="F122" s="132"/>
      <c r="G122" s="132"/>
      <c r="H122" s="133"/>
      <c r="I122" s="129" t="s">
        <v>21131</v>
      </c>
      <c r="J122" s="133"/>
      <c r="L122" s="4"/>
    </row>
    <row r="123">
      <c r="A123" s="127" t="s">
        <v>20614</v>
      </c>
      <c r="B123" s="128" t="s">
        <v>20600</v>
      </c>
      <c r="C123" s="129" t="s">
        <v>20600</v>
      </c>
      <c r="D123" s="130"/>
      <c r="E123" s="131"/>
      <c r="F123" s="132"/>
      <c r="G123" s="132"/>
      <c r="H123" s="133"/>
      <c r="I123" s="129" t="s">
        <v>21132</v>
      </c>
      <c r="J123" s="133"/>
    </row>
    <row r="124">
      <c r="A124" s="127" t="s">
        <v>20614</v>
      </c>
      <c r="B124" s="128">
        <v>1.0</v>
      </c>
      <c r="C124" s="129" t="s">
        <v>21133</v>
      </c>
      <c r="D124" s="130" t="s">
        <v>20715</v>
      </c>
      <c r="E124" s="131"/>
      <c r="F124" s="132"/>
      <c r="G124" s="132"/>
      <c r="H124" s="129" t="s">
        <v>21134</v>
      </c>
      <c r="I124" s="129" t="s">
        <v>21135</v>
      </c>
      <c r="J124" s="133"/>
    </row>
    <row r="125">
      <c r="A125" s="127" t="s">
        <v>20614</v>
      </c>
      <c r="B125" s="128">
        <v>2.0</v>
      </c>
      <c r="C125" s="129" t="s">
        <v>21136</v>
      </c>
      <c r="D125" s="130" t="s">
        <v>20715</v>
      </c>
      <c r="E125" s="131"/>
      <c r="F125" s="132"/>
      <c r="G125" s="132"/>
      <c r="H125" s="129" t="s">
        <v>21137</v>
      </c>
      <c r="I125" s="129" t="s">
        <v>21138</v>
      </c>
      <c r="J125" s="133"/>
    </row>
    <row r="126">
      <c r="A126" s="127" t="s">
        <v>20614</v>
      </c>
      <c r="B126" s="128">
        <v>3.0</v>
      </c>
      <c r="C126" s="129" t="s">
        <v>21139</v>
      </c>
      <c r="D126" s="130"/>
      <c r="E126" s="131"/>
      <c r="F126" s="132"/>
      <c r="G126" s="132"/>
      <c r="H126" s="133"/>
      <c r="I126" s="129" t="s">
        <v>21140</v>
      </c>
      <c r="J126" s="133"/>
    </row>
    <row r="127">
      <c r="A127" s="127" t="s">
        <v>20614</v>
      </c>
      <c r="B127" s="128">
        <v>4.0</v>
      </c>
      <c r="C127" s="129" t="s">
        <v>21141</v>
      </c>
      <c r="D127" s="130" t="s">
        <v>20715</v>
      </c>
      <c r="E127" s="131"/>
      <c r="F127" s="132"/>
      <c r="G127" s="132"/>
      <c r="H127" s="129" t="s">
        <v>21142</v>
      </c>
      <c r="I127" s="129" t="s">
        <v>21143</v>
      </c>
      <c r="J127" s="133"/>
    </row>
    <row r="128">
      <c r="A128" s="127" t="s">
        <v>20614</v>
      </c>
      <c r="B128" s="128">
        <v>5.0</v>
      </c>
      <c r="C128" s="129" t="s">
        <v>21144</v>
      </c>
      <c r="D128" s="130"/>
      <c r="E128" s="131"/>
      <c r="F128" s="132"/>
      <c r="G128" s="132"/>
      <c r="H128" s="133"/>
      <c r="I128" s="129" t="s">
        <v>21145</v>
      </c>
      <c r="J128" s="133"/>
    </row>
    <row r="129">
      <c r="A129" s="127" t="s">
        <v>20614</v>
      </c>
      <c r="B129" s="128">
        <v>6.0</v>
      </c>
      <c r="C129" s="129" t="s">
        <v>21146</v>
      </c>
      <c r="D129" s="130" t="s">
        <v>20792</v>
      </c>
      <c r="E129" s="131"/>
      <c r="F129" s="132"/>
      <c r="G129" s="132"/>
      <c r="H129" s="129" t="s">
        <v>21147</v>
      </c>
      <c r="I129" s="129" t="s">
        <v>21148</v>
      </c>
      <c r="J129" s="133"/>
    </row>
    <row r="130">
      <c r="A130" s="127" t="s">
        <v>20614</v>
      </c>
      <c r="B130" s="128">
        <v>7.0</v>
      </c>
      <c r="C130" s="129" t="s">
        <v>21149</v>
      </c>
      <c r="D130" s="130" t="s">
        <v>20792</v>
      </c>
      <c r="E130" s="131"/>
      <c r="F130" s="132"/>
      <c r="G130" s="132"/>
      <c r="H130" s="129" t="s">
        <v>21150</v>
      </c>
      <c r="I130" s="129" t="s">
        <v>21151</v>
      </c>
      <c r="J130" s="133"/>
    </row>
    <row r="131">
      <c r="A131" s="127" t="s">
        <v>20614</v>
      </c>
      <c r="B131" s="128">
        <v>8.0</v>
      </c>
      <c r="C131" s="129" t="s">
        <v>21152</v>
      </c>
      <c r="D131" s="130" t="s">
        <v>20792</v>
      </c>
      <c r="E131" s="131"/>
      <c r="F131" s="132"/>
      <c r="G131" s="132"/>
      <c r="H131" s="133"/>
      <c r="I131" s="129" t="s">
        <v>21153</v>
      </c>
      <c r="J131" s="133"/>
    </row>
    <row r="132">
      <c r="A132" s="127" t="s">
        <v>20614</v>
      </c>
      <c r="B132" s="128">
        <v>9.0</v>
      </c>
      <c r="C132" s="129" t="s">
        <v>21154</v>
      </c>
      <c r="D132" s="130" t="s">
        <v>20792</v>
      </c>
      <c r="E132" s="131"/>
      <c r="F132" s="132"/>
      <c r="G132" s="132"/>
      <c r="H132" s="129" t="s">
        <v>21155</v>
      </c>
      <c r="I132" s="129" t="s">
        <v>21156</v>
      </c>
      <c r="J132" s="129"/>
    </row>
    <row r="133">
      <c r="A133" s="127" t="s">
        <v>20614</v>
      </c>
      <c r="B133" s="128">
        <v>10.0</v>
      </c>
      <c r="C133" s="129" t="s">
        <v>21157</v>
      </c>
      <c r="D133" s="130" t="s">
        <v>20792</v>
      </c>
      <c r="E133" s="131"/>
      <c r="F133" s="132"/>
      <c r="G133" s="132"/>
      <c r="H133" s="129" t="s">
        <v>21158</v>
      </c>
      <c r="I133" s="129" t="s">
        <v>21159</v>
      </c>
      <c r="J133" s="133"/>
    </row>
    <row r="134">
      <c r="A134" s="127" t="s">
        <v>20614</v>
      </c>
      <c r="B134" s="128">
        <v>11.0</v>
      </c>
      <c r="C134" s="129" t="s">
        <v>21160</v>
      </c>
      <c r="D134" s="130" t="s">
        <v>20792</v>
      </c>
      <c r="E134" s="131"/>
      <c r="F134" s="132"/>
      <c r="G134" s="132"/>
      <c r="H134" s="129" t="s">
        <v>21161</v>
      </c>
      <c r="I134" s="129" t="s">
        <v>21162</v>
      </c>
      <c r="J134" s="133"/>
    </row>
    <row r="135">
      <c r="A135" s="127" t="s">
        <v>20614</v>
      </c>
      <c r="B135" s="128">
        <v>12.0</v>
      </c>
      <c r="C135" s="129" t="s">
        <v>21163</v>
      </c>
      <c r="D135" s="130"/>
      <c r="E135" s="131"/>
      <c r="F135" s="132"/>
      <c r="G135" s="132"/>
      <c r="H135" s="129"/>
      <c r="I135" s="129" t="s">
        <v>21164</v>
      </c>
      <c r="J135" s="129" t="s">
        <v>20676</v>
      </c>
    </row>
    <row r="136">
      <c r="A136" s="127" t="s">
        <v>20614</v>
      </c>
      <c r="B136" s="128">
        <v>13.0</v>
      </c>
      <c r="C136" s="129" t="s">
        <v>21165</v>
      </c>
      <c r="D136" s="130"/>
      <c r="E136" s="131"/>
      <c r="F136" s="132"/>
      <c r="G136" s="132"/>
      <c r="H136" s="133"/>
      <c r="I136" s="129" t="s">
        <v>21166</v>
      </c>
      <c r="J136" s="133"/>
    </row>
    <row r="137">
      <c r="A137" s="127" t="s">
        <v>20614</v>
      </c>
      <c r="B137" s="128">
        <v>14.0</v>
      </c>
      <c r="C137" s="129" t="s">
        <v>21167</v>
      </c>
      <c r="D137" s="130"/>
      <c r="E137" s="131"/>
      <c r="F137" s="132"/>
      <c r="G137" s="132"/>
      <c r="H137" s="129"/>
      <c r="I137" s="129" t="s">
        <v>21168</v>
      </c>
      <c r="J137" s="133"/>
    </row>
    <row r="138">
      <c r="A138" s="127" t="s">
        <v>20614</v>
      </c>
      <c r="B138" s="128">
        <v>15.0</v>
      </c>
      <c r="C138" s="129" t="s">
        <v>21169</v>
      </c>
      <c r="D138" s="130"/>
      <c r="E138" s="131"/>
      <c r="F138" s="132"/>
      <c r="G138" s="132"/>
      <c r="H138" s="133"/>
      <c r="I138" s="129" t="s">
        <v>21170</v>
      </c>
      <c r="J138" s="133"/>
    </row>
    <row r="139">
      <c r="A139" s="127" t="s">
        <v>20614</v>
      </c>
      <c r="B139" s="128">
        <v>16.0</v>
      </c>
      <c r="C139" s="129" t="s">
        <v>21171</v>
      </c>
      <c r="D139" s="130"/>
      <c r="E139" s="131"/>
      <c r="F139" s="132"/>
      <c r="G139" s="132"/>
      <c r="H139" s="133"/>
      <c r="I139" s="129" t="s">
        <v>21172</v>
      </c>
      <c r="J139" s="133"/>
    </row>
    <row r="140">
      <c r="A140" s="127" t="s">
        <v>20614</v>
      </c>
      <c r="B140" s="128">
        <v>17.0</v>
      </c>
      <c r="C140" s="129" t="s">
        <v>21173</v>
      </c>
      <c r="D140" s="130"/>
      <c r="E140" s="131"/>
      <c r="F140" s="132"/>
      <c r="G140" s="132"/>
      <c r="H140" s="133"/>
      <c r="I140" s="129" t="s">
        <v>21174</v>
      </c>
      <c r="J140" s="133"/>
    </row>
    <row r="141">
      <c r="A141" s="127" t="s">
        <v>20625</v>
      </c>
      <c r="B141" s="128" t="s">
        <v>20600</v>
      </c>
      <c r="C141" s="129" t="s">
        <v>20600</v>
      </c>
      <c r="D141" s="130"/>
      <c r="E141" s="131"/>
      <c r="F141" s="132"/>
      <c r="G141" s="132"/>
      <c r="H141" s="133"/>
      <c r="I141" s="129" t="s">
        <v>21175</v>
      </c>
      <c r="J141" s="133"/>
    </row>
    <row r="142">
      <c r="A142" s="127" t="s">
        <v>20625</v>
      </c>
      <c r="B142" s="128">
        <v>1.0</v>
      </c>
      <c r="C142" s="129" t="s">
        <v>21176</v>
      </c>
      <c r="D142" s="130"/>
      <c r="E142" s="131"/>
      <c r="F142" s="132"/>
      <c r="G142" s="132"/>
      <c r="H142" s="133"/>
      <c r="I142" s="129" t="s">
        <v>21177</v>
      </c>
      <c r="J142" s="133"/>
    </row>
    <row r="143">
      <c r="A143" s="127" t="s">
        <v>20625</v>
      </c>
      <c r="B143" s="128">
        <v>2.0</v>
      </c>
      <c r="C143" s="129" t="s">
        <v>21178</v>
      </c>
      <c r="D143" s="130"/>
      <c r="E143" s="131"/>
      <c r="F143" s="132"/>
      <c r="G143" s="132"/>
      <c r="H143" s="133"/>
      <c r="I143" s="129" t="s">
        <v>21179</v>
      </c>
      <c r="J143" s="129"/>
    </row>
    <row r="144">
      <c r="A144" s="127" t="s">
        <v>20625</v>
      </c>
      <c r="B144" s="128">
        <v>3.0</v>
      </c>
      <c r="C144" s="129" t="s">
        <v>21180</v>
      </c>
      <c r="D144" s="130"/>
      <c r="E144" s="131"/>
      <c r="F144" s="132"/>
      <c r="G144" s="132"/>
      <c r="H144" s="133"/>
      <c r="I144" s="129" t="s">
        <v>21181</v>
      </c>
      <c r="J144" s="133"/>
    </row>
    <row r="145">
      <c r="A145" s="127" t="s">
        <v>20625</v>
      </c>
      <c r="B145" s="128">
        <v>4.0</v>
      </c>
      <c r="C145" s="129" t="s">
        <v>21182</v>
      </c>
      <c r="D145" s="130"/>
      <c r="E145" s="131"/>
      <c r="F145" s="132"/>
      <c r="G145" s="132"/>
      <c r="H145" s="133"/>
      <c r="I145" s="129" t="s">
        <v>21183</v>
      </c>
      <c r="J145" s="133"/>
    </row>
    <row r="146">
      <c r="A146" s="127" t="s">
        <v>20625</v>
      </c>
      <c r="B146" s="128">
        <v>5.0</v>
      </c>
      <c r="C146" s="129" t="s">
        <v>21184</v>
      </c>
      <c r="D146" s="130"/>
      <c r="E146" s="131"/>
      <c r="F146" s="132"/>
      <c r="G146" s="132"/>
      <c r="H146" s="133"/>
      <c r="I146" s="129" t="s">
        <v>21185</v>
      </c>
      <c r="J146" s="129"/>
    </row>
    <row r="147">
      <c r="A147" s="127" t="s">
        <v>20625</v>
      </c>
      <c r="B147" s="128">
        <v>6.0</v>
      </c>
      <c r="C147" s="129" t="s">
        <v>21186</v>
      </c>
      <c r="D147" s="130"/>
      <c r="E147" s="131"/>
      <c r="F147" s="132"/>
      <c r="G147" s="132"/>
      <c r="H147" s="133"/>
      <c r="I147" s="129" t="s">
        <v>21187</v>
      </c>
      <c r="J147" s="129"/>
    </row>
    <row r="148">
      <c r="A148" s="127" t="s">
        <v>20625</v>
      </c>
      <c r="B148" s="128">
        <v>7.0</v>
      </c>
      <c r="C148" s="129" t="s">
        <v>21188</v>
      </c>
      <c r="D148" s="130"/>
      <c r="E148" s="131"/>
      <c r="F148" s="132"/>
      <c r="G148" s="132"/>
      <c r="H148" s="133"/>
      <c r="I148" s="129" t="s">
        <v>21189</v>
      </c>
      <c r="J148" s="133"/>
    </row>
    <row r="149">
      <c r="A149" s="127" t="s">
        <v>20625</v>
      </c>
      <c r="B149" s="128">
        <v>8.0</v>
      </c>
      <c r="C149" s="129" t="s">
        <v>21190</v>
      </c>
      <c r="D149" s="130"/>
      <c r="E149" s="131"/>
      <c r="F149" s="132"/>
      <c r="G149" s="132"/>
      <c r="H149" s="133"/>
      <c r="I149" s="129" t="s">
        <v>21191</v>
      </c>
      <c r="J149" s="129" t="s">
        <v>20870</v>
      </c>
    </row>
    <row r="150">
      <c r="A150" s="127" t="s">
        <v>20625</v>
      </c>
      <c r="B150" s="128">
        <v>9.0</v>
      </c>
      <c r="C150" s="129" t="s">
        <v>21192</v>
      </c>
      <c r="D150" s="130"/>
      <c r="E150" s="131"/>
      <c r="F150" s="132"/>
      <c r="G150" s="132"/>
      <c r="H150" s="133"/>
      <c r="I150" s="129" t="s">
        <v>21193</v>
      </c>
      <c r="J150" s="133"/>
    </row>
    <row r="151">
      <c r="A151" s="127" t="s">
        <v>20625</v>
      </c>
      <c r="B151" s="128">
        <v>10.0</v>
      </c>
      <c r="C151" s="129" t="s">
        <v>21194</v>
      </c>
      <c r="D151" s="130"/>
      <c r="E151" s="131"/>
      <c r="F151" s="132"/>
      <c r="G151" s="132"/>
      <c r="H151" s="133"/>
      <c r="I151" s="129" t="s">
        <v>21195</v>
      </c>
      <c r="J151" s="129"/>
    </row>
    <row r="152">
      <c r="A152" s="127" t="s">
        <v>20625</v>
      </c>
      <c r="B152" s="128">
        <v>11.0</v>
      </c>
      <c r="C152" s="129" t="s">
        <v>21196</v>
      </c>
      <c r="D152" s="130"/>
      <c r="E152" s="131"/>
      <c r="F152" s="132"/>
      <c r="G152" s="132"/>
      <c r="H152" s="133"/>
      <c r="I152" s="129" t="s">
        <v>21197</v>
      </c>
      <c r="J152" s="129"/>
    </row>
    <row r="153">
      <c r="A153" s="4" t="s">
        <v>20625</v>
      </c>
      <c r="B153" s="13">
        <v>12.0</v>
      </c>
      <c r="C153" s="4" t="s">
        <v>21198</v>
      </c>
      <c r="D153" s="15"/>
      <c r="E153" s="15"/>
      <c r="F153" s="15"/>
      <c r="G153" s="15"/>
      <c r="H153" s="103"/>
      <c r="I153" s="100" t="s">
        <v>21199</v>
      </c>
      <c r="J153" s="100"/>
    </row>
    <row r="154">
      <c r="A154" s="4" t="s">
        <v>20625</v>
      </c>
      <c r="B154" s="13">
        <v>13.0</v>
      </c>
      <c r="C154" s="4" t="s">
        <v>21200</v>
      </c>
      <c r="D154" s="13" t="s">
        <v>20792</v>
      </c>
      <c r="E154" s="15"/>
      <c r="F154" s="15"/>
      <c r="G154" s="15"/>
      <c r="H154" s="103"/>
      <c r="I154" s="100" t="s">
        <v>21201</v>
      </c>
      <c r="J154" s="103"/>
    </row>
    <row r="155">
      <c r="A155" s="4" t="s">
        <v>20625</v>
      </c>
      <c r="B155" s="13">
        <v>14.0</v>
      </c>
      <c r="C155" s="4" t="s">
        <v>21202</v>
      </c>
      <c r="D155" s="15"/>
      <c r="E155" s="15"/>
      <c r="F155" s="15"/>
      <c r="G155" s="15"/>
      <c r="H155" s="103"/>
      <c r="I155" s="100" t="s">
        <v>21203</v>
      </c>
      <c r="J155" s="100" t="s">
        <v>21038</v>
      </c>
    </row>
    <row r="156">
      <c r="A156" s="4" t="s">
        <v>20625</v>
      </c>
      <c r="B156" s="13">
        <v>15.0</v>
      </c>
      <c r="C156" s="4" t="s">
        <v>21204</v>
      </c>
      <c r="D156" s="13"/>
      <c r="E156" s="15"/>
      <c r="F156" s="15"/>
      <c r="G156" s="15"/>
      <c r="H156" s="100"/>
      <c r="I156" s="100" t="s">
        <v>21205</v>
      </c>
      <c r="J156" s="100" t="s">
        <v>21038</v>
      </c>
    </row>
    <row r="157">
      <c r="A157" s="4" t="s">
        <v>20625</v>
      </c>
      <c r="B157" s="13">
        <v>16.0</v>
      </c>
      <c r="C157" s="4" t="s">
        <v>21206</v>
      </c>
      <c r="D157" s="13"/>
      <c r="E157" s="15"/>
      <c r="F157" s="15"/>
      <c r="G157" s="15"/>
      <c r="H157" s="100"/>
      <c r="I157" s="100" t="s">
        <v>21207</v>
      </c>
      <c r="J157" s="100" t="s">
        <v>20870</v>
      </c>
    </row>
    <row r="158">
      <c r="A158" s="4" t="s">
        <v>20625</v>
      </c>
      <c r="B158" s="13">
        <v>17.0</v>
      </c>
      <c r="C158" s="4" t="s">
        <v>21208</v>
      </c>
      <c r="D158" s="15"/>
      <c r="E158" s="15"/>
      <c r="F158" s="15"/>
      <c r="G158" s="15"/>
      <c r="H158" s="103"/>
      <c r="I158" s="100" t="s">
        <v>21209</v>
      </c>
      <c r="J158" s="103"/>
    </row>
    <row r="159">
      <c r="A159" s="4" t="s">
        <v>20625</v>
      </c>
      <c r="B159" s="13">
        <v>18.0</v>
      </c>
      <c r="C159" s="4" t="s">
        <v>21210</v>
      </c>
      <c r="D159" s="13"/>
      <c r="E159" s="15"/>
      <c r="F159" s="15"/>
      <c r="G159" s="15"/>
      <c r="H159" s="100"/>
      <c r="I159" s="100" t="s">
        <v>21211</v>
      </c>
      <c r="J159" s="103"/>
    </row>
    <row r="160">
      <c r="A160" s="4" t="s">
        <v>20634</v>
      </c>
      <c r="B160" s="13" t="s">
        <v>20600</v>
      </c>
      <c r="C160" s="4" t="s">
        <v>20600</v>
      </c>
      <c r="D160" s="13"/>
      <c r="E160" s="15"/>
      <c r="F160" s="15"/>
      <c r="G160" s="15"/>
      <c r="H160" s="103"/>
      <c r="I160" s="100" t="s">
        <v>21212</v>
      </c>
      <c r="J160" s="103"/>
    </row>
    <row r="161">
      <c r="A161" s="4" t="s">
        <v>20634</v>
      </c>
      <c r="B161" s="13">
        <v>1.0</v>
      </c>
      <c r="C161" s="4" t="s">
        <v>21213</v>
      </c>
      <c r="D161" s="13"/>
      <c r="E161" s="15"/>
      <c r="F161" s="15"/>
      <c r="G161" s="15"/>
      <c r="H161" s="100"/>
      <c r="I161" s="100" t="s">
        <v>21214</v>
      </c>
      <c r="J161" s="103"/>
    </row>
    <row r="162">
      <c r="A162" s="4" t="s">
        <v>20634</v>
      </c>
      <c r="B162" s="13">
        <v>2.0</v>
      </c>
      <c r="C162" s="4" t="s">
        <v>21215</v>
      </c>
      <c r="D162" s="13"/>
      <c r="E162" s="15"/>
      <c r="F162" s="15"/>
      <c r="G162" s="15"/>
      <c r="H162" s="100"/>
      <c r="I162" s="100" t="s">
        <v>21216</v>
      </c>
      <c r="J162" s="103"/>
    </row>
    <row r="163">
      <c r="A163" s="4" t="s">
        <v>20634</v>
      </c>
      <c r="B163" s="13">
        <v>3.0</v>
      </c>
      <c r="C163" s="4" t="s">
        <v>21217</v>
      </c>
      <c r="D163" s="13"/>
      <c r="E163" s="15"/>
      <c r="F163" s="15"/>
      <c r="G163" s="15"/>
      <c r="H163" s="103"/>
      <c r="I163" s="100" t="s">
        <v>21218</v>
      </c>
      <c r="J163" s="103"/>
    </row>
    <row r="164">
      <c r="A164" s="4" t="s">
        <v>20634</v>
      </c>
      <c r="B164" s="13">
        <v>4.0</v>
      </c>
      <c r="C164" s="4" t="s">
        <v>21219</v>
      </c>
      <c r="D164" s="13"/>
      <c r="E164" s="15"/>
      <c r="F164" s="15"/>
      <c r="G164" s="15"/>
      <c r="H164" s="100"/>
      <c r="I164" s="100" t="s">
        <v>21220</v>
      </c>
      <c r="J164" s="103"/>
    </row>
    <row r="165">
      <c r="A165" s="4" t="s">
        <v>20634</v>
      </c>
      <c r="B165" s="13">
        <v>5.0</v>
      </c>
      <c r="C165" s="4" t="s">
        <v>21221</v>
      </c>
      <c r="D165" s="13" t="s">
        <v>20715</v>
      </c>
      <c r="E165" s="15"/>
      <c r="F165" s="15"/>
      <c r="G165" s="15"/>
      <c r="H165" s="100"/>
      <c r="I165" s="100" t="s">
        <v>21222</v>
      </c>
      <c r="J165" s="103"/>
    </row>
    <row r="166">
      <c r="A166" s="4" t="s">
        <v>20634</v>
      </c>
      <c r="B166" s="13">
        <v>6.0</v>
      </c>
      <c r="C166" s="4" t="s">
        <v>21223</v>
      </c>
      <c r="D166" s="13"/>
      <c r="E166" s="15"/>
      <c r="F166" s="15"/>
      <c r="G166" s="15"/>
      <c r="H166" s="100"/>
      <c r="I166" s="100" t="s">
        <v>21224</v>
      </c>
      <c r="J166" s="103"/>
    </row>
    <row r="167">
      <c r="A167" s="4" t="s">
        <v>20634</v>
      </c>
      <c r="B167" s="13">
        <v>7.0</v>
      </c>
      <c r="C167" s="4" t="s">
        <v>21225</v>
      </c>
      <c r="D167" s="15"/>
      <c r="E167" s="15"/>
      <c r="F167" s="15"/>
      <c r="G167" s="15"/>
      <c r="H167" s="103"/>
      <c r="I167" s="100" t="s">
        <v>21226</v>
      </c>
      <c r="J167" s="100"/>
    </row>
    <row r="168">
      <c r="A168" s="4" t="s">
        <v>20634</v>
      </c>
      <c r="B168" s="137">
        <v>46029.0</v>
      </c>
      <c r="C168" s="4" t="s">
        <v>21227</v>
      </c>
      <c r="D168" s="13"/>
      <c r="E168" s="15"/>
      <c r="F168" s="15"/>
      <c r="G168" s="15"/>
      <c r="H168" s="103"/>
      <c r="I168" s="100" t="s">
        <v>21228</v>
      </c>
      <c r="J168" s="103"/>
    </row>
    <row r="169">
      <c r="A169" s="4" t="s">
        <v>20634</v>
      </c>
      <c r="B169" s="13">
        <v>8.0</v>
      </c>
      <c r="C169" s="4" t="s">
        <v>21229</v>
      </c>
      <c r="D169" s="15"/>
      <c r="E169" s="15"/>
      <c r="F169" s="15"/>
      <c r="G169" s="15"/>
      <c r="H169" s="103"/>
      <c r="I169" s="100" t="s">
        <v>21230</v>
      </c>
      <c r="J169" s="103"/>
    </row>
    <row r="170">
      <c r="A170" s="4" t="s">
        <v>20634</v>
      </c>
      <c r="B170" s="13">
        <v>9.0</v>
      </c>
      <c r="C170" s="4" t="s">
        <v>21231</v>
      </c>
      <c r="D170" s="15"/>
      <c r="E170" s="15"/>
      <c r="F170" s="15"/>
      <c r="G170" s="15"/>
      <c r="H170" s="103"/>
      <c r="I170" s="100" t="s">
        <v>21232</v>
      </c>
      <c r="J170" s="103"/>
    </row>
    <row r="171">
      <c r="A171" s="4" t="s">
        <v>20634</v>
      </c>
      <c r="B171" s="13">
        <v>10.0</v>
      </c>
      <c r="C171" s="4" t="s">
        <v>21233</v>
      </c>
      <c r="D171" s="15"/>
      <c r="E171" s="15"/>
      <c r="F171" s="15"/>
      <c r="G171" s="15"/>
      <c r="H171" s="103"/>
      <c r="I171" s="100" t="s">
        <v>21234</v>
      </c>
      <c r="J171" s="103"/>
    </row>
    <row r="172">
      <c r="A172" s="4" t="s">
        <v>20634</v>
      </c>
      <c r="B172" s="137">
        <v>46032.0</v>
      </c>
      <c r="C172" s="4" t="s">
        <v>21235</v>
      </c>
      <c r="D172" s="15"/>
      <c r="E172" s="15"/>
      <c r="F172" s="15"/>
      <c r="G172" s="15"/>
      <c r="H172" s="103"/>
      <c r="I172" s="100" t="s">
        <v>21236</v>
      </c>
      <c r="J172" s="103"/>
    </row>
    <row r="173">
      <c r="A173" s="4" t="s">
        <v>20634</v>
      </c>
      <c r="B173" s="137">
        <v>46063.0</v>
      </c>
      <c r="C173" s="4" t="s">
        <v>21237</v>
      </c>
      <c r="D173" s="13" t="s">
        <v>20715</v>
      </c>
      <c r="E173" s="15"/>
      <c r="F173" s="15"/>
      <c r="G173" s="15"/>
      <c r="H173" s="103"/>
      <c r="I173" s="100" t="s">
        <v>21238</v>
      </c>
      <c r="J173" s="103"/>
    </row>
    <row r="174">
      <c r="A174" s="4" t="s">
        <v>20634</v>
      </c>
      <c r="B174" s="13">
        <v>11.0</v>
      </c>
      <c r="C174" s="4" t="s">
        <v>21239</v>
      </c>
      <c r="D174" s="15"/>
      <c r="E174" s="15"/>
      <c r="F174" s="15"/>
      <c r="G174" s="15"/>
      <c r="H174" s="103"/>
      <c r="I174" s="100" t="s">
        <v>21240</v>
      </c>
      <c r="J174" s="103"/>
    </row>
    <row r="175">
      <c r="A175" s="4" t="s">
        <v>20634</v>
      </c>
      <c r="B175" s="13">
        <v>12.0</v>
      </c>
      <c r="C175" s="4" t="s">
        <v>21241</v>
      </c>
      <c r="D175" s="15"/>
      <c r="E175" s="15"/>
      <c r="F175" s="15"/>
      <c r="G175" s="15"/>
      <c r="H175" s="103"/>
      <c r="I175" s="100" t="s">
        <v>21242</v>
      </c>
      <c r="J175" s="103"/>
    </row>
    <row r="176">
      <c r="A176" s="4" t="s">
        <v>20634</v>
      </c>
      <c r="B176" s="13">
        <v>13.0</v>
      </c>
      <c r="C176" s="4" t="s">
        <v>21243</v>
      </c>
      <c r="D176" s="15"/>
      <c r="E176" s="15"/>
      <c r="F176" s="15"/>
      <c r="G176" s="15"/>
      <c r="H176" s="103"/>
      <c r="I176" s="100" t="s">
        <v>21244</v>
      </c>
      <c r="J176" s="100"/>
    </row>
    <row r="177">
      <c r="A177" s="4" t="s">
        <v>20634</v>
      </c>
      <c r="B177" s="13">
        <v>14.0</v>
      </c>
      <c r="C177" s="4" t="s">
        <v>21245</v>
      </c>
      <c r="D177" s="15"/>
      <c r="E177" s="15"/>
      <c r="F177" s="15"/>
      <c r="G177" s="15"/>
      <c r="H177" s="103"/>
      <c r="I177" s="100" t="s">
        <v>21246</v>
      </c>
      <c r="J177" s="103"/>
    </row>
    <row r="178">
      <c r="A178" s="4" t="s">
        <v>20634</v>
      </c>
      <c r="B178" s="13">
        <v>13.0</v>
      </c>
      <c r="C178" s="4" t="s">
        <v>21243</v>
      </c>
      <c r="D178" s="13"/>
      <c r="E178" s="15"/>
      <c r="F178" s="15"/>
      <c r="G178" s="15"/>
      <c r="H178" s="103"/>
      <c r="I178" s="100" t="s">
        <v>21244</v>
      </c>
      <c r="J178" s="103"/>
    </row>
    <row r="179">
      <c r="A179" s="4" t="s">
        <v>20634</v>
      </c>
      <c r="B179" s="13">
        <v>14.0</v>
      </c>
      <c r="C179" s="4" t="s">
        <v>21245</v>
      </c>
      <c r="D179" s="15"/>
      <c r="E179" s="15"/>
      <c r="F179" s="15"/>
      <c r="G179" s="15"/>
      <c r="H179" s="103"/>
      <c r="I179" s="100" t="s">
        <v>21247</v>
      </c>
      <c r="J179" s="103"/>
    </row>
    <row r="180">
      <c r="A180" s="4" t="s">
        <v>20642</v>
      </c>
      <c r="B180" s="13" t="s">
        <v>20600</v>
      </c>
      <c r="C180" s="4" t="s">
        <v>20600</v>
      </c>
      <c r="D180" s="15"/>
      <c r="E180" s="15"/>
      <c r="F180" s="15"/>
      <c r="G180" s="15"/>
      <c r="H180" s="103"/>
      <c r="I180" s="100" t="s">
        <v>21248</v>
      </c>
      <c r="J180" s="103"/>
    </row>
    <row r="181">
      <c r="A181" s="4" t="s">
        <v>20642</v>
      </c>
      <c r="B181" s="13">
        <v>5.0</v>
      </c>
      <c r="C181" s="4" t="s">
        <v>21249</v>
      </c>
      <c r="D181" s="13"/>
      <c r="E181" s="15"/>
      <c r="F181" s="15"/>
      <c r="G181" s="15"/>
      <c r="H181" s="103"/>
      <c r="I181" s="100" t="s">
        <v>21250</v>
      </c>
      <c r="J181" s="100" t="s">
        <v>20676</v>
      </c>
    </row>
    <row r="182">
      <c r="A182" s="4" t="s">
        <v>20642</v>
      </c>
      <c r="B182" s="13">
        <v>1.0</v>
      </c>
      <c r="C182" s="4" t="s">
        <v>21251</v>
      </c>
      <c r="D182" s="13"/>
      <c r="E182" s="15"/>
      <c r="F182" s="15"/>
      <c r="G182" s="15"/>
      <c r="H182" s="103"/>
      <c r="I182" s="100" t="s">
        <v>21252</v>
      </c>
      <c r="J182" s="103"/>
    </row>
    <row r="183">
      <c r="A183" s="4" t="s">
        <v>20642</v>
      </c>
      <c r="B183" s="13">
        <v>2.0</v>
      </c>
      <c r="C183" s="4" t="s">
        <v>21253</v>
      </c>
      <c r="D183" s="13" t="s">
        <v>20792</v>
      </c>
      <c r="E183" s="15"/>
      <c r="F183" s="15"/>
      <c r="G183" s="15"/>
      <c r="H183" s="103"/>
      <c r="I183" s="100" t="s">
        <v>21254</v>
      </c>
      <c r="J183" s="100"/>
    </row>
    <row r="184">
      <c r="A184" s="4" t="s">
        <v>20642</v>
      </c>
      <c r="B184" s="13">
        <v>3.0</v>
      </c>
      <c r="C184" s="4" t="s">
        <v>21255</v>
      </c>
      <c r="D184" s="15"/>
      <c r="E184" s="15"/>
      <c r="F184" s="15"/>
      <c r="G184" s="15"/>
      <c r="H184" s="103"/>
      <c r="I184" s="100" t="s">
        <v>21256</v>
      </c>
      <c r="J184" s="100"/>
    </row>
    <row r="185">
      <c r="A185" s="4" t="s">
        <v>20642</v>
      </c>
      <c r="B185" s="13">
        <v>4.0</v>
      </c>
      <c r="C185" s="4" t="s">
        <v>21257</v>
      </c>
      <c r="D185" s="15"/>
      <c r="E185" s="15"/>
      <c r="F185" s="15"/>
      <c r="G185" s="15"/>
      <c r="H185" s="103"/>
      <c r="I185" s="100" t="s">
        <v>21258</v>
      </c>
      <c r="J185" s="100"/>
    </row>
    <row r="186">
      <c r="A186" s="4" t="s">
        <v>20642</v>
      </c>
      <c r="B186" s="13">
        <v>5.0</v>
      </c>
      <c r="C186" s="4" t="s">
        <v>21259</v>
      </c>
      <c r="D186" s="15"/>
      <c r="E186" s="15"/>
      <c r="F186" s="15"/>
      <c r="G186" s="15"/>
      <c r="H186" s="103"/>
      <c r="I186" s="100" t="s">
        <v>21260</v>
      </c>
      <c r="J186" s="103"/>
    </row>
    <row r="187">
      <c r="A187" s="4" t="s">
        <v>20642</v>
      </c>
      <c r="B187" s="13">
        <v>6.0</v>
      </c>
      <c r="C187" s="4" t="s">
        <v>21261</v>
      </c>
      <c r="D187" s="13" t="s">
        <v>20792</v>
      </c>
      <c r="E187" s="15"/>
      <c r="F187" s="15"/>
      <c r="G187" s="15"/>
      <c r="H187" s="103"/>
      <c r="I187" s="100" t="s">
        <v>21262</v>
      </c>
      <c r="J187" s="103"/>
    </row>
    <row r="188">
      <c r="A188" s="4" t="s">
        <v>20642</v>
      </c>
      <c r="B188" s="13">
        <v>7.0</v>
      </c>
      <c r="C188" s="4" t="s">
        <v>21263</v>
      </c>
      <c r="D188" s="15"/>
      <c r="E188" s="15"/>
      <c r="F188" s="15"/>
      <c r="G188" s="15"/>
      <c r="H188" s="103"/>
      <c r="I188" s="100" t="s">
        <v>21264</v>
      </c>
      <c r="J188" s="103"/>
    </row>
    <row r="189">
      <c r="A189" s="4" t="s">
        <v>20642</v>
      </c>
      <c r="B189" s="13">
        <v>8.0</v>
      </c>
      <c r="C189" s="4" t="s">
        <v>21265</v>
      </c>
      <c r="D189" s="15"/>
      <c r="E189" s="15"/>
      <c r="F189" s="15"/>
      <c r="G189" s="15"/>
      <c r="H189" s="103"/>
      <c r="I189" s="100" t="s">
        <v>21266</v>
      </c>
      <c r="J189" s="103"/>
    </row>
    <row r="190">
      <c r="A190" s="4" t="s">
        <v>20642</v>
      </c>
      <c r="B190" s="13">
        <v>9.0</v>
      </c>
      <c r="C190" s="4" t="s">
        <v>21267</v>
      </c>
      <c r="D190" s="13"/>
      <c r="E190" s="15"/>
      <c r="F190" s="15"/>
      <c r="G190" s="15"/>
      <c r="H190" s="103"/>
      <c r="I190" s="100" t="s">
        <v>21268</v>
      </c>
      <c r="J190" s="100"/>
    </row>
    <row r="191">
      <c r="A191" s="4" t="s">
        <v>20642</v>
      </c>
      <c r="B191" s="13">
        <v>10.0</v>
      </c>
      <c r="C191" s="4" t="s">
        <v>21269</v>
      </c>
      <c r="D191" s="13"/>
      <c r="E191" s="15"/>
      <c r="F191" s="15"/>
      <c r="G191" s="15"/>
      <c r="H191" s="103"/>
      <c r="I191" s="100" t="s">
        <v>21270</v>
      </c>
      <c r="J191" s="103"/>
    </row>
    <row r="192">
      <c r="A192" s="4" t="s">
        <v>20642</v>
      </c>
      <c r="B192" s="13">
        <v>11.0</v>
      </c>
      <c r="C192" s="4" t="s">
        <v>21271</v>
      </c>
      <c r="D192" s="13"/>
      <c r="E192" s="15"/>
      <c r="F192" s="15"/>
      <c r="G192" s="15"/>
      <c r="H192" s="103"/>
      <c r="I192" s="100" t="s">
        <v>21272</v>
      </c>
      <c r="J192" s="103"/>
    </row>
    <row r="193">
      <c r="A193" s="4" t="s">
        <v>20642</v>
      </c>
      <c r="B193" s="13">
        <v>12.0</v>
      </c>
      <c r="C193" s="4" t="s">
        <v>21273</v>
      </c>
      <c r="D193" s="15"/>
      <c r="E193" s="15"/>
      <c r="F193" s="15"/>
      <c r="G193" s="15"/>
      <c r="H193" s="103"/>
      <c r="I193" s="100" t="s">
        <v>21274</v>
      </c>
      <c r="J193" s="103"/>
    </row>
    <row r="194">
      <c r="A194" s="4" t="s">
        <v>20642</v>
      </c>
      <c r="B194" s="13">
        <v>13.0</v>
      </c>
      <c r="C194" s="4" t="s">
        <v>21275</v>
      </c>
      <c r="D194" s="15"/>
      <c r="E194" s="15"/>
      <c r="F194" s="15"/>
      <c r="G194" s="15"/>
      <c r="H194" s="103"/>
      <c r="I194" s="100" t="s">
        <v>21276</v>
      </c>
      <c r="J194" s="103"/>
    </row>
    <row r="195">
      <c r="A195" s="4" t="s">
        <v>20642</v>
      </c>
      <c r="B195" s="13">
        <v>14.0</v>
      </c>
      <c r="C195" s="4" t="s">
        <v>21277</v>
      </c>
      <c r="D195" s="13" t="s">
        <v>4076</v>
      </c>
      <c r="E195" s="15"/>
      <c r="F195" s="15"/>
      <c r="G195" s="15"/>
      <c r="H195" s="103"/>
      <c r="I195" s="100" t="s">
        <v>21278</v>
      </c>
      <c r="J195" s="100" t="s">
        <v>20676</v>
      </c>
    </row>
    <row r="196">
      <c r="A196" s="4" t="s">
        <v>20642</v>
      </c>
      <c r="B196" s="13">
        <v>15.0</v>
      </c>
      <c r="C196" s="4" t="s">
        <v>21279</v>
      </c>
      <c r="D196" s="13" t="s">
        <v>4076</v>
      </c>
      <c r="E196" s="15"/>
      <c r="F196" s="15"/>
      <c r="G196" s="15"/>
      <c r="H196" s="103"/>
      <c r="I196" s="100" t="s">
        <v>21280</v>
      </c>
      <c r="J196" s="103"/>
    </row>
    <row r="197">
      <c r="A197" s="4" t="s">
        <v>20642</v>
      </c>
      <c r="B197" s="13">
        <v>16.0</v>
      </c>
      <c r="C197" s="4" t="s">
        <v>21281</v>
      </c>
      <c r="D197" s="15"/>
      <c r="E197" s="15"/>
      <c r="F197" s="15"/>
      <c r="G197" s="15"/>
      <c r="H197" s="103"/>
      <c r="I197" s="100" t="s">
        <v>21282</v>
      </c>
      <c r="J197" s="103"/>
    </row>
    <row r="198">
      <c r="A198" s="4" t="s">
        <v>20642</v>
      </c>
      <c r="B198" s="13">
        <v>17.0</v>
      </c>
      <c r="C198" s="4" t="s">
        <v>21283</v>
      </c>
      <c r="D198" s="15"/>
      <c r="E198" s="15"/>
      <c r="F198" s="15"/>
      <c r="G198" s="15"/>
      <c r="H198" s="103"/>
      <c r="I198" s="100" t="s">
        <v>21284</v>
      </c>
      <c r="J198" s="103"/>
    </row>
    <row r="199">
      <c r="A199" s="4" t="s">
        <v>20642</v>
      </c>
      <c r="B199" s="13">
        <v>18.0</v>
      </c>
      <c r="C199" s="4" t="s">
        <v>21285</v>
      </c>
      <c r="D199" s="13"/>
      <c r="E199" s="15"/>
      <c r="F199" s="15"/>
      <c r="G199" s="15"/>
      <c r="H199" s="103"/>
      <c r="I199" s="100" t="s">
        <v>21286</v>
      </c>
      <c r="J199" s="103"/>
    </row>
    <row r="200">
      <c r="A200" s="4" t="s">
        <v>20652</v>
      </c>
      <c r="B200" s="13" t="s">
        <v>20600</v>
      </c>
      <c r="C200" s="4" t="s">
        <v>20600</v>
      </c>
      <c r="D200" s="13"/>
      <c r="E200" s="15"/>
      <c r="F200" s="15"/>
      <c r="G200" s="15"/>
      <c r="H200" s="103"/>
      <c r="I200" s="100" t="s">
        <v>21287</v>
      </c>
      <c r="J200" s="103"/>
    </row>
    <row r="201">
      <c r="A201" s="4" t="s">
        <v>20652</v>
      </c>
      <c r="B201" s="13">
        <v>1.0</v>
      </c>
      <c r="C201" s="4" t="s">
        <v>21288</v>
      </c>
      <c r="D201" s="15"/>
      <c r="E201" s="15"/>
      <c r="F201" s="15"/>
      <c r="G201" s="15"/>
      <c r="H201" s="103"/>
      <c r="I201" s="100" t="s">
        <v>21289</v>
      </c>
      <c r="J201" s="103"/>
    </row>
    <row r="202">
      <c r="A202" s="4" t="s">
        <v>20652</v>
      </c>
      <c r="B202" s="13">
        <v>2.0</v>
      </c>
      <c r="C202" s="4" t="s">
        <v>21290</v>
      </c>
      <c r="D202" s="15"/>
      <c r="E202" s="15"/>
      <c r="F202" s="15"/>
      <c r="G202" s="15"/>
      <c r="H202" s="103"/>
      <c r="I202" s="100" t="s">
        <v>21291</v>
      </c>
      <c r="J202" s="103"/>
    </row>
    <row r="203">
      <c r="A203" s="4" t="s">
        <v>20652</v>
      </c>
      <c r="B203" s="13">
        <v>3.0</v>
      </c>
      <c r="C203" s="4" t="s">
        <v>21292</v>
      </c>
      <c r="D203" s="15"/>
      <c r="E203" s="15"/>
      <c r="F203" s="15"/>
      <c r="G203" s="15"/>
      <c r="H203" s="103"/>
      <c r="I203" s="100" t="s">
        <v>21293</v>
      </c>
      <c r="J203" s="103"/>
    </row>
    <row r="204">
      <c r="A204" s="4" t="s">
        <v>20652</v>
      </c>
      <c r="B204" s="13">
        <v>4.0</v>
      </c>
      <c r="C204" s="4" t="s">
        <v>21294</v>
      </c>
      <c r="D204" s="13" t="s">
        <v>4076</v>
      </c>
      <c r="E204" s="15"/>
      <c r="F204" s="15"/>
      <c r="G204" s="15"/>
      <c r="H204" s="103"/>
      <c r="I204" s="100" t="s">
        <v>21295</v>
      </c>
      <c r="J204" s="103"/>
    </row>
    <row r="205">
      <c r="A205" s="4" t="s">
        <v>20652</v>
      </c>
      <c r="B205" s="13">
        <v>5.0</v>
      </c>
      <c r="C205" s="4" t="s">
        <v>21249</v>
      </c>
      <c r="D205" s="15"/>
      <c r="E205" s="15"/>
      <c r="F205" s="15"/>
      <c r="G205" s="15"/>
      <c r="H205" s="103"/>
      <c r="I205" s="100" t="s">
        <v>21296</v>
      </c>
      <c r="J205" s="100"/>
    </row>
    <row r="206">
      <c r="A206" s="4" t="s">
        <v>20652</v>
      </c>
      <c r="B206" s="13">
        <v>6.0</v>
      </c>
      <c r="C206" s="4" t="s">
        <v>21297</v>
      </c>
      <c r="D206" s="15"/>
      <c r="E206" s="15"/>
      <c r="F206" s="15"/>
      <c r="G206" s="15"/>
      <c r="H206" s="103"/>
      <c r="I206" s="100" t="s">
        <v>21298</v>
      </c>
      <c r="J206" s="103"/>
    </row>
    <row r="207">
      <c r="A207" s="4" t="s">
        <v>20652</v>
      </c>
      <c r="B207" s="13">
        <v>7.0</v>
      </c>
      <c r="C207" s="4" t="s">
        <v>21299</v>
      </c>
      <c r="D207" s="15"/>
      <c r="E207" s="15"/>
      <c r="F207" s="15"/>
      <c r="G207" s="15"/>
      <c r="H207" s="103"/>
      <c r="I207" s="100" t="s">
        <v>21300</v>
      </c>
      <c r="J207" s="103"/>
    </row>
    <row r="208">
      <c r="A208" s="4" t="s">
        <v>20652</v>
      </c>
      <c r="B208" s="13">
        <v>8.0</v>
      </c>
      <c r="C208" s="4" t="s">
        <v>21301</v>
      </c>
      <c r="D208" s="15"/>
      <c r="E208" s="15"/>
      <c r="F208" s="15"/>
      <c r="G208" s="15"/>
      <c r="H208" s="103"/>
      <c r="I208" s="100" t="s">
        <v>21302</v>
      </c>
      <c r="J208" s="103"/>
    </row>
    <row r="209">
      <c r="A209" s="4" t="s">
        <v>20652</v>
      </c>
      <c r="B209" s="13">
        <v>9.0</v>
      </c>
      <c r="C209" s="4" t="s">
        <v>21303</v>
      </c>
      <c r="D209" s="13"/>
      <c r="E209" s="15"/>
      <c r="F209" s="15"/>
      <c r="G209" s="15"/>
      <c r="H209" s="103"/>
      <c r="I209" s="100" t="s">
        <v>21304</v>
      </c>
      <c r="J209" s="103"/>
    </row>
    <row r="210">
      <c r="A210" s="4" t="s">
        <v>20652</v>
      </c>
      <c r="B210" s="13">
        <v>10.0</v>
      </c>
      <c r="C210" s="4" t="s">
        <v>21305</v>
      </c>
      <c r="D210" s="15"/>
      <c r="E210" s="15"/>
      <c r="F210" s="15"/>
      <c r="G210" s="15"/>
      <c r="H210" s="103"/>
      <c r="I210" s="100" t="s">
        <v>21306</v>
      </c>
      <c r="J210" s="100" t="s">
        <v>20676</v>
      </c>
    </row>
    <row r="211">
      <c r="A211" s="4" t="s">
        <v>20652</v>
      </c>
      <c r="B211" s="13">
        <v>11.0</v>
      </c>
      <c r="C211" s="4" t="s">
        <v>21307</v>
      </c>
      <c r="D211" s="15"/>
      <c r="E211" s="15"/>
      <c r="F211" s="15"/>
      <c r="G211" s="15"/>
      <c r="H211" s="103"/>
      <c r="I211" s="100" t="s">
        <v>21308</v>
      </c>
      <c r="J211" s="103"/>
    </row>
    <row r="212">
      <c r="A212" s="4" t="s">
        <v>20652</v>
      </c>
      <c r="B212" s="13">
        <v>12.0</v>
      </c>
      <c r="C212" s="4" t="s">
        <v>21309</v>
      </c>
      <c r="D212" s="15"/>
      <c r="E212" s="15"/>
      <c r="F212" s="15"/>
      <c r="G212" s="15"/>
      <c r="H212" s="103"/>
      <c r="I212" s="100" t="s">
        <v>21310</v>
      </c>
      <c r="J212" s="103"/>
    </row>
    <row r="213">
      <c r="A213" s="4" t="s">
        <v>20652</v>
      </c>
      <c r="B213" s="13">
        <v>13.0</v>
      </c>
      <c r="C213" s="4" t="s">
        <v>21311</v>
      </c>
      <c r="D213" s="13"/>
      <c r="E213" s="15"/>
      <c r="F213" s="15"/>
      <c r="G213" s="15"/>
      <c r="H213" s="103"/>
      <c r="I213" s="100" t="s">
        <v>21312</v>
      </c>
      <c r="J213" s="103"/>
    </row>
    <row r="214">
      <c r="A214" s="4" t="s">
        <v>20652</v>
      </c>
      <c r="B214" s="13">
        <v>14.0</v>
      </c>
      <c r="C214" s="4" t="s">
        <v>21313</v>
      </c>
      <c r="D214" s="13" t="s">
        <v>21269</v>
      </c>
      <c r="E214" s="15"/>
      <c r="F214" s="15"/>
      <c r="G214" s="15"/>
      <c r="H214" s="103"/>
      <c r="I214" s="100" t="s">
        <v>21314</v>
      </c>
      <c r="J214" s="103"/>
    </row>
    <row r="215">
      <c r="A215" s="4" t="s">
        <v>20652</v>
      </c>
      <c r="B215" s="13">
        <v>15.0</v>
      </c>
      <c r="C215" s="4" t="s">
        <v>21315</v>
      </c>
      <c r="D215" s="15"/>
      <c r="E215" s="15"/>
      <c r="F215" s="15"/>
      <c r="G215" s="15"/>
      <c r="H215" s="103"/>
      <c r="I215" s="100" t="s">
        <v>21316</v>
      </c>
      <c r="J215" s="103"/>
    </row>
    <row r="216">
      <c r="A216" s="4" t="s">
        <v>20652</v>
      </c>
      <c r="B216" s="13">
        <v>16.0</v>
      </c>
      <c r="C216" s="4" t="s">
        <v>21317</v>
      </c>
      <c r="D216" s="15"/>
      <c r="E216" s="15"/>
      <c r="F216" s="15"/>
      <c r="G216" s="15"/>
      <c r="H216" s="103"/>
      <c r="I216" s="100" t="s">
        <v>21318</v>
      </c>
      <c r="J216" s="103"/>
    </row>
    <row r="217">
      <c r="A217" s="4" t="s">
        <v>20652</v>
      </c>
      <c r="B217" s="13">
        <v>17.0</v>
      </c>
      <c r="C217" s="4" t="s">
        <v>21319</v>
      </c>
      <c r="D217" s="15"/>
      <c r="E217" s="15"/>
      <c r="F217" s="15"/>
      <c r="G217" s="15"/>
      <c r="H217" s="103"/>
      <c r="I217" s="100" t="s">
        <v>21320</v>
      </c>
      <c r="J217" s="103"/>
    </row>
    <row r="218">
      <c r="A218" s="4" t="s">
        <v>20652</v>
      </c>
      <c r="B218" s="13">
        <v>18.0</v>
      </c>
      <c r="C218" s="4" t="s">
        <v>21321</v>
      </c>
      <c r="D218" s="15"/>
      <c r="E218" s="15"/>
      <c r="F218" s="15"/>
      <c r="G218" s="15"/>
      <c r="H218" s="103"/>
      <c r="I218" s="100" t="s">
        <v>21322</v>
      </c>
      <c r="J218" s="103"/>
    </row>
    <row r="219">
      <c r="A219" s="4" t="s">
        <v>20652</v>
      </c>
      <c r="B219" s="13">
        <v>19.0</v>
      </c>
      <c r="C219" s="4" t="s">
        <v>21323</v>
      </c>
      <c r="D219" s="15"/>
      <c r="E219" s="15"/>
      <c r="F219" s="15"/>
      <c r="G219" s="15"/>
      <c r="H219" s="103"/>
      <c r="I219" s="100" t="s">
        <v>21324</v>
      </c>
      <c r="J219" s="103"/>
    </row>
    <row r="220">
      <c r="A220" s="4" t="s">
        <v>20652</v>
      </c>
      <c r="B220" s="13">
        <v>20.0</v>
      </c>
      <c r="C220" s="4" t="s">
        <v>21325</v>
      </c>
      <c r="D220" s="15"/>
      <c r="E220" s="15"/>
      <c r="F220" s="15"/>
      <c r="G220" s="15"/>
      <c r="H220" s="103"/>
      <c r="I220" s="100" t="s">
        <v>21326</v>
      </c>
      <c r="J220" s="103"/>
    </row>
    <row r="221">
      <c r="A221" s="4" t="s">
        <v>20652</v>
      </c>
      <c r="B221" s="13">
        <v>21.0</v>
      </c>
      <c r="C221" s="4" t="s">
        <v>21327</v>
      </c>
      <c r="D221" s="13"/>
      <c r="E221" s="15"/>
      <c r="F221" s="15"/>
      <c r="G221" s="15"/>
      <c r="H221" s="103"/>
      <c r="I221" s="100" t="s">
        <v>21328</v>
      </c>
      <c r="J221" s="100"/>
    </row>
    <row r="222">
      <c r="A222" s="4" t="s">
        <v>20662</v>
      </c>
      <c r="B222" s="13" t="s">
        <v>20600</v>
      </c>
      <c r="C222" s="4" t="s">
        <v>20600</v>
      </c>
      <c r="D222" s="13"/>
      <c r="E222" s="15"/>
      <c r="F222" s="15"/>
      <c r="G222" s="15"/>
      <c r="H222" s="103"/>
      <c r="I222" s="100" t="s">
        <v>21329</v>
      </c>
      <c r="J222" s="100"/>
    </row>
    <row r="223">
      <c r="A223" s="4" t="s">
        <v>20662</v>
      </c>
      <c r="B223" s="13">
        <v>1.0</v>
      </c>
      <c r="C223" s="4" t="s">
        <v>21330</v>
      </c>
      <c r="D223" s="15"/>
      <c r="E223" s="15"/>
      <c r="F223" s="15"/>
      <c r="G223" s="15"/>
      <c r="H223" s="103"/>
      <c r="I223" s="100" t="s">
        <v>21331</v>
      </c>
      <c r="J223" s="103"/>
    </row>
    <row r="224">
      <c r="A224" s="4" t="s">
        <v>20662</v>
      </c>
      <c r="B224" s="13">
        <v>3.0</v>
      </c>
      <c r="C224" s="4" t="s">
        <v>21332</v>
      </c>
      <c r="D224" s="15"/>
      <c r="E224" s="56"/>
      <c r="F224" s="15"/>
      <c r="G224" s="15"/>
      <c r="H224" s="103"/>
      <c r="I224" s="100" t="s">
        <v>21333</v>
      </c>
      <c r="J224" s="103"/>
    </row>
    <row r="225">
      <c r="A225" s="4" t="s">
        <v>20662</v>
      </c>
      <c r="B225" s="13">
        <v>4.0</v>
      </c>
      <c r="C225" s="4" t="s">
        <v>21334</v>
      </c>
      <c r="D225" s="15"/>
      <c r="E225" s="15"/>
      <c r="F225" s="15"/>
      <c r="G225" s="15"/>
      <c r="H225" s="103"/>
      <c r="I225" s="100" t="s">
        <v>21335</v>
      </c>
      <c r="J225" s="103"/>
    </row>
    <row r="226">
      <c r="A226" s="4" t="s">
        <v>20662</v>
      </c>
      <c r="B226" s="13">
        <v>5.0</v>
      </c>
      <c r="C226" s="4" t="s">
        <v>21336</v>
      </c>
      <c r="D226" s="15"/>
      <c r="E226" s="15"/>
      <c r="F226" s="15"/>
      <c r="G226" s="15"/>
      <c r="H226" s="103"/>
      <c r="I226" s="100" t="s">
        <v>21337</v>
      </c>
      <c r="J226" s="103"/>
    </row>
    <row r="227">
      <c r="A227" s="4" t="s">
        <v>20662</v>
      </c>
      <c r="B227" s="13">
        <v>6.0</v>
      </c>
      <c r="C227" s="4" t="s">
        <v>21338</v>
      </c>
      <c r="D227" s="15"/>
      <c r="E227" s="56"/>
      <c r="F227" s="15"/>
      <c r="G227" s="15"/>
      <c r="H227" s="103"/>
      <c r="I227" s="100" t="s">
        <v>21339</v>
      </c>
      <c r="J227" s="100" t="s">
        <v>20848</v>
      </c>
    </row>
    <row r="228">
      <c r="A228" s="4" t="s">
        <v>20662</v>
      </c>
      <c r="B228" s="13">
        <v>7.0</v>
      </c>
      <c r="C228" s="4" t="s">
        <v>21340</v>
      </c>
      <c r="D228" s="15"/>
      <c r="E228" s="15"/>
      <c r="F228" s="15"/>
      <c r="G228" s="15"/>
      <c r="H228" s="103"/>
      <c r="I228" s="100" t="s">
        <v>21341</v>
      </c>
      <c r="J228" s="103"/>
    </row>
    <row r="229">
      <c r="A229" s="4" t="s">
        <v>20662</v>
      </c>
      <c r="B229" s="13">
        <v>8.0</v>
      </c>
      <c r="C229" s="4" t="s">
        <v>21342</v>
      </c>
      <c r="D229" s="15"/>
      <c r="E229" s="56">
        <v>3000.0</v>
      </c>
      <c r="F229" s="15"/>
      <c r="G229" s="15"/>
      <c r="H229" s="103"/>
      <c r="I229" s="100" t="s">
        <v>21343</v>
      </c>
      <c r="J229" s="103"/>
    </row>
    <row r="230">
      <c r="A230" s="4" t="s">
        <v>20662</v>
      </c>
      <c r="B230" s="13">
        <v>9.0</v>
      </c>
      <c r="C230" s="4" t="s">
        <v>21344</v>
      </c>
      <c r="D230" s="15"/>
      <c r="E230" s="15"/>
      <c r="F230" s="15"/>
      <c r="G230" s="15"/>
      <c r="H230" s="103"/>
      <c r="I230" s="100" t="s">
        <v>21345</v>
      </c>
      <c r="J230" s="103"/>
    </row>
    <row r="231">
      <c r="A231" s="4" t="s">
        <v>20662</v>
      </c>
      <c r="B231" s="13">
        <v>10.0</v>
      </c>
      <c r="C231" s="4" t="s">
        <v>21346</v>
      </c>
      <c r="D231" s="13"/>
      <c r="E231" s="15"/>
      <c r="F231" s="15"/>
      <c r="G231" s="15"/>
      <c r="H231" s="103"/>
      <c r="I231" s="100" t="s">
        <v>21347</v>
      </c>
      <c r="J231" s="103"/>
    </row>
    <row r="232">
      <c r="A232" s="4" t="s">
        <v>20662</v>
      </c>
      <c r="B232" s="13">
        <v>11.0</v>
      </c>
      <c r="C232" s="4" t="s">
        <v>21348</v>
      </c>
      <c r="D232" s="15"/>
      <c r="E232" s="56">
        <v>500.0</v>
      </c>
      <c r="F232" s="15"/>
      <c r="G232" s="15"/>
      <c r="H232" s="103"/>
      <c r="I232" s="100" t="s">
        <v>21349</v>
      </c>
      <c r="J232" s="100" t="s">
        <v>20870</v>
      </c>
    </row>
    <row r="233">
      <c r="A233" s="4" t="s">
        <v>20662</v>
      </c>
      <c r="B233" s="13">
        <v>12.0</v>
      </c>
      <c r="C233" s="4" t="s">
        <v>21350</v>
      </c>
      <c r="D233" s="15"/>
      <c r="E233" s="15"/>
      <c r="F233" s="15"/>
      <c r="G233" s="15"/>
      <c r="H233" s="103"/>
      <c r="I233" s="100" t="s">
        <v>21351</v>
      </c>
      <c r="J233" s="103"/>
    </row>
    <row r="234">
      <c r="A234" s="4" t="s">
        <v>20662</v>
      </c>
      <c r="B234" s="13">
        <v>13.0</v>
      </c>
      <c r="C234" s="4" t="s">
        <v>21352</v>
      </c>
      <c r="D234" s="15"/>
      <c r="E234" s="15"/>
      <c r="F234" s="15"/>
      <c r="G234" s="15"/>
      <c r="H234" s="103"/>
      <c r="I234" s="100" t="s">
        <v>21353</v>
      </c>
      <c r="J234" s="103"/>
    </row>
    <row r="235">
      <c r="A235" s="4" t="s">
        <v>20662</v>
      </c>
      <c r="B235" s="13">
        <v>14.0</v>
      </c>
      <c r="C235" s="4" t="s">
        <v>21354</v>
      </c>
      <c r="D235" s="15"/>
      <c r="E235" s="15"/>
      <c r="F235" s="15"/>
      <c r="G235" s="15"/>
      <c r="H235" s="103"/>
      <c r="I235" s="100" t="s">
        <v>21355</v>
      </c>
      <c r="J235" s="103"/>
    </row>
    <row r="236">
      <c r="A236" s="4" t="s">
        <v>20662</v>
      </c>
      <c r="B236" s="13">
        <v>15.0</v>
      </c>
      <c r="C236" s="4" t="s">
        <v>21356</v>
      </c>
      <c r="D236" s="15"/>
      <c r="E236" s="15"/>
      <c r="F236" s="15"/>
      <c r="G236" s="15"/>
      <c r="H236" s="103"/>
      <c r="I236" s="100" t="s">
        <v>21357</v>
      </c>
      <c r="J236" s="103"/>
    </row>
    <row r="237">
      <c r="A237" s="4" t="s">
        <v>20662</v>
      </c>
      <c r="B237" s="13">
        <v>16.0</v>
      </c>
      <c r="C237" s="4" t="s">
        <v>21358</v>
      </c>
      <c r="D237" s="15"/>
      <c r="E237" s="15"/>
      <c r="F237" s="15"/>
      <c r="G237" s="15"/>
      <c r="H237" s="103"/>
      <c r="I237" s="100" t="s">
        <v>21359</v>
      </c>
      <c r="J237" s="103"/>
    </row>
    <row r="238">
      <c r="A238" s="4" t="s">
        <v>20662</v>
      </c>
      <c r="B238" s="13">
        <v>17.0</v>
      </c>
      <c r="C238" s="4" t="s">
        <v>21360</v>
      </c>
      <c r="D238" s="15"/>
      <c r="E238" s="15"/>
      <c r="F238" s="15"/>
      <c r="G238" s="15"/>
      <c r="H238" s="103"/>
      <c r="I238" s="100" t="s">
        <v>21361</v>
      </c>
      <c r="J238" s="100"/>
    </row>
    <row r="239">
      <c r="A239" s="4" t="s">
        <v>20662</v>
      </c>
      <c r="B239" s="13">
        <v>18.0</v>
      </c>
      <c r="C239" s="4" t="s">
        <v>21362</v>
      </c>
      <c r="D239" s="15"/>
      <c r="E239" s="15"/>
      <c r="F239" s="15"/>
      <c r="G239" s="15"/>
      <c r="H239" s="103"/>
      <c r="I239" s="100" t="s">
        <v>21363</v>
      </c>
      <c r="J239" s="103"/>
    </row>
    <row r="240">
      <c r="A240" s="4" t="s">
        <v>20662</v>
      </c>
      <c r="B240" s="13">
        <v>19.0</v>
      </c>
      <c r="C240" s="4" t="s">
        <v>21364</v>
      </c>
      <c r="D240" s="15"/>
      <c r="E240" s="15"/>
      <c r="F240" s="15"/>
      <c r="G240" s="15"/>
      <c r="H240" s="103"/>
      <c r="I240" s="100" t="s">
        <v>21365</v>
      </c>
      <c r="J240" s="103"/>
    </row>
    <row r="241">
      <c r="A241" s="4" t="s">
        <v>20662</v>
      </c>
      <c r="B241" s="13">
        <v>20.0</v>
      </c>
      <c r="C241" s="4" t="s">
        <v>21366</v>
      </c>
      <c r="D241" s="15"/>
      <c r="E241" s="15"/>
      <c r="F241" s="15"/>
      <c r="G241" s="15"/>
      <c r="H241" s="103"/>
      <c r="I241" s="100" t="s">
        <v>21367</v>
      </c>
      <c r="J241" s="103"/>
    </row>
    <row r="242">
      <c r="A242" s="4" t="s">
        <v>20662</v>
      </c>
      <c r="B242" s="13">
        <v>21.0</v>
      </c>
      <c r="C242" s="4" t="s">
        <v>21368</v>
      </c>
      <c r="D242" s="15"/>
      <c r="E242" s="15"/>
      <c r="F242" s="15"/>
      <c r="G242" s="15"/>
      <c r="H242" s="103"/>
      <c r="I242" s="100" t="s">
        <v>21369</v>
      </c>
      <c r="J242" s="103"/>
    </row>
    <row r="243">
      <c r="A243" s="4" t="s">
        <v>20662</v>
      </c>
      <c r="B243" s="13">
        <v>22.0</v>
      </c>
      <c r="C243" s="4" t="s">
        <v>21370</v>
      </c>
      <c r="D243" s="15"/>
      <c r="E243" s="15"/>
      <c r="F243" s="15"/>
      <c r="G243" s="15"/>
      <c r="H243" s="103"/>
      <c r="I243" s="100" t="s">
        <v>21371</v>
      </c>
      <c r="J243" s="100" t="s">
        <v>20848</v>
      </c>
    </row>
    <row r="244">
      <c r="A244" s="4" t="s">
        <v>20662</v>
      </c>
      <c r="B244" s="13">
        <v>24.0</v>
      </c>
      <c r="C244" s="4" t="s">
        <v>21372</v>
      </c>
      <c r="D244" s="15"/>
      <c r="E244" s="15"/>
      <c r="F244" s="15"/>
      <c r="G244" s="15"/>
      <c r="H244" s="103"/>
      <c r="I244" s="100" t="s">
        <v>21373</v>
      </c>
      <c r="J244" s="103"/>
    </row>
    <row r="245">
      <c r="A245" s="4" t="s">
        <v>20662</v>
      </c>
      <c r="B245" s="13">
        <v>25.0</v>
      </c>
      <c r="C245" s="4" t="s">
        <v>21374</v>
      </c>
      <c r="D245" s="15"/>
      <c r="E245" s="15"/>
      <c r="F245" s="15"/>
      <c r="G245" s="15"/>
      <c r="H245" s="103"/>
      <c r="I245" s="100" t="s">
        <v>21375</v>
      </c>
      <c r="J245" s="103"/>
    </row>
    <row r="246">
      <c r="A246" s="4" t="s">
        <v>20662</v>
      </c>
      <c r="B246" s="13">
        <v>26.0</v>
      </c>
      <c r="C246" s="4" t="s">
        <v>21376</v>
      </c>
      <c r="D246" s="15"/>
      <c r="E246" s="15"/>
      <c r="F246" s="15"/>
      <c r="G246" s="15"/>
      <c r="H246" s="103"/>
      <c r="I246" s="100" t="s">
        <v>21377</v>
      </c>
      <c r="J246" s="103"/>
    </row>
    <row r="247">
      <c r="A247" s="4" t="s">
        <v>20662</v>
      </c>
      <c r="B247" s="13">
        <v>27.0</v>
      </c>
      <c r="C247" s="4" t="s">
        <v>21378</v>
      </c>
      <c r="D247" s="15"/>
      <c r="E247" s="15"/>
      <c r="F247" s="15"/>
      <c r="G247" s="15"/>
      <c r="H247" s="103"/>
      <c r="I247" s="100" t="s">
        <v>21379</v>
      </c>
      <c r="J247" s="103"/>
    </row>
    <row r="248">
      <c r="A248" s="4" t="s">
        <v>20662</v>
      </c>
      <c r="B248" s="13">
        <v>28.0</v>
      </c>
      <c r="C248" s="4" t="s">
        <v>21380</v>
      </c>
      <c r="D248" s="15"/>
      <c r="E248" s="15"/>
      <c r="F248" s="15"/>
      <c r="G248" s="15"/>
      <c r="H248" s="103"/>
      <c r="I248" s="100" t="s">
        <v>21381</v>
      </c>
      <c r="J248" s="103"/>
    </row>
    <row r="249">
      <c r="A249" s="4" t="s">
        <v>20662</v>
      </c>
      <c r="B249" s="13">
        <v>29.0</v>
      </c>
      <c r="C249" s="4" t="s">
        <v>21382</v>
      </c>
      <c r="D249" s="15"/>
      <c r="E249" s="15"/>
      <c r="F249" s="15"/>
      <c r="G249" s="15"/>
      <c r="H249" s="103"/>
      <c r="I249" s="100" t="s">
        <v>21383</v>
      </c>
      <c r="J249" s="103"/>
    </row>
    <row r="250">
      <c r="A250" s="4" t="s">
        <v>20662</v>
      </c>
      <c r="B250" s="13">
        <v>30.0</v>
      </c>
      <c r="C250" s="4" t="s">
        <v>21384</v>
      </c>
      <c r="D250" s="15"/>
      <c r="E250" s="15"/>
      <c r="F250" s="15"/>
      <c r="G250" s="15"/>
      <c r="H250" s="103"/>
      <c r="I250" s="100" t="s">
        <v>21385</v>
      </c>
      <c r="J250" s="103"/>
    </row>
    <row r="251">
      <c r="A251" s="4" t="s">
        <v>20671</v>
      </c>
      <c r="B251" s="13" t="s">
        <v>20600</v>
      </c>
      <c r="C251" s="4" t="s">
        <v>20600</v>
      </c>
      <c r="D251" s="15"/>
      <c r="E251" s="15"/>
      <c r="F251" s="15"/>
      <c r="G251" s="15"/>
      <c r="H251" s="103"/>
      <c r="I251" s="100" t="s">
        <v>21386</v>
      </c>
      <c r="J251" s="103"/>
    </row>
    <row r="252">
      <c r="A252" s="4" t="s">
        <v>20671</v>
      </c>
      <c r="B252" s="13">
        <v>2.0</v>
      </c>
      <c r="C252" s="4" t="s">
        <v>21387</v>
      </c>
      <c r="D252" s="15"/>
      <c r="E252" s="15"/>
      <c r="F252" s="15"/>
      <c r="G252" s="15"/>
      <c r="H252" s="103"/>
      <c r="I252" s="100" t="s">
        <v>21388</v>
      </c>
      <c r="J252" s="103"/>
    </row>
    <row r="253">
      <c r="A253" s="4" t="s">
        <v>20671</v>
      </c>
      <c r="B253" s="13">
        <v>3.0</v>
      </c>
      <c r="C253" s="4" t="s">
        <v>21389</v>
      </c>
      <c r="D253" s="15"/>
      <c r="E253" s="15"/>
      <c r="F253" s="15"/>
      <c r="G253" s="15"/>
      <c r="H253" s="103"/>
      <c r="I253" s="100" t="s">
        <v>21390</v>
      </c>
      <c r="J253" s="100"/>
    </row>
    <row r="254">
      <c r="A254" s="4" t="s">
        <v>20671</v>
      </c>
      <c r="B254" s="13">
        <v>4.0</v>
      </c>
      <c r="C254" s="4" t="s">
        <v>21391</v>
      </c>
      <c r="D254" s="15"/>
      <c r="E254" s="15"/>
      <c r="F254" s="15"/>
      <c r="G254" s="15"/>
      <c r="H254" s="103"/>
      <c r="I254" s="100" t="s">
        <v>21392</v>
      </c>
      <c r="J254" s="103"/>
    </row>
    <row r="255">
      <c r="A255" s="4" t="s">
        <v>20671</v>
      </c>
      <c r="B255" s="13">
        <v>5.0</v>
      </c>
      <c r="C255" s="4" t="s">
        <v>21393</v>
      </c>
      <c r="D255" s="13"/>
      <c r="E255" s="15"/>
      <c r="F255" s="15"/>
      <c r="G255" s="15"/>
      <c r="H255" s="103"/>
      <c r="I255" s="100" t="s">
        <v>21394</v>
      </c>
      <c r="J255" s="103"/>
    </row>
    <row r="256">
      <c r="A256" s="4" t="s">
        <v>20671</v>
      </c>
      <c r="B256" s="13">
        <v>6.0</v>
      </c>
      <c r="C256" s="4" t="s">
        <v>21395</v>
      </c>
      <c r="D256" s="13"/>
      <c r="E256" s="15"/>
      <c r="F256" s="15"/>
      <c r="G256" s="15"/>
      <c r="H256" s="103"/>
      <c r="I256" s="100" t="s">
        <v>21396</v>
      </c>
      <c r="J256" s="103"/>
    </row>
    <row r="257">
      <c r="A257" s="4" t="s">
        <v>20671</v>
      </c>
      <c r="B257" s="13">
        <v>7.0</v>
      </c>
      <c r="C257" s="4" t="s">
        <v>21397</v>
      </c>
      <c r="D257" s="15"/>
      <c r="E257" s="15"/>
      <c r="F257" s="15"/>
      <c r="G257" s="15"/>
      <c r="H257" s="103"/>
      <c r="I257" s="100" t="s">
        <v>21398</v>
      </c>
      <c r="J257" s="103"/>
    </row>
    <row r="258">
      <c r="A258" s="4" t="s">
        <v>20671</v>
      </c>
      <c r="B258" s="13">
        <v>8.0</v>
      </c>
      <c r="C258" s="4" t="s">
        <v>21399</v>
      </c>
      <c r="D258" s="15"/>
      <c r="E258" s="15"/>
      <c r="F258" s="15"/>
      <c r="G258" s="15"/>
      <c r="H258" s="103"/>
      <c r="I258" s="100" t="s">
        <v>21400</v>
      </c>
      <c r="J258" s="100" t="s">
        <v>20870</v>
      </c>
    </row>
    <row r="259">
      <c r="A259" s="4" t="s">
        <v>20671</v>
      </c>
      <c r="B259" s="13">
        <v>9.0</v>
      </c>
      <c r="C259" s="4" t="s">
        <v>21401</v>
      </c>
      <c r="D259" s="15"/>
      <c r="E259" s="15"/>
      <c r="F259" s="15"/>
      <c r="G259" s="15"/>
      <c r="H259" s="103"/>
      <c r="I259" s="100" t="s">
        <v>21402</v>
      </c>
      <c r="J259" s="103"/>
    </row>
    <row r="260">
      <c r="A260" s="4" t="s">
        <v>20671</v>
      </c>
      <c r="B260" s="13">
        <v>10.0</v>
      </c>
      <c r="C260" s="4" t="s">
        <v>21403</v>
      </c>
      <c r="D260" s="13" t="s">
        <v>21404</v>
      </c>
      <c r="E260" s="15"/>
      <c r="F260" s="15"/>
      <c r="G260" s="15"/>
      <c r="H260" s="103"/>
      <c r="I260" s="100" t="s">
        <v>21405</v>
      </c>
      <c r="J260" s="103"/>
    </row>
    <row r="261">
      <c r="A261" s="4" t="s">
        <v>20671</v>
      </c>
      <c r="B261" s="13">
        <v>11.0</v>
      </c>
      <c r="C261" s="4" t="s">
        <v>21406</v>
      </c>
      <c r="D261" s="13" t="s">
        <v>21404</v>
      </c>
      <c r="E261" s="15"/>
      <c r="F261" s="15"/>
      <c r="G261" s="15"/>
      <c r="H261" s="103"/>
      <c r="I261" s="100" t="s">
        <v>21407</v>
      </c>
      <c r="J261" s="103"/>
    </row>
    <row r="262">
      <c r="A262" s="4" t="s">
        <v>20671</v>
      </c>
      <c r="B262" s="13">
        <v>12.0</v>
      </c>
      <c r="C262" s="4" t="s">
        <v>21408</v>
      </c>
      <c r="D262" s="15"/>
      <c r="E262" s="15"/>
      <c r="F262" s="15"/>
      <c r="G262" s="15"/>
      <c r="H262" s="103"/>
      <c r="I262" s="100" t="s">
        <v>21409</v>
      </c>
      <c r="J262" s="103"/>
    </row>
    <row r="263">
      <c r="A263" s="4" t="s">
        <v>20671</v>
      </c>
      <c r="B263" s="13">
        <v>13.0</v>
      </c>
      <c r="C263" s="4" t="s">
        <v>21410</v>
      </c>
      <c r="D263" s="15"/>
      <c r="E263" s="15"/>
      <c r="F263" s="15"/>
      <c r="G263" s="15"/>
      <c r="H263" s="103"/>
      <c r="I263" s="100" t="s">
        <v>21411</v>
      </c>
      <c r="J263" s="103"/>
    </row>
    <row r="264">
      <c r="A264" s="4" t="s">
        <v>20671</v>
      </c>
      <c r="B264" s="13">
        <v>14.0</v>
      </c>
      <c r="C264" s="4" t="s">
        <v>21412</v>
      </c>
      <c r="D264" s="15"/>
      <c r="E264" s="15"/>
      <c r="F264" s="15"/>
      <c r="G264" s="15"/>
      <c r="H264" s="103"/>
      <c r="I264" s="100" t="s">
        <v>21413</v>
      </c>
      <c r="J264" s="103"/>
    </row>
    <row r="265">
      <c r="A265" s="4" t="s">
        <v>20671</v>
      </c>
      <c r="B265" s="13">
        <v>15.0</v>
      </c>
      <c r="C265" s="4" t="s">
        <v>21414</v>
      </c>
      <c r="D265" s="15"/>
      <c r="E265" s="15"/>
      <c r="F265" s="15"/>
      <c r="G265" s="15"/>
      <c r="H265" s="103"/>
      <c r="I265" s="100" t="s">
        <v>21415</v>
      </c>
      <c r="J265" s="103"/>
    </row>
    <row r="266">
      <c r="A266" s="4" t="s">
        <v>20671</v>
      </c>
      <c r="B266" s="13">
        <v>16.0</v>
      </c>
      <c r="C266" s="4" t="s">
        <v>21416</v>
      </c>
      <c r="D266" s="15"/>
      <c r="E266" s="15"/>
      <c r="F266" s="15"/>
      <c r="G266" s="15"/>
      <c r="H266" s="103"/>
      <c r="I266" s="100" t="s">
        <v>21417</v>
      </c>
      <c r="J266" s="103"/>
    </row>
    <row r="267">
      <c r="A267" s="4" t="s">
        <v>20671</v>
      </c>
      <c r="B267" s="13">
        <v>17.0</v>
      </c>
      <c r="C267" s="4" t="s">
        <v>21418</v>
      </c>
      <c r="D267" s="15"/>
      <c r="E267" s="15"/>
      <c r="F267" s="15"/>
      <c r="G267" s="15"/>
      <c r="H267" s="103"/>
      <c r="I267" s="100" t="s">
        <v>21419</v>
      </c>
      <c r="J267" s="103"/>
    </row>
    <row r="268">
      <c r="A268" s="4" t="s">
        <v>20671</v>
      </c>
      <c r="B268" s="13">
        <v>18.0</v>
      </c>
      <c r="C268" s="4" t="s">
        <v>21420</v>
      </c>
      <c r="D268" s="15"/>
      <c r="E268" s="15"/>
      <c r="F268" s="15"/>
      <c r="G268" s="15"/>
      <c r="H268" s="103"/>
      <c r="I268" s="100" t="s">
        <v>21421</v>
      </c>
      <c r="J268" s="103"/>
    </row>
    <row r="269">
      <c r="A269" s="4" t="s">
        <v>20671</v>
      </c>
      <c r="B269" s="13">
        <v>19.0</v>
      </c>
      <c r="C269" s="4" t="s">
        <v>21422</v>
      </c>
      <c r="D269" s="15"/>
      <c r="E269" s="15"/>
      <c r="F269" s="15"/>
      <c r="G269" s="15"/>
      <c r="H269" s="103"/>
      <c r="I269" s="100" t="s">
        <v>21423</v>
      </c>
      <c r="J269" s="103"/>
    </row>
    <row r="270">
      <c r="A270" s="4" t="s">
        <v>20671</v>
      </c>
      <c r="B270" s="13">
        <v>20.0</v>
      </c>
      <c r="C270" s="4" t="s">
        <v>21424</v>
      </c>
      <c r="D270" s="15"/>
      <c r="E270" s="15"/>
      <c r="F270" s="15"/>
      <c r="G270" s="15"/>
      <c r="H270" s="103"/>
      <c r="I270" s="100" t="s">
        <v>21425</v>
      </c>
      <c r="J270" s="103"/>
    </row>
    <row r="271">
      <c r="A271" s="4" t="s">
        <v>20671</v>
      </c>
      <c r="B271" s="13">
        <v>21.0</v>
      </c>
      <c r="C271" s="4" t="s">
        <v>21426</v>
      </c>
      <c r="D271" s="15"/>
      <c r="E271" s="15"/>
      <c r="F271" s="15"/>
      <c r="G271" s="15"/>
      <c r="H271" s="103"/>
      <c r="I271" s="100" t="s">
        <v>21427</v>
      </c>
      <c r="J271" s="103"/>
    </row>
    <row r="272">
      <c r="A272" s="4" t="s">
        <v>20671</v>
      </c>
      <c r="B272" s="13">
        <v>22.0</v>
      </c>
      <c r="C272" s="4" t="s">
        <v>21428</v>
      </c>
      <c r="D272" s="15"/>
      <c r="E272" s="15"/>
      <c r="F272" s="15"/>
      <c r="G272" s="15"/>
      <c r="H272" s="103"/>
      <c r="I272" s="100" t="s">
        <v>21429</v>
      </c>
      <c r="J272" s="103"/>
    </row>
    <row r="273">
      <c r="A273" s="4" t="s">
        <v>20671</v>
      </c>
      <c r="B273" s="13">
        <v>23.0</v>
      </c>
      <c r="C273" s="4" t="s">
        <v>21384</v>
      </c>
      <c r="D273" s="15"/>
      <c r="E273" s="15"/>
      <c r="F273" s="15"/>
      <c r="G273" s="15"/>
      <c r="H273" s="103"/>
      <c r="I273" s="100" t="s">
        <v>21430</v>
      </c>
      <c r="J273" s="103"/>
    </row>
    <row r="274">
      <c r="A274" s="4" t="s">
        <v>20680</v>
      </c>
      <c r="B274" s="13" t="s">
        <v>20600</v>
      </c>
      <c r="C274" s="4" t="s">
        <v>20600</v>
      </c>
      <c r="D274" s="15"/>
      <c r="E274" s="15"/>
      <c r="F274" s="15"/>
      <c r="G274" s="15"/>
      <c r="H274" s="103"/>
      <c r="I274" s="100" t="s">
        <v>21431</v>
      </c>
      <c r="J274" s="103"/>
    </row>
    <row r="275">
      <c r="A275" s="4" t="s">
        <v>20687</v>
      </c>
      <c r="B275" s="13" t="s">
        <v>20600</v>
      </c>
      <c r="C275" s="4" t="s">
        <v>20600</v>
      </c>
      <c r="D275" s="15"/>
      <c r="E275" s="15"/>
      <c r="F275" s="15"/>
      <c r="G275" s="15"/>
      <c r="H275" s="103"/>
      <c r="I275" s="100" t="s">
        <v>21432</v>
      </c>
      <c r="J275" s="103"/>
    </row>
    <row r="276">
      <c r="A276" s="4" t="s">
        <v>20687</v>
      </c>
      <c r="B276" s="13" t="s">
        <v>21433</v>
      </c>
      <c r="C276" s="4" t="s">
        <v>21434</v>
      </c>
      <c r="D276" s="15"/>
      <c r="E276" s="15"/>
      <c r="F276" s="15"/>
      <c r="G276" s="15"/>
      <c r="H276" s="103"/>
      <c r="I276" s="100" t="s">
        <v>21435</v>
      </c>
      <c r="J276" s="103"/>
    </row>
    <row r="277">
      <c r="A277" s="4" t="s">
        <v>20687</v>
      </c>
      <c r="B277" s="13" t="s">
        <v>21436</v>
      </c>
      <c r="C277" s="4" t="s">
        <v>21437</v>
      </c>
      <c r="D277" s="15"/>
      <c r="E277" s="15"/>
      <c r="F277" s="15"/>
      <c r="G277" s="15"/>
      <c r="H277" s="103"/>
      <c r="I277" s="100" t="s">
        <v>21438</v>
      </c>
      <c r="J277" s="103"/>
    </row>
    <row r="278">
      <c r="A278" s="4" t="s">
        <v>20687</v>
      </c>
      <c r="B278" s="13" t="s">
        <v>21439</v>
      </c>
      <c r="C278" s="4" t="s">
        <v>21440</v>
      </c>
      <c r="D278" s="15"/>
      <c r="E278" s="15"/>
      <c r="F278" s="15"/>
      <c r="G278" s="15"/>
      <c r="H278" s="103"/>
      <c r="I278" s="100" t="s">
        <v>21441</v>
      </c>
      <c r="J278" s="103"/>
    </row>
    <row r="279">
      <c r="A279" s="4" t="s">
        <v>20687</v>
      </c>
      <c r="B279" s="13" t="s">
        <v>21442</v>
      </c>
      <c r="C279" s="4" t="s">
        <v>21443</v>
      </c>
      <c r="D279" s="15"/>
      <c r="E279" s="15"/>
      <c r="F279" s="15"/>
      <c r="G279" s="15"/>
      <c r="H279" s="103"/>
      <c r="I279" s="100" t="s">
        <v>21444</v>
      </c>
      <c r="J279" s="103"/>
    </row>
    <row r="280">
      <c r="A280" s="4" t="s">
        <v>20687</v>
      </c>
      <c r="B280" s="13" t="s">
        <v>21445</v>
      </c>
      <c r="C280" s="4" t="s">
        <v>21446</v>
      </c>
      <c r="D280" s="15"/>
      <c r="E280" s="15"/>
      <c r="F280" s="15"/>
      <c r="G280" s="15"/>
      <c r="H280" s="103"/>
      <c r="I280" s="100" t="s">
        <v>21444</v>
      </c>
      <c r="J280" s="103"/>
    </row>
    <row r="281">
      <c r="A281" s="4" t="s">
        <v>20687</v>
      </c>
      <c r="B281" s="13" t="s">
        <v>21447</v>
      </c>
      <c r="C281" s="4" t="s">
        <v>21448</v>
      </c>
      <c r="D281" s="15"/>
      <c r="E281" s="15"/>
      <c r="F281" s="15"/>
      <c r="G281" s="15"/>
      <c r="H281" s="103"/>
      <c r="I281" s="100" t="s">
        <v>21449</v>
      </c>
      <c r="J281" s="103"/>
    </row>
    <row r="282">
      <c r="A282" s="4" t="s">
        <v>20687</v>
      </c>
      <c r="B282" s="13" t="s">
        <v>21450</v>
      </c>
      <c r="C282" s="4" t="s">
        <v>21451</v>
      </c>
      <c r="D282" s="15"/>
      <c r="E282" s="15"/>
      <c r="F282" s="15"/>
      <c r="G282" s="15"/>
      <c r="H282" s="103"/>
      <c r="I282" s="100" t="s">
        <v>21452</v>
      </c>
      <c r="J282" s="103"/>
    </row>
    <row r="283">
      <c r="A283" s="4" t="s">
        <v>20687</v>
      </c>
      <c r="B283" s="13" t="s">
        <v>21453</v>
      </c>
      <c r="C283" s="4" t="s">
        <v>21454</v>
      </c>
      <c r="D283" s="15"/>
      <c r="E283" s="15"/>
      <c r="F283" s="15"/>
      <c r="G283" s="15"/>
      <c r="H283" s="103"/>
      <c r="I283" s="100" t="s">
        <v>21455</v>
      </c>
      <c r="J283" s="103"/>
    </row>
    <row r="284">
      <c r="A284" s="4" t="s">
        <v>20687</v>
      </c>
      <c r="B284" s="13" t="s">
        <v>21456</v>
      </c>
      <c r="C284" s="4" t="s">
        <v>21457</v>
      </c>
      <c r="D284" s="15"/>
      <c r="E284" s="15"/>
      <c r="F284" s="15"/>
      <c r="G284" s="15"/>
      <c r="H284" s="103"/>
      <c r="I284" s="100" t="s">
        <v>21458</v>
      </c>
      <c r="J284" s="103"/>
    </row>
    <row r="285">
      <c r="A285" s="4" t="s">
        <v>20687</v>
      </c>
      <c r="B285" s="13" t="s">
        <v>21459</v>
      </c>
      <c r="C285" s="4" t="s">
        <v>21460</v>
      </c>
      <c r="D285" s="15"/>
      <c r="E285" s="15"/>
      <c r="F285" s="15"/>
      <c r="G285" s="15"/>
      <c r="H285" s="103"/>
      <c r="I285" s="100" t="s">
        <v>21461</v>
      </c>
      <c r="J285" s="103"/>
    </row>
    <row r="286">
      <c r="A286" s="4" t="s">
        <v>20687</v>
      </c>
      <c r="B286" s="13" t="s">
        <v>21462</v>
      </c>
      <c r="C286" s="4" t="s">
        <v>21463</v>
      </c>
      <c r="D286" s="15"/>
      <c r="E286" s="15"/>
      <c r="F286" s="15"/>
      <c r="G286" s="15"/>
      <c r="H286" s="103"/>
      <c r="I286" s="100" t="s">
        <v>21464</v>
      </c>
      <c r="J286" s="103"/>
    </row>
    <row r="287">
      <c r="A287" s="4" t="s">
        <v>20687</v>
      </c>
      <c r="B287" s="13" t="s">
        <v>21465</v>
      </c>
      <c r="C287" s="4" t="s">
        <v>21466</v>
      </c>
      <c r="D287" s="15"/>
      <c r="E287" s="15"/>
      <c r="F287" s="15"/>
      <c r="G287" s="15"/>
      <c r="H287" s="103"/>
      <c r="I287" s="100" t="s">
        <v>21467</v>
      </c>
      <c r="J287" s="103"/>
    </row>
    <row r="288">
      <c r="A288" s="4" t="s">
        <v>20687</v>
      </c>
      <c r="B288" s="13" t="s">
        <v>21468</v>
      </c>
      <c r="C288" s="4" t="s">
        <v>21469</v>
      </c>
      <c r="D288" s="15"/>
      <c r="E288" s="15"/>
      <c r="F288" s="15"/>
      <c r="G288" s="15"/>
      <c r="H288" s="103"/>
      <c r="I288" s="100" t="s">
        <v>21470</v>
      </c>
      <c r="J288" s="100"/>
    </row>
    <row r="289">
      <c r="A289" s="4" t="s">
        <v>20687</v>
      </c>
      <c r="B289" s="13" t="s">
        <v>21471</v>
      </c>
      <c r="C289" s="4" t="s">
        <v>21472</v>
      </c>
      <c r="D289" s="15"/>
      <c r="E289" s="15"/>
      <c r="F289" s="15"/>
      <c r="G289" s="15"/>
      <c r="H289" s="103"/>
      <c r="I289" s="100" t="s">
        <v>21473</v>
      </c>
      <c r="J289" s="103"/>
    </row>
    <row r="290">
      <c r="A290" s="4" t="s">
        <v>20694</v>
      </c>
      <c r="B290" s="13" t="s">
        <v>20600</v>
      </c>
      <c r="C290" s="4" t="s">
        <v>20600</v>
      </c>
      <c r="D290" s="15"/>
      <c r="E290" s="15"/>
      <c r="F290" s="15"/>
      <c r="G290" s="15"/>
      <c r="H290" s="103"/>
      <c r="I290" s="100" t="s">
        <v>21474</v>
      </c>
      <c r="J290" s="100"/>
    </row>
    <row r="291">
      <c r="A291" s="4" t="s">
        <v>20694</v>
      </c>
      <c r="B291" s="13">
        <v>1.0</v>
      </c>
      <c r="C291" s="4" t="s">
        <v>21475</v>
      </c>
      <c r="D291" s="15"/>
      <c r="E291" s="15"/>
      <c r="F291" s="15"/>
      <c r="G291" s="15"/>
      <c r="H291" s="103"/>
      <c r="I291" s="100" t="s">
        <v>21476</v>
      </c>
      <c r="J291" s="103"/>
    </row>
    <row r="292">
      <c r="A292" s="4" t="s">
        <v>20694</v>
      </c>
      <c r="B292" s="13">
        <v>2.0</v>
      </c>
      <c r="C292" s="4" t="s">
        <v>21477</v>
      </c>
      <c r="D292" s="15"/>
      <c r="E292" s="15"/>
      <c r="F292" s="15"/>
      <c r="G292" s="15"/>
      <c r="H292" s="103"/>
      <c r="I292" s="100" t="s">
        <v>21478</v>
      </c>
      <c r="J292" s="100"/>
    </row>
    <row r="293">
      <c r="A293" s="4" t="s">
        <v>20694</v>
      </c>
      <c r="B293" s="13">
        <v>3.0</v>
      </c>
      <c r="C293" s="4" t="s">
        <v>21479</v>
      </c>
      <c r="D293" s="15"/>
      <c r="E293" s="15"/>
      <c r="F293" s="15"/>
      <c r="G293" s="15"/>
      <c r="H293" s="103"/>
      <c r="I293" s="100" t="s">
        <v>21480</v>
      </c>
      <c r="J293" s="100" t="s">
        <v>20676</v>
      </c>
    </row>
    <row r="294">
      <c r="A294" s="4" t="s">
        <v>20694</v>
      </c>
      <c r="B294" s="13">
        <v>4.0</v>
      </c>
      <c r="C294" s="4" t="s">
        <v>21481</v>
      </c>
      <c r="D294" s="15"/>
      <c r="E294" s="15"/>
      <c r="F294" s="15"/>
      <c r="G294" s="15"/>
      <c r="H294" s="103"/>
      <c r="I294" s="100" t="s">
        <v>21482</v>
      </c>
      <c r="J294" s="103"/>
    </row>
    <row r="295">
      <c r="A295" s="4" t="s">
        <v>20694</v>
      </c>
      <c r="B295" s="13">
        <v>5.0</v>
      </c>
      <c r="C295" s="4" t="s">
        <v>21483</v>
      </c>
      <c r="D295" s="15"/>
      <c r="E295" s="15"/>
      <c r="F295" s="15"/>
      <c r="G295" s="15"/>
      <c r="H295" s="103"/>
      <c r="I295" s="100" t="s">
        <v>21484</v>
      </c>
      <c r="J295" s="100" t="s">
        <v>20676</v>
      </c>
    </row>
    <row r="296">
      <c r="A296" s="4" t="s">
        <v>20694</v>
      </c>
      <c r="B296" s="13">
        <v>6.0</v>
      </c>
      <c r="C296" s="4" t="s">
        <v>21485</v>
      </c>
      <c r="D296" s="15"/>
      <c r="E296" s="15"/>
      <c r="F296" s="15"/>
      <c r="G296" s="15"/>
      <c r="H296" s="103"/>
      <c r="I296" s="100" t="s">
        <v>21486</v>
      </c>
      <c r="J296" s="103"/>
    </row>
    <row r="297">
      <c r="A297" s="4" t="s">
        <v>20694</v>
      </c>
      <c r="B297" s="13">
        <v>7.0</v>
      </c>
      <c r="C297" s="4" t="s">
        <v>21487</v>
      </c>
      <c r="D297" s="15"/>
      <c r="E297" s="15"/>
      <c r="F297" s="15"/>
      <c r="G297" s="15"/>
      <c r="H297" s="103"/>
      <c r="I297" s="100" t="s">
        <v>21488</v>
      </c>
      <c r="J297" s="100" t="s">
        <v>20676</v>
      </c>
    </row>
    <row r="298">
      <c r="A298" s="4" t="s">
        <v>20694</v>
      </c>
      <c r="B298" s="13">
        <v>8.0</v>
      </c>
      <c r="C298" s="4" t="s">
        <v>21489</v>
      </c>
      <c r="D298" s="15"/>
      <c r="E298" s="15"/>
      <c r="F298" s="15"/>
      <c r="G298" s="15"/>
      <c r="H298" s="103"/>
      <c r="I298" s="100" t="s">
        <v>21490</v>
      </c>
      <c r="J298" s="103"/>
    </row>
    <row r="299">
      <c r="A299" s="4" t="s">
        <v>20694</v>
      </c>
      <c r="B299" s="13">
        <v>9.0</v>
      </c>
      <c r="C299" s="4" t="s">
        <v>21491</v>
      </c>
      <c r="D299" s="15"/>
      <c r="E299" s="15"/>
      <c r="F299" s="15"/>
      <c r="G299" s="15"/>
      <c r="H299" s="103"/>
      <c r="I299" s="100" t="s">
        <v>21492</v>
      </c>
      <c r="J299" s="103"/>
    </row>
    <row r="300">
      <c r="A300" s="4" t="s">
        <v>20702</v>
      </c>
      <c r="B300" s="13" t="s">
        <v>20600</v>
      </c>
      <c r="C300" s="4" t="s">
        <v>20600</v>
      </c>
      <c r="D300" s="15"/>
      <c r="E300" s="15"/>
      <c r="F300" s="15"/>
      <c r="G300" s="15"/>
      <c r="H300" s="103"/>
      <c r="I300" s="100" t="s">
        <v>21493</v>
      </c>
      <c r="J300" s="103"/>
    </row>
    <row r="301">
      <c r="A301" s="4" t="s">
        <v>20702</v>
      </c>
      <c r="B301" s="13">
        <v>1.0</v>
      </c>
      <c r="C301" s="4" t="s">
        <v>21494</v>
      </c>
      <c r="D301" s="15"/>
      <c r="E301" s="15"/>
      <c r="F301" s="15"/>
      <c r="G301" s="15"/>
      <c r="H301" s="103"/>
      <c r="I301" s="100" t="s">
        <v>21495</v>
      </c>
      <c r="J301" s="103"/>
    </row>
    <row r="302">
      <c r="A302" s="4" t="s">
        <v>20702</v>
      </c>
      <c r="B302" s="13">
        <v>2.0</v>
      </c>
      <c r="C302" s="4" t="s">
        <v>21496</v>
      </c>
      <c r="D302" s="15"/>
      <c r="E302" s="15"/>
      <c r="F302" s="15"/>
      <c r="G302" s="15"/>
      <c r="H302" s="103"/>
      <c r="I302" s="100" t="s">
        <v>21497</v>
      </c>
      <c r="J302" s="100" t="s">
        <v>21038</v>
      </c>
    </row>
    <row r="303">
      <c r="A303" s="4" t="s">
        <v>20702</v>
      </c>
      <c r="B303" s="13">
        <v>3.0</v>
      </c>
      <c r="C303" s="4" t="s">
        <v>21498</v>
      </c>
      <c r="D303" s="15"/>
      <c r="E303" s="15"/>
      <c r="F303" s="15"/>
      <c r="G303" s="15"/>
      <c r="H303" s="103"/>
      <c r="I303" s="100" t="s">
        <v>21499</v>
      </c>
      <c r="J303" s="103"/>
    </row>
    <row r="304">
      <c r="A304" s="4" t="s">
        <v>20702</v>
      </c>
      <c r="B304" s="13">
        <v>4.0</v>
      </c>
      <c r="C304" s="4" t="s">
        <v>21500</v>
      </c>
      <c r="D304" s="15"/>
      <c r="E304" s="15"/>
      <c r="F304" s="15"/>
      <c r="G304" s="15"/>
      <c r="H304" s="103"/>
      <c r="I304" s="100" t="s">
        <v>21501</v>
      </c>
      <c r="J304" s="103"/>
    </row>
    <row r="305">
      <c r="A305" s="4" t="s">
        <v>20711</v>
      </c>
      <c r="B305" s="13" t="s">
        <v>20600</v>
      </c>
      <c r="C305" s="4" t="s">
        <v>20600</v>
      </c>
      <c r="D305" s="15"/>
      <c r="E305" s="15"/>
      <c r="F305" s="15"/>
      <c r="G305" s="15"/>
      <c r="H305" s="103"/>
      <c r="I305" s="100" t="s">
        <v>21502</v>
      </c>
      <c r="J305" s="103"/>
    </row>
    <row r="306">
      <c r="A306" s="4" t="s">
        <v>20711</v>
      </c>
      <c r="B306" s="13">
        <v>1.0</v>
      </c>
      <c r="C306" s="4" t="s">
        <v>21503</v>
      </c>
      <c r="D306" s="15"/>
      <c r="E306" s="15"/>
      <c r="F306" s="15"/>
      <c r="G306" s="15"/>
      <c r="H306" s="103"/>
      <c r="I306" s="100" t="s">
        <v>21504</v>
      </c>
      <c r="J306" s="103"/>
    </row>
    <row r="307">
      <c r="A307" s="4" t="s">
        <v>20711</v>
      </c>
      <c r="B307" s="13">
        <v>2.0</v>
      </c>
      <c r="C307" s="4" t="s">
        <v>21505</v>
      </c>
      <c r="D307" s="15"/>
      <c r="E307" s="15"/>
      <c r="F307" s="15"/>
      <c r="G307" s="15"/>
      <c r="H307" s="103"/>
      <c r="I307" s="100" t="s">
        <v>21506</v>
      </c>
      <c r="J307" s="100"/>
    </row>
    <row r="308">
      <c r="A308" s="4" t="s">
        <v>20711</v>
      </c>
      <c r="B308" s="13">
        <v>3.0</v>
      </c>
      <c r="C308" s="4" t="s">
        <v>21507</v>
      </c>
      <c r="D308" s="15"/>
      <c r="E308" s="15"/>
      <c r="F308" s="15"/>
      <c r="G308" s="15"/>
      <c r="H308" s="103"/>
      <c r="I308" s="100" t="s">
        <v>21508</v>
      </c>
      <c r="J308" s="103"/>
    </row>
    <row r="309">
      <c r="A309" s="4" t="s">
        <v>20711</v>
      </c>
      <c r="B309" s="13">
        <v>4.0</v>
      </c>
      <c r="C309" s="4" t="s">
        <v>21509</v>
      </c>
      <c r="D309" s="15"/>
      <c r="E309" s="15"/>
      <c r="F309" s="15"/>
      <c r="G309" s="15"/>
      <c r="H309" s="103"/>
      <c r="I309" s="100" t="s">
        <v>21510</v>
      </c>
      <c r="J309" s="103"/>
    </row>
    <row r="310">
      <c r="A310" s="4" t="s">
        <v>20711</v>
      </c>
      <c r="B310" s="13">
        <v>5.0</v>
      </c>
      <c r="C310" s="4" t="s">
        <v>21511</v>
      </c>
      <c r="D310" s="15"/>
      <c r="E310" s="15"/>
      <c r="F310" s="15"/>
      <c r="G310" s="15"/>
      <c r="H310" s="103"/>
      <c r="I310" s="100" t="s">
        <v>21512</v>
      </c>
      <c r="J310" s="103"/>
    </row>
    <row r="311">
      <c r="A311" s="4" t="s">
        <v>20711</v>
      </c>
      <c r="B311" s="13">
        <v>6.0</v>
      </c>
      <c r="C311" s="4" t="s">
        <v>21513</v>
      </c>
      <c r="D311" s="15"/>
      <c r="E311" s="15"/>
      <c r="F311" s="15"/>
      <c r="G311" s="15"/>
      <c r="H311" s="103"/>
      <c r="I311" s="100" t="s">
        <v>21514</v>
      </c>
      <c r="J311" s="103"/>
    </row>
    <row r="312">
      <c r="A312" s="4" t="s">
        <v>20711</v>
      </c>
      <c r="B312" s="13">
        <v>7.0</v>
      </c>
      <c r="C312" s="4" t="s">
        <v>21515</v>
      </c>
      <c r="D312" s="15"/>
      <c r="E312" s="15"/>
      <c r="F312" s="15"/>
      <c r="G312" s="15"/>
      <c r="H312" s="103"/>
      <c r="I312" s="100" t="s">
        <v>21516</v>
      </c>
      <c r="J312" s="100" t="s">
        <v>21038</v>
      </c>
    </row>
    <row r="313">
      <c r="A313" s="4" t="s">
        <v>20711</v>
      </c>
      <c r="B313" s="13">
        <v>8.0</v>
      </c>
      <c r="C313" s="4" t="s">
        <v>21517</v>
      </c>
      <c r="D313" s="15"/>
      <c r="E313" s="15"/>
      <c r="F313" s="15"/>
      <c r="G313" s="15"/>
      <c r="H313" s="103"/>
      <c r="I313" s="100" t="s">
        <v>21518</v>
      </c>
      <c r="J313" s="103"/>
    </row>
    <row r="314">
      <c r="A314" s="4" t="s">
        <v>20711</v>
      </c>
      <c r="B314" s="13">
        <v>9.0</v>
      </c>
      <c r="C314" s="4" t="s">
        <v>21519</v>
      </c>
      <c r="D314" s="15"/>
      <c r="E314" s="15"/>
      <c r="F314" s="15"/>
      <c r="G314" s="15"/>
      <c r="H314" s="103"/>
      <c r="I314" s="100" t="s">
        <v>21520</v>
      </c>
      <c r="J314" s="103"/>
    </row>
    <row r="315">
      <c r="A315" s="4" t="s">
        <v>20711</v>
      </c>
      <c r="B315" s="13">
        <v>10.0</v>
      </c>
      <c r="C315" s="4" t="s">
        <v>21521</v>
      </c>
      <c r="D315" s="15"/>
      <c r="E315" s="15"/>
      <c r="F315" s="15"/>
      <c r="G315" s="15"/>
      <c r="H315" s="103"/>
      <c r="I315" s="100" t="s">
        <v>21522</v>
      </c>
      <c r="J315" s="103"/>
    </row>
    <row r="316">
      <c r="A316" s="4" t="s">
        <v>20711</v>
      </c>
      <c r="B316" s="13">
        <v>11.0</v>
      </c>
      <c r="C316" s="4" t="s">
        <v>21523</v>
      </c>
      <c r="D316" s="15"/>
      <c r="E316" s="15"/>
      <c r="F316" s="15"/>
      <c r="G316" s="15"/>
      <c r="H316" s="103"/>
      <c r="I316" s="100" t="s">
        <v>21524</v>
      </c>
      <c r="J316" s="103"/>
    </row>
    <row r="317">
      <c r="A317" s="4" t="s">
        <v>20711</v>
      </c>
      <c r="B317" s="13">
        <v>12.0</v>
      </c>
      <c r="C317" s="4" t="s">
        <v>21525</v>
      </c>
      <c r="D317" s="15"/>
      <c r="E317" s="15"/>
      <c r="F317" s="15"/>
      <c r="G317" s="15"/>
      <c r="H317" s="103"/>
      <c r="I317" s="100" t="s">
        <v>21526</v>
      </c>
      <c r="J317" s="100"/>
    </row>
    <row r="318">
      <c r="A318" s="4" t="s">
        <v>20711</v>
      </c>
      <c r="B318" s="13">
        <v>13.0</v>
      </c>
      <c r="C318" s="4" t="s">
        <v>21527</v>
      </c>
      <c r="D318" s="15"/>
      <c r="E318" s="15"/>
      <c r="F318" s="15"/>
      <c r="G318" s="15"/>
      <c r="H318" s="103"/>
      <c r="I318" s="100" t="s">
        <v>21528</v>
      </c>
      <c r="J318" s="100"/>
    </row>
    <row r="319">
      <c r="A319" s="4" t="s">
        <v>20711</v>
      </c>
      <c r="B319" s="13">
        <v>14.0</v>
      </c>
      <c r="C319" s="4" t="s">
        <v>21529</v>
      </c>
      <c r="D319" s="15"/>
      <c r="E319" s="15"/>
      <c r="F319" s="15"/>
      <c r="G319" s="15"/>
      <c r="H319" s="103"/>
      <c r="I319" s="100" t="s">
        <v>21530</v>
      </c>
      <c r="J319" s="103"/>
    </row>
    <row r="320">
      <c r="A320" s="4" t="s">
        <v>20711</v>
      </c>
      <c r="B320" s="13">
        <v>15.0</v>
      </c>
      <c r="C320" s="4" t="s">
        <v>21531</v>
      </c>
      <c r="D320" s="15"/>
      <c r="E320" s="15"/>
      <c r="F320" s="15"/>
      <c r="G320" s="15"/>
      <c r="H320" s="103"/>
      <c r="I320" s="100" t="s">
        <v>21532</v>
      </c>
      <c r="J320" s="103"/>
    </row>
    <row r="321">
      <c r="A321" s="4" t="s">
        <v>20711</v>
      </c>
      <c r="B321" s="13">
        <v>16.0</v>
      </c>
      <c r="C321" s="4" t="s">
        <v>21533</v>
      </c>
      <c r="D321" s="15"/>
      <c r="E321" s="15"/>
      <c r="F321" s="15"/>
      <c r="G321" s="15"/>
      <c r="H321" s="103"/>
      <c r="I321" s="100" t="s">
        <v>21534</v>
      </c>
      <c r="J321" s="103"/>
    </row>
    <row r="322">
      <c r="A322" s="4" t="s">
        <v>20711</v>
      </c>
      <c r="B322" s="13">
        <v>17.0</v>
      </c>
      <c r="C322" s="4" t="s">
        <v>16722</v>
      </c>
      <c r="D322" s="13"/>
      <c r="E322" s="15"/>
      <c r="F322" s="15"/>
      <c r="G322" s="15"/>
      <c r="H322" s="103"/>
      <c r="I322" s="100" t="s">
        <v>21535</v>
      </c>
      <c r="J322" s="100" t="s">
        <v>21038</v>
      </c>
    </row>
    <row r="323">
      <c r="A323" s="4" t="s">
        <v>20711</v>
      </c>
      <c r="B323" s="13">
        <v>18.0</v>
      </c>
      <c r="C323" s="4" t="s">
        <v>21536</v>
      </c>
      <c r="D323" s="15"/>
      <c r="E323" s="15"/>
      <c r="F323" s="15"/>
      <c r="G323" s="15"/>
      <c r="H323" s="103"/>
      <c r="I323" s="100" t="s">
        <v>21537</v>
      </c>
      <c r="J323" s="100" t="s">
        <v>21038</v>
      </c>
    </row>
    <row r="324">
      <c r="A324" s="4" t="s">
        <v>20711</v>
      </c>
      <c r="B324" s="13">
        <v>19.0</v>
      </c>
      <c r="C324" s="4" t="s">
        <v>21384</v>
      </c>
      <c r="D324" s="15"/>
      <c r="E324" s="15"/>
      <c r="F324" s="15"/>
      <c r="G324" s="15"/>
      <c r="H324" s="103"/>
      <c r="I324" s="100" t="s">
        <v>21538</v>
      </c>
      <c r="J324" s="103"/>
    </row>
    <row r="325">
      <c r="A325" s="4" t="s">
        <v>20720</v>
      </c>
      <c r="B325" s="13" t="s">
        <v>20600</v>
      </c>
      <c r="C325" s="4" t="s">
        <v>20600</v>
      </c>
      <c r="D325" s="15"/>
      <c r="E325" s="15"/>
      <c r="F325" s="15"/>
      <c r="G325" s="15"/>
      <c r="H325" s="103"/>
      <c r="I325" s="100" t="s">
        <v>21539</v>
      </c>
      <c r="J325" s="103"/>
    </row>
    <row r="326">
      <c r="A326" s="4" t="s">
        <v>20720</v>
      </c>
      <c r="B326" s="13">
        <v>1.0</v>
      </c>
      <c r="C326" s="4" t="s">
        <v>21540</v>
      </c>
      <c r="D326" s="15"/>
      <c r="E326" s="15"/>
      <c r="F326" s="15"/>
      <c r="G326" s="15"/>
      <c r="H326" s="103"/>
      <c r="I326" s="100" t="s">
        <v>21541</v>
      </c>
      <c r="J326" s="100"/>
    </row>
    <row r="327">
      <c r="A327" s="4" t="s">
        <v>20720</v>
      </c>
      <c r="B327" s="13">
        <v>2.0</v>
      </c>
      <c r="C327" s="4" t="s">
        <v>21542</v>
      </c>
      <c r="D327" s="13" t="s">
        <v>4076</v>
      </c>
      <c r="E327" s="15"/>
      <c r="F327" s="15"/>
      <c r="G327" s="15"/>
      <c r="H327" s="103"/>
      <c r="I327" s="100" t="s">
        <v>21543</v>
      </c>
      <c r="J327" s="103"/>
    </row>
    <row r="328">
      <c r="A328" s="4" t="s">
        <v>20720</v>
      </c>
      <c r="B328" s="13">
        <v>3.0</v>
      </c>
      <c r="C328" s="4" t="s">
        <v>21544</v>
      </c>
      <c r="D328" s="15"/>
      <c r="E328" s="15"/>
      <c r="F328" s="15"/>
      <c r="G328" s="15"/>
      <c r="H328" s="103"/>
      <c r="I328" s="100" t="s">
        <v>21545</v>
      </c>
      <c r="J328" s="103"/>
    </row>
    <row r="329">
      <c r="A329" s="4" t="s">
        <v>20720</v>
      </c>
      <c r="B329" s="13">
        <v>4.0</v>
      </c>
      <c r="C329" s="4" t="s">
        <v>21546</v>
      </c>
      <c r="D329" s="15"/>
      <c r="E329" s="15"/>
      <c r="F329" s="15"/>
      <c r="G329" s="15"/>
      <c r="H329" s="103"/>
      <c r="I329" s="100" t="s">
        <v>21547</v>
      </c>
      <c r="J329" s="103"/>
    </row>
    <row r="330">
      <c r="A330" s="4" t="s">
        <v>20720</v>
      </c>
      <c r="B330" s="13">
        <v>5.0</v>
      </c>
      <c r="C330" s="4" t="s">
        <v>21548</v>
      </c>
      <c r="D330" s="15"/>
      <c r="E330" s="15"/>
      <c r="F330" s="15"/>
      <c r="G330" s="15"/>
      <c r="H330" s="103"/>
      <c r="I330" s="100" t="s">
        <v>21549</v>
      </c>
      <c r="J330" s="103"/>
    </row>
    <row r="331">
      <c r="A331" s="4" t="s">
        <v>20720</v>
      </c>
      <c r="B331" s="13">
        <v>6.0</v>
      </c>
      <c r="C331" s="4" t="s">
        <v>21550</v>
      </c>
      <c r="D331" s="15"/>
      <c r="E331" s="15"/>
      <c r="F331" s="15"/>
      <c r="G331" s="15"/>
      <c r="H331" s="103"/>
      <c r="I331" s="100" t="s">
        <v>21551</v>
      </c>
      <c r="J331" s="100" t="s">
        <v>20676</v>
      </c>
    </row>
    <row r="332">
      <c r="A332" s="4" t="s">
        <v>20720</v>
      </c>
      <c r="B332" s="13">
        <v>7.0</v>
      </c>
      <c r="C332" s="4" t="s">
        <v>21552</v>
      </c>
      <c r="D332" s="15"/>
      <c r="E332" s="15"/>
      <c r="F332" s="15"/>
      <c r="G332" s="15"/>
      <c r="H332" s="103"/>
      <c r="I332" s="100" t="s">
        <v>21553</v>
      </c>
      <c r="J332" s="103"/>
    </row>
    <row r="333">
      <c r="A333" s="4" t="s">
        <v>20720</v>
      </c>
      <c r="B333" s="13">
        <v>8.0</v>
      </c>
      <c r="C333" s="4" t="s">
        <v>21554</v>
      </c>
      <c r="D333" s="13"/>
      <c r="E333" s="15"/>
      <c r="F333" s="15"/>
      <c r="G333" s="15"/>
      <c r="H333" s="103"/>
      <c r="I333" s="100" t="s">
        <v>21555</v>
      </c>
      <c r="J333" s="103"/>
    </row>
    <row r="334">
      <c r="A334" s="4" t="s">
        <v>20729</v>
      </c>
      <c r="B334" s="13" t="s">
        <v>20600</v>
      </c>
      <c r="C334" s="4" t="s">
        <v>20600</v>
      </c>
      <c r="D334" s="15"/>
      <c r="E334" s="15"/>
      <c r="F334" s="15"/>
      <c r="G334" s="15"/>
      <c r="H334" s="103"/>
      <c r="I334" s="100" t="s">
        <v>21556</v>
      </c>
      <c r="J334" s="103"/>
    </row>
    <row r="335">
      <c r="A335" s="4" t="s">
        <v>20729</v>
      </c>
      <c r="B335" s="13">
        <v>1.0</v>
      </c>
      <c r="C335" s="4" t="s">
        <v>21557</v>
      </c>
      <c r="D335" s="15"/>
      <c r="E335" s="15"/>
      <c r="F335" s="15"/>
      <c r="G335" s="15"/>
      <c r="H335" s="103"/>
      <c r="I335" s="100" t="s">
        <v>21558</v>
      </c>
      <c r="J335" s="103"/>
    </row>
    <row r="336">
      <c r="A336" s="4" t="s">
        <v>20729</v>
      </c>
      <c r="B336" s="13">
        <v>2.0</v>
      </c>
      <c r="C336" s="4" t="s">
        <v>21559</v>
      </c>
      <c r="D336" s="15"/>
      <c r="E336" s="15"/>
      <c r="F336" s="15"/>
      <c r="G336" s="15"/>
      <c r="H336" s="103"/>
      <c r="I336" s="100" t="s">
        <v>21560</v>
      </c>
      <c r="J336" s="103"/>
    </row>
    <row r="337">
      <c r="A337" s="4" t="s">
        <v>20729</v>
      </c>
      <c r="B337" s="13">
        <v>3.0</v>
      </c>
      <c r="C337" s="4" t="s">
        <v>21561</v>
      </c>
      <c r="D337" s="15"/>
      <c r="E337" s="15"/>
      <c r="F337" s="15"/>
      <c r="G337" s="15"/>
      <c r="H337" s="103"/>
      <c r="I337" s="100" t="s">
        <v>21562</v>
      </c>
      <c r="J337" s="103"/>
    </row>
    <row r="338">
      <c r="A338" s="4" t="s">
        <v>20729</v>
      </c>
      <c r="B338" s="13">
        <v>4.0</v>
      </c>
      <c r="C338" s="4" t="s">
        <v>21563</v>
      </c>
      <c r="D338" s="13" t="s">
        <v>4076</v>
      </c>
      <c r="E338" s="15"/>
      <c r="F338" s="15"/>
      <c r="G338" s="15"/>
      <c r="H338" s="103"/>
      <c r="I338" s="100" t="s">
        <v>21564</v>
      </c>
      <c r="J338" s="103"/>
    </row>
    <row r="339">
      <c r="A339" s="4" t="s">
        <v>20729</v>
      </c>
      <c r="B339" s="13">
        <v>5.0</v>
      </c>
      <c r="C339" s="4" t="s">
        <v>21565</v>
      </c>
      <c r="D339" s="15"/>
      <c r="E339" s="15"/>
      <c r="F339" s="15"/>
      <c r="G339" s="15"/>
      <c r="H339" s="103"/>
      <c r="I339" s="100" t="s">
        <v>21566</v>
      </c>
      <c r="J339" s="103"/>
    </row>
    <row r="340">
      <c r="A340" s="4" t="s">
        <v>20729</v>
      </c>
      <c r="B340" s="13">
        <v>6.0</v>
      </c>
      <c r="C340" s="4" t="s">
        <v>21567</v>
      </c>
      <c r="D340" s="15"/>
      <c r="E340" s="15"/>
      <c r="F340" s="15"/>
      <c r="G340" s="15"/>
      <c r="H340" s="103"/>
      <c r="I340" s="100" t="s">
        <v>21568</v>
      </c>
      <c r="J340" s="100" t="s">
        <v>20870</v>
      </c>
    </row>
    <row r="341">
      <c r="A341" s="4" t="s">
        <v>20729</v>
      </c>
      <c r="B341" s="13">
        <v>7.0</v>
      </c>
      <c r="C341" s="4" t="s">
        <v>21569</v>
      </c>
      <c r="D341" s="15"/>
      <c r="E341" s="15"/>
      <c r="F341" s="15"/>
      <c r="G341" s="15"/>
      <c r="H341" s="103"/>
      <c r="I341" s="100" t="s">
        <v>21570</v>
      </c>
      <c r="J341" s="103"/>
    </row>
    <row r="342">
      <c r="A342" s="4" t="s">
        <v>20740</v>
      </c>
      <c r="B342" s="13" t="s">
        <v>20600</v>
      </c>
      <c r="C342" s="4" t="s">
        <v>20600</v>
      </c>
      <c r="D342" s="13"/>
      <c r="E342" s="15"/>
      <c r="F342" s="15"/>
      <c r="G342" s="15"/>
      <c r="H342" s="103"/>
      <c r="I342" s="100" t="s">
        <v>21571</v>
      </c>
      <c r="J342" s="100"/>
    </row>
    <row r="343">
      <c r="A343" s="4" t="s">
        <v>20740</v>
      </c>
      <c r="B343" s="13">
        <v>1.0</v>
      </c>
      <c r="C343" s="4" t="s">
        <v>21572</v>
      </c>
      <c r="D343" s="15"/>
      <c r="E343" s="15"/>
      <c r="F343" s="15"/>
      <c r="G343" s="15"/>
      <c r="H343" s="103"/>
      <c r="I343" s="100" t="s">
        <v>21573</v>
      </c>
      <c r="J343" s="103"/>
    </row>
    <row r="344">
      <c r="A344" s="4" t="s">
        <v>20740</v>
      </c>
      <c r="B344" s="13">
        <v>2.0</v>
      </c>
      <c r="C344" s="4" t="s">
        <v>21574</v>
      </c>
      <c r="D344" s="15"/>
      <c r="E344" s="15"/>
      <c r="F344" s="15"/>
      <c r="G344" s="15"/>
      <c r="H344" s="103"/>
      <c r="I344" s="100" t="s">
        <v>21575</v>
      </c>
      <c r="J344" s="103"/>
    </row>
    <row r="345">
      <c r="A345" s="4" t="s">
        <v>20740</v>
      </c>
      <c r="B345" s="13">
        <v>3.0</v>
      </c>
      <c r="C345" s="4" t="s">
        <v>21576</v>
      </c>
      <c r="D345" s="15"/>
      <c r="E345" s="15"/>
      <c r="F345" s="15"/>
      <c r="G345" s="15"/>
      <c r="H345" s="103"/>
      <c r="I345" s="100" t="s">
        <v>21577</v>
      </c>
      <c r="J345" s="103"/>
    </row>
    <row r="346">
      <c r="A346" s="4" t="s">
        <v>20740</v>
      </c>
      <c r="B346" s="13">
        <v>4.0</v>
      </c>
      <c r="C346" s="4" t="s">
        <v>21578</v>
      </c>
      <c r="D346" s="15"/>
      <c r="E346" s="15"/>
      <c r="F346" s="15"/>
      <c r="G346" s="15"/>
      <c r="H346" s="103"/>
      <c r="I346" s="100" t="s">
        <v>21579</v>
      </c>
      <c r="J346" s="103"/>
    </row>
    <row r="347">
      <c r="A347" s="4" t="s">
        <v>20740</v>
      </c>
      <c r="B347" s="13">
        <v>5.0</v>
      </c>
      <c r="C347" s="4" t="s">
        <v>21580</v>
      </c>
      <c r="D347" s="15"/>
      <c r="E347" s="15"/>
      <c r="F347" s="15"/>
      <c r="G347" s="15"/>
      <c r="H347" s="103"/>
      <c r="I347" s="100" t="s">
        <v>21581</v>
      </c>
      <c r="J347" s="100" t="s">
        <v>21038</v>
      </c>
    </row>
    <row r="348">
      <c r="A348" s="4" t="s">
        <v>20740</v>
      </c>
      <c r="B348" s="13">
        <v>6.0</v>
      </c>
      <c r="C348" s="4" t="s">
        <v>21569</v>
      </c>
      <c r="D348" s="13"/>
      <c r="E348" s="15"/>
      <c r="F348" s="15"/>
      <c r="G348" s="15"/>
      <c r="H348" s="103"/>
      <c r="I348" s="100" t="s">
        <v>21582</v>
      </c>
      <c r="J348" s="103"/>
    </row>
    <row r="349">
      <c r="A349" s="4" t="s">
        <v>20747</v>
      </c>
      <c r="B349" s="13" t="s">
        <v>20600</v>
      </c>
      <c r="C349" s="4" t="s">
        <v>20600</v>
      </c>
      <c r="D349" s="13"/>
      <c r="E349" s="15"/>
      <c r="F349" s="15"/>
      <c r="G349" s="15"/>
      <c r="H349" s="103"/>
      <c r="I349" s="100" t="s">
        <v>21583</v>
      </c>
      <c r="J349" s="103"/>
    </row>
    <row r="350">
      <c r="A350" s="4" t="s">
        <v>20747</v>
      </c>
      <c r="B350" s="13">
        <v>1.0</v>
      </c>
      <c r="C350" s="4" t="s">
        <v>21584</v>
      </c>
      <c r="D350" s="15"/>
      <c r="E350" s="15"/>
      <c r="F350" s="15"/>
      <c r="G350" s="15"/>
      <c r="H350" s="103"/>
      <c r="I350" s="100" t="s">
        <v>21585</v>
      </c>
      <c r="J350" s="103"/>
    </row>
    <row r="351">
      <c r="A351" s="4" t="s">
        <v>20747</v>
      </c>
      <c r="B351" s="13">
        <v>2.0</v>
      </c>
      <c r="C351" s="4" t="s">
        <v>21586</v>
      </c>
      <c r="D351" s="15"/>
      <c r="E351" s="15"/>
      <c r="F351" s="15"/>
      <c r="G351" s="15"/>
      <c r="H351" s="103"/>
      <c r="I351" s="100" t="s">
        <v>21587</v>
      </c>
      <c r="J351" s="103"/>
    </row>
    <row r="352">
      <c r="A352" s="4" t="s">
        <v>20747</v>
      </c>
      <c r="B352" s="13">
        <v>3.0</v>
      </c>
      <c r="C352" s="4" t="s">
        <v>21588</v>
      </c>
      <c r="D352" s="15"/>
      <c r="E352" s="15"/>
      <c r="F352" s="15"/>
      <c r="G352" s="15"/>
      <c r="H352" s="103"/>
      <c r="I352" s="100" t="s">
        <v>21589</v>
      </c>
      <c r="J352" s="103"/>
    </row>
    <row r="353">
      <c r="A353" s="4" t="s">
        <v>20747</v>
      </c>
      <c r="B353" s="13">
        <v>4.0</v>
      </c>
      <c r="C353" s="4" t="s">
        <v>21590</v>
      </c>
      <c r="D353" s="13" t="s">
        <v>4076</v>
      </c>
      <c r="E353" s="15"/>
      <c r="F353" s="15"/>
      <c r="G353" s="15"/>
      <c r="H353" s="103"/>
      <c r="I353" s="100" t="s">
        <v>21591</v>
      </c>
      <c r="J353" s="103"/>
    </row>
    <row r="354">
      <c r="A354" s="4" t="s">
        <v>20747</v>
      </c>
      <c r="B354" s="13">
        <v>5.0</v>
      </c>
      <c r="C354" s="4" t="s">
        <v>21592</v>
      </c>
      <c r="D354" s="13" t="s">
        <v>4076</v>
      </c>
      <c r="E354" s="15"/>
      <c r="F354" s="15"/>
      <c r="G354" s="15"/>
      <c r="H354" s="103"/>
      <c r="I354" s="100" t="s">
        <v>21593</v>
      </c>
      <c r="J354" s="103"/>
    </row>
    <row r="355">
      <c r="A355" s="4" t="s">
        <v>20747</v>
      </c>
      <c r="B355" s="13">
        <v>6.0</v>
      </c>
      <c r="C355" s="4" t="s">
        <v>21594</v>
      </c>
      <c r="D355" s="15"/>
      <c r="E355" s="15"/>
      <c r="F355" s="15"/>
      <c r="G355" s="15"/>
      <c r="H355" s="103"/>
      <c r="I355" s="100" t="s">
        <v>21595</v>
      </c>
      <c r="J355" s="103"/>
    </row>
    <row r="356">
      <c r="A356" s="4" t="s">
        <v>20755</v>
      </c>
      <c r="B356" s="13" t="s">
        <v>20600</v>
      </c>
      <c r="C356" s="4" t="s">
        <v>20600</v>
      </c>
      <c r="D356" s="15"/>
      <c r="E356" s="15"/>
      <c r="F356" s="15"/>
      <c r="G356" s="15"/>
      <c r="H356" s="103"/>
      <c r="I356" s="100" t="s">
        <v>21596</v>
      </c>
      <c r="J356" s="100"/>
    </row>
    <row r="357">
      <c r="A357" s="4" t="s">
        <v>20755</v>
      </c>
      <c r="B357" s="13" t="s">
        <v>21433</v>
      </c>
      <c r="C357" s="4" t="s">
        <v>21597</v>
      </c>
      <c r="D357" s="15"/>
      <c r="E357" s="15"/>
      <c r="F357" s="15"/>
      <c r="G357" s="15"/>
      <c r="H357" s="103"/>
      <c r="I357" s="100" t="s">
        <v>21598</v>
      </c>
      <c r="J357" s="100"/>
    </row>
    <row r="358">
      <c r="A358" s="4" t="s">
        <v>20755</v>
      </c>
      <c r="B358" s="13" t="s">
        <v>21436</v>
      </c>
      <c r="C358" s="4" t="s">
        <v>21599</v>
      </c>
      <c r="D358" s="15"/>
      <c r="E358" s="15"/>
      <c r="F358" s="15"/>
      <c r="G358" s="15"/>
      <c r="H358" s="103"/>
      <c r="I358" s="100" t="s">
        <v>21600</v>
      </c>
      <c r="J358" s="103"/>
    </row>
    <row r="359">
      <c r="A359" s="4" t="s">
        <v>20755</v>
      </c>
      <c r="B359" s="13" t="s">
        <v>21439</v>
      </c>
      <c r="C359" s="4" t="s">
        <v>21601</v>
      </c>
      <c r="D359" s="15"/>
      <c r="E359" s="15"/>
      <c r="F359" s="15"/>
      <c r="G359" s="15"/>
      <c r="H359" s="103"/>
      <c r="I359" s="100" t="s">
        <v>21602</v>
      </c>
      <c r="J359" s="103"/>
    </row>
    <row r="360">
      <c r="A360" s="4" t="s">
        <v>20755</v>
      </c>
      <c r="B360" s="13" t="s">
        <v>21442</v>
      </c>
      <c r="C360" s="4" t="s">
        <v>21603</v>
      </c>
      <c r="D360" s="15"/>
      <c r="E360" s="15"/>
      <c r="F360" s="15"/>
      <c r="G360" s="15"/>
      <c r="H360" s="103"/>
      <c r="I360" s="100" t="s">
        <v>21604</v>
      </c>
      <c r="J360" s="103"/>
    </row>
    <row r="361">
      <c r="A361" s="4" t="s">
        <v>20755</v>
      </c>
      <c r="B361" s="13" t="s">
        <v>21445</v>
      </c>
      <c r="C361" s="4" t="s">
        <v>21605</v>
      </c>
      <c r="D361" s="15"/>
      <c r="E361" s="15"/>
      <c r="F361" s="15"/>
      <c r="G361" s="15"/>
      <c r="H361" s="103"/>
      <c r="I361" s="100" t="s">
        <v>21606</v>
      </c>
      <c r="J361" s="100" t="s">
        <v>20657</v>
      </c>
    </row>
    <row r="362">
      <c r="A362" s="4" t="s">
        <v>20755</v>
      </c>
      <c r="B362" s="13" t="s">
        <v>21447</v>
      </c>
      <c r="C362" s="4" t="s">
        <v>21607</v>
      </c>
      <c r="D362" s="15"/>
      <c r="E362" s="15"/>
      <c r="F362" s="15"/>
      <c r="G362" s="15"/>
      <c r="H362" s="103"/>
      <c r="I362" s="100" t="s">
        <v>21608</v>
      </c>
      <c r="J362" s="100" t="s">
        <v>20676</v>
      </c>
    </row>
    <row r="363">
      <c r="A363" s="4" t="s">
        <v>20761</v>
      </c>
      <c r="B363" s="13" t="s">
        <v>20600</v>
      </c>
      <c r="C363" s="4" t="s">
        <v>20600</v>
      </c>
      <c r="D363" s="15"/>
      <c r="E363" s="15"/>
      <c r="F363" s="15"/>
      <c r="G363" s="15"/>
      <c r="H363" s="103"/>
      <c r="I363" s="100" t="s">
        <v>21609</v>
      </c>
      <c r="J363" s="103"/>
    </row>
    <row r="364">
      <c r="A364" s="4" t="s">
        <v>20761</v>
      </c>
      <c r="B364" s="13">
        <v>1.0</v>
      </c>
      <c r="C364" s="4" t="s">
        <v>21610</v>
      </c>
      <c r="D364" s="15"/>
      <c r="E364" s="15"/>
      <c r="F364" s="15"/>
      <c r="G364" s="15"/>
      <c r="H364" s="103"/>
      <c r="I364" s="100" t="s">
        <v>21611</v>
      </c>
      <c r="J364" s="103"/>
    </row>
    <row r="365">
      <c r="A365" s="4" t="s">
        <v>20761</v>
      </c>
      <c r="B365" s="13">
        <v>2.0</v>
      </c>
      <c r="C365" s="4" t="s">
        <v>21612</v>
      </c>
      <c r="D365" s="15"/>
      <c r="E365" s="15"/>
      <c r="F365" s="15"/>
      <c r="G365" s="15"/>
      <c r="H365" s="103"/>
      <c r="I365" s="100" t="s">
        <v>21613</v>
      </c>
      <c r="J365" s="103"/>
    </row>
    <row r="366">
      <c r="A366" s="4" t="s">
        <v>20761</v>
      </c>
      <c r="B366" s="13">
        <v>3.0</v>
      </c>
      <c r="C366" s="4" t="s">
        <v>21614</v>
      </c>
      <c r="D366" s="15"/>
      <c r="E366" s="15"/>
      <c r="F366" s="15"/>
      <c r="G366" s="15"/>
      <c r="H366" s="103"/>
      <c r="I366" s="100" t="s">
        <v>21615</v>
      </c>
      <c r="J366" s="103"/>
    </row>
    <row r="367">
      <c r="A367" s="4" t="s">
        <v>20761</v>
      </c>
      <c r="B367" s="13">
        <v>4.0</v>
      </c>
      <c r="C367" s="4" t="s">
        <v>21616</v>
      </c>
      <c r="D367" s="15"/>
      <c r="E367" s="15"/>
      <c r="F367" s="15"/>
      <c r="G367" s="15"/>
      <c r="H367" s="103"/>
      <c r="I367" s="100" t="s">
        <v>21617</v>
      </c>
      <c r="J367" s="103"/>
    </row>
    <row r="368">
      <c r="A368" s="4" t="s">
        <v>20761</v>
      </c>
      <c r="B368" s="13">
        <v>5.0</v>
      </c>
      <c r="C368" s="4" t="s">
        <v>21618</v>
      </c>
      <c r="D368" s="15"/>
      <c r="E368" s="15"/>
      <c r="F368" s="15"/>
      <c r="G368" s="15"/>
      <c r="H368" s="103"/>
      <c r="I368" s="100" t="s">
        <v>21619</v>
      </c>
      <c r="J368" s="103"/>
    </row>
    <row r="369">
      <c r="A369" s="4" t="s">
        <v>20761</v>
      </c>
      <c r="B369" s="13">
        <v>6.0</v>
      </c>
      <c r="C369" s="4" t="s">
        <v>21620</v>
      </c>
      <c r="D369" s="15"/>
      <c r="E369" s="15"/>
      <c r="F369" s="15"/>
      <c r="G369" s="15"/>
      <c r="H369" s="103"/>
      <c r="I369" s="100" t="s">
        <v>21621</v>
      </c>
      <c r="J369" s="103"/>
    </row>
    <row r="370">
      <c r="A370" s="4" t="s">
        <v>20761</v>
      </c>
      <c r="B370" s="13">
        <v>7.0</v>
      </c>
      <c r="C370" s="4" t="s">
        <v>21622</v>
      </c>
      <c r="D370" s="15"/>
      <c r="E370" s="15"/>
      <c r="F370" s="15"/>
      <c r="G370" s="15"/>
      <c r="H370" s="103"/>
      <c r="I370" s="100" t="s">
        <v>21623</v>
      </c>
      <c r="J370" s="103"/>
    </row>
    <row r="371">
      <c r="A371" s="4" t="s">
        <v>20761</v>
      </c>
      <c r="B371" s="13">
        <v>8.0</v>
      </c>
      <c r="C371" s="4" t="s">
        <v>21624</v>
      </c>
      <c r="D371" s="15"/>
      <c r="E371" s="15"/>
      <c r="F371" s="15"/>
      <c r="G371" s="15"/>
      <c r="H371" s="103"/>
      <c r="I371" s="100" t="s">
        <v>21625</v>
      </c>
      <c r="J371" s="103"/>
    </row>
    <row r="372">
      <c r="A372" s="4" t="s">
        <v>20761</v>
      </c>
      <c r="B372" s="13">
        <v>9.0</v>
      </c>
      <c r="C372" s="4" t="s">
        <v>21626</v>
      </c>
      <c r="D372" s="15"/>
      <c r="E372" s="15"/>
      <c r="F372" s="15"/>
      <c r="G372" s="15"/>
      <c r="H372" s="103"/>
      <c r="I372" s="100" t="s">
        <v>21627</v>
      </c>
      <c r="J372" s="103"/>
    </row>
    <row r="373">
      <c r="A373" s="4" t="s">
        <v>20761</v>
      </c>
      <c r="B373" s="13">
        <v>10.0</v>
      </c>
      <c r="C373" s="4" t="s">
        <v>21628</v>
      </c>
      <c r="D373" s="13" t="s">
        <v>4076</v>
      </c>
      <c r="E373" s="15"/>
      <c r="F373" s="15"/>
      <c r="G373" s="15"/>
      <c r="H373" s="103"/>
      <c r="I373" s="100" t="s">
        <v>21629</v>
      </c>
      <c r="J373" s="103"/>
    </row>
    <row r="374">
      <c r="A374" s="4" t="s">
        <v>20761</v>
      </c>
      <c r="B374" s="13">
        <v>11.0</v>
      </c>
      <c r="C374" s="4" t="s">
        <v>21630</v>
      </c>
      <c r="D374" s="15"/>
      <c r="E374" s="15"/>
      <c r="F374" s="15"/>
      <c r="G374" s="15"/>
      <c r="H374" s="103"/>
      <c r="I374" s="100" t="s">
        <v>21631</v>
      </c>
      <c r="J374" s="103"/>
    </row>
    <row r="375">
      <c r="B375" s="15"/>
      <c r="D375" s="15"/>
      <c r="E375" s="15"/>
      <c r="F375" s="15"/>
      <c r="G375" s="15"/>
      <c r="H375" s="103"/>
      <c r="I375" s="103"/>
    </row>
    <row r="376">
      <c r="B376" s="15"/>
      <c r="D376" s="15"/>
      <c r="E376" s="15"/>
      <c r="F376" s="15"/>
      <c r="G376" s="15"/>
      <c r="H376" s="103"/>
      <c r="I376" s="103"/>
    </row>
    <row r="377">
      <c r="B377" s="15"/>
      <c r="D377" s="15"/>
      <c r="E377" s="15"/>
      <c r="F377" s="15"/>
      <c r="G377" s="15"/>
      <c r="H377" s="103"/>
      <c r="I377" s="103"/>
    </row>
    <row r="378">
      <c r="B378" s="15"/>
      <c r="D378" s="15"/>
      <c r="E378" s="15"/>
      <c r="F378" s="15"/>
      <c r="G378" s="15"/>
      <c r="H378" s="103"/>
      <c r="I378" s="103"/>
    </row>
    <row r="379">
      <c r="B379" s="15"/>
      <c r="D379" s="15"/>
      <c r="E379" s="15"/>
      <c r="F379" s="15"/>
      <c r="G379" s="15"/>
      <c r="H379" s="103"/>
      <c r="I379" s="103"/>
    </row>
    <row r="380">
      <c r="B380" s="15"/>
      <c r="D380" s="15"/>
      <c r="E380" s="15"/>
      <c r="F380" s="15"/>
      <c r="G380" s="15"/>
      <c r="H380" s="103"/>
      <c r="I380" s="103"/>
    </row>
    <row r="381">
      <c r="B381" s="15"/>
      <c r="D381" s="15"/>
      <c r="E381" s="15"/>
      <c r="F381" s="15"/>
      <c r="G381" s="15"/>
      <c r="H381" s="103"/>
      <c r="I381" s="103"/>
    </row>
    <row r="382">
      <c r="B382" s="15"/>
      <c r="D382" s="15"/>
      <c r="E382" s="15"/>
      <c r="F382" s="15"/>
      <c r="G382" s="15"/>
      <c r="H382" s="103"/>
      <c r="I382" s="103"/>
    </row>
    <row r="383">
      <c r="B383" s="15"/>
      <c r="D383" s="15"/>
      <c r="E383" s="15"/>
      <c r="F383" s="15"/>
      <c r="G383" s="15"/>
      <c r="H383" s="103"/>
      <c r="I383" s="103"/>
    </row>
    <row r="384">
      <c r="B384" s="15"/>
      <c r="D384" s="15"/>
      <c r="E384" s="15"/>
      <c r="F384" s="15"/>
      <c r="G384" s="15"/>
      <c r="H384" s="103"/>
      <c r="I384" s="103"/>
    </row>
    <row r="385">
      <c r="B385" s="15"/>
      <c r="D385" s="15"/>
      <c r="E385" s="15"/>
      <c r="F385" s="15"/>
      <c r="G385" s="15"/>
      <c r="H385" s="103"/>
      <c r="I385" s="103"/>
    </row>
    <row r="386">
      <c r="B386" s="15"/>
      <c r="D386" s="15"/>
      <c r="E386" s="15"/>
      <c r="F386" s="15"/>
      <c r="G386" s="15"/>
      <c r="H386" s="103"/>
      <c r="I386" s="103"/>
    </row>
    <row r="387">
      <c r="B387" s="15"/>
      <c r="D387" s="15"/>
      <c r="E387" s="15"/>
      <c r="F387" s="15"/>
      <c r="G387" s="15"/>
      <c r="H387" s="103"/>
      <c r="I387" s="103"/>
    </row>
    <row r="388">
      <c r="B388" s="15"/>
      <c r="D388" s="15"/>
      <c r="E388" s="15"/>
      <c r="F388" s="15"/>
      <c r="G388" s="15"/>
      <c r="H388" s="103"/>
      <c r="I388" s="103"/>
    </row>
    <row r="389">
      <c r="B389" s="15"/>
      <c r="D389" s="15"/>
      <c r="E389" s="15"/>
      <c r="F389" s="15"/>
      <c r="G389" s="15"/>
      <c r="H389" s="103"/>
      <c r="I389" s="103"/>
    </row>
    <row r="390">
      <c r="B390" s="15"/>
      <c r="D390" s="15"/>
      <c r="E390" s="15"/>
      <c r="F390" s="15"/>
      <c r="G390" s="15"/>
      <c r="H390" s="103"/>
      <c r="I390" s="103"/>
    </row>
    <row r="391">
      <c r="B391" s="15"/>
      <c r="D391" s="15"/>
      <c r="E391" s="15"/>
      <c r="F391" s="15"/>
      <c r="G391" s="15"/>
      <c r="H391" s="103"/>
      <c r="I391" s="103"/>
    </row>
    <row r="392">
      <c r="B392" s="15"/>
      <c r="D392" s="15"/>
      <c r="E392" s="15"/>
      <c r="F392" s="15"/>
      <c r="G392" s="15"/>
      <c r="H392" s="103"/>
      <c r="I392" s="103"/>
    </row>
    <row r="393">
      <c r="B393" s="15"/>
      <c r="D393" s="15"/>
      <c r="E393" s="15"/>
      <c r="F393" s="15"/>
      <c r="G393" s="15"/>
      <c r="H393" s="103"/>
      <c r="I393" s="103"/>
    </row>
    <row r="394">
      <c r="B394" s="15"/>
      <c r="D394" s="15"/>
      <c r="E394" s="15"/>
      <c r="F394" s="15"/>
      <c r="G394" s="15"/>
      <c r="H394" s="103"/>
      <c r="I394" s="103"/>
    </row>
    <row r="395">
      <c r="B395" s="15"/>
      <c r="D395" s="15"/>
      <c r="E395" s="15"/>
      <c r="F395" s="15"/>
      <c r="G395" s="15"/>
      <c r="H395" s="103"/>
      <c r="I395" s="103"/>
    </row>
    <row r="396">
      <c r="B396" s="15"/>
      <c r="D396" s="15"/>
      <c r="E396" s="15"/>
      <c r="F396" s="15"/>
      <c r="G396" s="15"/>
      <c r="H396" s="103"/>
      <c r="I396" s="103"/>
    </row>
    <row r="397">
      <c r="B397" s="15"/>
      <c r="D397" s="15"/>
      <c r="E397" s="15"/>
      <c r="F397" s="15"/>
      <c r="G397" s="15"/>
      <c r="H397" s="103"/>
      <c r="I397" s="103"/>
    </row>
    <row r="398">
      <c r="B398" s="15"/>
      <c r="D398" s="15"/>
      <c r="E398" s="15"/>
      <c r="F398" s="15"/>
      <c r="G398" s="15"/>
      <c r="H398" s="103"/>
      <c r="I398" s="103"/>
    </row>
    <row r="399">
      <c r="B399" s="15"/>
      <c r="D399" s="15"/>
      <c r="E399" s="15"/>
      <c r="F399" s="15"/>
      <c r="G399" s="15"/>
      <c r="H399" s="103"/>
      <c r="I399" s="103"/>
    </row>
    <row r="400">
      <c r="B400" s="15"/>
      <c r="D400" s="15"/>
      <c r="E400" s="15"/>
      <c r="F400" s="15"/>
      <c r="G400" s="15"/>
      <c r="H400" s="103"/>
      <c r="I400" s="103"/>
    </row>
    <row r="401">
      <c r="B401" s="15"/>
      <c r="D401" s="15"/>
      <c r="E401" s="15"/>
      <c r="F401" s="15"/>
      <c r="G401" s="15"/>
      <c r="H401" s="103"/>
      <c r="I401" s="103"/>
    </row>
    <row r="402">
      <c r="B402" s="15"/>
      <c r="D402" s="15"/>
      <c r="E402" s="15"/>
      <c r="F402" s="15"/>
      <c r="G402" s="15"/>
      <c r="H402" s="103"/>
      <c r="I402" s="103"/>
    </row>
    <row r="403">
      <c r="B403" s="15"/>
      <c r="D403" s="15"/>
      <c r="E403" s="15"/>
      <c r="F403" s="15"/>
      <c r="G403" s="15"/>
      <c r="H403" s="103"/>
      <c r="I403" s="103"/>
    </row>
    <row r="404">
      <c r="B404" s="15"/>
      <c r="D404" s="15"/>
      <c r="E404" s="15"/>
      <c r="F404" s="15"/>
      <c r="G404" s="15"/>
      <c r="H404" s="103"/>
      <c r="I404" s="103"/>
    </row>
    <row r="405">
      <c r="B405" s="15"/>
      <c r="D405" s="15"/>
      <c r="E405" s="15"/>
      <c r="F405" s="15"/>
      <c r="G405" s="15"/>
      <c r="H405" s="103"/>
      <c r="I405" s="103"/>
    </row>
    <row r="406">
      <c r="B406" s="15"/>
      <c r="D406" s="15"/>
      <c r="E406" s="15"/>
      <c r="F406" s="15"/>
      <c r="G406" s="15"/>
      <c r="H406" s="103"/>
      <c r="I406" s="103"/>
    </row>
    <row r="407">
      <c r="B407" s="15"/>
      <c r="D407" s="15"/>
      <c r="E407" s="15"/>
      <c r="F407" s="15"/>
      <c r="G407" s="15"/>
      <c r="H407" s="103"/>
      <c r="I407" s="103"/>
    </row>
    <row r="408">
      <c r="B408" s="15"/>
      <c r="D408" s="15"/>
      <c r="E408" s="15"/>
      <c r="F408" s="15"/>
      <c r="G408" s="15"/>
      <c r="H408" s="103"/>
      <c r="I408" s="103"/>
    </row>
    <row r="409">
      <c r="B409" s="15"/>
      <c r="D409" s="15"/>
      <c r="E409" s="15"/>
      <c r="F409" s="15"/>
      <c r="G409" s="15"/>
      <c r="H409" s="103"/>
      <c r="I409" s="103"/>
    </row>
    <row r="410">
      <c r="B410" s="15"/>
      <c r="D410" s="15"/>
      <c r="E410" s="15"/>
      <c r="F410" s="15"/>
      <c r="G410" s="15"/>
      <c r="H410" s="103"/>
      <c r="I410" s="103"/>
    </row>
    <row r="411">
      <c r="B411" s="15"/>
      <c r="D411" s="15"/>
      <c r="E411" s="15"/>
      <c r="F411" s="15"/>
      <c r="G411" s="15"/>
      <c r="H411" s="103"/>
      <c r="I411" s="103"/>
    </row>
    <row r="412">
      <c r="B412" s="15"/>
      <c r="D412" s="15"/>
      <c r="E412" s="15"/>
      <c r="F412" s="15"/>
      <c r="G412" s="15"/>
      <c r="H412" s="103"/>
      <c r="I412" s="103"/>
    </row>
    <row r="413">
      <c r="B413" s="15"/>
      <c r="D413" s="15"/>
      <c r="E413" s="15"/>
      <c r="F413" s="15"/>
      <c r="G413" s="15"/>
      <c r="H413" s="103"/>
      <c r="I413" s="103"/>
    </row>
    <row r="414">
      <c r="B414" s="15"/>
      <c r="D414" s="15"/>
      <c r="E414" s="15"/>
      <c r="F414" s="15"/>
      <c r="G414" s="15"/>
      <c r="H414" s="103"/>
      <c r="I414" s="103"/>
    </row>
    <row r="415">
      <c r="B415" s="15"/>
      <c r="D415" s="15"/>
      <c r="E415" s="15"/>
      <c r="F415" s="15"/>
      <c r="G415" s="15"/>
      <c r="H415" s="103"/>
      <c r="I415" s="103"/>
    </row>
    <row r="416">
      <c r="B416" s="15"/>
      <c r="D416" s="15"/>
      <c r="E416" s="15"/>
      <c r="F416" s="15"/>
      <c r="G416" s="15"/>
      <c r="H416" s="103"/>
      <c r="I416" s="103"/>
    </row>
    <row r="417">
      <c r="B417" s="15"/>
      <c r="D417" s="15"/>
      <c r="E417" s="15"/>
      <c r="F417" s="15"/>
      <c r="G417" s="15"/>
      <c r="H417" s="103"/>
      <c r="I417" s="103"/>
    </row>
    <row r="418">
      <c r="B418" s="15"/>
      <c r="D418" s="15"/>
      <c r="E418" s="15"/>
      <c r="F418" s="15"/>
      <c r="G418" s="15"/>
      <c r="H418" s="103"/>
      <c r="I418" s="103"/>
    </row>
    <row r="419">
      <c r="B419" s="15"/>
      <c r="D419" s="15"/>
      <c r="E419" s="15"/>
      <c r="F419" s="15"/>
      <c r="G419" s="15"/>
      <c r="H419" s="103"/>
      <c r="I419" s="103"/>
    </row>
    <row r="420">
      <c r="B420" s="15"/>
      <c r="D420" s="15"/>
      <c r="E420" s="15"/>
      <c r="F420" s="15"/>
      <c r="G420" s="15"/>
      <c r="H420" s="103"/>
      <c r="I420" s="103"/>
    </row>
    <row r="421">
      <c r="B421" s="15"/>
      <c r="D421" s="15"/>
      <c r="E421" s="15"/>
      <c r="F421" s="15"/>
      <c r="G421" s="15"/>
      <c r="H421" s="103"/>
      <c r="I421" s="103"/>
    </row>
    <row r="422">
      <c r="B422" s="15"/>
      <c r="D422" s="15"/>
      <c r="E422" s="15"/>
      <c r="F422" s="15"/>
      <c r="G422" s="15"/>
      <c r="H422" s="103"/>
      <c r="I422" s="103"/>
    </row>
    <row r="423">
      <c r="B423" s="15"/>
      <c r="D423" s="15"/>
      <c r="E423" s="15"/>
      <c r="F423" s="15"/>
      <c r="G423" s="15"/>
      <c r="H423" s="103"/>
      <c r="I423" s="103"/>
    </row>
    <row r="424">
      <c r="B424" s="15"/>
      <c r="D424" s="15"/>
      <c r="E424" s="15"/>
      <c r="F424" s="15"/>
      <c r="G424" s="15"/>
      <c r="H424" s="103"/>
      <c r="I424" s="103"/>
    </row>
    <row r="425">
      <c r="B425" s="15"/>
      <c r="D425" s="15"/>
      <c r="E425" s="15"/>
      <c r="F425" s="15"/>
      <c r="G425" s="15"/>
      <c r="H425" s="103"/>
      <c r="I425" s="103"/>
    </row>
    <row r="426">
      <c r="B426" s="15"/>
      <c r="D426" s="15"/>
      <c r="E426" s="15"/>
      <c r="F426" s="15"/>
      <c r="G426" s="15"/>
      <c r="H426" s="103"/>
      <c r="I426" s="103"/>
    </row>
    <row r="427">
      <c r="B427" s="15"/>
      <c r="D427" s="15"/>
      <c r="E427" s="15"/>
      <c r="F427" s="15"/>
      <c r="G427" s="15"/>
      <c r="H427" s="103"/>
      <c r="I427" s="103"/>
    </row>
    <row r="428">
      <c r="B428" s="15"/>
      <c r="D428" s="15"/>
      <c r="E428" s="15"/>
      <c r="F428" s="15"/>
      <c r="G428" s="15"/>
      <c r="H428" s="103"/>
      <c r="I428" s="103"/>
    </row>
    <row r="429">
      <c r="B429" s="15"/>
      <c r="D429" s="15"/>
      <c r="E429" s="15"/>
      <c r="F429" s="15"/>
      <c r="G429" s="15"/>
      <c r="H429" s="103"/>
      <c r="I429" s="103"/>
    </row>
    <row r="430">
      <c r="B430" s="15"/>
      <c r="D430" s="15"/>
      <c r="E430" s="15"/>
      <c r="F430" s="15"/>
      <c r="G430" s="15"/>
      <c r="H430" s="103"/>
      <c r="I430" s="103"/>
    </row>
    <row r="431">
      <c r="B431" s="15"/>
      <c r="D431" s="15"/>
      <c r="E431" s="15"/>
      <c r="F431" s="15"/>
      <c r="G431" s="15"/>
      <c r="H431" s="103"/>
      <c r="I431" s="103"/>
    </row>
    <row r="432">
      <c r="B432" s="15"/>
      <c r="D432" s="15"/>
      <c r="E432" s="15"/>
      <c r="F432" s="15"/>
      <c r="G432" s="15"/>
      <c r="H432" s="103"/>
      <c r="I432" s="103"/>
    </row>
    <row r="433">
      <c r="B433" s="15"/>
      <c r="D433" s="15"/>
      <c r="E433" s="15"/>
      <c r="F433" s="15"/>
      <c r="G433" s="15"/>
      <c r="H433" s="103"/>
      <c r="I433" s="103"/>
    </row>
    <row r="434">
      <c r="B434" s="15"/>
      <c r="D434" s="15"/>
      <c r="E434" s="15"/>
      <c r="F434" s="15"/>
      <c r="G434" s="15"/>
      <c r="H434" s="103"/>
      <c r="I434" s="103"/>
    </row>
    <row r="435">
      <c r="B435" s="15"/>
      <c r="D435" s="15"/>
      <c r="E435" s="15"/>
      <c r="F435" s="15"/>
      <c r="G435" s="15"/>
      <c r="H435" s="103"/>
      <c r="I435" s="103"/>
    </row>
    <row r="436">
      <c r="B436" s="15"/>
      <c r="D436" s="15"/>
      <c r="E436" s="15"/>
      <c r="F436" s="15"/>
      <c r="G436" s="15"/>
      <c r="H436" s="103"/>
      <c r="I436" s="103"/>
    </row>
    <row r="437">
      <c r="B437" s="15"/>
      <c r="D437" s="15"/>
      <c r="E437" s="15"/>
      <c r="F437" s="15"/>
      <c r="G437" s="15"/>
      <c r="H437" s="103"/>
      <c r="I437" s="103"/>
    </row>
    <row r="438">
      <c r="B438" s="15"/>
      <c r="D438" s="15"/>
      <c r="E438" s="15"/>
      <c r="F438" s="15"/>
      <c r="G438" s="15"/>
      <c r="H438" s="103"/>
      <c r="I438" s="103"/>
    </row>
    <row r="439">
      <c r="B439" s="15"/>
      <c r="D439" s="15"/>
      <c r="E439" s="15"/>
      <c r="F439" s="15"/>
      <c r="G439" s="15"/>
      <c r="H439" s="103"/>
      <c r="I439" s="103"/>
    </row>
    <row r="440">
      <c r="B440" s="15"/>
      <c r="D440" s="15"/>
      <c r="E440" s="15"/>
      <c r="F440" s="15"/>
      <c r="G440" s="15"/>
      <c r="H440" s="103"/>
      <c r="I440" s="103"/>
    </row>
    <row r="441">
      <c r="B441" s="15"/>
      <c r="D441" s="15"/>
      <c r="E441" s="15"/>
      <c r="F441" s="15"/>
      <c r="G441" s="15"/>
      <c r="H441" s="103"/>
      <c r="I441" s="103"/>
    </row>
    <row r="442">
      <c r="B442" s="15"/>
      <c r="D442" s="15"/>
      <c r="E442" s="15"/>
      <c r="F442" s="15"/>
      <c r="G442" s="15"/>
      <c r="H442" s="103"/>
      <c r="I442" s="103"/>
    </row>
    <row r="443">
      <c r="B443" s="15"/>
      <c r="D443" s="15"/>
      <c r="E443" s="15"/>
      <c r="F443" s="15"/>
      <c r="G443" s="15"/>
      <c r="H443" s="103"/>
      <c r="I443" s="103"/>
    </row>
    <row r="444">
      <c r="B444" s="15"/>
      <c r="D444" s="15"/>
      <c r="E444" s="15"/>
      <c r="F444" s="15"/>
      <c r="G444" s="15"/>
      <c r="H444" s="103"/>
      <c r="I444" s="103"/>
    </row>
    <row r="445">
      <c r="B445" s="15"/>
      <c r="D445" s="15"/>
      <c r="E445" s="15"/>
      <c r="F445" s="15"/>
      <c r="G445" s="15"/>
      <c r="H445" s="103"/>
      <c r="I445" s="103"/>
    </row>
    <row r="446">
      <c r="B446" s="15"/>
      <c r="D446" s="15"/>
      <c r="E446" s="15"/>
      <c r="F446" s="15"/>
      <c r="G446" s="15"/>
      <c r="H446" s="103"/>
      <c r="I446" s="103"/>
    </row>
    <row r="447">
      <c r="B447" s="15"/>
      <c r="D447" s="15"/>
      <c r="E447" s="15"/>
      <c r="F447" s="15"/>
      <c r="G447" s="15"/>
      <c r="H447" s="103"/>
      <c r="I447" s="103"/>
    </row>
    <row r="448">
      <c r="B448" s="15"/>
      <c r="D448" s="15"/>
      <c r="E448" s="15"/>
      <c r="F448" s="15"/>
      <c r="G448" s="15"/>
      <c r="H448" s="103"/>
      <c r="I448" s="103"/>
    </row>
    <row r="449">
      <c r="B449" s="15"/>
      <c r="D449" s="15"/>
      <c r="E449" s="15"/>
      <c r="F449" s="15"/>
      <c r="G449" s="15"/>
      <c r="H449" s="103"/>
      <c r="I449" s="103"/>
    </row>
    <row r="450">
      <c r="B450" s="15"/>
      <c r="D450" s="15"/>
      <c r="E450" s="15"/>
      <c r="F450" s="15"/>
      <c r="G450" s="15"/>
      <c r="H450" s="103"/>
      <c r="I450" s="103"/>
    </row>
    <row r="451">
      <c r="B451" s="15"/>
      <c r="D451" s="15"/>
      <c r="E451" s="15"/>
      <c r="F451" s="15"/>
      <c r="G451" s="15"/>
      <c r="H451" s="103"/>
      <c r="I451" s="103"/>
    </row>
    <row r="452">
      <c r="B452" s="15"/>
      <c r="D452" s="15"/>
      <c r="E452" s="15"/>
      <c r="F452" s="15"/>
      <c r="G452" s="15"/>
      <c r="H452" s="103"/>
      <c r="I452" s="103"/>
    </row>
    <row r="453">
      <c r="B453" s="15"/>
      <c r="D453" s="15"/>
      <c r="E453" s="15"/>
      <c r="F453" s="15"/>
      <c r="G453" s="15"/>
      <c r="H453" s="103"/>
      <c r="I453" s="103"/>
    </row>
    <row r="454">
      <c r="B454" s="15"/>
      <c r="D454" s="15"/>
      <c r="E454" s="15"/>
      <c r="F454" s="15"/>
      <c r="G454" s="15"/>
      <c r="H454" s="103"/>
      <c r="I454" s="103"/>
    </row>
    <row r="455">
      <c r="B455" s="15"/>
      <c r="D455" s="15"/>
      <c r="E455" s="15"/>
      <c r="F455" s="15"/>
      <c r="G455" s="15"/>
      <c r="H455" s="103"/>
      <c r="I455" s="103"/>
    </row>
    <row r="456">
      <c r="B456" s="15"/>
      <c r="D456" s="15"/>
      <c r="E456" s="15"/>
      <c r="F456" s="15"/>
      <c r="G456" s="15"/>
      <c r="H456" s="103"/>
      <c r="I456" s="103"/>
    </row>
    <row r="457">
      <c r="B457" s="15"/>
      <c r="D457" s="15"/>
      <c r="E457" s="15"/>
      <c r="F457" s="15"/>
      <c r="G457" s="15"/>
      <c r="H457" s="103"/>
      <c r="I457" s="103"/>
    </row>
    <row r="458">
      <c r="B458" s="15"/>
      <c r="D458" s="15"/>
      <c r="E458" s="15"/>
      <c r="F458" s="15"/>
      <c r="G458" s="15"/>
      <c r="H458" s="103"/>
      <c r="I458" s="103"/>
    </row>
    <row r="459">
      <c r="B459" s="15"/>
      <c r="D459" s="15"/>
      <c r="E459" s="15"/>
      <c r="F459" s="15"/>
      <c r="G459" s="15"/>
      <c r="H459" s="103"/>
      <c r="I459" s="103"/>
    </row>
    <row r="460">
      <c r="B460" s="15"/>
      <c r="D460" s="15"/>
      <c r="E460" s="15"/>
      <c r="F460" s="15"/>
      <c r="G460" s="15"/>
      <c r="H460" s="103"/>
      <c r="I460" s="103"/>
    </row>
    <row r="461">
      <c r="B461" s="15"/>
      <c r="D461" s="15"/>
      <c r="E461" s="15"/>
      <c r="F461" s="15"/>
      <c r="G461" s="15"/>
      <c r="H461" s="103"/>
      <c r="I461" s="103"/>
    </row>
    <row r="462">
      <c r="B462" s="15"/>
      <c r="D462" s="15"/>
      <c r="E462" s="15"/>
      <c r="F462" s="15"/>
      <c r="G462" s="15"/>
      <c r="H462" s="103"/>
      <c r="I462" s="103"/>
    </row>
    <row r="463">
      <c r="B463" s="15"/>
      <c r="D463" s="15"/>
      <c r="E463" s="15"/>
      <c r="F463" s="15"/>
      <c r="G463" s="15"/>
      <c r="H463" s="103"/>
      <c r="I463" s="103"/>
    </row>
    <row r="464">
      <c r="B464" s="15"/>
      <c r="D464" s="15"/>
      <c r="E464" s="15"/>
      <c r="F464" s="15"/>
      <c r="G464" s="15"/>
      <c r="H464" s="103"/>
      <c r="I464" s="103"/>
    </row>
    <row r="465">
      <c r="B465" s="15"/>
      <c r="D465" s="15"/>
      <c r="E465" s="15"/>
      <c r="F465" s="15"/>
      <c r="G465" s="15"/>
      <c r="H465" s="103"/>
      <c r="I465" s="103"/>
    </row>
    <row r="466">
      <c r="B466" s="15"/>
      <c r="D466" s="15"/>
      <c r="E466" s="15"/>
      <c r="F466" s="15"/>
      <c r="G466" s="15"/>
      <c r="H466" s="103"/>
      <c r="I466" s="103"/>
    </row>
    <row r="467">
      <c r="B467" s="15"/>
      <c r="D467" s="15"/>
      <c r="E467" s="15"/>
      <c r="F467" s="15"/>
      <c r="G467" s="15"/>
      <c r="H467" s="103"/>
      <c r="I467" s="103"/>
    </row>
    <row r="468">
      <c r="B468" s="15"/>
      <c r="D468" s="15"/>
      <c r="E468" s="15"/>
      <c r="F468" s="15"/>
      <c r="G468" s="15"/>
      <c r="H468" s="103"/>
      <c r="I468" s="103"/>
    </row>
    <row r="469">
      <c r="B469" s="15"/>
      <c r="D469" s="15"/>
      <c r="E469" s="15"/>
      <c r="F469" s="15"/>
      <c r="G469" s="15"/>
      <c r="H469" s="103"/>
      <c r="I469" s="103"/>
    </row>
    <row r="470">
      <c r="B470" s="15"/>
      <c r="D470" s="15"/>
      <c r="E470" s="15"/>
      <c r="F470" s="15"/>
      <c r="G470" s="15"/>
      <c r="H470" s="103"/>
      <c r="I470" s="103"/>
    </row>
    <row r="471">
      <c r="B471" s="15"/>
      <c r="D471" s="15"/>
      <c r="E471" s="15"/>
      <c r="F471" s="15"/>
      <c r="G471" s="15"/>
      <c r="H471" s="103"/>
      <c r="I471" s="103"/>
    </row>
    <row r="472">
      <c r="B472" s="15"/>
      <c r="D472" s="15"/>
      <c r="E472" s="15"/>
      <c r="F472" s="15"/>
      <c r="G472" s="15"/>
      <c r="H472" s="103"/>
      <c r="I472" s="103"/>
    </row>
    <row r="473">
      <c r="B473" s="15"/>
      <c r="D473" s="15"/>
      <c r="E473" s="15"/>
      <c r="F473" s="15"/>
      <c r="G473" s="15"/>
      <c r="H473" s="103"/>
      <c r="I473" s="103"/>
    </row>
    <row r="474">
      <c r="B474" s="15"/>
      <c r="D474" s="15"/>
      <c r="E474" s="15"/>
      <c r="F474" s="15"/>
      <c r="G474" s="15"/>
      <c r="H474" s="103"/>
      <c r="I474" s="103"/>
    </row>
    <row r="475">
      <c r="B475" s="15"/>
      <c r="D475" s="15"/>
      <c r="E475" s="15"/>
      <c r="F475" s="15"/>
      <c r="G475" s="15"/>
      <c r="H475" s="103"/>
      <c r="I475" s="103"/>
    </row>
    <row r="476">
      <c r="B476" s="15"/>
      <c r="D476" s="15"/>
      <c r="E476" s="15"/>
      <c r="F476" s="15"/>
      <c r="G476" s="15"/>
      <c r="H476" s="103"/>
      <c r="I476" s="103"/>
    </row>
    <row r="477">
      <c r="B477" s="15"/>
      <c r="D477" s="15"/>
      <c r="E477" s="15"/>
      <c r="F477" s="15"/>
      <c r="G477" s="15"/>
      <c r="H477" s="103"/>
      <c r="I477" s="103"/>
    </row>
    <row r="478">
      <c r="B478" s="15"/>
      <c r="D478" s="15"/>
      <c r="E478" s="15"/>
      <c r="F478" s="15"/>
      <c r="G478" s="15"/>
      <c r="H478" s="103"/>
      <c r="I478" s="103"/>
    </row>
    <row r="479">
      <c r="B479" s="15"/>
      <c r="D479" s="15"/>
      <c r="E479" s="15"/>
      <c r="F479" s="15"/>
      <c r="G479" s="15"/>
      <c r="H479" s="103"/>
      <c r="I479" s="103"/>
    </row>
    <row r="480">
      <c r="B480" s="15"/>
      <c r="D480" s="15"/>
      <c r="E480" s="15"/>
      <c r="F480" s="15"/>
      <c r="G480" s="15"/>
      <c r="H480" s="103"/>
      <c r="I480" s="103"/>
    </row>
    <row r="481">
      <c r="B481" s="15"/>
      <c r="D481" s="15"/>
      <c r="E481" s="15"/>
      <c r="F481" s="15"/>
      <c r="G481" s="15"/>
      <c r="H481" s="103"/>
      <c r="I481" s="103"/>
    </row>
    <row r="482">
      <c r="B482" s="15"/>
      <c r="D482" s="15"/>
      <c r="E482" s="15"/>
      <c r="F482" s="15"/>
      <c r="G482" s="15"/>
      <c r="H482" s="103"/>
      <c r="I482" s="103"/>
    </row>
    <row r="483">
      <c r="B483" s="15"/>
      <c r="D483" s="15"/>
      <c r="E483" s="15"/>
      <c r="F483" s="15"/>
      <c r="G483" s="15"/>
      <c r="H483" s="103"/>
      <c r="I483" s="103"/>
    </row>
    <row r="484">
      <c r="B484" s="15"/>
      <c r="D484" s="15"/>
      <c r="E484" s="15"/>
      <c r="F484" s="15"/>
      <c r="G484" s="15"/>
      <c r="H484" s="103"/>
      <c r="I484" s="103"/>
    </row>
    <row r="485">
      <c r="B485" s="15"/>
      <c r="D485" s="15"/>
      <c r="E485" s="15"/>
      <c r="F485" s="15"/>
      <c r="G485" s="15"/>
      <c r="H485" s="103"/>
      <c r="I485" s="103"/>
    </row>
    <row r="486">
      <c r="B486" s="15"/>
      <c r="D486" s="15"/>
      <c r="E486" s="15"/>
      <c r="F486" s="15"/>
      <c r="G486" s="15"/>
      <c r="H486" s="103"/>
      <c r="I486" s="103"/>
    </row>
    <row r="487">
      <c r="B487" s="15"/>
      <c r="D487" s="15"/>
      <c r="E487" s="15"/>
      <c r="F487" s="15"/>
      <c r="G487" s="15"/>
      <c r="H487" s="103"/>
      <c r="I487" s="103"/>
    </row>
    <row r="488">
      <c r="B488" s="15"/>
      <c r="D488" s="15"/>
      <c r="E488" s="15"/>
      <c r="F488" s="15"/>
      <c r="G488" s="15"/>
      <c r="H488" s="103"/>
      <c r="I488" s="103"/>
    </row>
    <row r="489">
      <c r="B489" s="15"/>
      <c r="D489" s="15"/>
      <c r="E489" s="15"/>
      <c r="F489" s="15"/>
      <c r="G489" s="15"/>
      <c r="H489" s="103"/>
      <c r="I489" s="103"/>
    </row>
    <row r="490">
      <c r="B490" s="15"/>
      <c r="D490" s="15"/>
      <c r="E490" s="15"/>
      <c r="F490" s="15"/>
      <c r="G490" s="15"/>
      <c r="H490" s="103"/>
      <c r="I490" s="103"/>
    </row>
    <row r="491">
      <c r="B491" s="15"/>
      <c r="D491" s="15"/>
      <c r="E491" s="15"/>
      <c r="F491" s="15"/>
      <c r="G491" s="15"/>
      <c r="H491" s="103"/>
      <c r="I491" s="103"/>
    </row>
    <row r="492">
      <c r="B492" s="15"/>
      <c r="D492" s="15"/>
      <c r="E492" s="15"/>
      <c r="F492" s="15"/>
      <c r="G492" s="15"/>
      <c r="H492" s="103"/>
      <c r="I492" s="103"/>
    </row>
    <row r="493">
      <c r="B493" s="15"/>
      <c r="D493" s="15"/>
      <c r="E493" s="15"/>
      <c r="F493" s="15"/>
      <c r="G493" s="15"/>
      <c r="H493" s="103"/>
      <c r="I493" s="103"/>
    </row>
    <row r="494">
      <c r="B494" s="15"/>
      <c r="D494" s="15"/>
      <c r="E494" s="15"/>
      <c r="F494" s="15"/>
      <c r="G494" s="15"/>
      <c r="H494" s="103"/>
      <c r="I494" s="103"/>
    </row>
    <row r="495">
      <c r="B495" s="15"/>
      <c r="D495" s="15"/>
      <c r="E495" s="15"/>
      <c r="F495" s="15"/>
      <c r="G495" s="15"/>
      <c r="H495" s="103"/>
      <c r="I495" s="103"/>
    </row>
    <row r="496">
      <c r="B496" s="15"/>
      <c r="D496" s="15"/>
      <c r="E496" s="15"/>
      <c r="F496" s="15"/>
      <c r="G496" s="15"/>
      <c r="H496" s="103"/>
      <c r="I496" s="103"/>
    </row>
    <row r="497">
      <c r="B497" s="15"/>
      <c r="D497" s="15"/>
      <c r="E497" s="15"/>
      <c r="F497" s="15"/>
      <c r="G497" s="15"/>
      <c r="H497" s="103"/>
      <c r="I497" s="103"/>
    </row>
    <row r="498">
      <c r="B498" s="15"/>
      <c r="D498" s="15"/>
      <c r="E498" s="15"/>
      <c r="F498" s="15"/>
      <c r="G498" s="15"/>
      <c r="H498" s="103"/>
      <c r="I498" s="103"/>
    </row>
    <row r="499">
      <c r="B499" s="15"/>
      <c r="D499" s="15"/>
      <c r="E499" s="15"/>
      <c r="F499" s="15"/>
      <c r="G499" s="15"/>
      <c r="H499" s="103"/>
      <c r="I499" s="103"/>
    </row>
    <row r="500">
      <c r="B500" s="15"/>
      <c r="D500" s="15"/>
      <c r="E500" s="15"/>
      <c r="F500" s="15"/>
      <c r="G500" s="15"/>
      <c r="H500" s="103"/>
      <c r="I500" s="103"/>
    </row>
    <row r="501">
      <c r="B501" s="15"/>
      <c r="D501" s="15"/>
      <c r="E501" s="15"/>
      <c r="F501" s="15"/>
      <c r="G501" s="15"/>
      <c r="H501" s="103"/>
      <c r="I501" s="103"/>
    </row>
    <row r="502">
      <c r="B502" s="15"/>
      <c r="D502" s="15"/>
      <c r="E502" s="15"/>
      <c r="F502" s="15"/>
      <c r="G502" s="15"/>
      <c r="H502" s="103"/>
      <c r="I502" s="103"/>
    </row>
    <row r="503">
      <c r="B503" s="15"/>
      <c r="D503" s="15"/>
      <c r="E503" s="15"/>
      <c r="F503" s="15"/>
      <c r="G503" s="15"/>
      <c r="H503" s="103"/>
      <c r="I503" s="103"/>
    </row>
    <row r="504">
      <c r="B504" s="15"/>
      <c r="D504" s="15"/>
      <c r="E504" s="15"/>
      <c r="F504" s="15"/>
      <c r="G504" s="15"/>
      <c r="H504" s="103"/>
      <c r="I504" s="103"/>
    </row>
    <row r="505">
      <c r="B505" s="15"/>
      <c r="D505" s="15"/>
      <c r="E505" s="15"/>
      <c r="F505" s="15"/>
      <c r="G505" s="15"/>
      <c r="H505" s="103"/>
      <c r="I505" s="103"/>
    </row>
    <row r="506">
      <c r="B506" s="15"/>
      <c r="D506" s="15"/>
      <c r="E506" s="15"/>
      <c r="F506" s="15"/>
      <c r="G506" s="15"/>
      <c r="H506" s="103"/>
      <c r="I506" s="103"/>
    </row>
    <row r="507">
      <c r="B507" s="15"/>
      <c r="D507" s="15"/>
      <c r="E507" s="15"/>
      <c r="F507" s="15"/>
      <c r="G507" s="15"/>
      <c r="H507" s="103"/>
      <c r="I507" s="103"/>
    </row>
    <row r="508">
      <c r="B508" s="15"/>
      <c r="D508" s="15"/>
      <c r="E508" s="15"/>
      <c r="F508" s="15"/>
      <c r="G508" s="15"/>
      <c r="H508" s="103"/>
      <c r="I508" s="103"/>
    </row>
    <row r="509">
      <c r="B509" s="15"/>
      <c r="D509" s="15"/>
      <c r="E509" s="15"/>
      <c r="F509" s="15"/>
      <c r="G509" s="15"/>
      <c r="H509" s="103"/>
      <c r="I509" s="103"/>
    </row>
    <row r="510">
      <c r="B510" s="15"/>
      <c r="D510" s="15"/>
      <c r="E510" s="15"/>
      <c r="F510" s="15"/>
      <c r="G510" s="15"/>
      <c r="H510" s="103"/>
      <c r="I510" s="103"/>
    </row>
    <row r="511">
      <c r="B511" s="15"/>
      <c r="D511" s="15"/>
      <c r="E511" s="15"/>
      <c r="F511" s="15"/>
      <c r="G511" s="15"/>
      <c r="H511" s="103"/>
      <c r="I511" s="103"/>
    </row>
    <row r="512">
      <c r="B512" s="15"/>
      <c r="D512" s="15"/>
      <c r="E512" s="15"/>
      <c r="F512" s="15"/>
      <c r="G512" s="15"/>
      <c r="H512" s="103"/>
      <c r="I512" s="103"/>
    </row>
    <row r="513">
      <c r="B513" s="15"/>
      <c r="D513" s="15"/>
      <c r="E513" s="15"/>
      <c r="F513" s="15"/>
      <c r="G513" s="15"/>
      <c r="H513" s="103"/>
      <c r="I513" s="103"/>
    </row>
    <row r="514">
      <c r="B514" s="15"/>
      <c r="D514" s="15"/>
      <c r="E514" s="15"/>
      <c r="F514" s="15"/>
      <c r="G514" s="15"/>
      <c r="H514" s="103"/>
      <c r="I514" s="103"/>
    </row>
    <row r="515">
      <c r="B515" s="15"/>
      <c r="D515" s="15"/>
      <c r="E515" s="15"/>
      <c r="F515" s="15"/>
      <c r="G515" s="15"/>
      <c r="H515" s="103"/>
      <c r="I515" s="103"/>
    </row>
    <row r="516">
      <c r="B516" s="15"/>
      <c r="D516" s="15"/>
      <c r="E516" s="15"/>
      <c r="F516" s="15"/>
      <c r="G516" s="15"/>
      <c r="H516" s="103"/>
      <c r="I516" s="103"/>
    </row>
    <row r="517">
      <c r="B517" s="15"/>
      <c r="D517" s="15"/>
      <c r="E517" s="15"/>
      <c r="F517" s="15"/>
      <c r="G517" s="15"/>
      <c r="H517" s="103"/>
      <c r="I517" s="103"/>
    </row>
    <row r="518">
      <c r="B518" s="15"/>
      <c r="D518" s="15"/>
      <c r="E518" s="15"/>
      <c r="F518" s="15"/>
      <c r="G518" s="15"/>
      <c r="H518" s="103"/>
      <c r="I518" s="103"/>
    </row>
    <row r="519">
      <c r="B519" s="15"/>
      <c r="D519" s="15"/>
      <c r="E519" s="15"/>
      <c r="F519" s="15"/>
      <c r="G519" s="15"/>
      <c r="H519" s="103"/>
      <c r="I519" s="103"/>
    </row>
    <row r="520">
      <c r="B520" s="15"/>
      <c r="D520" s="15"/>
      <c r="E520" s="15"/>
      <c r="F520" s="15"/>
      <c r="G520" s="15"/>
      <c r="H520" s="103"/>
      <c r="I520" s="103"/>
    </row>
    <row r="521">
      <c r="B521" s="15"/>
      <c r="D521" s="15"/>
      <c r="E521" s="15"/>
      <c r="F521" s="15"/>
      <c r="G521" s="15"/>
      <c r="H521" s="103"/>
      <c r="I521" s="103"/>
    </row>
    <row r="522">
      <c r="B522" s="15"/>
      <c r="D522" s="15"/>
      <c r="E522" s="15"/>
      <c r="F522" s="15"/>
      <c r="G522" s="15"/>
      <c r="H522" s="103"/>
      <c r="I522" s="103"/>
    </row>
    <row r="523">
      <c r="B523" s="15"/>
      <c r="D523" s="15"/>
      <c r="E523" s="15"/>
      <c r="F523" s="15"/>
      <c r="G523" s="15"/>
      <c r="H523" s="103"/>
      <c r="I523" s="103"/>
    </row>
    <row r="524">
      <c r="B524" s="15"/>
      <c r="D524" s="15"/>
      <c r="E524" s="15"/>
      <c r="F524" s="15"/>
      <c r="G524" s="15"/>
      <c r="H524" s="103"/>
      <c r="I524" s="103"/>
    </row>
    <row r="525">
      <c r="B525" s="15"/>
      <c r="D525" s="15"/>
      <c r="E525" s="15"/>
      <c r="F525" s="15"/>
      <c r="G525" s="15"/>
      <c r="H525" s="103"/>
      <c r="I525" s="103"/>
    </row>
    <row r="526">
      <c r="B526" s="15"/>
      <c r="D526" s="15"/>
      <c r="E526" s="15"/>
      <c r="F526" s="15"/>
      <c r="G526" s="15"/>
      <c r="H526" s="103"/>
      <c r="I526" s="103"/>
    </row>
    <row r="527">
      <c r="B527" s="15"/>
      <c r="D527" s="15"/>
      <c r="E527" s="15"/>
      <c r="F527" s="15"/>
      <c r="G527" s="15"/>
      <c r="H527" s="103"/>
      <c r="I527" s="103"/>
    </row>
    <row r="528">
      <c r="B528" s="15"/>
      <c r="D528" s="15"/>
      <c r="E528" s="15"/>
      <c r="F528" s="15"/>
      <c r="G528" s="15"/>
      <c r="H528" s="103"/>
      <c r="I528" s="103"/>
    </row>
    <row r="529">
      <c r="B529" s="15"/>
      <c r="D529" s="15"/>
      <c r="E529" s="15"/>
      <c r="F529" s="15"/>
      <c r="G529" s="15"/>
      <c r="H529" s="103"/>
      <c r="I529" s="103"/>
    </row>
    <row r="530">
      <c r="B530" s="15"/>
      <c r="D530" s="15"/>
      <c r="E530" s="15"/>
      <c r="F530" s="15"/>
      <c r="G530" s="15"/>
      <c r="H530" s="103"/>
      <c r="I530" s="103"/>
    </row>
    <row r="531">
      <c r="B531" s="15"/>
      <c r="D531" s="15"/>
      <c r="E531" s="15"/>
      <c r="F531" s="15"/>
      <c r="G531" s="15"/>
      <c r="H531" s="103"/>
      <c r="I531" s="103"/>
    </row>
    <row r="532">
      <c r="B532" s="15"/>
      <c r="D532" s="15"/>
      <c r="E532" s="15"/>
      <c r="F532" s="15"/>
      <c r="G532" s="15"/>
      <c r="H532" s="103"/>
      <c r="I532" s="103"/>
    </row>
    <row r="533">
      <c r="B533" s="15"/>
      <c r="D533" s="15"/>
      <c r="E533" s="15"/>
      <c r="F533" s="15"/>
      <c r="G533" s="15"/>
      <c r="H533" s="103"/>
      <c r="I533" s="103"/>
    </row>
    <row r="534">
      <c r="B534" s="15"/>
      <c r="D534" s="15"/>
      <c r="E534" s="15"/>
      <c r="F534" s="15"/>
      <c r="G534" s="15"/>
      <c r="H534" s="103"/>
      <c r="I534" s="103"/>
    </row>
    <row r="535">
      <c r="B535" s="15"/>
      <c r="D535" s="15"/>
      <c r="E535" s="15"/>
      <c r="F535" s="15"/>
      <c r="G535" s="15"/>
      <c r="H535" s="103"/>
      <c r="I535" s="103"/>
    </row>
    <row r="536">
      <c r="B536" s="15"/>
      <c r="D536" s="15"/>
      <c r="E536" s="15"/>
      <c r="F536" s="15"/>
      <c r="G536" s="15"/>
      <c r="H536" s="103"/>
      <c r="I536" s="103"/>
    </row>
    <row r="537">
      <c r="B537" s="15"/>
      <c r="D537" s="15"/>
      <c r="E537" s="15"/>
      <c r="F537" s="15"/>
      <c r="G537" s="15"/>
      <c r="H537" s="103"/>
      <c r="I537" s="103"/>
    </row>
    <row r="538">
      <c r="B538" s="15"/>
      <c r="D538" s="15"/>
      <c r="E538" s="15"/>
      <c r="F538" s="15"/>
      <c r="G538" s="15"/>
      <c r="H538" s="103"/>
      <c r="I538" s="103"/>
    </row>
    <row r="539">
      <c r="B539" s="15"/>
      <c r="D539" s="15"/>
      <c r="E539" s="15"/>
      <c r="F539" s="15"/>
      <c r="G539" s="15"/>
      <c r="H539" s="103"/>
      <c r="I539" s="103"/>
    </row>
    <row r="540">
      <c r="B540" s="15"/>
      <c r="D540" s="15"/>
      <c r="E540" s="15"/>
      <c r="F540" s="15"/>
      <c r="G540" s="15"/>
      <c r="H540" s="103"/>
      <c r="I540" s="103"/>
    </row>
    <row r="541">
      <c r="B541" s="15"/>
      <c r="D541" s="15"/>
      <c r="E541" s="15"/>
      <c r="F541" s="15"/>
      <c r="G541" s="15"/>
      <c r="H541" s="103"/>
      <c r="I541" s="103"/>
    </row>
    <row r="542">
      <c r="B542" s="15"/>
      <c r="D542" s="15"/>
      <c r="E542" s="15"/>
      <c r="F542" s="15"/>
      <c r="G542" s="15"/>
      <c r="H542" s="103"/>
      <c r="I542" s="103"/>
    </row>
    <row r="543">
      <c r="B543" s="15"/>
      <c r="D543" s="15"/>
      <c r="E543" s="15"/>
      <c r="F543" s="15"/>
      <c r="G543" s="15"/>
      <c r="H543" s="103"/>
      <c r="I543" s="103"/>
    </row>
    <row r="544">
      <c r="B544" s="15"/>
      <c r="D544" s="15"/>
      <c r="E544" s="15"/>
      <c r="F544" s="15"/>
      <c r="G544" s="15"/>
      <c r="H544" s="103"/>
      <c r="I544" s="103"/>
    </row>
    <row r="545">
      <c r="B545" s="15"/>
      <c r="D545" s="15"/>
      <c r="E545" s="15"/>
      <c r="F545" s="15"/>
      <c r="G545" s="15"/>
      <c r="H545" s="103"/>
      <c r="I545" s="103"/>
    </row>
    <row r="546">
      <c r="B546" s="15"/>
      <c r="D546" s="15"/>
      <c r="E546" s="15"/>
      <c r="F546" s="15"/>
      <c r="G546" s="15"/>
      <c r="H546" s="103"/>
      <c r="I546" s="103"/>
    </row>
    <row r="547">
      <c r="B547" s="15"/>
      <c r="D547" s="15"/>
      <c r="E547" s="15"/>
      <c r="F547" s="15"/>
      <c r="G547" s="15"/>
      <c r="H547" s="103"/>
      <c r="I547" s="103"/>
    </row>
    <row r="548">
      <c r="B548" s="15"/>
      <c r="D548" s="15"/>
      <c r="E548" s="15"/>
      <c r="F548" s="15"/>
      <c r="G548" s="15"/>
      <c r="H548" s="103"/>
      <c r="I548" s="103"/>
    </row>
    <row r="549">
      <c r="B549" s="15"/>
      <c r="D549" s="15"/>
      <c r="E549" s="15"/>
      <c r="F549" s="15"/>
      <c r="G549" s="15"/>
      <c r="H549" s="103"/>
      <c r="I549" s="103"/>
    </row>
    <row r="550">
      <c r="B550" s="15"/>
      <c r="D550" s="15"/>
      <c r="E550" s="15"/>
      <c r="F550" s="15"/>
      <c r="G550" s="15"/>
      <c r="H550" s="103"/>
      <c r="I550" s="103"/>
    </row>
    <row r="551">
      <c r="B551" s="15"/>
      <c r="D551" s="15"/>
      <c r="E551" s="15"/>
      <c r="F551" s="15"/>
      <c r="G551" s="15"/>
      <c r="H551" s="103"/>
      <c r="I551" s="103"/>
    </row>
    <row r="552">
      <c r="B552" s="15"/>
      <c r="D552" s="15"/>
      <c r="E552" s="15"/>
      <c r="F552" s="15"/>
      <c r="G552" s="15"/>
      <c r="H552" s="103"/>
      <c r="I552" s="103"/>
    </row>
    <row r="553">
      <c r="B553" s="15"/>
      <c r="D553" s="15"/>
      <c r="E553" s="15"/>
      <c r="F553" s="15"/>
      <c r="G553" s="15"/>
      <c r="H553" s="103"/>
      <c r="I553" s="103"/>
    </row>
    <row r="554">
      <c r="B554" s="15"/>
      <c r="D554" s="15"/>
      <c r="E554" s="15"/>
      <c r="F554" s="15"/>
      <c r="G554" s="15"/>
      <c r="H554" s="103"/>
      <c r="I554" s="103"/>
    </row>
    <row r="555">
      <c r="B555" s="15"/>
      <c r="D555" s="15"/>
      <c r="E555" s="15"/>
      <c r="F555" s="15"/>
      <c r="G555" s="15"/>
      <c r="H555" s="103"/>
      <c r="I555" s="103"/>
    </row>
    <row r="556">
      <c r="B556" s="15"/>
      <c r="D556" s="15"/>
      <c r="E556" s="15"/>
      <c r="F556" s="15"/>
      <c r="G556" s="15"/>
      <c r="H556" s="103"/>
      <c r="I556" s="103"/>
    </row>
    <row r="557">
      <c r="B557" s="15"/>
      <c r="D557" s="15"/>
      <c r="E557" s="15"/>
      <c r="F557" s="15"/>
      <c r="G557" s="15"/>
      <c r="H557" s="103"/>
      <c r="I557" s="103"/>
    </row>
    <row r="558">
      <c r="B558" s="15"/>
      <c r="D558" s="15"/>
      <c r="E558" s="15"/>
      <c r="F558" s="15"/>
      <c r="G558" s="15"/>
      <c r="H558" s="103"/>
      <c r="I558" s="103"/>
    </row>
    <row r="559">
      <c r="B559" s="15"/>
      <c r="D559" s="15"/>
      <c r="E559" s="15"/>
      <c r="F559" s="15"/>
      <c r="G559" s="15"/>
      <c r="H559" s="103"/>
      <c r="I559" s="103"/>
    </row>
    <row r="560">
      <c r="B560" s="15"/>
      <c r="D560" s="15"/>
      <c r="E560" s="15"/>
      <c r="F560" s="15"/>
      <c r="G560" s="15"/>
      <c r="H560" s="103"/>
      <c r="I560" s="103"/>
    </row>
    <row r="561">
      <c r="B561" s="15"/>
      <c r="D561" s="15"/>
      <c r="E561" s="15"/>
      <c r="F561" s="15"/>
      <c r="G561" s="15"/>
      <c r="H561" s="103"/>
      <c r="I561" s="103"/>
    </row>
    <row r="562">
      <c r="B562" s="15"/>
      <c r="D562" s="15"/>
      <c r="E562" s="15"/>
      <c r="F562" s="15"/>
      <c r="G562" s="15"/>
      <c r="H562" s="103"/>
      <c r="I562" s="103"/>
    </row>
    <row r="563">
      <c r="B563" s="15"/>
      <c r="D563" s="15"/>
      <c r="E563" s="15"/>
      <c r="F563" s="15"/>
      <c r="G563" s="15"/>
      <c r="H563" s="103"/>
      <c r="I563" s="103"/>
    </row>
    <row r="564">
      <c r="B564" s="15"/>
      <c r="D564" s="15"/>
      <c r="E564" s="15"/>
      <c r="F564" s="15"/>
      <c r="G564" s="15"/>
      <c r="H564" s="103"/>
      <c r="I564" s="103"/>
    </row>
    <row r="565">
      <c r="B565" s="15"/>
      <c r="D565" s="15"/>
      <c r="E565" s="15"/>
      <c r="F565" s="15"/>
      <c r="G565" s="15"/>
      <c r="H565" s="103"/>
      <c r="I565" s="103"/>
    </row>
    <row r="566">
      <c r="B566" s="15"/>
      <c r="D566" s="15"/>
      <c r="E566" s="15"/>
      <c r="F566" s="15"/>
      <c r="G566" s="15"/>
      <c r="H566" s="103"/>
      <c r="I566" s="103"/>
    </row>
    <row r="567">
      <c r="B567" s="15"/>
      <c r="D567" s="15"/>
      <c r="E567" s="15"/>
      <c r="F567" s="15"/>
      <c r="G567" s="15"/>
      <c r="H567" s="103"/>
      <c r="I567" s="103"/>
    </row>
    <row r="568">
      <c r="B568" s="15"/>
      <c r="D568" s="15"/>
      <c r="E568" s="15"/>
      <c r="F568" s="15"/>
      <c r="G568" s="15"/>
      <c r="H568" s="103"/>
      <c r="I568" s="103"/>
    </row>
    <row r="569">
      <c r="B569" s="15"/>
      <c r="D569" s="15"/>
      <c r="E569" s="15"/>
      <c r="F569" s="15"/>
      <c r="G569" s="15"/>
      <c r="H569" s="103"/>
      <c r="I569" s="103"/>
    </row>
    <row r="570">
      <c r="B570" s="15"/>
      <c r="D570" s="15"/>
      <c r="E570" s="15"/>
      <c r="F570" s="15"/>
      <c r="G570" s="15"/>
      <c r="H570" s="103"/>
      <c r="I570" s="103"/>
    </row>
    <row r="571">
      <c r="B571" s="15"/>
      <c r="D571" s="15"/>
      <c r="E571" s="15"/>
      <c r="F571" s="15"/>
      <c r="G571" s="15"/>
      <c r="H571" s="103"/>
      <c r="I571" s="103"/>
    </row>
    <row r="572">
      <c r="B572" s="15"/>
      <c r="D572" s="15"/>
      <c r="E572" s="15"/>
      <c r="F572" s="15"/>
      <c r="G572" s="15"/>
      <c r="H572" s="103"/>
      <c r="I572" s="103"/>
    </row>
    <row r="573">
      <c r="B573" s="15"/>
      <c r="D573" s="15"/>
      <c r="E573" s="15"/>
      <c r="F573" s="15"/>
      <c r="G573" s="15"/>
      <c r="H573" s="103"/>
      <c r="I573" s="103"/>
    </row>
    <row r="574">
      <c r="B574" s="15"/>
      <c r="D574" s="15"/>
      <c r="E574" s="15"/>
      <c r="F574" s="15"/>
      <c r="G574" s="15"/>
      <c r="H574" s="103"/>
      <c r="I574" s="103"/>
    </row>
    <row r="575">
      <c r="B575" s="15"/>
      <c r="D575" s="15"/>
      <c r="E575" s="15"/>
      <c r="F575" s="15"/>
      <c r="G575" s="15"/>
      <c r="H575" s="103"/>
      <c r="I575" s="103"/>
    </row>
    <row r="576">
      <c r="B576" s="15"/>
      <c r="D576" s="15"/>
      <c r="E576" s="15"/>
      <c r="F576" s="15"/>
      <c r="G576" s="15"/>
      <c r="H576" s="103"/>
      <c r="I576" s="103"/>
    </row>
    <row r="577">
      <c r="B577" s="15"/>
      <c r="D577" s="15"/>
      <c r="E577" s="15"/>
      <c r="F577" s="15"/>
      <c r="G577" s="15"/>
      <c r="H577" s="103"/>
      <c r="I577" s="103"/>
    </row>
    <row r="578">
      <c r="B578" s="15"/>
      <c r="D578" s="15"/>
      <c r="E578" s="15"/>
      <c r="F578" s="15"/>
      <c r="G578" s="15"/>
      <c r="H578" s="103"/>
      <c r="I578" s="103"/>
    </row>
    <row r="579">
      <c r="B579" s="15"/>
      <c r="D579" s="15"/>
      <c r="E579" s="15"/>
      <c r="F579" s="15"/>
      <c r="G579" s="15"/>
      <c r="H579" s="103"/>
      <c r="I579" s="103"/>
    </row>
    <row r="580">
      <c r="B580" s="15"/>
      <c r="D580" s="15"/>
      <c r="E580" s="15"/>
      <c r="F580" s="15"/>
      <c r="G580" s="15"/>
      <c r="H580" s="103"/>
      <c r="I580" s="103"/>
    </row>
    <row r="581">
      <c r="B581" s="15"/>
      <c r="D581" s="15"/>
      <c r="E581" s="15"/>
      <c r="F581" s="15"/>
      <c r="G581" s="15"/>
      <c r="H581" s="103"/>
      <c r="I581" s="103"/>
    </row>
    <row r="582">
      <c r="B582" s="15"/>
      <c r="D582" s="15"/>
      <c r="E582" s="15"/>
      <c r="F582" s="15"/>
      <c r="G582" s="15"/>
      <c r="H582" s="103"/>
      <c r="I582" s="103"/>
    </row>
    <row r="583">
      <c r="B583" s="15"/>
      <c r="D583" s="15"/>
      <c r="E583" s="15"/>
      <c r="F583" s="15"/>
      <c r="G583" s="15"/>
      <c r="H583" s="103"/>
      <c r="I583" s="103"/>
    </row>
    <row r="584">
      <c r="B584" s="15"/>
      <c r="D584" s="15"/>
      <c r="E584" s="15"/>
      <c r="F584" s="15"/>
      <c r="G584" s="15"/>
      <c r="H584" s="103"/>
      <c r="I584" s="103"/>
    </row>
    <row r="585">
      <c r="B585" s="15"/>
      <c r="D585" s="15"/>
      <c r="E585" s="15"/>
      <c r="F585" s="15"/>
      <c r="G585" s="15"/>
      <c r="H585" s="103"/>
      <c r="I585" s="103"/>
    </row>
    <row r="586">
      <c r="B586" s="15"/>
      <c r="D586" s="15"/>
      <c r="E586" s="15"/>
      <c r="F586" s="15"/>
      <c r="G586" s="15"/>
      <c r="H586" s="103"/>
      <c r="I586" s="103"/>
    </row>
    <row r="587">
      <c r="B587" s="15"/>
      <c r="D587" s="15"/>
      <c r="E587" s="15"/>
      <c r="F587" s="15"/>
      <c r="G587" s="15"/>
      <c r="H587" s="103"/>
      <c r="I587" s="103"/>
    </row>
    <row r="588">
      <c r="B588" s="15"/>
      <c r="D588" s="15"/>
      <c r="E588" s="15"/>
      <c r="F588" s="15"/>
      <c r="G588" s="15"/>
      <c r="H588" s="103"/>
      <c r="I588" s="103"/>
    </row>
    <row r="589">
      <c r="B589" s="15"/>
      <c r="D589" s="15"/>
      <c r="E589" s="15"/>
      <c r="F589" s="15"/>
      <c r="G589" s="15"/>
      <c r="H589" s="103"/>
      <c r="I589" s="103"/>
    </row>
    <row r="590">
      <c r="B590" s="15"/>
      <c r="D590" s="15"/>
      <c r="E590" s="15"/>
      <c r="F590" s="15"/>
      <c r="G590" s="15"/>
      <c r="H590" s="103"/>
      <c r="I590" s="103"/>
    </row>
    <row r="591">
      <c r="B591" s="15"/>
      <c r="D591" s="15"/>
      <c r="E591" s="15"/>
      <c r="F591" s="15"/>
      <c r="G591" s="15"/>
      <c r="H591" s="103"/>
      <c r="I591" s="103"/>
    </row>
    <row r="592">
      <c r="B592" s="15"/>
      <c r="D592" s="15"/>
      <c r="E592" s="15"/>
      <c r="F592" s="15"/>
      <c r="G592" s="15"/>
      <c r="H592" s="103"/>
      <c r="I592" s="103"/>
    </row>
    <row r="593">
      <c r="B593" s="15"/>
      <c r="D593" s="15"/>
      <c r="E593" s="15"/>
      <c r="F593" s="15"/>
      <c r="G593" s="15"/>
      <c r="H593" s="103"/>
      <c r="I593" s="103"/>
    </row>
    <row r="594">
      <c r="B594" s="15"/>
      <c r="D594" s="15"/>
      <c r="E594" s="15"/>
      <c r="F594" s="15"/>
      <c r="G594" s="15"/>
      <c r="H594" s="103"/>
      <c r="I594" s="103"/>
    </row>
    <row r="595">
      <c r="B595" s="15"/>
      <c r="D595" s="15"/>
      <c r="E595" s="15"/>
      <c r="F595" s="15"/>
      <c r="G595" s="15"/>
      <c r="H595" s="103"/>
      <c r="I595" s="103"/>
    </row>
    <row r="596">
      <c r="B596" s="15"/>
      <c r="D596" s="15"/>
      <c r="E596" s="15"/>
      <c r="F596" s="15"/>
      <c r="G596" s="15"/>
      <c r="H596" s="103"/>
      <c r="I596" s="103"/>
    </row>
    <row r="597">
      <c r="B597" s="15"/>
      <c r="D597" s="15"/>
      <c r="E597" s="15"/>
      <c r="F597" s="15"/>
      <c r="G597" s="15"/>
      <c r="H597" s="103"/>
      <c r="I597" s="103"/>
    </row>
    <row r="598">
      <c r="B598" s="15"/>
      <c r="D598" s="15"/>
      <c r="E598" s="15"/>
      <c r="F598" s="15"/>
      <c r="G598" s="15"/>
      <c r="H598" s="103"/>
      <c r="I598" s="103"/>
    </row>
    <row r="599">
      <c r="B599" s="15"/>
      <c r="D599" s="15"/>
      <c r="E599" s="15"/>
      <c r="F599" s="15"/>
      <c r="G599" s="15"/>
      <c r="H599" s="103"/>
      <c r="I599" s="103"/>
    </row>
    <row r="600">
      <c r="B600" s="15"/>
      <c r="D600" s="15"/>
      <c r="E600" s="15"/>
      <c r="F600" s="15"/>
      <c r="G600" s="15"/>
      <c r="H600" s="103"/>
      <c r="I600" s="103"/>
    </row>
    <row r="601">
      <c r="B601" s="15"/>
      <c r="D601" s="15"/>
      <c r="E601" s="15"/>
      <c r="F601" s="15"/>
      <c r="G601" s="15"/>
      <c r="H601" s="103"/>
      <c r="I601" s="103"/>
    </row>
    <row r="602">
      <c r="B602" s="15"/>
      <c r="D602" s="15"/>
      <c r="E602" s="15"/>
      <c r="F602" s="15"/>
      <c r="G602" s="15"/>
      <c r="H602" s="103"/>
      <c r="I602" s="103"/>
    </row>
    <row r="603">
      <c r="B603" s="15"/>
      <c r="D603" s="15"/>
      <c r="E603" s="15"/>
      <c r="F603" s="15"/>
      <c r="G603" s="15"/>
      <c r="H603" s="103"/>
      <c r="I603" s="103"/>
    </row>
    <row r="604">
      <c r="B604" s="15"/>
      <c r="D604" s="15"/>
      <c r="E604" s="15"/>
      <c r="F604" s="15"/>
      <c r="G604" s="15"/>
      <c r="H604" s="103"/>
      <c r="I604" s="103"/>
    </row>
    <row r="605">
      <c r="B605" s="15"/>
      <c r="D605" s="15"/>
      <c r="E605" s="15"/>
      <c r="F605" s="15"/>
      <c r="G605" s="15"/>
      <c r="H605" s="103"/>
      <c r="I605" s="103"/>
    </row>
    <row r="606">
      <c r="B606" s="15"/>
      <c r="D606" s="15"/>
      <c r="E606" s="15"/>
      <c r="F606" s="15"/>
      <c r="G606" s="15"/>
      <c r="H606" s="103"/>
      <c r="I606" s="103"/>
    </row>
    <row r="607">
      <c r="B607" s="15"/>
      <c r="D607" s="15"/>
      <c r="E607" s="15"/>
      <c r="F607" s="15"/>
      <c r="G607" s="15"/>
      <c r="H607" s="103"/>
      <c r="I607" s="103"/>
    </row>
    <row r="608">
      <c r="B608" s="15"/>
      <c r="D608" s="15"/>
      <c r="E608" s="15"/>
      <c r="F608" s="15"/>
      <c r="G608" s="15"/>
      <c r="H608" s="103"/>
      <c r="I608" s="103"/>
    </row>
    <row r="609">
      <c r="B609" s="15"/>
      <c r="D609" s="15"/>
      <c r="E609" s="15"/>
      <c r="F609" s="15"/>
      <c r="G609" s="15"/>
      <c r="H609" s="103"/>
      <c r="I609" s="103"/>
    </row>
    <row r="610">
      <c r="B610" s="15"/>
      <c r="D610" s="15"/>
      <c r="E610" s="15"/>
      <c r="F610" s="15"/>
      <c r="G610" s="15"/>
      <c r="H610" s="103"/>
      <c r="I610" s="103"/>
    </row>
    <row r="611">
      <c r="B611" s="15"/>
      <c r="D611" s="15"/>
      <c r="E611" s="15"/>
      <c r="F611" s="15"/>
      <c r="G611" s="15"/>
      <c r="H611" s="103"/>
      <c r="I611" s="103"/>
    </row>
    <row r="612">
      <c r="B612" s="15"/>
      <c r="D612" s="15"/>
      <c r="E612" s="15"/>
      <c r="F612" s="15"/>
      <c r="G612" s="15"/>
      <c r="H612" s="103"/>
      <c r="I612" s="103"/>
    </row>
    <row r="613">
      <c r="B613" s="15"/>
      <c r="D613" s="15"/>
      <c r="E613" s="15"/>
      <c r="F613" s="15"/>
      <c r="G613" s="15"/>
      <c r="H613" s="103"/>
      <c r="I613" s="103"/>
    </row>
    <row r="614">
      <c r="B614" s="15"/>
      <c r="D614" s="15"/>
      <c r="E614" s="15"/>
      <c r="F614" s="15"/>
      <c r="G614" s="15"/>
      <c r="H614" s="103"/>
      <c r="I614" s="103"/>
    </row>
    <row r="615">
      <c r="B615" s="15"/>
      <c r="D615" s="15"/>
      <c r="E615" s="15"/>
      <c r="F615" s="15"/>
      <c r="G615" s="15"/>
      <c r="H615" s="103"/>
      <c r="I615" s="103"/>
    </row>
    <row r="616">
      <c r="B616" s="15"/>
      <c r="D616" s="15"/>
      <c r="E616" s="15"/>
      <c r="F616" s="15"/>
      <c r="G616" s="15"/>
      <c r="H616" s="103"/>
      <c r="I616" s="103"/>
    </row>
    <row r="617">
      <c r="B617" s="15"/>
      <c r="D617" s="15"/>
      <c r="E617" s="15"/>
      <c r="F617" s="15"/>
      <c r="G617" s="15"/>
      <c r="H617" s="103"/>
      <c r="I617" s="103"/>
    </row>
    <row r="618">
      <c r="B618" s="15"/>
      <c r="D618" s="15"/>
      <c r="E618" s="15"/>
      <c r="F618" s="15"/>
      <c r="G618" s="15"/>
      <c r="H618" s="103"/>
      <c r="I618" s="103"/>
    </row>
    <row r="619">
      <c r="B619" s="15"/>
      <c r="D619" s="15"/>
      <c r="E619" s="15"/>
      <c r="F619" s="15"/>
      <c r="G619" s="15"/>
      <c r="H619" s="103"/>
      <c r="I619" s="103"/>
    </row>
    <row r="620">
      <c r="B620" s="15"/>
      <c r="D620" s="15"/>
      <c r="E620" s="15"/>
      <c r="F620" s="15"/>
      <c r="G620" s="15"/>
      <c r="H620" s="103"/>
      <c r="I620" s="103"/>
    </row>
    <row r="621">
      <c r="B621" s="15"/>
      <c r="D621" s="15"/>
      <c r="E621" s="15"/>
      <c r="F621" s="15"/>
      <c r="G621" s="15"/>
      <c r="H621" s="103"/>
      <c r="I621" s="103"/>
    </row>
    <row r="622">
      <c r="B622" s="15"/>
      <c r="D622" s="15"/>
      <c r="E622" s="15"/>
      <c r="F622" s="15"/>
      <c r="G622" s="15"/>
      <c r="H622" s="103"/>
      <c r="I622" s="103"/>
    </row>
    <row r="623">
      <c r="B623" s="15"/>
      <c r="D623" s="15"/>
      <c r="E623" s="15"/>
      <c r="F623" s="15"/>
      <c r="G623" s="15"/>
      <c r="H623" s="103"/>
      <c r="I623" s="103"/>
    </row>
    <row r="624">
      <c r="B624" s="15"/>
      <c r="D624" s="15"/>
      <c r="E624" s="15"/>
      <c r="F624" s="15"/>
      <c r="G624" s="15"/>
      <c r="H624" s="103"/>
      <c r="I624" s="103"/>
    </row>
    <row r="625">
      <c r="B625" s="15"/>
      <c r="D625" s="15"/>
      <c r="E625" s="15"/>
      <c r="F625" s="15"/>
      <c r="G625" s="15"/>
      <c r="H625" s="103"/>
      <c r="I625" s="103"/>
    </row>
    <row r="626">
      <c r="B626" s="15"/>
      <c r="D626" s="15"/>
      <c r="E626" s="15"/>
      <c r="F626" s="15"/>
      <c r="G626" s="15"/>
      <c r="H626" s="103"/>
      <c r="I626" s="103"/>
    </row>
    <row r="627">
      <c r="B627" s="15"/>
      <c r="D627" s="15"/>
      <c r="E627" s="15"/>
      <c r="F627" s="15"/>
      <c r="G627" s="15"/>
      <c r="H627" s="103"/>
      <c r="I627" s="103"/>
    </row>
    <row r="628">
      <c r="B628" s="15"/>
      <c r="D628" s="15"/>
      <c r="E628" s="15"/>
      <c r="F628" s="15"/>
      <c r="G628" s="15"/>
      <c r="H628" s="103"/>
      <c r="I628" s="103"/>
    </row>
    <row r="629">
      <c r="B629" s="15"/>
      <c r="D629" s="15"/>
      <c r="E629" s="15"/>
      <c r="F629" s="15"/>
      <c r="G629" s="15"/>
      <c r="H629" s="103"/>
      <c r="I629" s="103"/>
    </row>
    <row r="630">
      <c r="B630" s="15"/>
      <c r="D630" s="15"/>
      <c r="E630" s="15"/>
      <c r="F630" s="15"/>
      <c r="G630" s="15"/>
      <c r="H630" s="103"/>
      <c r="I630" s="103"/>
    </row>
    <row r="631">
      <c r="B631" s="15"/>
      <c r="D631" s="15"/>
      <c r="E631" s="15"/>
      <c r="F631" s="15"/>
      <c r="G631" s="15"/>
      <c r="H631" s="103"/>
      <c r="I631" s="103"/>
    </row>
    <row r="632">
      <c r="B632" s="15"/>
      <c r="D632" s="15"/>
      <c r="E632" s="15"/>
      <c r="F632" s="15"/>
      <c r="G632" s="15"/>
      <c r="H632" s="103"/>
      <c r="I632" s="103"/>
    </row>
    <row r="633">
      <c r="B633" s="15"/>
      <c r="D633" s="15"/>
      <c r="E633" s="15"/>
      <c r="F633" s="15"/>
      <c r="G633" s="15"/>
      <c r="H633" s="103"/>
      <c r="I633" s="103"/>
    </row>
    <row r="634">
      <c r="B634" s="15"/>
      <c r="D634" s="15"/>
      <c r="E634" s="15"/>
      <c r="F634" s="15"/>
      <c r="G634" s="15"/>
      <c r="H634" s="103"/>
      <c r="I634" s="103"/>
    </row>
    <row r="635">
      <c r="B635" s="15"/>
      <c r="D635" s="15"/>
      <c r="E635" s="15"/>
      <c r="F635" s="15"/>
      <c r="G635" s="15"/>
      <c r="H635" s="103"/>
      <c r="I635" s="103"/>
    </row>
    <row r="636">
      <c r="B636" s="15"/>
      <c r="D636" s="15"/>
      <c r="E636" s="15"/>
      <c r="F636" s="15"/>
      <c r="G636" s="15"/>
      <c r="H636" s="103"/>
      <c r="I636" s="103"/>
    </row>
    <row r="637">
      <c r="B637" s="15"/>
      <c r="D637" s="15"/>
      <c r="E637" s="15"/>
      <c r="F637" s="15"/>
      <c r="G637" s="15"/>
      <c r="H637" s="103"/>
      <c r="I637" s="103"/>
    </row>
    <row r="638">
      <c r="B638" s="15"/>
      <c r="D638" s="15"/>
      <c r="E638" s="15"/>
      <c r="F638" s="15"/>
      <c r="G638" s="15"/>
      <c r="H638" s="103"/>
      <c r="I638" s="103"/>
    </row>
    <row r="639">
      <c r="B639" s="15"/>
      <c r="D639" s="15"/>
      <c r="E639" s="15"/>
      <c r="F639" s="15"/>
      <c r="G639" s="15"/>
      <c r="H639" s="103"/>
      <c r="I639" s="103"/>
    </row>
    <row r="640">
      <c r="B640" s="15"/>
      <c r="D640" s="15"/>
      <c r="E640" s="15"/>
      <c r="F640" s="15"/>
      <c r="G640" s="15"/>
      <c r="H640" s="103"/>
      <c r="I640" s="103"/>
    </row>
    <row r="641">
      <c r="B641" s="15"/>
      <c r="D641" s="15"/>
      <c r="E641" s="15"/>
      <c r="F641" s="15"/>
      <c r="G641" s="15"/>
      <c r="H641" s="103"/>
      <c r="I641" s="103"/>
    </row>
    <row r="642">
      <c r="B642" s="15"/>
      <c r="D642" s="15"/>
      <c r="E642" s="15"/>
      <c r="F642" s="15"/>
      <c r="G642" s="15"/>
      <c r="H642" s="103"/>
      <c r="I642" s="103"/>
    </row>
    <row r="643">
      <c r="B643" s="15"/>
      <c r="D643" s="15"/>
      <c r="E643" s="15"/>
      <c r="F643" s="15"/>
      <c r="G643" s="15"/>
      <c r="H643" s="103"/>
      <c r="I643" s="103"/>
    </row>
    <row r="644">
      <c r="B644" s="15"/>
      <c r="D644" s="15"/>
      <c r="E644" s="15"/>
      <c r="F644" s="15"/>
      <c r="G644" s="15"/>
      <c r="H644" s="103"/>
      <c r="I644" s="103"/>
    </row>
    <row r="645">
      <c r="B645" s="15"/>
      <c r="D645" s="15"/>
      <c r="E645" s="15"/>
      <c r="F645" s="15"/>
      <c r="G645" s="15"/>
      <c r="H645" s="103"/>
      <c r="I645" s="103"/>
    </row>
    <row r="646">
      <c r="B646" s="15"/>
      <c r="D646" s="15"/>
      <c r="E646" s="15"/>
      <c r="F646" s="15"/>
      <c r="G646" s="15"/>
      <c r="H646" s="103"/>
      <c r="I646" s="103"/>
    </row>
    <row r="647">
      <c r="B647" s="15"/>
      <c r="D647" s="15"/>
      <c r="E647" s="15"/>
      <c r="F647" s="15"/>
      <c r="G647" s="15"/>
      <c r="H647" s="103"/>
      <c r="I647" s="103"/>
    </row>
    <row r="648">
      <c r="B648" s="15"/>
      <c r="D648" s="15"/>
      <c r="E648" s="15"/>
      <c r="F648" s="15"/>
      <c r="G648" s="15"/>
      <c r="H648" s="103"/>
      <c r="I648" s="103"/>
    </row>
    <row r="649">
      <c r="B649" s="15"/>
      <c r="D649" s="15"/>
      <c r="E649" s="15"/>
      <c r="F649" s="15"/>
      <c r="G649" s="15"/>
      <c r="H649" s="103"/>
      <c r="I649" s="103"/>
    </row>
    <row r="650">
      <c r="B650" s="15"/>
      <c r="D650" s="15"/>
      <c r="E650" s="15"/>
      <c r="F650" s="15"/>
      <c r="G650" s="15"/>
      <c r="H650" s="103"/>
      <c r="I650" s="103"/>
    </row>
    <row r="651">
      <c r="B651" s="15"/>
      <c r="D651" s="15"/>
      <c r="E651" s="15"/>
      <c r="F651" s="15"/>
      <c r="G651" s="15"/>
      <c r="H651" s="103"/>
      <c r="I651" s="103"/>
    </row>
    <row r="652">
      <c r="B652" s="15"/>
      <c r="D652" s="15"/>
      <c r="E652" s="15"/>
      <c r="F652" s="15"/>
      <c r="G652" s="15"/>
      <c r="H652" s="103"/>
      <c r="I652" s="103"/>
    </row>
    <row r="653">
      <c r="B653" s="15"/>
      <c r="D653" s="15"/>
      <c r="E653" s="15"/>
      <c r="F653" s="15"/>
      <c r="G653" s="15"/>
      <c r="H653" s="103"/>
      <c r="I653" s="103"/>
    </row>
    <row r="654">
      <c r="B654" s="15"/>
      <c r="D654" s="15"/>
      <c r="E654" s="15"/>
      <c r="F654" s="15"/>
      <c r="G654" s="15"/>
      <c r="H654" s="103"/>
      <c r="I654" s="103"/>
    </row>
    <row r="655">
      <c r="B655" s="15"/>
      <c r="D655" s="15"/>
      <c r="E655" s="15"/>
      <c r="F655" s="15"/>
      <c r="G655" s="15"/>
      <c r="H655" s="103"/>
      <c r="I655" s="103"/>
    </row>
    <row r="656">
      <c r="B656" s="15"/>
      <c r="D656" s="15"/>
      <c r="E656" s="15"/>
      <c r="F656" s="15"/>
      <c r="G656" s="15"/>
      <c r="H656" s="103"/>
      <c r="I656" s="103"/>
    </row>
    <row r="657">
      <c r="B657" s="15"/>
      <c r="D657" s="15"/>
      <c r="E657" s="15"/>
      <c r="F657" s="15"/>
      <c r="G657" s="15"/>
      <c r="H657" s="103"/>
      <c r="I657" s="103"/>
    </row>
    <row r="658">
      <c r="B658" s="15"/>
      <c r="D658" s="15"/>
      <c r="E658" s="15"/>
      <c r="F658" s="15"/>
      <c r="G658" s="15"/>
      <c r="H658" s="103"/>
      <c r="I658" s="103"/>
    </row>
    <row r="659">
      <c r="B659" s="15"/>
      <c r="D659" s="15"/>
      <c r="E659" s="15"/>
      <c r="F659" s="15"/>
      <c r="G659" s="15"/>
      <c r="H659" s="103"/>
      <c r="I659" s="103"/>
    </row>
    <row r="660">
      <c r="B660" s="15"/>
      <c r="D660" s="15"/>
      <c r="E660" s="15"/>
      <c r="F660" s="15"/>
      <c r="G660" s="15"/>
      <c r="H660" s="103"/>
      <c r="I660" s="103"/>
    </row>
    <row r="661">
      <c r="B661" s="15"/>
      <c r="D661" s="15"/>
      <c r="E661" s="15"/>
      <c r="F661" s="15"/>
      <c r="G661" s="15"/>
      <c r="H661" s="103"/>
      <c r="I661" s="103"/>
    </row>
    <row r="662">
      <c r="B662" s="15"/>
      <c r="D662" s="15"/>
      <c r="E662" s="15"/>
      <c r="F662" s="15"/>
      <c r="G662" s="15"/>
      <c r="H662" s="103"/>
      <c r="I662" s="103"/>
    </row>
    <row r="663">
      <c r="B663" s="15"/>
      <c r="D663" s="15"/>
      <c r="E663" s="15"/>
      <c r="F663" s="15"/>
      <c r="G663" s="15"/>
      <c r="H663" s="103"/>
      <c r="I663" s="103"/>
    </row>
    <row r="664">
      <c r="B664" s="15"/>
      <c r="D664" s="15"/>
      <c r="E664" s="15"/>
      <c r="F664" s="15"/>
      <c r="G664" s="15"/>
      <c r="H664" s="103"/>
      <c r="I664" s="103"/>
    </row>
    <row r="665">
      <c r="B665" s="15"/>
      <c r="D665" s="15"/>
      <c r="E665" s="15"/>
      <c r="F665" s="15"/>
      <c r="G665" s="15"/>
      <c r="H665" s="103"/>
      <c r="I665" s="103"/>
    </row>
    <row r="666">
      <c r="B666" s="15"/>
      <c r="D666" s="15"/>
      <c r="E666" s="15"/>
      <c r="F666" s="15"/>
      <c r="G666" s="15"/>
      <c r="H666" s="103"/>
      <c r="I666" s="103"/>
    </row>
    <row r="667">
      <c r="B667" s="15"/>
      <c r="D667" s="15"/>
      <c r="E667" s="15"/>
      <c r="F667" s="15"/>
      <c r="G667" s="15"/>
      <c r="H667" s="103"/>
      <c r="I667" s="103"/>
    </row>
    <row r="668">
      <c r="B668" s="15"/>
      <c r="D668" s="15"/>
      <c r="E668" s="15"/>
      <c r="F668" s="15"/>
      <c r="G668" s="15"/>
      <c r="H668" s="103"/>
      <c r="I668" s="103"/>
    </row>
    <row r="669">
      <c r="B669" s="15"/>
      <c r="D669" s="15"/>
      <c r="E669" s="15"/>
      <c r="F669" s="15"/>
      <c r="G669" s="15"/>
      <c r="H669" s="103"/>
      <c r="I669" s="103"/>
    </row>
    <row r="670">
      <c r="B670" s="15"/>
      <c r="D670" s="15"/>
      <c r="E670" s="15"/>
      <c r="F670" s="15"/>
      <c r="G670" s="15"/>
      <c r="H670" s="103"/>
      <c r="I670" s="103"/>
    </row>
    <row r="671">
      <c r="B671" s="15"/>
      <c r="D671" s="15"/>
      <c r="E671" s="15"/>
      <c r="F671" s="15"/>
      <c r="G671" s="15"/>
      <c r="H671" s="103"/>
      <c r="I671" s="103"/>
    </row>
    <row r="672">
      <c r="B672" s="15"/>
      <c r="D672" s="15"/>
      <c r="E672" s="15"/>
      <c r="F672" s="15"/>
      <c r="G672" s="15"/>
      <c r="H672" s="103"/>
      <c r="I672" s="103"/>
    </row>
    <row r="673">
      <c r="B673" s="15"/>
      <c r="D673" s="15"/>
      <c r="E673" s="15"/>
      <c r="F673" s="15"/>
      <c r="G673" s="15"/>
      <c r="H673" s="103"/>
      <c r="I673" s="103"/>
    </row>
    <row r="674">
      <c r="B674" s="15"/>
      <c r="D674" s="15"/>
      <c r="E674" s="15"/>
      <c r="F674" s="15"/>
      <c r="G674" s="15"/>
      <c r="H674" s="103"/>
      <c r="I674" s="103"/>
    </row>
    <row r="675">
      <c r="B675" s="15"/>
      <c r="D675" s="15"/>
      <c r="E675" s="15"/>
      <c r="F675" s="15"/>
      <c r="G675" s="15"/>
      <c r="H675" s="103"/>
      <c r="I675" s="103"/>
    </row>
    <row r="676">
      <c r="B676" s="15"/>
      <c r="D676" s="15"/>
      <c r="E676" s="15"/>
      <c r="F676" s="15"/>
      <c r="G676" s="15"/>
      <c r="H676" s="103"/>
      <c r="I676" s="103"/>
    </row>
    <row r="677">
      <c r="B677" s="15"/>
      <c r="D677" s="15"/>
      <c r="E677" s="15"/>
      <c r="F677" s="15"/>
      <c r="G677" s="15"/>
      <c r="H677" s="103"/>
      <c r="I677" s="103"/>
    </row>
    <row r="678">
      <c r="B678" s="15"/>
      <c r="D678" s="15"/>
      <c r="E678" s="15"/>
      <c r="F678" s="15"/>
      <c r="G678" s="15"/>
      <c r="H678" s="103"/>
      <c r="I678" s="103"/>
    </row>
    <row r="679">
      <c r="B679" s="15"/>
      <c r="D679" s="15"/>
      <c r="E679" s="15"/>
      <c r="F679" s="15"/>
      <c r="G679" s="15"/>
      <c r="H679" s="103"/>
      <c r="I679" s="103"/>
    </row>
    <row r="680">
      <c r="B680" s="15"/>
      <c r="D680" s="15"/>
      <c r="E680" s="15"/>
      <c r="F680" s="15"/>
      <c r="G680" s="15"/>
      <c r="H680" s="103"/>
      <c r="I680" s="103"/>
    </row>
    <row r="681">
      <c r="B681" s="15"/>
      <c r="D681" s="15"/>
      <c r="E681" s="15"/>
      <c r="F681" s="15"/>
      <c r="G681" s="15"/>
      <c r="H681" s="103"/>
      <c r="I681" s="103"/>
    </row>
    <row r="682">
      <c r="B682" s="15"/>
      <c r="D682" s="15"/>
      <c r="E682" s="15"/>
      <c r="F682" s="15"/>
      <c r="G682" s="15"/>
      <c r="H682" s="103"/>
      <c r="I682" s="103"/>
    </row>
    <row r="683">
      <c r="B683" s="15"/>
      <c r="D683" s="15"/>
      <c r="E683" s="15"/>
      <c r="F683" s="15"/>
      <c r="G683" s="15"/>
      <c r="H683" s="103"/>
      <c r="I683" s="103"/>
    </row>
    <row r="684">
      <c r="B684" s="15"/>
      <c r="D684" s="15"/>
      <c r="E684" s="15"/>
      <c r="F684" s="15"/>
      <c r="G684" s="15"/>
      <c r="H684" s="103"/>
      <c r="I684" s="103"/>
    </row>
    <row r="685">
      <c r="B685" s="15"/>
      <c r="D685" s="15"/>
      <c r="E685" s="15"/>
      <c r="F685" s="15"/>
      <c r="G685" s="15"/>
      <c r="H685" s="103"/>
      <c r="I685" s="103"/>
    </row>
    <row r="686">
      <c r="B686" s="15"/>
      <c r="D686" s="15"/>
      <c r="E686" s="15"/>
      <c r="F686" s="15"/>
      <c r="G686" s="15"/>
      <c r="H686" s="103"/>
      <c r="I686" s="103"/>
    </row>
    <row r="687">
      <c r="B687" s="15"/>
      <c r="D687" s="15"/>
      <c r="E687" s="15"/>
      <c r="F687" s="15"/>
      <c r="G687" s="15"/>
      <c r="H687" s="103"/>
      <c r="I687" s="103"/>
    </row>
    <row r="688">
      <c r="B688" s="15"/>
      <c r="D688" s="15"/>
      <c r="E688" s="15"/>
      <c r="F688" s="15"/>
      <c r="G688" s="15"/>
      <c r="H688" s="103"/>
      <c r="I688" s="103"/>
    </row>
    <row r="689">
      <c r="B689" s="15"/>
      <c r="D689" s="15"/>
      <c r="E689" s="15"/>
      <c r="F689" s="15"/>
      <c r="G689" s="15"/>
      <c r="H689" s="103"/>
      <c r="I689" s="103"/>
    </row>
    <row r="690">
      <c r="B690" s="15"/>
      <c r="D690" s="15"/>
      <c r="E690" s="15"/>
      <c r="F690" s="15"/>
      <c r="G690" s="15"/>
      <c r="H690" s="103"/>
      <c r="I690" s="103"/>
    </row>
    <row r="691">
      <c r="B691" s="15"/>
      <c r="D691" s="15"/>
      <c r="E691" s="15"/>
      <c r="F691" s="15"/>
      <c r="G691" s="15"/>
      <c r="H691" s="103"/>
      <c r="I691" s="103"/>
    </row>
    <row r="692">
      <c r="B692" s="15"/>
      <c r="D692" s="15"/>
      <c r="E692" s="15"/>
      <c r="F692" s="15"/>
      <c r="G692" s="15"/>
      <c r="H692" s="103"/>
      <c r="I692" s="103"/>
    </row>
    <row r="693">
      <c r="B693" s="15"/>
      <c r="D693" s="15"/>
      <c r="E693" s="15"/>
      <c r="F693" s="15"/>
      <c r="G693" s="15"/>
      <c r="H693" s="103"/>
      <c r="I693" s="103"/>
    </row>
    <row r="694">
      <c r="B694" s="15"/>
      <c r="D694" s="15"/>
      <c r="E694" s="15"/>
      <c r="F694" s="15"/>
      <c r="G694" s="15"/>
      <c r="H694" s="103"/>
      <c r="I694" s="103"/>
    </row>
    <row r="695">
      <c r="B695" s="15"/>
      <c r="D695" s="15"/>
      <c r="E695" s="15"/>
      <c r="F695" s="15"/>
      <c r="G695" s="15"/>
      <c r="H695" s="103"/>
      <c r="I695" s="103"/>
    </row>
    <row r="696">
      <c r="B696" s="15"/>
      <c r="D696" s="15"/>
      <c r="E696" s="15"/>
      <c r="F696" s="15"/>
      <c r="G696" s="15"/>
      <c r="H696" s="103"/>
      <c r="I696" s="103"/>
    </row>
    <row r="697">
      <c r="B697" s="15"/>
      <c r="D697" s="15"/>
      <c r="E697" s="15"/>
      <c r="F697" s="15"/>
      <c r="G697" s="15"/>
      <c r="H697" s="103"/>
      <c r="I697" s="103"/>
    </row>
    <row r="698">
      <c r="B698" s="15"/>
      <c r="D698" s="15"/>
      <c r="E698" s="15"/>
      <c r="F698" s="15"/>
      <c r="G698" s="15"/>
      <c r="H698" s="103"/>
      <c r="I698" s="103"/>
    </row>
    <row r="699">
      <c r="B699" s="15"/>
      <c r="D699" s="15"/>
      <c r="E699" s="15"/>
      <c r="F699" s="15"/>
      <c r="G699" s="15"/>
      <c r="H699" s="103"/>
      <c r="I699" s="103"/>
    </row>
    <row r="700">
      <c r="B700" s="15"/>
      <c r="D700" s="15"/>
      <c r="E700" s="15"/>
      <c r="F700" s="15"/>
      <c r="G700" s="15"/>
      <c r="H700" s="103"/>
      <c r="I700" s="103"/>
    </row>
    <row r="701">
      <c r="B701" s="15"/>
      <c r="D701" s="15"/>
      <c r="E701" s="15"/>
      <c r="F701" s="15"/>
      <c r="G701" s="15"/>
      <c r="H701" s="103"/>
      <c r="I701" s="103"/>
    </row>
    <row r="702">
      <c r="B702" s="15"/>
      <c r="D702" s="15"/>
      <c r="E702" s="15"/>
      <c r="F702" s="15"/>
      <c r="G702" s="15"/>
      <c r="H702" s="103"/>
      <c r="I702" s="103"/>
    </row>
    <row r="703">
      <c r="B703" s="15"/>
      <c r="D703" s="15"/>
      <c r="E703" s="15"/>
      <c r="F703" s="15"/>
      <c r="G703" s="15"/>
      <c r="H703" s="103"/>
      <c r="I703" s="103"/>
    </row>
    <row r="704">
      <c r="B704" s="15"/>
      <c r="D704" s="15"/>
      <c r="E704" s="15"/>
      <c r="F704" s="15"/>
      <c r="G704" s="15"/>
      <c r="H704" s="103"/>
      <c r="I704" s="103"/>
    </row>
    <row r="705">
      <c r="B705" s="15"/>
      <c r="D705" s="15"/>
      <c r="E705" s="15"/>
      <c r="F705" s="15"/>
      <c r="G705" s="15"/>
      <c r="H705" s="103"/>
      <c r="I705" s="103"/>
    </row>
    <row r="706">
      <c r="B706" s="15"/>
      <c r="D706" s="15"/>
      <c r="E706" s="15"/>
      <c r="F706" s="15"/>
      <c r="G706" s="15"/>
      <c r="H706" s="103"/>
      <c r="I706" s="103"/>
    </row>
    <row r="707">
      <c r="B707" s="15"/>
      <c r="D707" s="15"/>
      <c r="E707" s="15"/>
      <c r="F707" s="15"/>
      <c r="G707" s="15"/>
      <c r="H707" s="103"/>
      <c r="I707" s="103"/>
    </row>
    <row r="708">
      <c r="B708" s="15"/>
      <c r="D708" s="15"/>
      <c r="E708" s="15"/>
      <c r="F708" s="15"/>
      <c r="G708" s="15"/>
      <c r="H708" s="103"/>
      <c r="I708" s="103"/>
    </row>
    <row r="709">
      <c r="B709" s="15"/>
      <c r="D709" s="15"/>
      <c r="E709" s="15"/>
      <c r="F709" s="15"/>
      <c r="G709" s="15"/>
      <c r="H709" s="103"/>
      <c r="I709" s="103"/>
    </row>
    <row r="710">
      <c r="B710" s="15"/>
      <c r="D710" s="15"/>
      <c r="E710" s="15"/>
      <c r="F710" s="15"/>
      <c r="G710" s="15"/>
      <c r="H710" s="103"/>
      <c r="I710" s="103"/>
    </row>
    <row r="711">
      <c r="B711" s="15"/>
      <c r="D711" s="15"/>
      <c r="E711" s="15"/>
      <c r="F711" s="15"/>
      <c r="G711" s="15"/>
      <c r="H711" s="103"/>
      <c r="I711" s="103"/>
    </row>
    <row r="712">
      <c r="B712" s="15"/>
      <c r="D712" s="15"/>
      <c r="E712" s="15"/>
      <c r="F712" s="15"/>
      <c r="G712" s="15"/>
      <c r="H712" s="103"/>
      <c r="I712" s="103"/>
    </row>
    <row r="713">
      <c r="B713" s="15"/>
      <c r="D713" s="15"/>
      <c r="E713" s="15"/>
      <c r="F713" s="15"/>
      <c r="G713" s="15"/>
      <c r="H713" s="103"/>
      <c r="I713" s="103"/>
    </row>
    <row r="714">
      <c r="B714" s="15"/>
      <c r="D714" s="15"/>
      <c r="E714" s="15"/>
      <c r="F714" s="15"/>
      <c r="G714" s="15"/>
      <c r="H714" s="103"/>
      <c r="I714" s="103"/>
    </row>
    <row r="715">
      <c r="B715" s="15"/>
      <c r="D715" s="15"/>
      <c r="E715" s="15"/>
      <c r="F715" s="15"/>
      <c r="G715" s="15"/>
      <c r="H715" s="103"/>
      <c r="I715" s="103"/>
    </row>
    <row r="716">
      <c r="B716" s="15"/>
      <c r="D716" s="15"/>
      <c r="E716" s="15"/>
      <c r="F716" s="15"/>
      <c r="G716" s="15"/>
      <c r="H716" s="103"/>
      <c r="I716" s="103"/>
    </row>
    <row r="717">
      <c r="B717" s="15"/>
      <c r="D717" s="15"/>
      <c r="E717" s="15"/>
      <c r="F717" s="15"/>
      <c r="G717" s="15"/>
      <c r="H717" s="103"/>
      <c r="I717" s="103"/>
    </row>
    <row r="718">
      <c r="B718" s="15"/>
      <c r="D718" s="15"/>
      <c r="E718" s="15"/>
      <c r="F718" s="15"/>
      <c r="G718" s="15"/>
      <c r="H718" s="103"/>
      <c r="I718" s="103"/>
    </row>
    <row r="719">
      <c r="B719" s="15"/>
      <c r="D719" s="15"/>
      <c r="E719" s="15"/>
      <c r="F719" s="15"/>
      <c r="G719" s="15"/>
      <c r="H719" s="103"/>
      <c r="I719" s="103"/>
    </row>
    <row r="720">
      <c r="B720" s="15"/>
      <c r="D720" s="15"/>
      <c r="E720" s="15"/>
      <c r="F720" s="15"/>
      <c r="G720" s="15"/>
      <c r="H720" s="103"/>
      <c r="I720" s="103"/>
    </row>
    <row r="721">
      <c r="B721" s="15"/>
      <c r="D721" s="15"/>
      <c r="E721" s="15"/>
      <c r="F721" s="15"/>
      <c r="G721" s="15"/>
      <c r="H721" s="103"/>
      <c r="I721" s="103"/>
    </row>
    <row r="722">
      <c r="B722" s="15"/>
      <c r="D722" s="15"/>
      <c r="E722" s="15"/>
      <c r="F722" s="15"/>
      <c r="G722" s="15"/>
      <c r="H722" s="103"/>
      <c r="I722" s="103"/>
    </row>
    <row r="723">
      <c r="B723" s="15"/>
      <c r="D723" s="15"/>
      <c r="E723" s="15"/>
      <c r="F723" s="15"/>
      <c r="G723" s="15"/>
      <c r="H723" s="103"/>
      <c r="I723" s="103"/>
    </row>
    <row r="724">
      <c r="B724" s="15"/>
      <c r="D724" s="15"/>
      <c r="E724" s="15"/>
      <c r="F724" s="15"/>
      <c r="G724" s="15"/>
      <c r="H724" s="103"/>
      <c r="I724" s="103"/>
    </row>
    <row r="725">
      <c r="B725" s="15"/>
      <c r="D725" s="15"/>
      <c r="E725" s="15"/>
      <c r="F725" s="15"/>
      <c r="G725" s="15"/>
      <c r="H725" s="103"/>
      <c r="I725" s="103"/>
    </row>
    <row r="726">
      <c r="B726" s="15"/>
      <c r="D726" s="15"/>
      <c r="E726" s="15"/>
      <c r="F726" s="15"/>
      <c r="G726" s="15"/>
      <c r="H726" s="103"/>
      <c r="I726" s="103"/>
    </row>
    <row r="727">
      <c r="B727" s="15"/>
      <c r="D727" s="15"/>
      <c r="E727" s="15"/>
      <c r="F727" s="15"/>
      <c r="G727" s="15"/>
      <c r="H727" s="103"/>
      <c r="I727" s="103"/>
    </row>
    <row r="728">
      <c r="B728" s="15"/>
      <c r="D728" s="15"/>
      <c r="E728" s="15"/>
      <c r="F728" s="15"/>
      <c r="G728" s="15"/>
      <c r="H728" s="103"/>
      <c r="I728" s="103"/>
    </row>
    <row r="729">
      <c r="B729" s="15"/>
      <c r="D729" s="15"/>
      <c r="E729" s="15"/>
      <c r="F729" s="15"/>
      <c r="G729" s="15"/>
      <c r="H729" s="103"/>
      <c r="I729" s="103"/>
    </row>
    <row r="730">
      <c r="B730" s="15"/>
      <c r="D730" s="15"/>
      <c r="E730" s="15"/>
      <c r="F730" s="15"/>
      <c r="G730" s="15"/>
      <c r="H730" s="103"/>
      <c r="I730" s="103"/>
    </row>
    <row r="731">
      <c r="B731" s="15"/>
      <c r="D731" s="15"/>
      <c r="E731" s="15"/>
      <c r="F731" s="15"/>
      <c r="G731" s="15"/>
      <c r="H731" s="103"/>
      <c r="I731" s="103"/>
    </row>
    <row r="732">
      <c r="B732" s="15"/>
      <c r="D732" s="15"/>
      <c r="E732" s="15"/>
      <c r="F732" s="15"/>
      <c r="G732" s="15"/>
      <c r="H732" s="103"/>
      <c r="I732" s="103"/>
    </row>
    <row r="733">
      <c r="B733" s="15"/>
      <c r="D733" s="15"/>
      <c r="E733" s="15"/>
      <c r="F733" s="15"/>
      <c r="G733" s="15"/>
      <c r="H733" s="103"/>
      <c r="I733" s="103"/>
    </row>
    <row r="734">
      <c r="B734" s="15"/>
      <c r="D734" s="15"/>
      <c r="E734" s="15"/>
      <c r="F734" s="15"/>
      <c r="G734" s="15"/>
      <c r="H734" s="103"/>
      <c r="I734" s="103"/>
    </row>
    <row r="735">
      <c r="B735" s="15"/>
      <c r="D735" s="15"/>
      <c r="E735" s="15"/>
      <c r="F735" s="15"/>
      <c r="G735" s="15"/>
      <c r="H735" s="103"/>
      <c r="I735" s="103"/>
    </row>
    <row r="736">
      <c r="B736" s="15"/>
      <c r="D736" s="15"/>
      <c r="E736" s="15"/>
      <c r="F736" s="15"/>
      <c r="G736" s="15"/>
      <c r="H736" s="103"/>
      <c r="I736" s="103"/>
    </row>
    <row r="737">
      <c r="B737" s="15"/>
      <c r="D737" s="15"/>
      <c r="E737" s="15"/>
      <c r="F737" s="15"/>
      <c r="G737" s="15"/>
      <c r="H737" s="103"/>
      <c r="I737" s="103"/>
    </row>
    <row r="738">
      <c r="B738" s="15"/>
      <c r="D738" s="15"/>
      <c r="E738" s="15"/>
      <c r="F738" s="15"/>
      <c r="G738" s="15"/>
      <c r="H738" s="103"/>
      <c r="I738" s="103"/>
    </row>
    <row r="739">
      <c r="B739" s="15"/>
      <c r="D739" s="15"/>
      <c r="E739" s="15"/>
      <c r="F739" s="15"/>
      <c r="G739" s="15"/>
      <c r="H739" s="103"/>
      <c r="I739" s="103"/>
    </row>
    <row r="740">
      <c r="B740" s="15"/>
      <c r="D740" s="15"/>
      <c r="E740" s="15"/>
      <c r="F740" s="15"/>
      <c r="G740" s="15"/>
      <c r="H740" s="103"/>
      <c r="I740" s="103"/>
    </row>
    <row r="741">
      <c r="B741" s="15"/>
      <c r="D741" s="15"/>
      <c r="E741" s="15"/>
      <c r="F741" s="15"/>
      <c r="G741" s="15"/>
      <c r="H741" s="103"/>
      <c r="I741" s="103"/>
    </row>
    <row r="742">
      <c r="B742" s="15"/>
      <c r="D742" s="15"/>
      <c r="E742" s="15"/>
      <c r="F742" s="15"/>
      <c r="G742" s="15"/>
      <c r="H742" s="103"/>
      <c r="I742" s="103"/>
    </row>
    <row r="743">
      <c r="B743" s="15"/>
      <c r="D743" s="15"/>
      <c r="E743" s="15"/>
      <c r="F743" s="15"/>
      <c r="G743" s="15"/>
      <c r="H743" s="103"/>
      <c r="I743" s="103"/>
    </row>
    <row r="744">
      <c r="B744" s="15"/>
      <c r="D744" s="15"/>
      <c r="E744" s="15"/>
      <c r="F744" s="15"/>
      <c r="G744" s="15"/>
      <c r="H744" s="103"/>
      <c r="I744" s="103"/>
    </row>
    <row r="745">
      <c r="B745" s="15"/>
      <c r="D745" s="15"/>
      <c r="E745" s="15"/>
      <c r="F745" s="15"/>
      <c r="G745" s="15"/>
      <c r="H745" s="103"/>
      <c r="I745" s="103"/>
    </row>
    <row r="746">
      <c r="B746" s="15"/>
      <c r="D746" s="15"/>
      <c r="E746" s="15"/>
      <c r="F746" s="15"/>
      <c r="G746" s="15"/>
      <c r="H746" s="103"/>
      <c r="I746" s="103"/>
    </row>
    <row r="747">
      <c r="B747" s="15"/>
      <c r="D747" s="15"/>
      <c r="E747" s="15"/>
      <c r="F747" s="15"/>
      <c r="G747" s="15"/>
      <c r="H747" s="103"/>
      <c r="I747" s="103"/>
    </row>
    <row r="748">
      <c r="B748" s="15"/>
      <c r="D748" s="15"/>
      <c r="E748" s="15"/>
      <c r="F748" s="15"/>
      <c r="G748" s="15"/>
      <c r="H748" s="103"/>
      <c r="I748" s="103"/>
    </row>
    <row r="749">
      <c r="B749" s="15"/>
      <c r="D749" s="15"/>
      <c r="E749" s="15"/>
      <c r="F749" s="15"/>
      <c r="G749" s="15"/>
      <c r="H749" s="103"/>
      <c r="I749" s="103"/>
    </row>
    <row r="750">
      <c r="B750" s="15"/>
      <c r="D750" s="15"/>
      <c r="E750" s="15"/>
      <c r="F750" s="15"/>
      <c r="G750" s="15"/>
      <c r="H750" s="103"/>
      <c r="I750" s="103"/>
    </row>
    <row r="751">
      <c r="B751" s="15"/>
      <c r="D751" s="15"/>
      <c r="E751" s="15"/>
      <c r="F751" s="15"/>
      <c r="G751" s="15"/>
      <c r="H751" s="103"/>
      <c r="I751" s="103"/>
    </row>
    <row r="752">
      <c r="B752" s="15"/>
      <c r="D752" s="15"/>
      <c r="E752" s="15"/>
      <c r="F752" s="15"/>
      <c r="G752" s="15"/>
      <c r="H752" s="103"/>
      <c r="I752" s="103"/>
    </row>
    <row r="753">
      <c r="B753" s="15"/>
      <c r="D753" s="15"/>
      <c r="E753" s="15"/>
      <c r="F753" s="15"/>
      <c r="G753" s="15"/>
      <c r="H753" s="103"/>
      <c r="I753" s="103"/>
    </row>
    <row r="754">
      <c r="B754" s="15"/>
      <c r="D754" s="15"/>
      <c r="E754" s="15"/>
      <c r="F754" s="15"/>
      <c r="G754" s="15"/>
      <c r="H754" s="103"/>
      <c r="I754" s="103"/>
    </row>
    <row r="755">
      <c r="B755" s="15"/>
      <c r="D755" s="15"/>
      <c r="E755" s="15"/>
      <c r="F755" s="15"/>
      <c r="G755" s="15"/>
      <c r="H755" s="103"/>
      <c r="I755" s="103"/>
    </row>
    <row r="756">
      <c r="B756" s="15"/>
      <c r="D756" s="15"/>
      <c r="E756" s="15"/>
      <c r="F756" s="15"/>
      <c r="G756" s="15"/>
      <c r="H756" s="103"/>
      <c r="I756" s="103"/>
    </row>
    <row r="757">
      <c r="B757" s="15"/>
      <c r="D757" s="15"/>
      <c r="E757" s="15"/>
      <c r="F757" s="15"/>
      <c r="G757" s="15"/>
      <c r="H757" s="103"/>
      <c r="I757" s="103"/>
    </row>
    <row r="758">
      <c r="B758" s="15"/>
      <c r="D758" s="15"/>
      <c r="E758" s="15"/>
      <c r="F758" s="15"/>
      <c r="G758" s="15"/>
      <c r="H758" s="103"/>
      <c r="I758" s="103"/>
    </row>
    <row r="759">
      <c r="B759" s="15"/>
      <c r="D759" s="15"/>
      <c r="E759" s="15"/>
      <c r="F759" s="15"/>
      <c r="G759" s="15"/>
      <c r="H759" s="103"/>
      <c r="I759" s="103"/>
    </row>
    <row r="760">
      <c r="B760" s="15"/>
      <c r="D760" s="15"/>
      <c r="E760" s="15"/>
      <c r="F760" s="15"/>
      <c r="G760" s="15"/>
      <c r="H760" s="103"/>
      <c r="I760" s="103"/>
    </row>
    <row r="761">
      <c r="B761" s="15"/>
      <c r="D761" s="15"/>
      <c r="E761" s="15"/>
      <c r="F761" s="15"/>
      <c r="G761" s="15"/>
      <c r="H761" s="103"/>
      <c r="I761" s="103"/>
    </row>
    <row r="762">
      <c r="B762" s="15"/>
      <c r="D762" s="15"/>
      <c r="E762" s="15"/>
      <c r="F762" s="15"/>
      <c r="G762" s="15"/>
      <c r="H762" s="103"/>
      <c r="I762" s="103"/>
    </row>
    <row r="763">
      <c r="B763" s="15"/>
      <c r="D763" s="15"/>
      <c r="E763" s="15"/>
      <c r="F763" s="15"/>
      <c r="G763" s="15"/>
      <c r="H763" s="103"/>
      <c r="I763" s="103"/>
    </row>
    <row r="764">
      <c r="B764" s="15"/>
      <c r="D764" s="15"/>
      <c r="E764" s="15"/>
      <c r="F764" s="15"/>
      <c r="G764" s="15"/>
      <c r="H764" s="103"/>
      <c r="I764" s="103"/>
    </row>
    <row r="765">
      <c r="B765" s="15"/>
      <c r="D765" s="15"/>
      <c r="E765" s="15"/>
      <c r="F765" s="15"/>
      <c r="G765" s="15"/>
      <c r="H765" s="103"/>
      <c r="I765" s="103"/>
    </row>
    <row r="766">
      <c r="B766" s="15"/>
      <c r="D766" s="15"/>
      <c r="E766" s="15"/>
      <c r="F766" s="15"/>
      <c r="G766" s="15"/>
      <c r="H766" s="103"/>
      <c r="I766" s="103"/>
    </row>
    <row r="767">
      <c r="B767" s="15"/>
      <c r="D767" s="15"/>
      <c r="E767" s="15"/>
      <c r="F767" s="15"/>
      <c r="G767" s="15"/>
      <c r="H767" s="103"/>
      <c r="I767" s="103"/>
    </row>
    <row r="768">
      <c r="B768" s="15"/>
      <c r="D768" s="15"/>
      <c r="E768" s="15"/>
      <c r="F768" s="15"/>
      <c r="G768" s="15"/>
      <c r="H768" s="103"/>
      <c r="I768" s="103"/>
    </row>
    <row r="769">
      <c r="B769" s="15"/>
      <c r="D769" s="15"/>
      <c r="E769" s="15"/>
      <c r="F769" s="15"/>
      <c r="G769" s="15"/>
      <c r="H769" s="103"/>
      <c r="I769" s="103"/>
    </row>
    <row r="770">
      <c r="B770" s="15"/>
      <c r="D770" s="15"/>
      <c r="E770" s="15"/>
      <c r="F770" s="15"/>
      <c r="G770" s="15"/>
      <c r="H770" s="103"/>
      <c r="I770" s="103"/>
    </row>
    <row r="771">
      <c r="B771" s="15"/>
      <c r="D771" s="15"/>
      <c r="E771" s="15"/>
      <c r="F771" s="15"/>
      <c r="G771" s="15"/>
      <c r="H771" s="103"/>
      <c r="I771" s="103"/>
    </row>
    <row r="772">
      <c r="B772" s="15"/>
      <c r="D772" s="15"/>
      <c r="E772" s="15"/>
      <c r="F772" s="15"/>
      <c r="G772" s="15"/>
      <c r="H772" s="103"/>
      <c r="I772" s="103"/>
    </row>
    <row r="773">
      <c r="B773" s="15"/>
      <c r="D773" s="15"/>
      <c r="E773" s="15"/>
      <c r="F773" s="15"/>
      <c r="G773" s="15"/>
      <c r="H773" s="103"/>
      <c r="I773" s="103"/>
    </row>
    <row r="774">
      <c r="B774" s="15"/>
      <c r="D774" s="15"/>
      <c r="E774" s="15"/>
      <c r="F774" s="15"/>
      <c r="G774" s="15"/>
      <c r="H774" s="103"/>
      <c r="I774" s="103"/>
    </row>
    <row r="775">
      <c r="B775" s="15"/>
      <c r="D775" s="15"/>
      <c r="E775" s="15"/>
      <c r="F775" s="15"/>
      <c r="G775" s="15"/>
      <c r="H775" s="103"/>
      <c r="I775" s="103"/>
    </row>
    <row r="776">
      <c r="B776" s="15"/>
      <c r="D776" s="15"/>
      <c r="E776" s="15"/>
      <c r="F776" s="15"/>
      <c r="G776" s="15"/>
      <c r="H776" s="103"/>
      <c r="I776" s="103"/>
    </row>
    <row r="777">
      <c r="B777" s="15"/>
      <c r="D777" s="15"/>
      <c r="E777" s="15"/>
      <c r="F777" s="15"/>
      <c r="G777" s="15"/>
      <c r="H777" s="103"/>
      <c r="I777" s="103"/>
    </row>
    <row r="778">
      <c r="B778" s="15"/>
      <c r="D778" s="15"/>
      <c r="E778" s="15"/>
      <c r="F778" s="15"/>
      <c r="G778" s="15"/>
      <c r="H778" s="103"/>
      <c r="I778" s="103"/>
    </row>
    <row r="779">
      <c r="B779" s="15"/>
      <c r="D779" s="15"/>
      <c r="E779" s="15"/>
      <c r="F779" s="15"/>
      <c r="G779" s="15"/>
      <c r="H779" s="103"/>
      <c r="I779" s="103"/>
    </row>
    <row r="780">
      <c r="B780" s="15"/>
      <c r="D780" s="15"/>
      <c r="E780" s="15"/>
      <c r="F780" s="15"/>
      <c r="G780" s="15"/>
      <c r="H780" s="103"/>
      <c r="I780" s="103"/>
    </row>
    <row r="781">
      <c r="B781" s="15"/>
      <c r="D781" s="15"/>
      <c r="E781" s="15"/>
      <c r="F781" s="15"/>
      <c r="G781" s="15"/>
      <c r="H781" s="103"/>
      <c r="I781" s="103"/>
    </row>
    <row r="782">
      <c r="B782" s="15"/>
      <c r="D782" s="15"/>
      <c r="E782" s="15"/>
      <c r="F782" s="15"/>
      <c r="G782" s="15"/>
      <c r="H782" s="103"/>
      <c r="I782" s="103"/>
    </row>
    <row r="783">
      <c r="B783" s="15"/>
      <c r="D783" s="15"/>
      <c r="E783" s="15"/>
      <c r="F783" s="15"/>
      <c r="G783" s="15"/>
      <c r="H783" s="103"/>
      <c r="I783" s="103"/>
    </row>
    <row r="784">
      <c r="B784" s="15"/>
      <c r="D784" s="15"/>
      <c r="E784" s="15"/>
      <c r="F784" s="15"/>
      <c r="G784" s="15"/>
      <c r="H784" s="103"/>
      <c r="I784" s="103"/>
    </row>
    <row r="785">
      <c r="B785" s="15"/>
      <c r="D785" s="15"/>
      <c r="E785" s="15"/>
      <c r="F785" s="15"/>
      <c r="G785" s="15"/>
      <c r="H785" s="103"/>
      <c r="I785" s="103"/>
    </row>
    <row r="786">
      <c r="B786" s="15"/>
      <c r="D786" s="15"/>
      <c r="E786" s="15"/>
      <c r="F786" s="15"/>
      <c r="G786" s="15"/>
      <c r="H786" s="103"/>
      <c r="I786" s="103"/>
    </row>
    <row r="787">
      <c r="B787" s="15"/>
      <c r="D787" s="15"/>
      <c r="E787" s="15"/>
      <c r="F787" s="15"/>
      <c r="G787" s="15"/>
      <c r="H787" s="103"/>
      <c r="I787" s="103"/>
    </row>
    <row r="788">
      <c r="B788" s="15"/>
      <c r="D788" s="15"/>
      <c r="E788" s="15"/>
      <c r="F788" s="15"/>
      <c r="G788" s="15"/>
      <c r="H788" s="103"/>
      <c r="I788" s="103"/>
    </row>
    <row r="789">
      <c r="B789" s="15"/>
      <c r="D789" s="15"/>
      <c r="E789" s="15"/>
      <c r="F789" s="15"/>
      <c r="G789" s="15"/>
      <c r="H789" s="103"/>
      <c r="I789" s="103"/>
    </row>
    <row r="790">
      <c r="B790" s="15"/>
      <c r="D790" s="15"/>
      <c r="E790" s="15"/>
      <c r="F790" s="15"/>
      <c r="G790" s="15"/>
      <c r="H790" s="103"/>
      <c r="I790" s="103"/>
    </row>
    <row r="791">
      <c r="B791" s="15"/>
      <c r="D791" s="15"/>
      <c r="E791" s="15"/>
      <c r="F791" s="15"/>
      <c r="G791" s="15"/>
      <c r="H791" s="103"/>
      <c r="I791" s="103"/>
    </row>
    <row r="792">
      <c r="B792" s="15"/>
      <c r="D792" s="15"/>
      <c r="E792" s="15"/>
      <c r="F792" s="15"/>
      <c r="G792" s="15"/>
      <c r="H792" s="103"/>
      <c r="I792" s="103"/>
    </row>
    <row r="793">
      <c r="B793" s="15"/>
      <c r="D793" s="15"/>
      <c r="E793" s="15"/>
      <c r="F793" s="15"/>
      <c r="G793" s="15"/>
      <c r="H793" s="103"/>
      <c r="I793" s="103"/>
    </row>
    <row r="794">
      <c r="B794" s="15"/>
      <c r="D794" s="15"/>
      <c r="E794" s="15"/>
      <c r="F794" s="15"/>
      <c r="G794" s="15"/>
      <c r="H794" s="103"/>
      <c r="I794" s="103"/>
    </row>
    <row r="795">
      <c r="B795" s="15"/>
      <c r="D795" s="15"/>
      <c r="E795" s="15"/>
      <c r="F795" s="15"/>
      <c r="G795" s="15"/>
      <c r="H795" s="103"/>
      <c r="I795" s="103"/>
    </row>
    <row r="796">
      <c r="B796" s="15"/>
      <c r="D796" s="15"/>
      <c r="E796" s="15"/>
      <c r="F796" s="15"/>
      <c r="G796" s="15"/>
      <c r="H796" s="103"/>
      <c r="I796" s="103"/>
    </row>
    <row r="797">
      <c r="B797" s="15"/>
      <c r="D797" s="15"/>
      <c r="E797" s="15"/>
      <c r="F797" s="15"/>
      <c r="G797" s="15"/>
      <c r="H797" s="103"/>
      <c r="I797" s="103"/>
    </row>
    <row r="798">
      <c r="B798" s="15"/>
      <c r="D798" s="15"/>
      <c r="E798" s="15"/>
      <c r="F798" s="15"/>
      <c r="G798" s="15"/>
      <c r="H798" s="103"/>
      <c r="I798" s="103"/>
    </row>
    <row r="799">
      <c r="B799" s="15"/>
      <c r="D799" s="15"/>
      <c r="E799" s="15"/>
      <c r="F799" s="15"/>
      <c r="G799" s="15"/>
      <c r="H799" s="103"/>
      <c r="I799" s="103"/>
    </row>
    <row r="800">
      <c r="B800" s="15"/>
      <c r="D800" s="15"/>
      <c r="E800" s="15"/>
      <c r="F800" s="15"/>
      <c r="G800" s="15"/>
      <c r="H800" s="103"/>
      <c r="I800" s="103"/>
    </row>
    <row r="801">
      <c r="B801" s="15"/>
      <c r="D801" s="15"/>
      <c r="E801" s="15"/>
      <c r="F801" s="15"/>
      <c r="G801" s="15"/>
      <c r="H801" s="103"/>
      <c r="I801" s="103"/>
    </row>
    <row r="802">
      <c r="B802" s="15"/>
      <c r="D802" s="15"/>
      <c r="E802" s="15"/>
      <c r="F802" s="15"/>
      <c r="G802" s="15"/>
      <c r="H802" s="103"/>
      <c r="I802" s="103"/>
    </row>
    <row r="803">
      <c r="B803" s="15"/>
      <c r="D803" s="15"/>
      <c r="E803" s="15"/>
      <c r="F803" s="15"/>
      <c r="G803" s="15"/>
      <c r="H803" s="103"/>
      <c r="I803" s="103"/>
    </row>
    <row r="804">
      <c r="B804" s="15"/>
      <c r="D804" s="15"/>
      <c r="E804" s="15"/>
      <c r="F804" s="15"/>
      <c r="G804" s="15"/>
      <c r="H804" s="103"/>
      <c r="I804" s="103"/>
    </row>
    <row r="805">
      <c r="B805" s="15"/>
      <c r="D805" s="15"/>
      <c r="E805" s="15"/>
      <c r="F805" s="15"/>
      <c r="G805" s="15"/>
      <c r="H805" s="103"/>
      <c r="I805" s="103"/>
    </row>
    <row r="806">
      <c r="B806" s="15"/>
      <c r="D806" s="15"/>
      <c r="E806" s="15"/>
      <c r="F806" s="15"/>
      <c r="G806" s="15"/>
      <c r="H806" s="103"/>
      <c r="I806" s="103"/>
    </row>
    <row r="807">
      <c r="B807" s="15"/>
      <c r="D807" s="15"/>
      <c r="E807" s="15"/>
      <c r="F807" s="15"/>
      <c r="G807" s="15"/>
      <c r="H807" s="103"/>
      <c r="I807" s="103"/>
    </row>
    <row r="808">
      <c r="B808" s="15"/>
      <c r="D808" s="15"/>
      <c r="E808" s="15"/>
      <c r="F808" s="15"/>
      <c r="G808" s="15"/>
      <c r="H808" s="103"/>
      <c r="I808" s="103"/>
    </row>
    <row r="809">
      <c r="B809" s="15"/>
      <c r="D809" s="15"/>
      <c r="E809" s="15"/>
      <c r="F809" s="15"/>
      <c r="G809" s="15"/>
      <c r="H809" s="103"/>
      <c r="I809" s="103"/>
    </row>
    <row r="810">
      <c r="B810" s="15"/>
      <c r="D810" s="15"/>
      <c r="E810" s="15"/>
      <c r="F810" s="15"/>
      <c r="G810" s="15"/>
      <c r="H810" s="103"/>
      <c r="I810" s="103"/>
    </row>
    <row r="811">
      <c r="B811" s="15"/>
      <c r="D811" s="15"/>
      <c r="E811" s="15"/>
      <c r="F811" s="15"/>
      <c r="G811" s="15"/>
      <c r="H811" s="103"/>
      <c r="I811" s="103"/>
    </row>
    <row r="812">
      <c r="B812" s="15"/>
      <c r="D812" s="15"/>
      <c r="E812" s="15"/>
      <c r="F812" s="15"/>
      <c r="G812" s="15"/>
      <c r="H812" s="103"/>
      <c r="I812" s="103"/>
    </row>
    <row r="813">
      <c r="B813" s="15"/>
      <c r="D813" s="15"/>
      <c r="E813" s="15"/>
      <c r="F813" s="15"/>
      <c r="G813" s="15"/>
      <c r="H813" s="103"/>
      <c r="I813" s="103"/>
    </row>
    <row r="814">
      <c r="B814" s="15"/>
      <c r="D814" s="15"/>
      <c r="E814" s="15"/>
      <c r="F814" s="15"/>
      <c r="G814" s="15"/>
      <c r="H814" s="103"/>
      <c r="I814" s="103"/>
    </row>
    <row r="815">
      <c r="B815" s="15"/>
      <c r="D815" s="15"/>
      <c r="E815" s="15"/>
      <c r="F815" s="15"/>
      <c r="G815" s="15"/>
      <c r="H815" s="103"/>
      <c r="I815" s="103"/>
    </row>
    <row r="816">
      <c r="B816" s="15"/>
      <c r="D816" s="15"/>
      <c r="E816" s="15"/>
      <c r="F816" s="15"/>
      <c r="G816" s="15"/>
      <c r="H816" s="103"/>
      <c r="I816" s="103"/>
    </row>
    <row r="817">
      <c r="B817" s="15"/>
      <c r="D817" s="15"/>
      <c r="E817" s="15"/>
      <c r="F817" s="15"/>
      <c r="G817" s="15"/>
      <c r="H817" s="103"/>
      <c r="I817" s="103"/>
    </row>
    <row r="818">
      <c r="B818" s="15"/>
      <c r="D818" s="15"/>
      <c r="E818" s="15"/>
      <c r="F818" s="15"/>
      <c r="G818" s="15"/>
      <c r="H818" s="103"/>
      <c r="I818" s="103"/>
    </row>
    <row r="819">
      <c r="B819" s="15"/>
      <c r="D819" s="15"/>
      <c r="E819" s="15"/>
      <c r="F819" s="15"/>
      <c r="G819" s="15"/>
      <c r="H819" s="103"/>
      <c r="I819" s="103"/>
    </row>
    <row r="820">
      <c r="B820" s="15"/>
      <c r="D820" s="15"/>
      <c r="E820" s="15"/>
      <c r="F820" s="15"/>
      <c r="G820" s="15"/>
      <c r="H820" s="103"/>
      <c r="I820" s="103"/>
    </row>
    <row r="821">
      <c r="B821" s="15"/>
      <c r="D821" s="15"/>
      <c r="E821" s="15"/>
      <c r="F821" s="15"/>
      <c r="G821" s="15"/>
      <c r="H821" s="103"/>
      <c r="I821" s="103"/>
    </row>
    <row r="822">
      <c r="B822" s="15"/>
      <c r="D822" s="15"/>
      <c r="E822" s="15"/>
      <c r="F822" s="15"/>
      <c r="G822" s="15"/>
      <c r="H822" s="103"/>
      <c r="I822" s="103"/>
    </row>
    <row r="823">
      <c r="B823" s="15"/>
      <c r="D823" s="15"/>
      <c r="E823" s="15"/>
      <c r="F823" s="15"/>
      <c r="G823" s="15"/>
      <c r="H823" s="103"/>
      <c r="I823" s="103"/>
    </row>
    <row r="824">
      <c r="B824" s="15"/>
      <c r="D824" s="15"/>
      <c r="E824" s="15"/>
      <c r="F824" s="15"/>
      <c r="G824" s="15"/>
      <c r="H824" s="103"/>
      <c r="I824" s="103"/>
    </row>
    <row r="825">
      <c r="B825" s="15"/>
      <c r="D825" s="15"/>
      <c r="E825" s="15"/>
      <c r="F825" s="15"/>
      <c r="G825" s="15"/>
      <c r="H825" s="103"/>
      <c r="I825" s="103"/>
    </row>
    <row r="826">
      <c r="B826" s="15"/>
      <c r="D826" s="15"/>
      <c r="E826" s="15"/>
      <c r="F826" s="15"/>
      <c r="G826" s="15"/>
      <c r="H826" s="103"/>
      <c r="I826" s="103"/>
    </row>
    <row r="827">
      <c r="B827" s="15"/>
      <c r="D827" s="15"/>
      <c r="E827" s="15"/>
      <c r="F827" s="15"/>
      <c r="G827" s="15"/>
      <c r="H827" s="103"/>
      <c r="I827" s="103"/>
    </row>
    <row r="828">
      <c r="B828" s="15"/>
      <c r="D828" s="15"/>
      <c r="E828" s="15"/>
      <c r="F828" s="15"/>
      <c r="G828" s="15"/>
      <c r="H828" s="103"/>
      <c r="I828" s="103"/>
    </row>
    <row r="829">
      <c r="B829" s="15"/>
      <c r="D829" s="15"/>
      <c r="E829" s="15"/>
      <c r="F829" s="15"/>
      <c r="G829" s="15"/>
      <c r="H829" s="103"/>
      <c r="I829" s="103"/>
    </row>
    <row r="830">
      <c r="B830" s="15"/>
      <c r="D830" s="15"/>
      <c r="E830" s="15"/>
      <c r="F830" s="15"/>
      <c r="G830" s="15"/>
      <c r="H830" s="103"/>
      <c r="I830" s="103"/>
    </row>
    <row r="831">
      <c r="B831" s="15"/>
      <c r="D831" s="15"/>
      <c r="E831" s="15"/>
      <c r="F831" s="15"/>
      <c r="G831" s="15"/>
      <c r="H831" s="103"/>
      <c r="I831" s="103"/>
    </row>
    <row r="832">
      <c r="B832" s="15"/>
      <c r="D832" s="15"/>
      <c r="E832" s="15"/>
      <c r="F832" s="15"/>
      <c r="G832" s="15"/>
      <c r="H832" s="103"/>
      <c r="I832" s="103"/>
    </row>
    <row r="833">
      <c r="B833" s="15"/>
      <c r="D833" s="15"/>
      <c r="E833" s="15"/>
      <c r="F833" s="15"/>
      <c r="G833" s="15"/>
      <c r="H833" s="103"/>
      <c r="I833" s="103"/>
    </row>
    <row r="834">
      <c r="B834" s="15"/>
      <c r="D834" s="15"/>
      <c r="E834" s="15"/>
      <c r="F834" s="15"/>
      <c r="G834" s="15"/>
      <c r="H834" s="103"/>
      <c r="I834" s="103"/>
    </row>
    <row r="835">
      <c r="B835" s="15"/>
      <c r="D835" s="15"/>
      <c r="E835" s="15"/>
      <c r="F835" s="15"/>
      <c r="G835" s="15"/>
      <c r="H835" s="103"/>
      <c r="I835" s="103"/>
    </row>
    <row r="836">
      <c r="B836" s="15"/>
      <c r="D836" s="15"/>
      <c r="E836" s="15"/>
      <c r="F836" s="15"/>
      <c r="G836" s="15"/>
      <c r="H836" s="103"/>
      <c r="I836" s="103"/>
    </row>
    <row r="837">
      <c r="B837" s="15"/>
      <c r="D837" s="15"/>
      <c r="E837" s="15"/>
      <c r="F837" s="15"/>
      <c r="G837" s="15"/>
      <c r="H837" s="103"/>
      <c r="I837" s="103"/>
    </row>
    <row r="838">
      <c r="B838" s="15"/>
      <c r="D838" s="15"/>
      <c r="E838" s="15"/>
      <c r="F838" s="15"/>
      <c r="G838" s="15"/>
      <c r="H838" s="103"/>
      <c r="I838" s="103"/>
    </row>
    <row r="839">
      <c r="B839" s="15"/>
      <c r="D839" s="15"/>
      <c r="E839" s="15"/>
      <c r="F839" s="15"/>
      <c r="G839" s="15"/>
      <c r="H839" s="103"/>
      <c r="I839" s="103"/>
    </row>
    <row r="840">
      <c r="B840" s="15"/>
      <c r="D840" s="15"/>
      <c r="E840" s="15"/>
      <c r="F840" s="15"/>
      <c r="G840" s="15"/>
      <c r="H840" s="103"/>
      <c r="I840" s="103"/>
    </row>
    <row r="841">
      <c r="B841" s="15"/>
      <c r="D841" s="15"/>
      <c r="E841" s="15"/>
      <c r="F841" s="15"/>
      <c r="G841" s="15"/>
      <c r="H841" s="103"/>
      <c r="I841" s="103"/>
    </row>
    <row r="842">
      <c r="B842" s="15"/>
      <c r="D842" s="15"/>
      <c r="E842" s="15"/>
      <c r="F842" s="15"/>
      <c r="G842" s="15"/>
      <c r="H842" s="103"/>
      <c r="I842" s="103"/>
    </row>
    <row r="843">
      <c r="B843" s="15"/>
      <c r="D843" s="15"/>
      <c r="E843" s="15"/>
      <c r="F843" s="15"/>
      <c r="G843" s="15"/>
      <c r="H843" s="103"/>
      <c r="I843" s="103"/>
    </row>
    <row r="844">
      <c r="B844" s="15"/>
      <c r="D844" s="15"/>
      <c r="E844" s="15"/>
      <c r="F844" s="15"/>
      <c r="G844" s="15"/>
      <c r="H844" s="103"/>
      <c r="I844" s="103"/>
    </row>
    <row r="845">
      <c r="B845" s="15"/>
      <c r="D845" s="15"/>
      <c r="E845" s="15"/>
      <c r="F845" s="15"/>
      <c r="G845" s="15"/>
      <c r="H845" s="103"/>
      <c r="I845" s="103"/>
    </row>
    <row r="846">
      <c r="B846" s="15"/>
      <c r="D846" s="15"/>
      <c r="E846" s="15"/>
      <c r="F846" s="15"/>
      <c r="G846" s="15"/>
      <c r="H846" s="103"/>
      <c r="I846" s="103"/>
    </row>
    <row r="847">
      <c r="B847" s="15"/>
      <c r="D847" s="15"/>
      <c r="E847" s="15"/>
      <c r="F847" s="15"/>
      <c r="G847" s="15"/>
      <c r="H847" s="103"/>
      <c r="I847" s="103"/>
    </row>
    <row r="848">
      <c r="B848" s="15"/>
      <c r="D848" s="15"/>
      <c r="E848" s="15"/>
      <c r="F848" s="15"/>
      <c r="G848" s="15"/>
      <c r="H848" s="103"/>
      <c r="I848" s="103"/>
    </row>
    <row r="849">
      <c r="B849" s="15"/>
      <c r="D849" s="15"/>
      <c r="E849" s="15"/>
      <c r="F849" s="15"/>
      <c r="G849" s="15"/>
      <c r="H849" s="103"/>
      <c r="I849" s="103"/>
    </row>
    <row r="850">
      <c r="B850" s="15"/>
      <c r="D850" s="15"/>
      <c r="E850" s="15"/>
      <c r="F850" s="15"/>
      <c r="G850" s="15"/>
      <c r="H850" s="103"/>
      <c r="I850" s="103"/>
    </row>
    <row r="851">
      <c r="B851" s="15"/>
      <c r="D851" s="15"/>
      <c r="E851" s="15"/>
      <c r="F851" s="15"/>
      <c r="G851" s="15"/>
      <c r="H851" s="103"/>
      <c r="I851" s="103"/>
    </row>
    <row r="852">
      <c r="B852" s="15"/>
      <c r="D852" s="15"/>
      <c r="E852" s="15"/>
      <c r="F852" s="15"/>
      <c r="G852" s="15"/>
      <c r="H852" s="103"/>
      <c r="I852" s="103"/>
    </row>
    <row r="853">
      <c r="B853" s="15"/>
      <c r="D853" s="15"/>
      <c r="E853" s="15"/>
      <c r="F853" s="15"/>
      <c r="G853" s="15"/>
      <c r="H853" s="103"/>
      <c r="I853" s="103"/>
    </row>
    <row r="854">
      <c r="B854" s="15"/>
      <c r="D854" s="15"/>
      <c r="E854" s="15"/>
      <c r="F854" s="15"/>
      <c r="G854" s="15"/>
      <c r="H854" s="103"/>
      <c r="I854" s="103"/>
    </row>
    <row r="855">
      <c r="B855" s="15"/>
      <c r="D855" s="15"/>
      <c r="E855" s="15"/>
      <c r="F855" s="15"/>
      <c r="G855" s="15"/>
      <c r="H855" s="103"/>
      <c r="I855" s="103"/>
    </row>
    <row r="856">
      <c r="B856" s="15"/>
      <c r="D856" s="15"/>
      <c r="E856" s="15"/>
      <c r="F856" s="15"/>
      <c r="G856" s="15"/>
      <c r="H856" s="103"/>
      <c r="I856" s="103"/>
    </row>
    <row r="857">
      <c r="B857" s="15"/>
      <c r="D857" s="15"/>
      <c r="E857" s="15"/>
      <c r="F857" s="15"/>
      <c r="G857" s="15"/>
      <c r="H857" s="103"/>
      <c r="I857" s="103"/>
    </row>
    <row r="858">
      <c r="B858" s="15"/>
      <c r="D858" s="15"/>
      <c r="E858" s="15"/>
      <c r="F858" s="15"/>
      <c r="G858" s="15"/>
      <c r="H858" s="103"/>
      <c r="I858" s="103"/>
    </row>
    <row r="859">
      <c r="B859" s="15"/>
      <c r="D859" s="15"/>
      <c r="E859" s="15"/>
      <c r="F859" s="15"/>
      <c r="G859" s="15"/>
      <c r="H859" s="103"/>
      <c r="I859" s="103"/>
    </row>
    <row r="860">
      <c r="B860" s="15"/>
      <c r="D860" s="15"/>
      <c r="E860" s="15"/>
      <c r="F860" s="15"/>
      <c r="G860" s="15"/>
      <c r="H860" s="103"/>
      <c r="I860" s="103"/>
    </row>
    <row r="861">
      <c r="B861" s="15"/>
      <c r="D861" s="15"/>
      <c r="E861" s="15"/>
      <c r="F861" s="15"/>
      <c r="G861" s="15"/>
      <c r="H861" s="103"/>
      <c r="I861" s="103"/>
    </row>
    <row r="862">
      <c r="B862" s="15"/>
      <c r="D862" s="15"/>
      <c r="E862" s="15"/>
      <c r="F862" s="15"/>
      <c r="G862" s="15"/>
      <c r="H862" s="103"/>
      <c r="I862" s="103"/>
    </row>
    <row r="863">
      <c r="B863" s="15"/>
      <c r="D863" s="15"/>
      <c r="E863" s="15"/>
      <c r="F863" s="15"/>
      <c r="G863" s="15"/>
      <c r="H863" s="103"/>
      <c r="I863" s="103"/>
    </row>
    <row r="864">
      <c r="B864" s="15"/>
      <c r="D864" s="15"/>
      <c r="E864" s="15"/>
      <c r="F864" s="15"/>
      <c r="G864" s="15"/>
      <c r="H864" s="103"/>
      <c r="I864" s="103"/>
    </row>
    <row r="865">
      <c r="B865" s="15"/>
      <c r="D865" s="15"/>
      <c r="E865" s="15"/>
      <c r="F865" s="15"/>
      <c r="G865" s="15"/>
      <c r="H865" s="103"/>
      <c r="I865" s="103"/>
    </row>
    <row r="866">
      <c r="B866" s="15"/>
      <c r="D866" s="15"/>
      <c r="E866" s="15"/>
      <c r="F866" s="15"/>
      <c r="G866" s="15"/>
      <c r="H866" s="103"/>
      <c r="I866" s="103"/>
    </row>
    <row r="867">
      <c r="B867" s="15"/>
      <c r="D867" s="15"/>
      <c r="E867" s="15"/>
      <c r="F867" s="15"/>
      <c r="G867" s="15"/>
      <c r="H867" s="103"/>
      <c r="I867" s="103"/>
    </row>
    <row r="868">
      <c r="B868" s="15"/>
      <c r="D868" s="15"/>
      <c r="E868" s="15"/>
      <c r="F868" s="15"/>
      <c r="G868" s="15"/>
      <c r="H868" s="103"/>
      <c r="I868" s="103"/>
    </row>
    <row r="869">
      <c r="B869" s="15"/>
      <c r="D869" s="15"/>
      <c r="E869" s="15"/>
      <c r="F869" s="15"/>
      <c r="G869" s="15"/>
      <c r="H869" s="103"/>
      <c r="I869" s="103"/>
    </row>
    <row r="870">
      <c r="B870" s="15"/>
      <c r="D870" s="15"/>
      <c r="E870" s="15"/>
      <c r="F870" s="15"/>
      <c r="G870" s="15"/>
      <c r="H870" s="103"/>
      <c r="I870" s="103"/>
    </row>
    <row r="871">
      <c r="B871" s="15"/>
      <c r="D871" s="15"/>
      <c r="E871" s="15"/>
      <c r="F871" s="15"/>
      <c r="G871" s="15"/>
      <c r="H871" s="103"/>
      <c r="I871" s="103"/>
    </row>
    <row r="872">
      <c r="B872" s="15"/>
      <c r="D872" s="15"/>
      <c r="E872" s="15"/>
      <c r="F872" s="15"/>
      <c r="G872" s="15"/>
      <c r="H872" s="103"/>
      <c r="I872" s="103"/>
    </row>
    <row r="873">
      <c r="B873" s="15"/>
      <c r="D873" s="15"/>
      <c r="E873" s="15"/>
      <c r="F873" s="15"/>
      <c r="G873" s="15"/>
      <c r="H873" s="103"/>
      <c r="I873" s="103"/>
    </row>
    <row r="874">
      <c r="B874" s="15"/>
      <c r="D874" s="15"/>
      <c r="E874" s="15"/>
      <c r="F874" s="15"/>
      <c r="G874" s="15"/>
      <c r="H874" s="103"/>
      <c r="I874" s="103"/>
    </row>
    <row r="875">
      <c r="B875" s="15"/>
      <c r="D875" s="15"/>
      <c r="E875" s="15"/>
      <c r="F875" s="15"/>
      <c r="G875" s="15"/>
      <c r="H875" s="103"/>
      <c r="I875" s="103"/>
    </row>
    <row r="876">
      <c r="B876" s="15"/>
      <c r="D876" s="15"/>
      <c r="E876" s="15"/>
      <c r="F876" s="15"/>
      <c r="G876" s="15"/>
      <c r="H876" s="103"/>
      <c r="I876" s="103"/>
    </row>
    <row r="877">
      <c r="B877" s="15"/>
      <c r="D877" s="15"/>
      <c r="E877" s="15"/>
      <c r="F877" s="15"/>
      <c r="G877" s="15"/>
      <c r="H877" s="103"/>
      <c r="I877" s="103"/>
    </row>
    <row r="878">
      <c r="B878" s="15"/>
      <c r="D878" s="15"/>
      <c r="E878" s="15"/>
      <c r="F878" s="15"/>
      <c r="G878" s="15"/>
      <c r="H878" s="103"/>
      <c r="I878" s="103"/>
    </row>
    <row r="879">
      <c r="B879" s="15"/>
      <c r="D879" s="15"/>
      <c r="E879" s="15"/>
      <c r="F879" s="15"/>
      <c r="G879" s="15"/>
      <c r="H879" s="103"/>
      <c r="I879" s="103"/>
    </row>
    <row r="880">
      <c r="B880" s="15"/>
      <c r="D880" s="15"/>
      <c r="E880" s="15"/>
      <c r="F880" s="15"/>
      <c r="G880" s="15"/>
      <c r="H880" s="103"/>
      <c r="I880" s="103"/>
    </row>
    <row r="881">
      <c r="B881" s="15"/>
      <c r="D881" s="15"/>
      <c r="E881" s="15"/>
      <c r="F881" s="15"/>
      <c r="G881" s="15"/>
      <c r="H881" s="103"/>
      <c r="I881" s="103"/>
    </row>
    <row r="882">
      <c r="B882" s="15"/>
      <c r="D882" s="15"/>
      <c r="E882" s="15"/>
      <c r="F882" s="15"/>
      <c r="G882" s="15"/>
      <c r="H882" s="103"/>
      <c r="I882" s="103"/>
    </row>
    <row r="883">
      <c r="B883" s="15"/>
      <c r="D883" s="15"/>
      <c r="E883" s="15"/>
      <c r="F883" s="15"/>
      <c r="G883" s="15"/>
      <c r="H883" s="103"/>
      <c r="I883" s="103"/>
    </row>
    <row r="884">
      <c r="B884" s="15"/>
      <c r="D884" s="15"/>
      <c r="E884" s="15"/>
      <c r="F884" s="15"/>
      <c r="G884" s="15"/>
      <c r="H884" s="103"/>
      <c r="I884" s="103"/>
    </row>
    <row r="885">
      <c r="B885" s="15"/>
      <c r="D885" s="15"/>
      <c r="E885" s="15"/>
      <c r="F885" s="15"/>
      <c r="G885" s="15"/>
      <c r="H885" s="103"/>
      <c r="I885" s="103"/>
    </row>
    <row r="886">
      <c r="B886" s="15"/>
      <c r="D886" s="15"/>
      <c r="E886" s="15"/>
      <c r="F886" s="15"/>
      <c r="G886" s="15"/>
      <c r="H886" s="103"/>
      <c r="I886" s="103"/>
    </row>
    <row r="887">
      <c r="B887" s="15"/>
      <c r="D887" s="15"/>
      <c r="E887" s="15"/>
      <c r="F887" s="15"/>
      <c r="G887" s="15"/>
      <c r="H887" s="103"/>
      <c r="I887" s="103"/>
    </row>
    <row r="888">
      <c r="B888" s="15"/>
      <c r="D888" s="15"/>
      <c r="E888" s="15"/>
      <c r="F888" s="15"/>
      <c r="G888" s="15"/>
      <c r="H888" s="103"/>
      <c r="I888" s="103"/>
    </row>
    <row r="889">
      <c r="B889" s="15"/>
      <c r="D889" s="15"/>
      <c r="E889" s="15"/>
      <c r="F889" s="15"/>
      <c r="G889" s="15"/>
      <c r="H889" s="103"/>
      <c r="I889" s="103"/>
    </row>
    <row r="890">
      <c r="B890" s="15"/>
      <c r="D890" s="15"/>
      <c r="E890" s="15"/>
      <c r="F890" s="15"/>
      <c r="G890" s="15"/>
      <c r="H890" s="103"/>
      <c r="I890" s="103"/>
    </row>
    <row r="891">
      <c r="B891" s="15"/>
      <c r="D891" s="15"/>
      <c r="E891" s="15"/>
      <c r="F891" s="15"/>
      <c r="G891" s="15"/>
      <c r="H891" s="103"/>
      <c r="I891" s="103"/>
    </row>
    <row r="892">
      <c r="B892" s="15"/>
      <c r="D892" s="15"/>
      <c r="E892" s="15"/>
      <c r="F892" s="15"/>
      <c r="G892" s="15"/>
      <c r="H892" s="103"/>
      <c r="I892" s="103"/>
    </row>
    <row r="893">
      <c r="B893" s="15"/>
      <c r="D893" s="15"/>
      <c r="E893" s="15"/>
      <c r="F893" s="15"/>
      <c r="G893" s="15"/>
      <c r="H893" s="103"/>
      <c r="I893" s="103"/>
    </row>
    <row r="894">
      <c r="B894" s="15"/>
      <c r="D894" s="15"/>
      <c r="E894" s="15"/>
      <c r="F894" s="15"/>
      <c r="G894" s="15"/>
      <c r="H894" s="103"/>
      <c r="I894" s="103"/>
    </row>
    <row r="895">
      <c r="B895" s="15"/>
      <c r="D895" s="15"/>
      <c r="E895" s="15"/>
      <c r="F895" s="15"/>
      <c r="G895" s="15"/>
      <c r="H895" s="103"/>
      <c r="I895" s="103"/>
    </row>
    <row r="896">
      <c r="B896" s="15"/>
      <c r="D896" s="15"/>
      <c r="E896" s="15"/>
      <c r="F896" s="15"/>
      <c r="G896" s="15"/>
      <c r="H896" s="103"/>
      <c r="I896" s="103"/>
    </row>
    <row r="897">
      <c r="B897" s="15"/>
      <c r="D897" s="15"/>
      <c r="E897" s="15"/>
      <c r="F897" s="15"/>
      <c r="G897" s="15"/>
      <c r="H897" s="103"/>
      <c r="I897" s="103"/>
    </row>
    <row r="898">
      <c r="B898" s="15"/>
      <c r="D898" s="15"/>
      <c r="E898" s="15"/>
      <c r="F898" s="15"/>
      <c r="G898" s="15"/>
      <c r="H898" s="103"/>
      <c r="I898" s="103"/>
    </row>
    <row r="899">
      <c r="B899" s="15"/>
      <c r="D899" s="15"/>
      <c r="E899" s="15"/>
      <c r="F899" s="15"/>
      <c r="G899" s="15"/>
      <c r="H899" s="103"/>
      <c r="I899" s="103"/>
    </row>
    <row r="900">
      <c r="B900" s="15"/>
      <c r="D900" s="15"/>
      <c r="E900" s="15"/>
      <c r="F900" s="15"/>
      <c r="G900" s="15"/>
      <c r="H900" s="103"/>
      <c r="I900" s="103"/>
    </row>
    <row r="901">
      <c r="B901" s="15"/>
      <c r="D901" s="15"/>
      <c r="E901" s="15"/>
      <c r="F901" s="15"/>
      <c r="G901" s="15"/>
      <c r="H901" s="103"/>
      <c r="I901" s="103"/>
    </row>
    <row r="902">
      <c r="B902" s="15"/>
      <c r="D902" s="15"/>
      <c r="E902" s="15"/>
      <c r="F902" s="15"/>
      <c r="G902" s="15"/>
      <c r="H902" s="103"/>
      <c r="I902" s="103"/>
    </row>
    <row r="903">
      <c r="B903" s="15"/>
      <c r="D903" s="15"/>
      <c r="E903" s="15"/>
      <c r="F903" s="15"/>
      <c r="G903" s="15"/>
      <c r="H903" s="103"/>
      <c r="I903" s="103"/>
    </row>
    <row r="904">
      <c r="B904" s="15"/>
      <c r="D904" s="15"/>
      <c r="E904" s="15"/>
      <c r="F904" s="15"/>
      <c r="G904" s="15"/>
      <c r="H904" s="103"/>
      <c r="I904" s="103"/>
    </row>
    <row r="905">
      <c r="B905" s="15"/>
      <c r="D905" s="15"/>
      <c r="E905" s="15"/>
      <c r="F905" s="15"/>
      <c r="G905" s="15"/>
      <c r="H905" s="103"/>
      <c r="I905" s="103"/>
    </row>
    <row r="906">
      <c r="B906" s="15"/>
      <c r="D906" s="15"/>
      <c r="E906" s="15"/>
      <c r="F906" s="15"/>
      <c r="G906" s="15"/>
      <c r="H906" s="103"/>
      <c r="I906" s="103"/>
    </row>
    <row r="907">
      <c r="B907" s="15"/>
      <c r="D907" s="15"/>
      <c r="E907" s="15"/>
      <c r="F907" s="15"/>
      <c r="G907" s="15"/>
      <c r="H907" s="103"/>
      <c r="I907" s="103"/>
    </row>
    <row r="908">
      <c r="B908" s="15"/>
      <c r="D908" s="15"/>
      <c r="E908" s="15"/>
      <c r="F908" s="15"/>
      <c r="G908" s="15"/>
      <c r="H908" s="103"/>
      <c r="I908" s="103"/>
    </row>
    <row r="909">
      <c r="B909" s="15"/>
      <c r="D909" s="15"/>
      <c r="E909" s="15"/>
      <c r="F909" s="15"/>
      <c r="G909" s="15"/>
      <c r="H909" s="103"/>
      <c r="I909" s="103"/>
    </row>
    <row r="910">
      <c r="B910" s="15"/>
      <c r="D910" s="15"/>
      <c r="E910" s="15"/>
      <c r="F910" s="15"/>
      <c r="G910" s="15"/>
      <c r="H910" s="103"/>
      <c r="I910" s="103"/>
    </row>
    <row r="911">
      <c r="B911" s="15"/>
      <c r="D911" s="15"/>
      <c r="E911" s="15"/>
      <c r="F911" s="15"/>
      <c r="G911" s="15"/>
      <c r="H911" s="103"/>
      <c r="I911" s="103"/>
    </row>
    <row r="912">
      <c r="B912" s="15"/>
      <c r="D912" s="15"/>
      <c r="E912" s="15"/>
      <c r="F912" s="15"/>
      <c r="G912" s="15"/>
      <c r="H912" s="103"/>
      <c r="I912" s="103"/>
    </row>
    <row r="913">
      <c r="B913" s="15"/>
      <c r="D913" s="15"/>
      <c r="E913" s="15"/>
      <c r="F913" s="15"/>
      <c r="G913" s="15"/>
      <c r="H913" s="103"/>
      <c r="I913" s="103"/>
    </row>
    <row r="914">
      <c r="B914" s="15"/>
      <c r="D914" s="15"/>
      <c r="E914" s="15"/>
      <c r="F914" s="15"/>
      <c r="G914" s="15"/>
      <c r="H914" s="103"/>
      <c r="I914" s="103"/>
    </row>
    <row r="915">
      <c r="B915" s="15"/>
      <c r="D915" s="15"/>
      <c r="E915" s="15"/>
      <c r="F915" s="15"/>
      <c r="G915" s="15"/>
      <c r="H915" s="103"/>
      <c r="I915" s="103"/>
    </row>
    <row r="916">
      <c r="B916" s="15"/>
      <c r="D916" s="15"/>
      <c r="E916" s="15"/>
      <c r="F916" s="15"/>
      <c r="G916" s="15"/>
      <c r="H916" s="103"/>
      <c r="I916" s="103"/>
    </row>
    <row r="917">
      <c r="B917" s="15"/>
      <c r="D917" s="15"/>
      <c r="E917" s="15"/>
      <c r="F917" s="15"/>
      <c r="G917" s="15"/>
      <c r="H917" s="103"/>
      <c r="I917" s="103"/>
    </row>
    <row r="918">
      <c r="B918" s="15"/>
      <c r="D918" s="15"/>
      <c r="E918" s="15"/>
      <c r="F918" s="15"/>
      <c r="G918" s="15"/>
      <c r="H918" s="103"/>
      <c r="I918" s="103"/>
    </row>
    <row r="919">
      <c r="B919" s="15"/>
      <c r="D919" s="15"/>
      <c r="E919" s="15"/>
      <c r="F919" s="15"/>
      <c r="G919" s="15"/>
      <c r="H919" s="103"/>
      <c r="I919" s="103"/>
    </row>
    <row r="920">
      <c r="B920" s="15"/>
      <c r="D920" s="15"/>
      <c r="E920" s="15"/>
      <c r="F920" s="15"/>
      <c r="G920" s="15"/>
      <c r="H920" s="103"/>
      <c r="I920" s="103"/>
    </row>
    <row r="921">
      <c r="B921" s="15"/>
      <c r="D921" s="15"/>
      <c r="E921" s="15"/>
      <c r="F921" s="15"/>
      <c r="G921" s="15"/>
      <c r="H921" s="103"/>
      <c r="I921" s="103"/>
    </row>
    <row r="922">
      <c r="B922" s="15"/>
      <c r="D922" s="15"/>
      <c r="E922" s="15"/>
      <c r="F922" s="15"/>
      <c r="G922" s="15"/>
      <c r="H922" s="103"/>
      <c r="I922" s="103"/>
    </row>
    <row r="923">
      <c r="B923" s="15"/>
      <c r="D923" s="15"/>
      <c r="E923" s="15"/>
      <c r="F923" s="15"/>
      <c r="G923" s="15"/>
      <c r="H923" s="103"/>
      <c r="I923" s="103"/>
    </row>
    <row r="924">
      <c r="B924" s="15"/>
      <c r="D924" s="15"/>
      <c r="E924" s="15"/>
      <c r="F924" s="15"/>
      <c r="G924" s="15"/>
      <c r="H924" s="103"/>
      <c r="I924" s="103"/>
    </row>
    <row r="925">
      <c r="B925" s="15"/>
      <c r="D925" s="15"/>
      <c r="E925" s="15"/>
      <c r="F925" s="15"/>
      <c r="G925" s="15"/>
      <c r="H925" s="103"/>
      <c r="I925" s="103"/>
    </row>
    <row r="926">
      <c r="B926" s="15"/>
      <c r="D926" s="15"/>
      <c r="E926" s="15"/>
      <c r="F926" s="15"/>
      <c r="G926" s="15"/>
      <c r="H926" s="103"/>
      <c r="I926" s="103"/>
    </row>
    <row r="927">
      <c r="B927" s="15"/>
      <c r="D927" s="15"/>
      <c r="E927" s="15"/>
      <c r="F927" s="15"/>
      <c r="G927" s="15"/>
      <c r="H927" s="103"/>
      <c r="I927" s="103"/>
    </row>
    <row r="928">
      <c r="B928" s="15"/>
      <c r="D928" s="15"/>
      <c r="E928" s="15"/>
      <c r="F928" s="15"/>
      <c r="G928" s="15"/>
      <c r="H928" s="103"/>
      <c r="I928" s="103"/>
    </row>
    <row r="929">
      <c r="B929" s="15"/>
      <c r="D929" s="15"/>
      <c r="E929" s="15"/>
      <c r="F929" s="15"/>
      <c r="G929" s="15"/>
      <c r="H929" s="103"/>
      <c r="I929" s="103"/>
    </row>
    <row r="930">
      <c r="B930" s="15"/>
      <c r="D930" s="15"/>
      <c r="E930" s="15"/>
      <c r="F930" s="15"/>
      <c r="G930" s="15"/>
      <c r="H930" s="103"/>
      <c r="I930" s="103"/>
    </row>
    <row r="931">
      <c r="B931" s="15"/>
      <c r="D931" s="15"/>
      <c r="E931" s="15"/>
      <c r="F931" s="15"/>
      <c r="G931" s="15"/>
      <c r="H931" s="103"/>
      <c r="I931" s="103"/>
    </row>
    <row r="932">
      <c r="B932" s="15"/>
      <c r="D932" s="15"/>
      <c r="E932" s="15"/>
      <c r="F932" s="15"/>
      <c r="G932" s="15"/>
      <c r="H932" s="103"/>
      <c r="I932" s="103"/>
    </row>
    <row r="933">
      <c r="B933" s="15"/>
      <c r="D933" s="15"/>
      <c r="E933" s="15"/>
      <c r="F933" s="15"/>
      <c r="G933" s="15"/>
      <c r="H933" s="103"/>
      <c r="I933" s="103"/>
    </row>
    <row r="934">
      <c r="B934" s="15"/>
      <c r="D934" s="15"/>
      <c r="E934" s="15"/>
      <c r="F934" s="15"/>
      <c r="G934" s="15"/>
      <c r="H934" s="103"/>
      <c r="I934" s="103"/>
    </row>
    <row r="935">
      <c r="B935" s="15"/>
      <c r="D935" s="15"/>
      <c r="E935" s="15"/>
      <c r="F935" s="15"/>
      <c r="G935" s="15"/>
      <c r="H935" s="103"/>
      <c r="I935" s="103"/>
    </row>
    <row r="936">
      <c r="B936" s="15"/>
      <c r="D936" s="15"/>
      <c r="E936" s="15"/>
      <c r="F936" s="15"/>
      <c r="G936" s="15"/>
      <c r="H936" s="103"/>
      <c r="I936" s="103"/>
    </row>
    <row r="937">
      <c r="B937" s="15"/>
      <c r="D937" s="15"/>
      <c r="E937" s="15"/>
      <c r="F937" s="15"/>
      <c r="G937" s="15"/>
      <c r="H937" s="103"/>
      <c r="I937" s="103"/>
    </row>
    <row r="938">
      <c r="B938" s="15"/>
      <c r="D938" s="15"/>
      <c r="E938" s="15"/>
      <c r="F938" s="15"/>
      <c r="G938" s="15"/>
      <c r="H938" s="103"/>
      <c r="I938" s="103"/>
    </row>
    <row r="939">
      <c r="B939" s="15"/>
      <c r="D939" s="15"/>
      <c r="E939" s="15"/>
      <c r="F939" s="15"/>
      <c r="G939" s="15"/>
      <c r="H939" s="103"/>
      <c r="I939" s="103"/>
    </row>
    <row r="940">
      <c r="B940" s="15"/>
      <c r="D940" s="15"/>
      <c r="E940" s="15"/>
      <c r="F940" s="15"/>
      <c r="G940" s="15"/>
      <c r="H940" s="103"/>
      <c r="I940" s="103"/>
    </row>
    <row r="941">
      <c r="B941" s="15"/>
      <c r="D941" s="15"/>
      <c r="E941" s="15"/>
      <c r="F941" s="15"/>
      <c r="G941" s="15"/>
      <c r="H941" s="103"/>
      <c r="I941" s="103"/>
    </row>
    <row r="942">
      <c r="B942" s="15"/>
      <c r="D942" s="15"/>
      <c r="E942" s="15"/>
      <c r="F942" s="15"/>
      <c r="G942" s="15"/>
      <c r="H942" s="103"/>
      <c r="I942" s="103"/>
    </row>
    <row r="943">
      <c r="B943" s="15"/>
      <c r="D943" s="15"/>
      <c r="E943" s="15"/>
      <c r="F943" s="15"/>
      <c r="G943" s="15"/>
      <c r="H943" s="103"/>
      <c r="I943" s="103"/>
    </row>
    <row r="944">
      <c r="B944" s="15"/>
      <c r="D944" s="15"/>
      <c r="E944" s="15"/>
      <c r="F944" s="15"/>
      <c r="G944" s="15"/>
      <c r="H944" s="103"/>
      <c r="I944" s="103"/>
    </row>
    <row r="945">
      <c r="B945" s="15"/>
      <c r="D945" s="15"/>
      <c r="E945" s="15"/>
      <c r="F945" s="15"/>
      <c r="G945" s="15"/>
      <c r="H945" s="103"/>
      <c r="I945" s="103"/>
    </row>
    <row r="946">
      <c r="B946" s="15"/>
      <c r="D946" s="15"/>
      <c r="E946" s="15"/>
      <c r="F946" s="15"/>
      <c r="G946" s="15"/>
      <c r="H946" s="103"/>
      <c r="I946" s="103"/>
    </row>
    <row r="947">
      <c r="B947" s="15"/>
      <c r="D947" s="15"/>
      <c r="E947" s="15"/>
      <c r="F947" s="15"/>
      <c r="G947" s="15"/>
      <c r="H947" s="103"/>
      <c r="I947" s="103"/>
    </row>
    <row r="948">
      <c r="B948" s="15"/>
      <c r="D948" s="15"/>
      <c r="E948" s="15"/>
      <c r="F948" s="15"/>
      <c r="G948" s="15"/>
      <c r="H948" s="103"/>
      <c r="I948" s="103"/>
    </row>
    <row r="949">
      <c r="B949" s="15"/>
      <c r="D949" s="15"/>
      <c r="E949" s="15"/>
      <c r="F949" s="15"/>
      <c r="G949" s="15"/>
      <c r="H949" s="103"/>
      <c r="I949" s="103"/>
    </row>
    <row r="950">
      <c r="B950" s="15"/>
      <c r="D950" s="15"/>
      <c r="E950" s="15"/>
      <c r="F950" s="15"/>
      <c r="G950" s="15"/>
      <c r="H950" s="103"/>
      <c r="I950" s="103"/>
    </row>
    <row r="951">
      <c r="B951" s="15"/>
      <c r="D951" s="15"/>
      <c r="E951" s="15"/>
      <c r="F951" s="15"/>
      <c r="G951" s="15"/>
      <c r="H951" s="103"/>
      <c r="I951" s="103"/>
    </row>
    <row r="952">
      <c r="B952" s="15"/>
      <c r="D952" s="15"/>
      <c r="E952" s="15"/>
      <c r="F952" s="15"/>
      <c r="G952" s="15"/>
      <c r="H952" s="103"/>
      <c r="I952" s="103"/>
    </row>
    <row r="953">
      <c r="B953" s="15"/>
      <c r="D953" s="15"/>
      <c r="E953" s="15"/>
      <c r="F953" s="15"/>
      <c r="G953" s="15"/>
      <c r="H953" s="103"/>
      <c r="I953" s="103"/>
    </row>
    <row r="954">
      <c r="B954" s="15"/>
      <c r="D954" s="15"/>
      <c r="E954" s="15"/>
      <c r="F954" s="15"/>
      <c r="G954" s="15"/>
      <c r="H954" s="103"/>
      <c r="I954" s="103"/>
    </row>
    <row r="955">
      <c r="B955" s="15"/>
      <c r="D955" s="15"/>
      <c r="E955" s="15"/>
      <c r="F955" s="15"/>
      <c r="G955" s="15"/>
      <c r="H955" s="103"/>
      <c r="I955" s="103"/>
    </row>
    <row r="956">
      <c r="B956" s="15"/>
      <c r="D956" s="15"/>
      <c r="E956" s="15"/>
      <c r="F956" s="15"/>
      <c r="G956" s="15"/>
      <c r="H956" s="103"/>
      <c r="I956" s="103"/>
    </row>
    <row r="957">
      <c r="B957" s="15"/>
      <c r="D957" s="15"/>
      <c r="E957" s="15"/>
      <c r="F957" s="15"/>
      <c r="G957" s="15"/>
      <c r="H957" s="103"/>
      <c r="I957" s="103"/>
    </row>
    <row r="958">
      <c r="B958" s="15"/>
      <c r="D958" s="15"/>
      <c r="E958" s="15"/>
      <c r="F958" s="15"/>
      <c r="G958" s="15"/>
      <c r="H958" s="103"/>
      <c r="I958" s="103"/>
    </row>
    <row r="959">
      <c r="B959" s="15"/>
      <c r="D959" s="15"/>
      <c r="E959" s="15"/>
      <c r="F959" s="15"/>
      <c r="G959" s="15"/>
      <c r="H959" s="103"/>
      <c r="I959" s="103"/>
    </row>
    <row r="960">
      <c r="B960" s="15"/>
      <c r="D960" s="15"/>
      <c r="E960" s="15"/>
      <c r="F960" s="15"/>
      <c r="G960" s="15"/>
      <c r="H960" s="103"/>
      <c r="I960" s="103"/>
    </row>
    <row r="961">
      <c r="B961" s="15"/>
      <c r="D961" s="15"/>
      <c r="E961" s="15"/>
      <c r="F961" s="15"/>
      <c r="G961" s="15"/>
      <c r="H961" s="103"/>
      <c r="I961" s="103"/>
    </row>
    <row r="962">
      <c r="B962" s="15"/>
      <c r="D962" s="15"/>
      <c r="E962" s="15"/>
      <c r="F962" s="15"/>
      <c r="G962" s="15"/>
      <c r="H962" s="103"/>
      <c r="I962" s="103"/>
    </row>
    <row r="963">
      <c r="B963" s="15"/>
      <c r="D963" s="15"/>
      <c r="E963" s="15"/>
      <c r="F963" s="15"/>
      <c r="G963" s="15"/>
      <c r="H963" s="103"/>
      <c r="I963" s="103"/>
    </row>
    <row r="964">
      <c r="B964" s="15"/>
      <c r="D964" s="15"/>
      <c r="E964" s="15"/>
      <c r="F964" s="15"/>
      <c r="G964" s="15"/>
      <c r="H964" s="103"/>
      <c r="I964" s="103"/>
    </row>
    <row r="965">
      <c r="B965" s="15"/>
      <c r="D965" s="15"/>
      <c r="E965" s="15"/>
      <c r="F965" s="15"/>
      <c r="G965" s="15"/>
      <c r="H965" s="103"/>
      <c r="I965" s="103"/>
    </row>
    <row r="966">
      <c r="B966" s="15"/>
      <c r="D966" s="15"/>
      <c r="E966" s="15"/>
      <c r="F966" s="15"/>
      <c r="G966" s="15"/>
      <c r="H966" s="103"/>
      <c r="I966" s="103"/>
    </row>
    <row r="967">
      <c r="B967" s="15"/>
      <c r="D967" s="15"/>
      <c r="E967" s="15"/>
      <c r="F967" s="15"/>
      <c r="G967" s="15"/>
      <c r="H967" s="103"/>
      <c r="I967" s="103"/>
    </row>
    <row r="968">
      <c r="B968" s="15"/>
      <c r="D968" s="15"/>
      <c r="E968" s="15"/>
      <c r="F968" s="15"/>
      <c r="G968" s="15"/>
      <c r="H968" s="103"/>
      <c r="I968" s="103"/>
    </row>
    <row r="969">
      <c r="B969" s="15"/>
      <c r="D969" s="15"/>
      <c r="E969" s="15"/>
      <c r="F969" s="15"/>
      <c r="G969" s="15"/>
      <c r="H969" s="103"/>
      <c r="I969" s="103"/>
    </row>
    <row r="970">
      <c r="B970" s="15"/>
      <c r="D970" s="15"/>
      <c r="E970" s="15"/>
      <c r="F970" s="15"/>
      <c r="G970" s="15"/>
      <c r="H970" s="103"/>
      <c r="I970" s="103"/>
    </row>
    <row r="971">
      <c r="B971" s="15"/>
      <c r="D971" s="15"/>
      <c r="E971" s="15"/>
      <c r="F971" s="15"/>
      <c r="G971" s="15"/>
      <c r="H971" s="103"/>
      <c r="I971" s="103"/>
    </row>
    <row r="972">
      <c r="B972" s="15"/>
      <c r="D972" s="15"/>
      <c r="E972" s="15"/>
      <c r="F972" s="15"/>
      <c r="G972" s="15"/>
      <c r="H972" s="103"/>
      <c r="I972" s="103"/>
    </row>
    <row r="973">
      <c r="B973" s="15"/>
      <c r="D973" s="15"/>
      <c r="E973" s="15"/>
      <c r="F973" s="15"/>
      <c r="G973" s="15"/>
      <c r="H973" s="103"/>
      <c r="I973" s="103"/>
    </row>
    <row r="974">
      <c r="B974" s="15"/>
      <c r="D974" s="15"/>
      <c r="E974" s="15"/>
      <c r="F974" s="15"/>
      <c r="G974" s="15"/>
      <c r="H974" s="103"/>
      <c r="I974" s="103"/>
    </row>
    <row r="975">
      <c r="B975" s="15"/>
      <c r="D975" s="15"/>
      <c r="E975" s="15"/>
      <c r="F975" s="15"/>
      <c r="G975" s="15"/>
      <c r="H975" s="103"/>
      <c r="I975" s="103"/>
    </row>
    <row r="976">
      <c r="B976" s="15"/>
      <c r="D976" s="15"/>
      <c r="E976" s="15"/>
      <c r="F976" s="15"/>
      <c r="G976" s="15"/>
      <c r="H976" s="103"/>
      <c r="I976" s="103"/>
    </row>
    <row r="977">
      <c r="B977" s="15"/>
      <c r="D977" s="15"/>
      <c r="E977" s="15"/>
      <c r="F977" s="15"/>
      <c r="G977" s="15"/>
      <c r="H977" s="103"/>
      <c r="I977" s="103"/>
    </row>
    <row r="978">
      <c r="B978" s="15"/>
      <c r="D978" s="15"/>
      <c r="E978" s="15"/>
      <c r="F978" s="15"/>
      <c r="G978" s="15"/>
      <c r="H978" s="103"/>
      <c r="I978" s="103"/>
    </row>
    <row r="979">
      <c r="B979" s="15"/>
      <c r="D979" s="15"/>
      <c r="E979" s="15"/>
      <c r="F979" s="15"/>
      <c r="G979" s="15"/>
      <c r="H979" s="103"/>
      <c r="I979" s="103"/>
    </row>
    <row r="980">
      <c r="B980" s="15"/>
      <c r="D980" s="15"/>
      <c r="E980" s="15"/>
      <c r="F980" s="15"/>
      <c r="G980" s="15"/>
      <c r="H980" s="103"/>
      <c r="I980" s="103"/>
    </row>
    <row r="981">
      <c r="B981" s="15"/>
      <c r="D981" s="15"/>
      <c r="E981" s="15"/>
      <c r="F981" s="15"/>
      <c r="G981" s="15"/>
      <c r="H981" s="103"/>
      <c r="I981" s="103"/>
    </row>
    <row r="982">
      <c r="B982" s="15"/>
      <c r="D982" s="15"/>
      <c r="E982" s="15"/>
      <c r="F982" s="15"/>
      <c r="G982" s="15"/>
      <c r="H982" s="103"/>
      <c r="I982" s="103"/>
    </row>
    <row r="983">
      <c r="B983" s="15"/>
      <c r="D983" s="15"/>
      <c r="E983" s="15"/>
      <c r="F983" s="15"/>
      <c r="G983" s="15"/>
      <c r="H983" s="103"/>
      <c r="I983" s="103"/>
    </row>
    <row r="984">
      <c r="B984" s="15"/>
      <c r="D984" s="15"/>
      <c r="E984" s="15"/>
      <c r="F984" s="15"/>
      <c r="G984" s="15"/>
      <c r="H984" s="103"/>
      <c r="I984" s="103"/>
    </row>
    <row r="985">
      <c r="B985" s="15"/>
      <c r="D985" s="15"/>
      <c r="E985" s="15"/>
      <c r="F985" s="15"/>
      <c r="G985" s="15"/>
      <c r="H985" s="103"/>
      <c r="I985" s="103"/>
    </row>
    <row r="986">
      <c r="B986" s="15"/>
      <c r="D986" s="15"/>
      <c r="E986" s="15"/>
      <c r="F986" s="15"/>
      <c r="G986" s="15"/>
      <c r="H986" s="103"/>
      <c r="I986" s="103"/>
    </row>
    <row r="987">
      <c r="B987" s="15"/>
      <c r="D987" s="15"/>
      <c r="E987" s="15"/>
      <c r="F987" s="15"/>
      <c r="G987" s="15"/>
      <c r="H987" s="103"/>
      <c r="I987" s="103"/>
    </row>
    <row r="988">
      <c r="B988" s="15"/>
      <c r="D988" s="15"/>
      <c r="E988" s="15"/>
      <c r="F988" s="15"/>
      <c r="G988" s="15"/>
      <c r="H988" s="103"/>
      <c r="I988" s="103"/>
    </row>
    <row r="989">
      <c r="B989" s="15"/>
      <c r="D989" s="15"/>
      <c r="E989" s="15"/>
      <c r="F989" s="15"/>
      <c r="G989" s="15"/>
      <c r="H989" s="103"/>
      <c r="I989" s="103"/>
    </row>
    <row r="990">
      <c r="B990" s="15"/>
      <c r="D990" s="15"/>
      <c r="E990" s="15"/>
      <c r="F990" s="15"/>
      <c r="G990" s="15"/>
      <c r="H990" s="103"/>
      <c r="I990" s="103"/>
    </row>
    <row r="991">
      <c r="B991" s="15"/>
      <c r="D991" s="15"/>
      <c r="E991" s="15"/>
      <c r="F991" s="15"/>
      <c r="G991" s="15"/>
      <c r="H991" s="103"/>
      <c r="I991" s="103"/>
    </row>
    <row r="992">
      <c r="B992" s="15"/>
      <c r="D992" s="15"/>
      <c r="E992" s="15"/>
      <c r="F992" s="15"/>
      <c r="G992" s="15"/>
      <c r="H992" s="103"/>
      <c r="I992" s="103"/>
    </row>
    <row r="993">
      <c r="B993" s="15"/>
      <c r="D993" s="15"/>
      <c r="E993" s="15"/>
      <c r="F993" s="15"/>
      <c r="G993" s="15"/>
      <c r="H993" s="103"/>
      <c r="I993" s="103"/>
    </row>
    <row r="994">
      <c r="B994" s="15"/>
      <c r="D994" s="15"/>
      <c r="E994" s="15"/>
      <c r="F994" s="15"/>
      <c r="G994" s="15"/>
      <c r="H994" s="103"/>
      <c r="I994" s="103"/>
    </row>
    <row r="995">
      <c r="B995" s="15"/>
      <c r="D995" s="15"/>
      <c r="E995" s="15"/>
      <c r="F995" s="15"/>
      <c r="G995" s="15"/>
      <c r="H995" s="103"/>
      <c r="I995" s="103"/>
    </row>
    <row r="996">
      <c r="B996" s="15"/>
      <c r="D996" s="15"/>
      <c r="E996" s="15"/>
      <c r="F996" s="15"/>
      <c r="G996" s="15"/>
      <c r="H996" s="103"/>
      <c r="I996" s="103"/>
    </row>
    <row r="997">
      <c r="B997" s="15"/>
      <c r="D997" s="15"/>
      <c r="E997" s="15"/>
      <c r="F997" s="15"/>
      <c r="G997" s="15"/>
      <c r="H997" s="103"/>
      <c r="I997" s="103"/>
    </row>
    <row r="998">
      <c r="B998" s="15"/>
      <c r="D998" s="15"/>
      <c r="E998" s="15"/>
      <c r="F998" s="15"/>
      <c r="G998" s="15"/>
      <c r="H998" s="103"/>
      <c r="I998" s="103"/>
    </row>
    <row r="999">
      <c r="B999" s="15"/>
      <c r="D999" s="15"/>
      <c r="E999" s="15"/>
      <c r="F999" s="15"/>
      <c r="G999" s="15"/>
      <c r="H999" s="103"/>
      <c r="I999" s="103"/>
    </row>
    <row r="1000">
      <c r="B1000" s="15"/>
      <c r="D1000" s="15"/>
      <c r="E1000" s="15"/>
      <c r="F1000" s="15"/>
      <c r="G1000" s="15"/>
      <c r="H1000" s="103"/>
      <c r="I1000" s="103"/>
    </row>
  </sheetData>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s>
  <drawing r:id="rId20"/>
</worksheet>
</file>